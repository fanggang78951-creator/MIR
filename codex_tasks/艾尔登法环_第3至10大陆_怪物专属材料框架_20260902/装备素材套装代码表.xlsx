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套装代码表" sheetId="1" state="visible" r:id="rId1"/>
    <sheet name="使用说明" sheetId="2" state="visible" r:id="rId2"/>
    <sheet name="生肖槽位代码表" sheetId="3" state="visible" r:id="rId3"/>
    <sheet name="新增20组全装备代码" sheetId="4" state="visible" r:id="rId4"/>
    <sheet name="全资源索引" sheetId="5" state="visible" r:id="rId5"/>
    <sheet name="C3-C10专属分配" sheetId="6" state="visible" r:id="rId6"/>
    <sheet name="C3-C10编码缺口" sheetId="7" state="visible" r:id="rId7"/>
  </sheets>
  <definedNames/>
</workbook>
</file>

<file path=xl/styles.xml><?xml version="1.0" encoding="utf-8"?>
<styleSheet xmlns="http://schemas.openxmlformats.org/spreadsheetml/2006/main">
  <numFmts count="0"/>
  <fonts count="31">
    <font>
      <name val="Carlito"/>
      <sz val="11"/>
    </font>
    <font>
      <name val="Microsoft YaHei"/>
      <b val="1"/>
      <color rgb="FFF5D17A"/>
      <sz val="18"/>
    </font>
    <font>
      <name val="Microsoft YaHei"/>
      <color rgb="FFE8D9B6"/>
      <sz val="10"/>
    </font>
    <font>
      <name val="Microsoft YaHei"/>
      <i val="1"/>
      <color rgb="FFBFB59E"/>
      <sz val="9"/>
    </font>
    <font>
      <name val="Microsoft YaHei"/>
      <b val="1"/>
      <color rgb="FFFFF4D3"/>
      <sz val="10"/>
    </font>
    <font>
      <name val="Microsoft YaHei"/>
      <color rgb="FFE8E3D6"/>
      <sz val="10"/>
    </font>
    <font>
      <name val="Microsoft YaHei"/>
      <b val="1"/>
      <color rgb="FFF5D17A"/>
      <sz val="10"/>
    </font>
    <font>
      <name val="Microsoft YaHei"/>
      <b val="1"/>
      <color rgb="FFF0A5A5"/>
      <sz val="10"/>
    </font>
    <font>
      <name val="Microsoft YaHei"/>
      <b val="1"/>
      <color rgb="FF9FD3F4"/>
      <sz val="10"/>
    </font>
    <font>
      <name val="Microsoft YaHei"/>
      <b val="1"/>
      <color rgb="FFF5D17A"/>
      <sz val="16"/>
    </font>
    <font>
      <name val="Carlito"/>
      <b val="1"/>
      <color rgb="FFFFF4D3"/>
      <sz val="11"/>
    </font>
    <font>
      <name val="Carlito"/>
      <color rgb="FFE8E3D6"/>
      <sz val="11"/>
    </font>
    <font>
      <name val="Carlito"/>
      <color rgb="FFBDE3FA"/>
      <sz val="11"/>
    </font>
    <font>
      <name val="Carlito"/>
      <color rgb="FFF0B9B9"/>
      <sz val="11"/>
    </font>
    <font>
      <name val="Carlito"/>
      <b val="1"/>
      <color rgb="FFF5D17A"/>
      <sz val="11"/>
    </font>
    <font>
      <name val="Carlito"/>
      <b val="1"/>
      <color rgb="FFC9B9FF"/>
      <sz val="11"/>
    </font>
    <font>
      <name val="Carlito"/>
      <b val="1"/>
      <color rgb="FFA9E5BE"/>
      <sz val="11"/>
    </font>
    <font>
      <name val="Carlito"/>
      <b val="1"/>
      <color rgb="FFFFB3A3"/>
      <sz val="11"/>
    </font>
    <font>
      <name val="Carlito"/>
      <b val="1"/>
      <color rgb="FFD7B6FF"/>
      <sz val="11"/>
    </font>
    <font>
      <name val="Microsoft YaHei"/>
      <b val="1"/>
      <color rgb="FFF5D17A"/>
      <sz val="11"/>
    </font>
    <font>
      <name val="Microsoft YaHei"/>
      <color rgb="FFE8D9B6"/>
      <sz val="11"/>
    </font>
    <font>
      <name val="Microsoft YaHei"/>
      <b val="1"/>
      <color rgb="FFFFF4D3"/>
      <sz val="11"/>
    </font>
    <font>
      <name val="Microsoft YaHei"/>
      <color rgb="FFE8E3D6"/>
      <sz val="11"/>
    </font>
    <font>
      <name val="Microsoft YaHei"/>
      <i val="1"/>
      <color rgb="FFBFB59E"/>
      <sz val="11"/>
    </font>
    <font>
      <name val="Carlito"/>
      <b val="1"/>
      <color rgb="FFFFFFFF"/>
      <sz val="11"/>
    </font>
    <font>
      <name val="Carlito"/>
      <color rgb="FFF4EFE5"/>
      <sz val="11"/>
    </font>
    <font>
      <name val="Microsoft YaHei"/>
      <b val="1"/>
      <color rgb="FFF4EFE5"/>
      <sz val="14"/>
    </font>
    <font>
      <name val="Microsoft YaHei"/>
      <color rgb="FF20242A"/>
      <sz val="10"/>
    </font>
    <font>
      <name val="Microsoft YaHei"/>
      <b val="1"/>
      <color rgb="FFFFFFFF"/>
      <sz val="10"/>
    </font>
    <font>
      <name val="Microsoft YaHei"/>
      <b val="1"/>
      <color rgb="FFFFFFFF"/>
      <sz val="16"/>
    </font>
    <font>
      <name val="Microsoft YaHei"/>
      <color rgb="FF4B5563"/>
      <sz val="10"/>
    </font>
  </fonts>
  <fills count="33">
    <fill>
      <patternFill/>
    </fill>
    <fill>
      <patternFill patternType="gray125"/>
    </fill>
    <fill>
      <patternFill patternType="solid">
        <fgColor rgb="FF11100D"/>
      </patternFill>
    </fill>
    <fill>
      <patternFill patternType="solid">
        <fgColor rgb="FF201D16"/>
      </patternFill>
    </fill>
    <fill>
      <patternFill patternType="solid">
        <fgColor rgb="FF2A261D"/>
      </patternFill>
    </fill>
    <fill>
      <patternFill patternType="solid">
        <fgColor rgb="FF6B4E18"/>
      </patternFill>
    </fill>
    <fill>
      <patternFill patternType="solid">
        <fgColor rgb="FF312713"/>
      </patternFill>
    </fill>
    <fill>
      <patternFill patternType="solid">
        <fgColor rgb="FF30191A"/>
      </patternFill>
    </fill>
    <fill>
      <patternFill patternType="solid">
        <fgColor rgb="FF172431"/>
      </patternFill>
    </fill>
    <fill>
      <patternFill patternType="solid">
        <fgColor rgb="FF211E18"/>
      </patternFill>
    </fill>
    <fill>
      <patternFill patternType="solid">
        <fgColor rgb="FF312713"/>
      </patternFill>
    </fill>
    <fill>
      <patternFill patternType="solid">
        <fgColor rgb="FF211B35"/>
      </patternFill>
    </fill>
    <fill>
      <patternFill patternType="solid">
        <fgColor rgb="FF172F27"/>
      </patternFill>
    </fill>
    <fill>
      <patternFill patternType="solid">
        <fgColor rgb="FF351B16"/>
      </patternFill>
    </fill>
    <fill>
      <patternFill patternType="solid">
        <fgColor rgb="FF281A38"/>
      </patternFill>
    </fill>
    <fill>
      <patternFill patternType="solid">
        <fgColor rgb="FF11100D"/>
      </patternFill>
    </fill>
    <fill>
      <patternFill patternType="solid">
        <fgColor rgb="FF201D16"/>
      </patternFill>
    </fill>
    <fill>
      <patternFill patternType="solid">
        <fgColor rgb="FF6B4E18"/>
      </patternFill>
    </fill>
    <fill>
      <patternFill patternType="solid">
        <fgColor rgb="FF2A261D"/>
      </patternFill>
    </fill>
    <fill>
      <patternFill patternType="solid">
        <fgColor rgb="FF281B2D"/>
      </patternFill>
    </fill>
    <fill>
      <patternFill patternType="solid">
        <fgColor rgb="FF173329"/>
      </patternFill>
    </fill>
    <fill>
      <patternFill patternType="solid">
        <fgColor rgb="FF3A1B18"/>
      </patternFill>
    </fill>
    <fill>
      <patternFill patternType="solid">
        <fgColor rgb="FF26172F"/>
      </patternFill>
    </fill>
    <fill>
      <patternFill patternType="solid">
        <fgColor rgb="FF78591B"/>
      </patternFill>
    </fill>
    <fill>
      <patternFill patternType="solid">
        <fgColor rgb="FF211F1A"/>
      </patternFill>
    </fill>
    <fill>
      <patternFill patternType="solid">
        <fgColor rgb="FF0F766E"/>
      </patternFill>
    </fill>
    <fill>
      <patternFill patternType="solid">
        <fgColor rgb="FF11110F"/>
      </patternFill>
    </fill>
    <fill>
      <patternFill patternType="solid">
        <fgColor rgb="FFE8EEF7"/>
      </patternFill>
    </fill>
    <fill>
      <patternFill patternType="solid">
        <fgColor rgb="FFFCE8E6"/>
      </patternFill>
    </fill>
    <fill>
      <patternFill patternType="solid">
        <fgColor rgb="FFFFF3CD"/>
      </patternFill>
    </fill>
    <fill>
      <patternFill patternType="solid">
        <fgColor rgb="FFC59B3B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52">
    <border/>
    <border>
      <left style="medium">
        <color rgb="FF9A762C"/>
      </left>
      <top style="medium">
        <color rgb="FF9A762C"/>
      </top>
      <bottom style="medium">
        <color rgb="FF9A762C"/>
      </bottom>
    </border>
    <border>
      <top style="medium">
        <color rgb="FF9A762C"/>
      </top>
      <bottom style="medium">
        <color rgb="FF9A762C"/>
      </bottom>
    </border>
    <border>
      <right style="medium">
        <color rgb="FF9A762C"/>
      </right>
      <top style="medium">
        <color rgb="FF9A762C"/>
      </top>
      <bottom style="medium">
        <color rgb="FF9A762C"/>
      </bottom>
    </border>
    <border>
      <left style="thin">
        <color rgb="FFBA9244"/>
      </left>
      <right style="thin">
        <color rgb="FFBA9244"/>
      </right>
      <top style="thin">
        <color rgb="FFBA9244"/>
      </top>
      <bottom style="thin">
        <color rgb="FFBA9244"/>
      </bottom>
    </border>
    <border>
      <left style="thin">
        <color rgb="FF6D6558"/>
      </left>
      <top style="thin">
        <color rgb="FF8A806E"/>
      </top>
      <bottom style="thin">
        <color rgb="FF4A463E"/>
      </bottom>
    </border>
    <border>
      <top style="thin">
        <color rgb="FF8A806E"/>
      </top>
      <bottom style="thin">
        <color rgb="FF4A463E"/>
      </bottom>
    </border>
    <border>
      <right style="thin">
        <color rgb="FF6D6558"/>
      </right>
      <top style="thin">
        <color rgb="FF8A806E"/>
      </top>
      <bottom style="thin">
        <color rgb="FF4A463E"/>
      </bottom>
    </border>
    <border>
      <left style="thin">
        <color rgb="FF6D6558"/>
      </left>
      <top style="thin">
        <color rgb="FF4A463E"/>
      </top>
      <bottom style="thin">
        <color rgb="FF4A463E"/>
      </bottom>
    </border>
    <border>
      <top style="thin">
        <color rgb="FF4A463E"/>
      </top>
      <bottom style="thin">
        <color rgb="FF4A463E"/>
      </bottom>
    </border>
    <border>
      <right style="thin">
        <color rgb="FF6D6558"/>
      </right>
      <top style="thin">
        <color rgb="FF4A463E"/>
      </top>
      <bottom style="thin">
        <color rgb="FF4A463E"/>
      </bottom>
    </border>
    <border>
      <left style="thin">
        <color rgb="FF6D6558"/>
      </left>
      <top style="thin">
        <color rgb="FF4A463E"/>
      </top>
      <bottom style="medium">
        <color rgb="FF9A762C"/>
      </bottom>
    </border>
    <border>
      <top style="thin">
        <color rgb="FF4A463E"/>
      </top>
      <bottom style="medium">
        <color rgb="FF9A762C"/>
      </bottom>
    </border>
    <border>
      <right style="thin">
        <color rgb="FF6D6558"/>
      </right>
      <top style="thin">
        <color rgb="FF4A463E"/>
      </top>
      <bottom style="medium">
        <color rgb="FF9A762C"/>
      </bottom>
    </border>
    <border>
      <left style="thin">
        <color rgb="FF6D6558"/>
      </left>
      <right style="thin">
        <color rgb="FF6D6558"/>
      </right>
      <top style="thin">
        <color rgb="FF6D6558"/>
      </top>
      <bottom style="thin">
        <color rgb="FF6D6558"/>
      </bottom>
    </border>
    <border>
      <left style="thin">
        <color rgb="FF6D6558"/>
      </left>
      <top style="thin">
        <color rgb="FF6D6558"/>
      </top>
      <bottom style="thin">
        <color rgb="FF6D6558"/>
      </bottom>
    </border>
    <border>
      <top style="thin">
        <color rgb="FF6D6558"/>
      </top>
      <bottom style="thin">
        <color rgb="FF6D6558"/>
      </bottom>
    </border>
    <border>
      <right style="thin">
        <color rgb="FF6D6558"/>
      </right>
      <top style="thin">
        <color rgb="FF6D6558"/>
      </top>
      <bottom style="thin">
        <color rgb="FF6D6558"/>
      </bottom>
    </border>
    <border>
      <right style="thin">
        <color rgb="FF4A4337"/>
      </right>
      <bottom style="thin">
        <color rgb="FF4A4337"/>
      </bottom>
    </border>
    <border>
      <left style="thin">
        <color rgb="FF4A4337"/>
      </left>
      <right style="thin">
        <color rgb="FF4A4337"/>
      </right>
      <bottom style="thin">
        <color rgb="FF4A4337"/>
      </bottom>
    </border>
    <border>
      <left style="thin">
        <color rgb="FF4A4337"/>
      </left>
      <bottom style="thin">
        <color rgb="FF4A4337"/>
      </bottom>
    </border>
    <border>
      <right style="thin">
        <color rgb="FF4A4337"/>
      </right>
      <top style="thin">
        <color rgb="FF4A4337"/>
      </top>
      <bottom style="thin">
        <color rgb="FF4A4337"/>
      </bottom>
    </border>
    <border>
      <left style="thin">
        <color rgb="FF4A4337"/>
      </left>
      <right style="thin">
        <color rgb="FF4A4337"/>
      </right>
      <top style="thin">
        <color rgb="FF4A4337"/>
      </top>
      <bottom style="thin">
        <color rgb="FF4A4337"/>
      </bottom>
    </border>
    <border>
      <left style="thin">
        <color rgb="FF4A4337"/>
      </left>
      <top style="thin">
        <color rgb="FF4A4337"/>
      </top>
      <bottom style="thin">
        <color rgb="FF4A4337"/>
      </bottom>
    </border>
    <border>
      <right style="thin">
        <color rgb="FF4A4337"/>
      </right>
      <top style="thin">
        <color rgb="FF4A4337"/>
      </top>
    </border>
    <border>
      <left style="thin">
        <color rgb="FF4A4337"/>
      </left>
      <right style="thin">
        <color rgb="FF4A4337"/>
      </right>
      <top style="thin">
        <color rgb="FF4A4337"/>
      </top>
    </border>
    <border>
      <left style="thin">
        <color rgb="FF4A4337"/>
      </left>
      <top style="thin">
        <color rgb="FF4A4337"/>
      </top>
    </border>
    <border>
      <left style="thin">
        <color rgb="FF6D6558"/>
      </left>
      <right style="thin">
        <color rgb="FF4A4337"/>
      </right>
      <top style="thin">
        <color rgb="FF6D6558"/>
      </top>
      <bottom style="thin">
        <color rgb="FF4A4337"/>
      </bottom>
    </border>
    <border>
      <left style="thin">
        <color rgb="FF4A4337"/>
      </left>
      <right style="thin">
        <color rgb="FF6D6558"/>
      </right>
      <top style="thin">
        <color rgb="FF6D6558"/>
      </top>
      <bottom style="thin">
        <color rgb="FF4A4337"/>
      </bottom>
    </border>
    <border>
      <left style="thin">
        <color rgb="FF6D6558"/>
      </left>
      <right style="thin">
        <color rgb="FF4A4337"/>
      </right>
      <top style="thin">
        <color rgb="FF4A4337"/>
      </top>
      <bottom style="thin">
        <color rgb="FF4A4337"/>
      </bottom>
    </border>
    <border>
      <left style="thin">
        <color rgb="FF4A4337"/>
      </left>
      <right style="thin">
        <color rgb="FF6D6558"/>
      </right>
      <top style="thin">
        <color rgb="FF4A4337"/>
      </top>
      <bottom style="thin">
        <color rgb="FF4A4337"/>
      </bottom>
    </border>
    <border>
      <left style="thin">
        <color rgb="FF6D6558"/>
      </left>
      <right style="thin">
        <color rgb="FF4A4337"/>
      </right>
      <top style="thin">
        <color rgb="FF4A4337"/>
      </top>
      <bottom style="thin">
        <color rgb="FF6D6558"/>
      </bottom>
    </border>
    <border>
      <left style="thin">
        <color rgb="FF4A4337"/>
      </left>
      <right style="thin">
        <color rgb="FF6D6558"/>
      </right>
      <top style="thin">
        <color rgb="FF4A4337"/>
      </top>
      <bottom style="thin">
        <color rgb="FF6D6558"/>
      </bottom>
    </border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  <border>
      <left style="medium">
        <color rgb="FF9A762C"/>
      </left>
      <right style="medium">
        <color rgb="FF9A762C"/>
      </right>
      <top style="medium">
        <color rgb="FF9A762C"/>
      </top>
      <bottom style="medium">
        <color rgb="FF9A762C"/>
      </bottom>
    </border>
    <border>
      <top style="medium">
        <color rgb="FF9A762C"/>
      </top>
    </border>
    <border>
      <right style="medium">
        <color rgb="FF9A762C"/>
      </right>
      <top style="medium">
        <color rgb="FF9A762C"/>
      </top>
    </border>
    <border>
      <top style="thin">
        <color rgb="FF4A4337"/>
      </top>
    </border>
    <border>
      <top style="thin">
        <color rgb="FF4A4337"/>
      </top>
      <bottom style="thin">
        <color rgb="FF4A4337"/>
      </bottom>
    </border>
    <border>
      <top style="thin">
        <color rgb="FF4A4337"/>
      </top>
      <bottom style="thin">
        <color rgb="FF6D6558"/>
      </bottom>
    </border>
    <border>
      <right style="thin">
        <color rgb="FF4A4337"/>
      </right>
      <top style="thin">
        <color rgb="FF4A4337"/>
      </top>
      <bottom style="thin">
        <color rgb="FF6D6558"/>
      </bottom>
    </border>
    <border>
      <top style="thin">
        <color rgb="FF6D6558"/>
      </top>
    </border>
    <border>
      <right style="thin">
        <color rgb="FF6D6558"/>
      </right>
      <top style="thin">
        <color rgb="FF6D6558"/>
      </top>
    </border>
  </borders>
  <cellStyleXfs count="1">
    <xf numFmtId="0" fontId="0" fillId="0" borderId="0"/>
  </cellStyleXfs>
  <cellXfs count="40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4" pivotButton="0" quotePrefix="0" xfId="0"/>
    <xf numFmtId="0" fontId="4" fillId="5" borderId="4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9" pivotButton="0" quotePrefix="0" xfId="0"/>
    <xf numFmtId="0" fontId="5" fillId="0" borderId="10" pivotButton="0" quotePrefix="0" xfId="0"/>
    <xf numFmtId="0" fontId="5" fillId="0" borderId="11" pivotButton="0" quotePrefix="0" xfId="0"/>
    <xf numFmtId="0" fontId="5" fillId="0" borderId="12" pivotButton="0" quotePrefix="0" xfId="0"/>
    <xf numFmtId="0" fontId="5" fillId="0" borderId="13" pivotButton="0" quotePrefix="0" xfId="0"/>
    <xf numFmtId="0" fontId="5" fillId="0" borderId="5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5" fillId="0" borderId="13" applyAlignment="1" pivotButton="0" quotePrefix="0" xfId="0">
      <alignment vertical="center"/>
    </xf>
    <xf numFmtId="0" fontId="5" fillId="0" borderId="5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1" fontId="5" fillId="0" borderId="6" applyAlignment="1" pivotButton="0" quotePrefix="0" xfId="0">
      <alignment horizontal="center" vertical="center"/>
    </xf>
    <xf numFmtId="1" fontId="5" fillId="0" borderId="9" applyAlignment="1" pivotButton="0" quotePrefix="0" xfId="0">
      <alignment horizontal="center" vertical="center"/>
    </xf>
    <xf numFmtId="1" fontId="5" fillId="0" borderId="12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5" fillId="6" borderId="6" applyAlignment="1" pivotButton="0" quotePrefix="0" xfId="0">
      <alignment vertical="center"/>
    </xf>
    <xf numFmtId="0" fontId="5" fillId="6" borderId="6" applyAlignment="1" pivotButton="0" quotePrefix="0" xfId="0">
      <alignment horizontal="center" vertical="center"/>
    </xf>
    <xf numFmtId="1" fontId="5" fillId="6" borderId="6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0" fontId="6" fillId="6" borderId="6" applyAlignment="1" pivotButton="0" quotePrefix="0" xfId="0">
      <alignment vertical="center"/>
    </xf>
    <xf numFmtId="0" fontId="6" fillId="6" borderId="6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9" applyAlignment="1" pivotButton="0" quotePrefix="0" xfId="0">
      <alignment vertical="center"/>
    </xf>
    <xf numFmtId="0" fontId="5" fillId="6" borderId="9" applyAlignment="1" pivotButton="0" quotePrefix="0" xfId="0">
      <alignment horizontal="center" vertical="center"/>
    </xf>
    <xf numFmtId="1" fontId="5" fillId="6" borderId="9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0" fontId="6" fillId="6" borderId="9" applyAlignment="1" pivotButton="0" quotePrefix="0" xfId="0">
      <alignment vertical="center"/>
    </xf>
    <xf numFmtId="0" fontId="6" fillId="6" borderId="9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/>
    </xf>
    <xf numFmtId="0" fontId="5" fillId="7" borderId="9" applyAlignment="1" pivotButton="0" quotePrefix="0" xfId="0">
      <alignment horizontal="center" vertical="center"/>
    </xf>
    <xf numFmtId="1" fontId="5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7" borderId="9" applyAlignment="1" pivotButton="0" quotePrefix="0" xfId="0">
      <alignment vertical="center"/>
    </xf>
    <xf numFmtId="0" fontId="7" fillId="7" borderId="9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8" borderId="9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1" fontId="5" fillId="8" borderId="9" applyAlignment="1" pivotButton="0" quotePrefix="0" xfId="0">
      <alignment horizontal="center" vertical="center"/>
    </xf>
    <xf numFmtId="0" fontId="5" fillId="8" borderId="10" applyAlignment="1" pivotButton="0" quotePrefix="0" xfId="0">
      <alignment horizontal="center" vertical="center"/>
    </xf>
    <xf numFmtId="0" fontId="8" fillId="8" borderId="9" applyAlignment="1" pivotButton="0" quotePrefix="0" xfId="0">
      <alignment vertical="center"/>
    </xf>
    <xf numFmtId="0" fontId="8" fillId="8" borderId="9" applyAlignment="1" pivotButton="0" quotePrefix="0" xfId="0">
      <alignment horizontal="center" vertical="center"/>
    </xf>
    <xf numFmtId="0" fontId="5" fillId="8" borderId="11" applyAlignment="1" pivotButton="0" quotePrefix="0" xfId="0">
      <alignment horizontal="center" vertical="center"/>
    </xf>
    <xf numFmtId="0" fontId="5" fillId="8" borderId="12" applyAlignment="1" pivotButton="0" quotePrefix="0" xfId="0">
      <alignment vertical="center"/>
    </xf>
    <xf numFmtId="0" fontId="5" fillId="8" borderId="12" applyAlignment="1" pivotButton="0" quotePrefix="0" xfId="0">
      <alignment horizontal="center" vertical="center"/>
    </xf>
    <xf numFmtId="1" fontId="5" fillId="8" borderId="12" applyAlignment="1" pivotButton="0" quotePrefix="0" xfId="0">
      <alignment horizontal="center" vertical="center"/>
    </xf>
    <xf numFmtId="0" fontId="5" fillId="8" borderId="13" applyAlignment="1" pivotButton="0" quotePrefix="0" xfId="0">
      <alignment horizontal="center" vertical="center"/>
    </xf>
    <xf numFmtId="0" fontId="8" fillId="8" borderId="12" applyAlignment="1" pivotButton="0" quotePrefix="0" xfId="0">
      <alignment vertical="center"/>
    </xf>
    <xf numFmtId="0" fontId="8" fillId="8" borderId="12" applyAlignment="1" pivotButton="0" quotePrefix="0" xfId="0">
      <alignment horizontal="center" vertical="center"/>
    </xf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10" fillId="5" borderId="0" pivotButton="0" quotePrefix="0" xfId="0"/>
    <xf numFmtId="0" fontId="0" fillId="9" borderId="0" pivotButton="0" quotePrefix="0" xfId="0"/>
    <xf numFmtId="0" fontId="11" fillId="9" borderId="0" pivotButton="0" quotePrefix="0" xfId="0"/>
    <xf numFmtId="0" fontId="10" fillId="5" borderId="14" pivotButton="0" quotePrefix="0" xfId="0"/>
    <xf numFmtId="0" fontId="11" fillId="9" borderId="14" pivotButton="0" quotePrefix="0" xfId="0"/>
    <xf numFmtId="0" fontId="0" fillId="8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wrapText="1"/>
    </xf>
    <xf numFmtId="0" fontId="0" fillId="7" borderId="0" pivotButton="0" quotePrefix="0" xfId="0"/>
    <xf numFmtId="0" fontId="13" fillId="7" borderId="0" pivotButton="0" quotePrefix="0" xfId="0"/>
    <xf numFmtId="0" fontId="13" fillId="7" borderId="0" applyAlignment="1" pivotButton="0" quotePrefix="0" xfId="0">
      <alignment wrapText="1"/>
    </xf>
    <xf numFmtId="0" fontId="0" fillId="10" borderId="0" pivotButton="0" quotePrefix="0" xfId="0"/>
    <xf numFmtId="0" fontId="11" fillId="10" borderId="0" pivotButton="0" quotePrefix="0" xfId="0"/>
    <xf numFmtId="0" fontId="11" fillId="10" borderId="5" pivotButton="0" quotePrefix="0" xfId="0"/>
    <xf numFmtId="0" fontId="11" fillId="10" borderId="6" pivotButton="0" quotePrefix="0" xfId="0"/>
    <xf numFmtId="0" fontId="11" fillId="10" borderId="7" pivotButton="0" quotePrefix="0" xfId="0"/>
    <xf numFmtId="0" fontId="11" fillId="10" borderId="5" pivotButton="0" quotePrefix="0" xfId="0"/>
    <xf numFmtId="0" fontId="11" fillId="10" borderId="6" pivotButton="0" quotePrefix="0" xfId="0"/>
    <xf numFmtId="0" fontId="11" fillId="10" borderId="7" pivotButton="0" quotePrefix="0" xfId="0"/>
    <xf numFmtId="0" fontId="11" fillId="10" borderId="5" applyAlignment="1" pivotButton="0" quotePrefix="0" xfId="0">
      <alignment horizontal="center"/>
    </xf>
    <xf numFmtId="0" fontId="11" fillId="10" borderId="6" applyAlignment="1" pivotButton="0" quotePrefix="0" xfId="0">
      <alignment horizontal="center"/>
    </xf>
    <xf numFmtId="0" fontId="11" fillId="10" borderId="7" applyAlignment="1" pivotButton="0" quotePrefix="0" xfId="0">
      <alignment horizontal="center"/>
    </xf>
    <xf numFmtId="0" fontId="11" fillId="10" borderId="5" applyAlignment="1" pivotButton="0" quotePrefix="0" xfId="0">
      <alignment horizontal="center" vertical="center"/>
    </xf>
    <xf numFmtId="0" fontId="11" fillId="10" borderId="6" applyAlignment="1" pivotButton="0" quotePrefix="0" xfId="0">
      <alignment horizontal="center" vertical="center"/>
    </xf>
    <xf numFmtId="0" fontId="11" fillId="10" borderId="7" applyAlignment="1" pivotButton="0" quotePrefix="0" xfId="0">
      <alignment horizontal="center" vertical="center"/>
    </xf>
    <xf numFmtId="0" fontId="14" fillId="10" borderId="6" applyAlignment="1" pivotButton="0" quotePrefix="0" xfId="0">
      <alignment horizontal="center" vertical="center"/>
    </xf>
    <xf numFmtId="0" fontId="14" fillId="10" borderId="6" applyAlignment="1" pivotButton="0" quotePrefix="0" xfId="0">
      <alignment horizontal="left" vertical="center"/>
    </xf>
    <xf numFmtId="1" fontId="11" fillId="10" borderId="6" applyAlignment="1" pivotButton="0" quotePrefix="0" xfId="0">
      <alignment horizontal="center" vertical="center"/>
    </xf>
    <xf numFmtId="0" fontId="0" fillId="11" borderId="0" pivotButton="0" quotePrefix="0" xfId="0"/>
    <xf numFmtId="0" fontId="11" fillId="11" borderId="0" pivotButton="0" quotePrefix="0" xfId="0"/>
    <xf numFmtId="0" fontId="11" fillId="11" borderId="8" pivotButton="0" quotePrefix="0" xfId="0"/>
    <xf numFmtId="0" fontId="11" fillId="11" borderId="9" pivotButton="0" quotePrefix="0" xfId="0"/>
    <xf numFmtId="0" fontId="11" fillId="11" borderId="10" pivotButton="0" quotePrefix="0" xfId="0"/>
    <xf numFmtId="0" fontId="11" fillId="11" borderId="8" pivotButton="0" quotePrefix="0" xfId="0"/>
    <xf numFmtId="0" fontId="11" fillId="11" borderId="9" pivotButton="0" quotePrefix="0" xfId="0"/>
    <xf numFmtId="0" fontId="11" fillId="11" borderId="10" pivotButton="0" quotePrefix="0" xfId="0"/>
    <xf numFmtId="0" fontId="11" fillId="11" borderId="8" applyAlignment="1" pivotButton="0" quotePrefix="0" xfId="0">
      <alignment horizontal="center"/>
    </xf>
    <xf numFmtId="0" fontId="11" fillId="11" borderId="9" applyAlignment="1" pivotButton="0" quotePrefix="0" xfId="0">
      <alignment horizontal="center"/>
    </xf>
    <xf numFmtId="0" fontId="11" fillId="11" borderId="10" applyAlignment="1" pivotButton="0" quotePrefix="0" xfId="0">
      <alignment horizontal="center"/>
    </xf>
    <xf numFmtId="0" fontId="11" fillId="11" borderId="8" applyAlignment="1" pivotButton="0" quotePrefix="0" xfId="0">
      <alignment horizontal="center" vertical="center"/>
    </xf>
    <xf numFmtId="0" fontId="11" fillId="11" borderId="9" applyAlignment="1" pivotButton="0" quotePrefix="0" xfId="0">
      <alignment horizontal="center" vertical="center"/>
    </xf>
    <xf numFmtId="0" fontId="11" fillId="11" borderId="10" applyAlignment="1" pivotButton="0" quotePrefix="0" xfId="0">
      <alignment horizontal="center" vertical="center"/>
    </xf>
    <xf numFmtId="0" fontId="15" fillId="11" borderId="9" applyAlignment="1" pivotButton="0" quotePrefix="0" xfId="0">
      <alignment horizontal="center" vertical="center"/>
    </xf>
    <xf numFmtId="0" fontId="15" fillId="11" borderId="9" applyAlignment="1" pivotButton="0" quotePrefix="0" xfId="0">
      <alignment horizontal="left" vertical="center"/>
    </xf>
    <xf numFmtId="1" fontId="11" fillId="11" borderId="9" applyAlignment="1" pivotButton="0" quotePrefix="0" xfId="0">
      <alignment horizontal="center" vertical="center"/>
    </xf>
    <xf numFmtId="0" fontId="0" fillId="12" borderId="0" pivotButton="0" quotePrefix="0" xfId="0"/>
    <xf numFmtId="0" fontId="11" fillId="12" borderId="0" pivotButton="0" quotePrefix="0" xfId="0"/>
    <xf numFmtId="0" fontId="11" fillId="12" borderId="8" pivotButton="0" quotePrefix="0" xfId="0"/>
    <xf numFmtId="0" fontId="11" fillId="12" borderId="9" pivotButton="0" quotePrefix="0" xfId="0"/>
    <xf numFmtId="0" fontId="11" fillId="12" borderId="10" pivotButton="0" quotePrefix="0" xfId="0"/>
    <xf numFmtId="0" fontId="11" fillId="12" borderId="8" pivotButton="0" quotePrefix="0" xfId="0"/>
    <xf numFmtId="0" fontId="11" fillId="12" borderId="9" pivotButton="0" quotePrefix="0" xfId="0"/>
    <xf numFmtId="0" fontId="11" fillId="12" borderId="10" pivotButton="0" quotePrefix="0" xfId="0"/>
    <xf numFmtId="0" fontId="11" fillId="12" borderId="8" applyAlignment="1" pivotButton="0" quotePrefix="0" xfId="0">
      <alignment horizontal="center"/>
    </xf>
    <xf numFmtId="0" fontId="11" fillId="12" borderId="9" applyAlignment="1" pivotButton="0" quotePrefix="0" xfId="0">
      <alignment horizontal="center"/>
    </xf>
    <xf numFmtId="0" fontId="11" fillId="12" borderId="10" applyAlignment="1" pivotButton="0" quotePrefix="0" xfId="0">
      <alignment horizontal="center"/>
    </xf>
    <xf numFmtId="0" fontId="11" fillId="12" borderId="8" applyAlignment="1" pivotButton="0" quotePrefix="0" xfId="0">
      <alignment horizontal="center" vertical="center"/>
    </xf>
    <xf numFmtId="0" fontId="11" fillId="12" borderId="9" applyAlignment="1" pivotButton="0" quotePrefix="0" xfId="0">
      <alignment horizontal="center" vertical="center"/>
    </xf>
    <xf numFmtId="0" fontId="11" fillId="12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left" vertical="center"/>
    </xf>
    <xf numFmtId="1" fontId="11" fillId="12" borderId="9" applyAlignment="1" pivotButton="0" quotePrefix="0" xfId="0">
      <alignment horizontal="center" vertical="center"/>
    </xf>
    <xf numFmtId="0" fontId="0" fillId="13" borderId="0" pivotButton="0" quotePrefix="0" xfId="0"/>
    <xf numFmtId="0" fontId="11" fillId="13" borderId="0" pivotButton="0" quotePrefix="0" xfId="0"/>
    <xf numFmtId="0" fontId="11" fillId="13" borderId="8" pivotButton="0" quotePrefix="0" xfId="0"/>
    <xf numFmtId="0" fontId="11" fillId="13" borderId="9" pivotButton="0" quotePrefix="0" xfId="0"/>
    <xf numFmtId="0" fontId="11" fillId="13" borderId="10" pivotButton="0" quotePrefix="0" xfId="0"/>
    <xf numFmtId="0" fontId="11" fillId="13" borderId="8" pivotButton="0" quotePrefix="0" xfId="0"/>
    <xf numFmtId="0" fontId="11" fillId="13" borderId="9" pivotButton="0" quotePrefix="0" xfId="0"/>
    <xf numFmtId="0" fontId="11" fillId="13" borderId="10" pivotButton="0" quotePrefix="0" xfId="0"/>
    <xf numFmtId="0" fontId="11" fillId="13" borderId="8" applyAlignment="1" pivotButton="0" quotePrefix="0" xfId="0">
      <alignment horizontal="center"/>
    </xf>
    <xf numFmtId="0" fontId="11" fillId="13" borderId="9" applyAlignment="1" pivotButton="0" quotePrefix="0" xfId="0">
      <alignment horizontal="center"/>
    </xf>
    <xf numFmtId="0" fontId="11" fillId="13" borderId="10" applyAlignment="1" pivotButton="0" quotePrefix="0" xfId="0">
      <alignment horizontal="center"/>
    </xf>
    <xf numFmtId="0" fontId="11" fillId="13" borderId="8" applyAlignment="1" pivotButton="0" quotePrefix="0" xfId="0">
      <alignment horizontal="center" vertical="center"/>
    </xf>
    <xf numFmtId="0" fontId="11" fillId="13" borderId="9" applyAlignment="1" pivotButton="0" quotePrefix="0" xfId="0">
      <alignment horizontal="center" vertical="center"/>
    </xf>
    <xf numFmtId="0" fontId="11" fillId="13" borderId="10" applyAlignment="1" pivotButton="0" quotePrefix="0" xfId="0">
      <alignment horizontal="center" vertical="center"/>
    </xf>
    <xf numFmtId="0" fontId="17" fillId="13" borderId="9" applyAlignment="1" pivotButton="0" quotePrefix="0" xfId="0">
      <alignment horizontal="center" vertical="center"/>
    </xf>
    <xf numFmtId="0" fontId="17" fillId="13" borderId="9" applyAlignment="1" pivotButton="0" quotePrefix="0" xfId="0">
      <alignment horizontal="left" vertical="center"/>
    </xf>
    <xf numFmtId="1" fontId="11" fillId="13" borderId="9" applyAlignment="1" pivotButton="0" quotePrefix="0" xfId="0">
      <alignment horizontal="center" vertical="center"/>
    </xf>
    <xf numFmtId="0" fontId="0" fillId="14" borderId="0" pivotButton="0" quotePrefix="0" xfId="0"/>
    <xf numFmtId="0" fontId="11" fillId="14" borderId="0" pivotButton="0" quotePrefix="0" xfId="0"/>
    <xf numFmtId="0" fontId="11" fillId="14" borderId="11" pivotButton="0" quotePrefix="0" xfId="0"/>
    <xf numFmtId="0" fontId="11" fillId="14" borderId="12" pivotButton="0" quotePrefix="0" xfId="0"/>
    <xf numFmtId="0" fontId="11" fillId="14" borderId="13" pivotButton="0" quotePrefix="0" xfId="0"/>
    <xf numFmtId="0" fontId="11" fillId="14" borderId="11" pivotButton="0" quotePrefix="0" xfId="0"/>
    <xf numFmtId="0" fontId="11" fillId="14" borderId="12" pivotButton="0" quotePrefix="0" xfId="0"/>
    <xf numFmtId="0" fontId="11" fillId="14" borderId="13" pivotButton="0" quotePrefix="0" xfId="0"/>
    <xf numFmtId="0" fontId="11" fillId="14" borderId="11" applyAlignment="1" pivotButton="0" quotePrefix="0" xfId="0">
      <alignment horizontal="center"/>
    </xf>
    <xf numFmtId="0" fontId="11" fillId="14" borderId="12" applyAlignment="1" pivotButton="0" quotePrefix="0" xfId="0">
      <alignment horizontal="center"/>
    </xf>
    <xf numFmtId="0" fontId="11" fillId="14" borderId="13" applyAlignment="1" pivotButton="0" quotePrefix="0" xfId="0">
      <alignment horizontal="center"/>
    </xf>
    <xf numFmtId="0" fontId="11" fillId="14" borderId="11" applyAlignment="1" pivotButton="0" quotePrefix="0" xfId="0">
      <alignment horizontal="center" vertical="center"/>
    </xf>
    <xf numFmtId="0" fontId="11" fillId="14" borderId="12" applyAlignment="1" pivotButton="0" quotePrefix="0" xfId="0">
      <alignment horizontal="center" vertical="center"/>
    </xf>
    <xf numFmtId="0" fontId="11" fillId="14" borderId="13" applyAlignment="1" pivotButton="0" quotePrefix="0" xfId="0">
      <alignment horizontal="center" vertical="center"/>
    </xf>
    <xf numFmtId="0" fontId="18" fillId="14" borderId="12" applyAlignment="1" pivotButton="0" quotePrefix="0" xfId="0">
      <alignment horizontal="center" vertical="center"/>
    </xf>
    <xf numFmtId="0" fontId="18" fillId="14" borderId="12" applyAlignment="1" pivotButton="0" quotePrefix="0" xfId="0">
      <alignment horizontal="left" vertical="center"/>
    </xf>
    <xf numFmtId="1" fontId="11" fillId="14" borderId="12" applyAlignment="1" pivotButton="0" quotePrefix="0" xfId="0">
      <alignment horizontal="center" vertical="center"/>
    </xf>
    <xf numFmtId="0" fontId="0" fillId="15" borderId="0" pivotButton="0" quotePrefix="0" xfId="0"/>
    <xf numFmtId="0" fontId="19" fillId="15" borderId="0" pivotButton="0" quotePrefix="0" xfId="0"/>
    <xf numFmtId="0" fontId="19" fillId="15" borderId="1" pivotButton="0" quotePrefix="0" xfId="0"/>
    <xf numFmtId="0" fontId="19" fillId="15" borderId="2" pivotButton="0" quotePrefix="0" xfId="0"/>
    <xf numFmtId="0" fontId="19" fillId="15" borderId="3" pivotButton="0" quotePrefix="0" xfId="0"/>
    <xf numFmtId="0" fontId="19" fillId="15" borderId="1" applyAlignment="1" pivotButton="0" quotePrefix="0" xfId="0">
      <alignment horizontal="center"/>
    </xf>
    <xf numFmtId="0" fontId="19" fillId="15" borderId="2" applyAlignment="1" pivotButton="0" quotePrefix="0" xfId="0">
      <alignment horizontal="center"/>
    </xf>
    <xf numFmtId="0" fontId="19" fillId="15" borderId="3" applyAlignment="1" pivotButton="0" quotePrefix="0" xfId="0">
      <alignment horizontal="center"/>
    </xf>
    <xf numFmtId="0" fontId="19" fillId="15" borderId="1" applyAlignment="1" pivotButton="0" quotePrefix="0" xfId="0">
      <alignment horizontal="center" vertical="center"/>
    </xf>
    <xf numFmtId="0" fontId="19" fillId="15" borderId="2" applyAlignment="1" pivotButton="0" quotePrefix="0" xfId="0">
      <alignment horizontal="center" vertical="center"/>
    </xf>
    <xf numFmtId="0" fontId="19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20" fillId="16" borderId="0" pivotButton="0" quotePrefix="0" xfId="0"/>
    <xf numFmtId="0" fontId="20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21" fillId="17" borderId="0" pivotButton="0" quotePrefix="0" xfId="0"/>
    <xf numFmtId="0" fontId="21" fillId="17" borderId="4" pivotButton="0" quotePrefix="0" xfId="0"/>
    <xf numFmtId="0" fontId="21" fillId="17" borderId="4" applyAlignment="1" pivotButton="0" quotePrefix="0" xfId="0">
      <alignment horizontal="center"/>
    </xf>
    <xf numFmtId="0" fontId="21" fillId="17" borderId="4" applyAlignment="1" pivotButton="0" quotePrefix="0" xfId="0">
      <alignment horizontal="center" vertical="center"/>
    </xf>
    <xf numFmtId="0" fontId="0" fillId="18" borderId="0" pivotButton="0" quotePrefix="0" xfId="0"/>
    <xf numFmtId="0" fontId="22" fillId="18" borderId="0" pivotButton="0" quotePrefix="0" xfId="0"/>
    <xf numFmtId="0" fontId="22" fillId="18" borderId="14" pivotButton="0" quotePrefix="0" xfId="0"/>
    <xf numFmtId="0" fontId="22" fillId="18" borderId="14" applyAlignment="1" pivotButton="0" quotePrefix="0" xfId="0">
      <alignment horizontal="center"/>
    </xf>
    <xf numFmtId="0" fontId="22" fillId="18" borderId="14" applyAlignment="1" pivotButton="0" quotePrefix="0" xfId="0">
      <alignment horizontal="center" vertical="center"/>
    </xf>
    <xf numFmtId="0" fontId="0" fillId="19" borderId="0" pivotButton="0" quotePrefix="0" xfId="0"/>
    <xf numFmtId="0" fontId="22" fillId="19" borderId="0" pivotButton="0" quotePrefix="0" xfId="0"/>
    <xf numFmtId="0" fontId="22" fillId="19" borderId="14" pivotButton="0" quotePrefix="0" xfId="0"/>
    <xf numFmtId="0" fontId="22" fillId="19" borderId="14" applyAlignment="1" pivotButton="0" quotePrefix="0" xfId="0">
      <alignment horizontal="center"/>
    </xf>
    <xf numFmtId="0" fontId="22" fillId="19" borderId="14" applyAlignment="1" pivotButton="0" quotePrefix="0" xfId="0">
      <alignment horizontal="center" vertical="center"/>
    </xf>
    <xf numFmtId="0" fontId="0" fillId="20" borderId="0" pivotButton="0" quotePrefix="0" xfId="0"/>
    <xf numFmtId="0" fontId="22" fillId="20" borderId="0" pivotButton="0" quotePrefix="0" xfId="0"/>
    <xf numFmtId="0" fontId="22" fillId="20" borderId="14" pivotButton="0" quotePrefix="0" xfId="0"/>
    <xf numFmtId="0" fontId="22" fillId="20" borderId="14" applyAlignment="1" pivotButton="0" quotePrefix="0" xfId="0">
      <alignment horizontal="center"/>
    </xf>
    <xf numFmtId="0" fontId="22" fillId="20" borderId="14" applyAlignment="1" pivotButton="0" quotePrefix="0" xfId="0">
      <alignment horizontal="center" vertical="center"/>
    </xf>
    <xf numFmtId="0" fontId="0" fillId="21" borderId="0" pivotButton="0" quotePrefix="0" xfId="0"/>
    <xf numFmtId="0" fontId="22" fillId="21" borderId="0" pivotButton="0" quotePrefix="0" xfId="0"/>
    <xf numFmtId="0" fontId="22" fillId="21" borderId="14" pivotButton="0" quotePrefix="0" xfId="0"/>
    <xf numFmtId="0" fontId="22" fillId="21" borderId="14" applyAlignment="1" pivotButton="0" quotePrefix="0" xfId="0">
      <alignment horizontal="center"/>
    </xf>
    <xf numFmtId="0" fontId="22" fillId="21" borderId="14" applyAlignment="1" pivotButton="0" quotePrefix="0" xfId="0">
      <alignment horizontal="center" vertical="center"/>
    </xf>
    <xf numFmtId="0" fontId="0" fillId="22" borderId="0" pivotButton="0" quotePrefix="0" xfId="0"/>
    <xf numFmtId="0" fontId="22" fillId="22" borderId="0" pivotButton="0" quotePrefix="0" xfId="0"/>
    <xf numFmtId="0" fontId="22" fillId="22" borderId="14" pivotButton="0" quotePrefix="0" xfId="0"/>
    <xf numFmtId="0" fontId="22" fillId="22" borderId="14" applyAlignment="1" pivotButton="0" quotePrefix="0" xfId="0">
      <alignment horizontal="center"/>
    </xf>
    <xf numFmtId="0" fontId="22" fillId="22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center"/>
    </xf>
    <xf numFmtId="0" fontId="22" fillId="19" borderId="14" applyAlignment="1" pivotButton="0" quotePrefix="0" xfId="0">
      <alignment horizontal="left" vertical="center"/>
    </xf>
    <xf numFmtId="0" fontId="22" fillId="20" borderId="14" applyAlignment="1" pivotButton="0" quotePrefix="0" xfId="0">
      <alignment horizontal="left" vertical="center"/>
    </xf>
    <xf numFmtId="0" fontId="22" fillId="21" borderId="14" applyAlignment="1" pivotButton="0" quotePrefix="0" xfId="0">
      <alignment horizontal="left" vertical="center"/>
    </xf>
    <xf numFmtId="0" fontId="22" fillId="22" borderId="14" applyAlignment="1" pivotButton="0" quotePrefix="0" xfId="0">
      <alignment horizontal="left" vertical="center"/>
    </xf>
    <xf numFmtId="0" fontId="23" fillId="18" borderId="0" pivotButton="0" quotePrefix="0" xfId="0"/>
    <xf numFmtId="0" fontId="23" fillId="18" borderId="15" pivotButton="0" quotePrefix="0" xfId="0"/>
    <xf numFmtId="0" fontId="23" fillId="18" borderId="16" pivotButton="0" quotePrefix="0" xfId="0"/>
    <xf numFmtId="0" fontId="23" fillId="18" borderId="17" pivotButton="0" quotePrefix="0" xfId="0"/>
    <xf numFmtId="0" fontId="23" fillId="18" borderId="15" applyAlignment="1" pivotButton="0" quotePrefix="0" xfId="0">
      <alignment horizontal="center"/>
    </xf>
    <xf numFmtId="0" fontId="23" fillId="18" borderId="16" applyAlignment="1" pivotButton="0" quotePrefix="0" xfId="0">
      <alignment horizontal="center"/>
    </xf>
    <xf numFmtId="0" fontId="23" fillId="18" borderId="17" applyAlignment="1" pivotButton="0" quotePrefix="0" xfId="0">
      <alignment horizontal="center"/>
    </xf>
    <xf numFmtId="0" fontId="23" fillId="18" borderId="15" applyAlignment="1" pivotButton="0" quotePrefix="0" xfId="0">
      <alignment horizontal="center" vertical="center"/>
    </xf>
    <xf numFmtId="0" fontId="23" fillId="18" borderId="16" applyAlignment="1" pivotButton="0" quotePrefix="0" xfId="0">
      <alignment horizontal="center" vertical="center"/>
    </xf>
    <xf numFmtId="0" fontId="23" fillId="18" borderId="17" applyAlignment="1" pivotButton="0" quotePrefix="0" xfId="0">
      <alignment horizontal="center" vertical="center"/>
    </xf>
    <xf numFmtId="1" fontId="22" fillId="18" borderId="14" applyAlignment="1" pivotButton="0" quotePrefix="0" xfId="0">
      <alignment horizontal="center" vertical="center"/>
    </xf>
    <xf numFmtId="1" fontId="22" fillId="19" borderId="14" applyAlignment="1" pivotButton="0" quotePrefix="0" xfId="0">
      <alignment horizontal="center" vertical="center"/>
    </xf>
    <xf numFmtId="1" fontId="22" fillId="20" borderId="14" applyAlignment="1" pivotButton="0" quotePrefix="0" xfId="0">
      <alignment horizontal="center" vertical="center"/>
    </xf>
    <xf numFmtId="1" fontId="22" fillId="21" borderId="14" applyAlignment="1" pivotButton="0" quotePrefix="0" xfId="0">
      <alignment horizontal="center" vertical="center"/>
    </xf>
    <xf numFmtId="1" fontId="22" fillId="22" borderId="14" applyAlignment="1" pivotButton="0" quotePrefix="0" xfId="0">
      <alignment horizontal="center" vertical="center"/>
    </xf>
    <xf numFmtId="0" fontId="0" fillId="23" borderId="0" pivotButton="0" quotePrefix="0" xfId="0"/>
    <xf numFmtId="0" fontId="24" fillId="23" borderId="0" pivotButton="0" quotePrefix="0" xfId="0"/>
    <xf numFmtId="0" fontId="24" fillId="23" borderId="0" applyAlignment="1" pivotButton="0" quotePrefix="0" xfId="0">
      <alignment wrapText="1"/>
    </xf>
    <xf numFmtId="0" fontId="24" fillId="23" borderId="0" applyAlignment="1" pivotButton="0" quotePrefix="0" xfId="0">
      <alignment horizontal="center" wrapText="1"/>
    </xf>
    <xf numFmtId="0" fontId="24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25" fillId="24" borderId="0" pivotButton="0" quotePrefix="0" xfId="0"/>
    <xf numFmtId="0" fontId="25" fillId="24" borderId="18" pivotButton="0" quotePrefix="0" xfId="0"/>
    <xf numFmtId="0" fontId="25" fillId="24" borderId="19" pivotButton="0" quotePrefix="0" xfId="0"/>
    <xf numFmtId="0" fontId="25" fillId="24" borderId="20" pivotButton="0" quotePrefix="0" xfId="0"/>
    <xf numFmtId="0" fontId="25" fillId="24" borderId="21" pivotButton="0" quotePrefix="0" xfId="0"/>
    <xf numFmtId="0" fontId="25" fillId="24" borderId="22" pivotButton="0" quotePrefix="0" xfId="0"/>
    <xf numFmtId="0" fontId="25" fillId="24" borderId="23" pivotButton="0" quotePrefix="0" xfId="0"/>
    <xf numFmtId="0" fontId="25" fillId="24" borderId="24" pivotButton="0" quotePrefix="0" xfId="0"/>
    <xf numFmtId="0" fontId="25" fillId="24" borderId="25" pivotButton="0" quotePrefix="0" xfId="0"/>
    <xf numFmtId="0" fontId="25" fillId="24" borderId="26" pivotButton="0" quotePrefix="0" xfId="0"/>
    <xf numFmtId="0" fontId="25" fillId="24" borderId="18" applyAlignment="1" pivotButton="0" quotePrefix="0" xfId="0">
      <alignment horizontal="center"/>
    </xf>
    <xf numFmtId="0" fontId="25" fillId="24" borderId="19" applyAlignment="1" pivotButton="0" quotePrefix="0" xfId="0">
      <alignment horizontal="center"/>
    </xf>
    <xf numFmtId="0" fontId="25" fillId="24" borderId="20" applyAlignment="1" pivotButton="0" quotePrefix="0" xfId="0">
      <alignment horizontal="center"/>
    </xf>
    <xf numFmtId="0" fontId="25" fillId="24" borderId="21" applyAlignment="1" pivotButton="0" quotePrefix="0" xfId="0">
      <alignment horizontal="center"/>
    </xf>
    <xf numFmtId="0" fontId="25" fillId="24" borderId="22" applyAlignment="1" pivotButton="0" quotePrefix="0" xfId="0">
      <alignment horizontal="center"/>
    </xf>
    <xf numFmtId="0" fontId="25" fillId="24" borderId="23" applyAlignment="1" pivotButton="0" quotePrefix="0" xfId="0">
      <alignment horizontal="center"/>
    </xf>
    <xf numFmtId="0" fontId="25" fillId="24" borderId="24" applyAlignment="1" pivotButton="0" quotePrefix="0" xfId="0">
      <alignment horizontal="center"/>
    </xf>
    <xf numFmtId="0" fontId="25" fillId="24" borderId="25" applyAlignment="1" pivotButton="0" quotePrefix="0" xfId="0">
      <alignment horizontal="center"/>
    </xf>
    <xf numFmtId="0" fontId="25" fillId="24" borderId="26" applyAlignment="1" pivotButton="0" quotePrefix="0" xfId="0">
      <alignment horizontal="center"/>
    </xf>
    <xf numFmtId="0" fontId="25" fillId="24" borderId="18" applyAlignment="1" pivotButton="0" quotePrefix="0" xfId="0">
      <alignment horizontal="center" vertical="center"/>
    </xf>
    <xf numFmtId="0" fontId="25" fillId="24" borderId="19" applyAlignment="1" pivotButton="0" quotePrefix="0" xfId="0">
      <alignment horizontal="center" vertical="center"/>
    </xf>
    <xf numFmtId="0" fontId="25" fillId="24" borderId="20" applyAlignment="1" pivotButton="0" quotePrefix="0" xfId="0">
      <alignment horizontal="center" vertical="center"/>
    </xf>
    <xf numFmtId="0" fontId="25" fillId="24" borderId="21" applyAlignment="1" pivotButton="0" quotePrefix="0" xfId="0">
      <alignment horizontal="center" vertical="center"/>
    </xf>
    <xf numFmtId="0" fontId="25" fillId="24" borderId="22" applyAlignment="1" pivotButton="0" quotePrefix="0" xfId="0">
      <alignment horizontal="center" vertical="center"/>
    </xf>
    <xf numFmtId="0" fontId="25" fillId="24" borderId="23" applyAlignment="1" pivotButton="0" quotePrefix="0" xfId="0">
      <alignment horizontal="center" vertical="center"/>
    </xf>
    <xf numFmtId="0" fontId="25" fillId="24" borderId="24" applyAlignment="1" pivotButton="0" quotePrefix="0" xfId="0">
      <alignment horizontal="center" vertical="center"/>
    </xf>
    <xf numFmtId="0" fontId="25" fillId="24" borderId="25" applyAlignment="1" pivotButton="0" quotePrefix="0" xfId="0">
      <alignment horizontal="center" vertical="center"/>
    </xf>
    <xf numFmtId="0" fontId="25" fillId="24" borderId="26" applyAlignment="1" pivotButton="0" quotePrefix="0" xfId="0">
      <alignment horizontal="center" vertical="center"/>
    </xf>
    <xf numFmtId="1" fontId="0" fillId="0" borderId="0" pivotButton="0" quotePrefix="0" xfId="0"/>
    <xf numFmtId="1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25" borderId="0" pivotButton="0" quotePrefix="0" xfId="0"/>
    <xf numFmtId="0" fontId="24" fillId="25" borderId="0" pivotButton="0" quotePrefix="0" xfId="0"/>
    <xf numFmtId="0" fontId="24" fillId="25" borderId="0" applyAlignment="1" pivotButton="0" quotePrefix="0" xfId="0">
      <alignment wrapText="1"/>
    </xf>
    <xf numFmtId="0" fontId="24" fillId="25" borderId="0" applyAlignment="1" pivotButton="0" quotePrefix="0" xfId="0">
      <alignment horizontal="center" wrapText="1"/>
    </xf>
    <xf numFmtId="0" fontId="24" fillId="25" borderId="0" applyAlignment="1" pivotButton="0" quotePrefix="0" xfId="0">
      <alignment horizontal="center" vertical="center" wrapText="1"/>
    </xf>
    <xf numFmtId="0" fontId="10" fillId="23" borderId="14" pivotButton="0" quotePrefix="0" xfId="0"/>
    <xf numFmtId="0" fontId="12" fillId="23" borderId="0" applyAlignment="1" pivotButton="0" quotePrefix="0" xfId="0">
      <alignment wrapText="1"/>
    </xf>
    <xf numFmtId="0" fontId="13" fillId="23" borderId="0" applyAlignment="1" pivotButton="0" quotePrefix="0" xfId="0">
      <alignment wrapText="1"/>
    </xf>
    <xf numFmtId="0" fontId="24" fillId="23" borderId="14" pivotButton="0" quotePrefix="0" xfId="0"/>
    <xf numFmtId="0" fontId="24" fillId="23" borderId="14" applyAlignment="1" pivotButton="0" quotePrefix="0" xfId="0">
      <alignment vertical="center"/>
    </xf>
    <xf numFmtId="0" fontId="24" fillId="23" borderId="0" applyAlignment="1" pivotButton="0" quotePrefix="0" xfId="0">
      <alignment vertical="center"/>
    </xf>
    <xf numFmtId="0" fontId="24" fillId="23" borderId="0" applyAlignment="1" pivotButton="0" quotePrefix="0" xfId="0">
      <alignment vertical="center" wrapText="1"/>
    </xf>
    <xf numFmtId="0" fontId="11" fillId="24" borderId="14" pivotButton="0" quotePrefix="0" xfId="0"/>
    <xf numFmtId="0" fontId="12" fillId="24" borderId="0" applyAlignment="1" pivotButton="0" quotePrefix="0" xfId="0">
      <alignment wrapText="1"/>
    </xf>
    <xf numFmtId="0" fontId="13" fillId="24" borderId="0" applyAlignment="1" pivotButton="0" quotePrefix="0" xfId="0">
      <alignment wrapText="1"/>
    </xf>
    <xf numFmtId="0" fontId="25" fillId="24" borderId="14" pivotButton="0" quotePrefix="0" xfId="0"/>
    <xf numFmtId="0" fontId="25" fillId="24" borderId="0" applyAlignment="1" pivotButton="0" quotePrefix="0" xfId="0">
      <alignment wrapText="1"/>
    </xf>
    <xf numFmtId="0" fontId="25" fillId="24" borderId="14" applyAlignment="1" pivotButton="0" quotePrefix="0" xfId="0">
      <alignment wrapText="1"/>
    </xf>
    <xf numFmtId="0" fontId="25" fillId="24" borderId="14" applyAlignment="1" pivotButton="0" quotePrefix="0" xfId="0">
      <alignment vertical="center" wrapText="1"/>
    </xf>
    <xf numFmtId="0" fontId="25" fillId="24" borderId="0" applyAlignment="1" pivotButton="0" quotePrefix="0" xfId="0">
      <alignment vertical="center" wrapText="1"/>
    </xf>
    <xf numFmtId="0" fontId="24" fillId="23" borderId="27" applyAlignment="1" pivotButton="0" quotePrefix="0" xfId="0">
      <alignment vertical="center"/>
    </xf>
    <xf numFmtId="0" fontId="25" fillId="24" borderId="28" applyAlignment="1" pivotButton="0" quotePrefix="0" xfId="0">
      <alignment vertical="center" wrapText="1"/>
    </xf>
    <xf numFmtId="0" fontId="24" fillId="23" borderId="29" applyAlignment="1" pivotButton="0" quotePrefix="0" xfId="0">
      <alignment vertical="center"/>
    </xf>
    <xf numFmtId="0" fontId="25" fillId="24" borderId="30" applyAlignment="1" pivotButton="0" quotePrefix="0" xfId="0">
      <alignment vertical="center" wrapText="1"/>
    </xf>
    <xf numFmtId="0" fontId="24" fillId="23" borderId="29" applyAlignment="1" pivotButton="0" quotePrefix="0" xfId="0">
      <alignment vertical="center" wrapText="1"/>
    </xf>
    <xf numFmtId="0" fontId="24" fillId="23" borderId="31" applyAlignment="1" pivotButton="0" quotePrefix="0" xfId="0">
      <alignment vertical="center" wrapText="1"/>
    </xf>
    <xf numFmtId="0" fontId="25" fillId="24" borderId="32" applyAlignment="1" pivotButton="0" quotePrefix="0" xfId="0">
      <alignment vertical="center" wrapText="1"/>
    </xf>
    <xf numFmtId="0" fontId="9" fillId="26" borderId="0" applyAlignment="1" pivotButton="0" quotePrefix="0" xfId="0">
      <alignment horizontal="center" vertical="center"/>
    </xf>
    <xf numFmtId="0" fontId="26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vertical="center" wrapText="1"/>
    </xf>
    <xf numFmtId="0" fontId="0" fillId="28" borderId="0" applyAlignment="1" pivotButton="0" quotePrefix="0" xfId="0">
      <alignment vertical="center" wrapText="1"/>
    </xf>
    <xf numFmtId="0" fontId="0" fillId="29" borderId="0" applyAlignment="1" pivotButton="0" quotePrefix="0" xfId="0">
      <alignment vertical="center" wrapText="1"/>
    </xf>
    <xf numFmtId="0" fontId="27" fillId="0" borderId="0" pivotButton="0" quotePrefix="0" xfId="0"/>
    <xf numFmtId="0" fontId="27" fillId="0" borderId="33" pivotButton="0" quotePrefix="0" xfId="0"/>
    <xf numFmtId="0" fontId="27" fillId="0" borderId="34" pivotButton="0" quotePrefix="0" xfId="0"/>
    <xf numFmtId="0" fontId="27" fillId="0" borderId="35" pivotButton="0" quotePrefix="0" xfId="0"/>
    <xf numFmtId="0" fontId="27" fillId="0" borderId="36" pivotButton="0" quotePrefix="0" xfId="0"/>
    <xf numFmtId="0" fontId="27" fillId="0" borderId="37" pivotButton="0" quotePrefix="0" xfId="0"/>
    <xf numFmtId="0" fontId="27" fillId="0" borderId="38" pivotButton="0" quotePrefix="0" xfId="0"/>
    <xf numFmtId="0" fontId="27" fillId="0" borderId="39" pivotButton="0" quotePrefix="0" xfId="0"/>
    <xf numFmtId="0" fontId="27" fillId="0" borderId="40" pivotButton="0" quotePrefix="0" xfId="0"/>
    <xf numFmtId="0" fontId="27" fillId="0" borderId="41" pivotButton="0" quotePrefix="0" xfId="0"/>
    <xf numFmtId="0" fontId="27" fillId="0" borderId="33" applyAlignment="1" pivotButton="0" quotePrefix="0" xfId="0">
      <alignment wrapText="1"/>
    </xf>
    <xf numFmtId="0" fontId="27" fillId="0" borderId="34" applyAlignment="1" pivotButton="0" quotePrefix="0" xfId="0">
      <alignment wrapText="1"/>
    </xf>
    <xf numFmtId="0" fontId="27" fillId="0" borderId="35" applyAlignment="1" pivotButton="0" quotePrefix="0" xfId="0">
      <alignment wrapText="1"/>
    </xf>
    <xf numFmtId="0" fontId="27" fillId="0" borderId="36" applyAlignment="1" pivotButton="0" quotePrefix="0" xfId="0">
      <alignment wrapText="1"/>
    </xf>
    <xf numFmtId="0" fontId="27" fillId="0" borderId="37" applyAlignment="1" pivotButton="0" quotePrefix="0" xfId="0">
      <alignment wrapText="1"/>
    </xf>
    <xf numFmtId="0" fontId="27" fillId="0" borderId="38" applyAlignment="1" pivotButton="0" quotePrefix="0" xfId="0">
      <alignment wrapText="1"/>
    </xf>
    <xf numFmtId="0" fontId="27" fillId="0" borderId="39" applyAlignment="1" pivotButton="0" quotePrefix="0" xfId="0">
      <alignment wrapText="1"/>
    </xf>
    <xf numFmtId="0" fontId="27" fillId="0" borderId="40" applyAlignment="1" pivotButton="0" quotePrefix="0" xfId="0">
      <alignment wrapText="1"/>
    </xf>
    <xf numFmtId="0" fontId="27" fillId="0" borderId="41" applyAlignment="1" pivotButton="0" quotePrefix="0" xfId="0">
      <alignment wrapText="1"/>
    </xf>
    <xf numFmtId="0" fontId="27" fillId="0" borderId="33" applyAlignment="1" pivotButton="0" quotePrefix="0" xfId="0">
      <alignment vertical="center" wrapText="1"/>
    </xf>
    <xf numFmtId="0" fontId="27" fillId="0" borderId="34" applyAlignment="1" pivotButton="0" quotePrefix="0" xfId="0">
      <alignment vertical="center" wrapText="1"/>
    </xf>
    <xf numFmtId="0" fontId="27" fillId="0" borderId="35" applyAlignment="1" pivotButton="0" quotePrefix="0" xfId="0">
      <alignment vertical="center" wrapText="1"/>
    </xf>
    <xf numFmtId="0" fontId="27" fillId="0" borderId="36" applyAlignment="1" pivotButton="0" quotePrefix="0" xfId="0">
      <alignment vertical="center" wrapText="1"/>
    </xf>
    <xf numFmtId="0" fontId="27" fillId="0" borderId="37" applyAlignment="1" pivotButton="0" quotePrefix="0" xfId="0">
      <alignment vertical="center" wrapText="1"/>
    </xf>
    <xf numFmtId="0" fontId="27" fillId="0" borderId="38" applyAlignment="1" pivotButton="0" quotePrefix="0" xfId="0">
      <alignment vertical="center" wrapText="1"/>
    </xf>
    <xf numFmtId="0" fontId="27" fillId="0" borderId="39" applyAlignment="1" pivotButton="0" quotePrefix="0" xfId="0">
      <alignment vertical="center" wrapText="1"/>
    </xf>
    <xf numFmtId="0" fontId="27" fillId="0" borderId="40" applyAlignment="1" pivotButton="0" quotePrefix="0" xfId="0">
      <alignment vertical="center" wrapText="1"/>
    </xf>
    <xf numFmtId="0" fontId="27" fillId="0" borderId="41" applyAlignment="1" pivotButton="0" quotePrefix="0" xfId="0">
      <alignment vertical="center" wrapText="1"/>
    </xf>
    <xf numFmtId="0" fontId="27" fillId="30" borderId="33" applyAlignment="1" pivotButton="0" quotePrefix="0" xfId="0">
      <alignment vertical="center" wrapText="1"/>
    </xf>
    <xf numFmtId="0" fontId="27" fillId="30" borderId="36" applyAlignment="1" pivotButton="0" quotePrefix="0" xfId="0">
      <alignment vertical="center" wrapText="1"/>
    </xf>
    <xf numFmtId="0" fontId="27" fillId="30" borderId="39" applyAlignment="1" pivotButton="0" quotePrefix="0" xfId="0">
      <alignment vertical="center" wrapText="1"/>
    </xf>
    <xf numFmtId="0" fontId="28" fillId="30" borderId="33" applyAlignment="1" pivotButton="0" quotePrefix="0" xfId="0">
      <alignment vertical="center" wrapText="1"/>
    </xf>
    <xf numFmtId="0" fontId="28" fillId="30" borderId="36" applyAlignment="1" pivotButton="0" quotePrefix="0" xfId="0">
      <alignment vertical="center" wrapText="1"/>
    </xf>
    <xf numFmtId="0" fontId="28" fillId="30" borderId="39" applyAlignment="1" pivotButton="0" quotePrefix="0" xfId="0">
      <alignment vertical="center" wrapText="1"/>
    </xf>
    <xf numFmtId="0" fontId="0" fillId="31" borderId="0" pivotButton="0" quotePrefix="0" xfId="0"/>
    <xf numFmtId="0" fontId="29" fillId="31" borderId="0" pivotButton="0" quotePrefix="0" xfId="0"/>
    <xf numFmtId="0" fontId="29" fillId="31" borderId="0" applyAlignment="1" pivotButton="0" quotePrefix="0" xfId="0">
      <alignment vertical="center"/>
    </xf>
    <xf numFmtId="0" fontId="0" fillId="32" borderId="0" pivotButton="0" quotePrefix="0" xfId="0"/>
    <xf numFmtId="0" fontId="30" fillId="32" borderId="0" pivotButton="0" quotePrefix="0" xfId="0"/>
    <xf numFmtId="0" fontId="30" fillId="32" borderId="0" applyAlignment="1" pivotButton="0" quotePrefix="0" xfId="0">
      <alignment wrapText="1"/>
    </xf>
    <xf numFmtId="0" fontId="30" fillId="32" borderId="0" applyAlignment="1" pivotButton="0" quotePrefix="0" xfId="0">
      <alignment vertical="center" wrapText="1"/>
    </xf>
    <xf numFmtId="0" fontId="0" fillId="30" borderId="0" pivotButton="0" quotePrefix="0" xfId="0"/>
    <xf numFmtId="0" fontId="28" fillId="30" borderId="0" pivotButton="0" quotePrefix="0" xfId="0"/>
    <xf numFmtId="0" fontId="28" fillId="30" borderId="42" pivotButton="0" quotePrefix="0" xfId="0"/>
    <xf numFmtId="0" fontId="28" fillId="30" borderId="42" applyAlignment="1" pivotButton="0" quotePrefix="0" xfId="0">
      <alignment wrapText="1"/>
    </xf>
    <xf numFmtId="0" fontId="28" fillId="30" borderId="42" applyAlignment="1" pivotButton="0" quotePrefix="0" xfId="0">
      <alignment horizontal="center" wrapText="1"/>
    </xf>
    <xf numFmtId="0" fontId="28" fillId="30" borderId="42" applyAlignment="1" pivotButton="0" quotePrefix="0" xfId="0">
      <alignment horizontal="center" vertical="center" wrapText="1"/>
    </xf>
    <xf numFmtId="0" fontId="1" fillId="2" borderId="4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" fontId="5" fillId="6" borderId="6" applyAlignment="1" pivotButton="0" quotePrefix="0" xfId="0">
      <alignment horizontal="center" vertical="center"/>
    </xf>
    <xf numFmtId="1" fontId="5" fillId="6" borderId="9" applyAlignment="1" pivotButton="0" quotePrefix="0" xfId="0">
      <alignment horizontal="center" vertical="center"/>
    </xf>
    <xf numFmtId="1" fontId="5" fillId="7" borderId="9" applyAlignment="1" pivotButton="0" quotePrefix="0" xfId="0">
      <alignment horizontal="center" vertical="center"/>
    </xf>
    <xf numFmtId="1" fontId="5" fillId="8" borderId="9" applyAlignment="1" pivotButton="0" quotePrefix="0" xfId="0">
      <alignment horizontal="center" vertical="center"/>
    </xf>
    <xf numFmtId="1" fontId="5" fillId="8" borderId="12" applyAlignment="1" pivotButton="0" quotePrefix="0" xfId="0">
      <alignment horizontal="center" vertical="center"/>
    </xf>
    <xf numFmtId="1" fontId="11" fillId="10" borderId="6" applyAlignment="1" pivotButton="0" quotePrefix="0" xfId="0">
      <alignment horizontal="center" vertical="center"/>
    </xf>
    <xf numFmtId="1" fontId="11" fillId="11" borderId="9" applyAlignment="1" pivotButton="0" quotePrefix="0" xfId="0">
      <alignment horizontal="center" vertical="center"/>
    </xf>
    <xf numFmtId="1" fontId="11" fillId="12" borderId="9" applyAlignment="1" pivotButton="0" quotePrefix="0" xfId="0">
      <alignment horizontal="center" vertical="center"/>
    </xf>
    <xf numFmtId="1" fontId="11" fillId="13" borderId="9" applyAlignment="1" pivotButton="0" quotePrefix="0" xfId="0">
      <alignment horizontal="center" vertical="center"/>
    </xf>
    <xf numFmtId="1" fontId="11" fillId="14" borderId="1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21" pivotButton="0" quotePrefix="0" xfId="0"/>
    <xf numFmtId="0" fontId="0" fillId="0" borderId="48" pivotButton="0" quotePrefix="0" xfId="0"/>
    <xf numFmtId="0" fontId="0" fillId="0" borderId="49" pivotButton="0" quotePrefix="0" xfId="0"/>
    <xf numFmtId="0" fontId="19" fillId="15" borderId="43" applyAlignment="1" pivotButton="0" quotePrefix="0" xfId="0">
      <alignment horizontal="center" vertical="center"/>
    </xf>
    <xf numFmtId="1" fontId="22" fillId="18" borderId="14" applyAlignment="1" pivotButton="0" quotePrefix="0" xfId="0">
      <alignment horizontal="center" vertical="center"/>
    </xf>
    <xf numFmtId="1" fontId="22" fillId="19" borderId="14" applyAlignment="1" pivotButton="0" quotePrefix="0" xfId="0">
      <alignment horizontal="center" vertical="center"/>
    </xf>
    <xf numFmtId="1" fontId="22" fillId="20" borderId="14" applyAlignment="1" pivotButton="0" quotePrefix="0" xfId="0">
      <alignment horizontal="center" vertical="center"/>
    </xf>
    <xf numFmtId="1" fontId="22" fillId="21" borderId="14" applyAlignment="1" pivotButton="0" quotePrefix="0" xfId="0">
      <alignment horizontal="center" vertical="center"/>
    </xf>
    <xf numFmtId="1" fontId="22" fillId="22" borderId="14" applyAlignment="1" pivotButton="0" quotePrefix="0" xfId="0">
      <alignment horizontal="center" vertical="center"/>
    </xf>
    <xf numFmtId="0" fontId="23" fillId="18" borderId="1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left"/>
    </xf>
  </cellXfs>
  <cellStyles count="1">
    <cellStyle name="Normal" xfId="0"/>
  </cellStyles>
  <dxfs count="3">
    <dxf>
      <font>
        <b val="1"/>
        <color rgb="FF991B1B"/>
      </font>
      <fill>
        <patternFill>
          <bgColor rgb="FFFECACA"/>
        </patternFill>
      </fill>
    </dxf>
    <dxf>
      <font>
        <b val="1"/>
        <color rgb="FF991B1B"/>
      </font>
      <fill>
        <patternFill>
          <bgColor rgb="FFFECACA"/>
        </patternFill>
      </fill>
    </dxf>
    <dxf>
      <font>
        <color rgb="FF166534"/>
      </font>
      <fill>
        <patternFill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EquipmentSetCodes" displayName="EquipmentSetCodes" ref="A4:N39" headerRowCount="1" totalsRowCount="0" totalsRowShown="0">
  <tableColumns count="14">
    <tableColumn id="1" name="套装序号"/>
    <tableColumn id="2" name="系列"/>
    <tableColumn id="3" name="层级"/>
    <tableColumn id="4" name="套装名称"/>
    <tableColumn id="5" name="勋章"/>
    <tableColumn id="6" name="项链"/>
    <tableColumn id="7" name="头盔"/>
    <tableColumn id="8" name="手镯"/>
    <tableColumn id="9" name="戒指"/>
    <tableColumn id="10" name="盾牌"/>
    <tableColumn id="11" name="灵玉"/>
    <tableColumn id="12" name="鞋子"/>
    <tableColumn id="13" name="腰带"/>
    <tableColumn id="14" name="代码范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NewResourceGroups" displayName="NewResourceGroups" ref="A1:AQ21" headerRowCount="1" totalsRowCount="0" totalsRowShown="0">
  <tableColumns count="43">
    <tableColumn id="1" name="套装序号"/>
    <tableColumn id="2" name="系列"/>
    <tableColumn id="3" name="套装名称"/>
    <tableColumn id="4" name="层级"/>
    <tableColumn id="5" name="武器"/>
    <tableColumn id="6" name="男衣服"/>
    <tableColumn id="7" name="女衣服"/>
    <tableColumn id="8" name="头盔"/>
    <tableColumn id="9" name="面巾"/>
    <tableColumn id="10" name="项链"/>
    <tableColumn id="11" name="手镯"/>
    <tableColumn id="12" name="戒指"/>
    <tableColumn id="13" name="勋章"/>
    <tableColumn id="14" name="盾牌"/>
    <tableColumn id="15" name="灵玉"/>
    <tableColumn id="16" name="鞋子"/>
    <tableColumn id="17" name="腰带"/>
    <tableColumn id="18" name="护身符"/>
    <tableColumn id="19" name="宝石"/>
    <tableColumn id="20" name="军鼓"/>
    <tableColumn id="21" name="马牌"/>
    <tableColumn id="22" name="首饰盒1"/>
    <tableColumn id="23" name="首饰盒2"/>
    <tableColumn id="24" name="首饰盒3"/>
    <tableColumn id="25" name="首饰盒4"/>
    <tableColumn id="26" name="首饰盒5"/>
    <tableColumn id="27" name="首饰盒6"/>
    <tableColumn id="28" name="生肖1"/>
    <tableColumn id="29" name="生肖2"/>
    <tableColumn id="30" name="生肖3"/>
    <tableColumn id="31" name="生肖4"/>
    <tableColumn id="32" name="生肖5"/>
    <tableColumn id="33" name="生肖6"/>
    <tableColumn id="34" name="生肖7"/>
    <tableColumn id="35" name="生肖8"/>
    <tableColumn id="36" name="生肖9"/>
    <tableColumn id="37" name="生肖10"/>
    <tableColumn id="38" name="生肖11"/>
    <tableColumn id="39" name="生肖12"/>
    <tableColumn id="40" name="武器Shape"/>
    <tableColumn id="41" name="男衣Shape"/>
    <tableColumn id="42" name="女衣Shape"/>
    <tableColumn id="43" name="代码范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llEquipmentResources" displayName="AllEquipmentResources" ref="A1:V1076" headerRowCount="1" totalsRowCount="0" totalsRowShown="0">
  <tableColumns count="22">
    <tableColumn id="1" name="序号"/>
    <tableColumn id="2" name="来源编号"/>
    <tableColumn id="3" name="资源组"/>
    <tableColumn id="4" name="系列"/>
    <tableColumn id="5" name="层级"/>
    <tableColumn id="6" name="部位"/>
    <tableColumn id="7" name="StdMode"/>
    <tableColumn id="8" name="位置"/>
    <tableColumn id="9" name="Looks"/>
    <tableColumn id="10" name="Shape"/>
    <tableColumn id="11" name="OverLap"/>
    <tableColumn id="12" name="Expand1"/>
    <tableColumn id="13" name="Items"/>
    <tableColumn id="14" name="StateItem"/>
    <tableColumn id="15" name="DnItems"/>
    <tableColumn id="16" name="动作图库"/>
    <tableColumn id="17" name="源状态"/>
    <tableColumn id="18" name="已知占用"/>
    <tableColumn id="19" name="来源文件"/>
    <tableColumn id="20" name="备注"/>
    <tableColumn id="21" name="编码重复检查"/>
    <tableColumn id="22" name="三库同码检查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EquipmentC3C10Assignments" displayName="EquipmentC3C10Assignments" ref="A4:L468" headerRowCount="1" totalsRowCount="0" totalsRowShown="0">
  <tableColumns count="12">
    <tableColumn id="1" name="记录ID"/>
    <tableColumn id="2" name="大陆ID"/>
    <tableColumn id="3" name="大陆"/>
    <tableColumn id="4" name="地图号"/>
    <tableColumn id="5" name="怪物名称"/>
    <tableColumn id="6" name="类别"/>
    <tableColumn id="7" name="专属名称"/>
    <tableColumn id="8" name="概念部位"/>
    <tableColumn id="9" name="资源库部位"/>
    <tableColumn id="10" name="装备来源编号"/>
    <tableColumn id="11" name="分配状态"/>
    <tableColumn id="12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quipmentC3C10Gaps" displayName="EquipmentC3C10Gaps" ref="A4:H15" headerRowCount="1" totalsRowCount="0" totalsRowShown="0">
  <tableColumns count="8">
    <tableColumn id="1" name="概念部位"/>
    <tableColumn id="2" name="资源库部位"/>
    <tableColumn id="3" name="需求件数"/>
    <tableColumn id="4" name="账面可用"/>
    <tableColumn id="5" name="已分配"/>
    <tableColumn id="6" name="待分配件数"/>
    <tableColumn id="7" name="需补来源码"/>
    <tableColumn id="8" name="处理状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4" max="14"/>
  </cols>
  <sheetData>
    <row r="1" ht="30" customHeight="1">
      <c r="A1" s="372" t="inlineStr">
        <is>
          <t>玄渊三十五套九部位装备素材代码表（生肖另表）</t>
        </is>
      </c>
      <c r="B1" s="373" t="n"/>
      <c r="C1" s="373" t="n"/>
      <c r="D1" s="373" t="n"/>
      <c r="E1" s="373" t="n"/>
      <c r="F1" s="373" t="n"/>
      <c r="G1" s="373" t="n"/>
      <c r="H1" s="373" t="n"/>
      <c r="I1" s="373" t="n"/>
      <c r="J1" s="373" t="n"/>
      <c r="K1" s="373" t="n"/>
      <c r="L1" s="373" t="n"/>
      <c r="M1" s="373" t="n"/>
      <c r="N1" s="374" t="n"/>
    </row>
    <row r="2" ht="20" customHeight="1">
      <c r="A2" s="15" t="inlineStr">
        <is>
          <t>九部位35套 / 315件 / 代码5867-6136、6201-6245；生肖5套 / 60件 / 代码6246-6305</t>
        </is>
      </c>
    </row>
    <row r="3" ht="20" customHeight="1">
      <c r="A3" s="19" t="inlineStr">
        <is>
          <t>同一代码同时用于 Items、StateItem、DnItems；装备表来源编号全局一对一，禁止重复使用。</t>
        </is>
      </c>
    </row>
    <row r="4" ht="24" customHeight="1">
      <c r="A4" s="24" t="inlineStr">
        <is>
          <t>套装序号</t>
        </is>
      </c>
      <c r="B4" s="24" t="inlineStr">
        <is>
          <t>系列</t>
        </is>
      </c>
      <c r="C4" s="24" t="inlineStr">
        <is>
          <t>层级</t>
        </is>
      </c>
      <c r="D4" s="24" t="inlineStr">
        <is>
          <t>套装名称</t>
        </is>
      </c>
      <c r="E4" s="24" t="inlineStr">
        <is>
          <t>勋章</t>
        </is>
      </c>
      <c r="F4" s="24" t="inlineStr">
        <is>
          <t>项链</t>
        </is>
      </c>
      <c r="G4" s="24" t="inlineStr">
        <is>
          <t>头盔</t>
        </is>
      </c>
      <c r="H4" s="24" t="inlineStr">
        <is>
          <t>手镯</t>
        </is>
      </c>
      <c r="I4" s="24" t="inlineStr">
        <is>
          <t>戒指</t>
        </is>
      </c>
      <c r="J4" s="24" t="inlineStr">
        <is>
          <t>盾牌</t>
        </is>
      </c>
      <c r="K4" s="24" t="inlineStr">
        <is>
          <t>灵玉</t>
        </is>
      </c>
      <c r="L4" s="24" t="inlineStr">
        <is>
          <t>鞋子</t>
        </is>
      </c>
      <c r="M4" s="24" t="inlineStr">
        <is>
          <t>腰带</t>
        </is>
      </c>
      <c r="N4" s="24" t="inlineStr">
        <is>
          <t>代码范围</t>
        </is>
      </c>
    </row>
    <row r="5" ht="22" customHeight="1">
      <c r="A5" s="56" t="n">
        <v>1</v>
      </c>
      <c r="B5" s="61" t="inlineStr">
        <is>
          <t>黄金圣律</t>
        </is>
      </c>
      <c r="C5" s="62" t="n">
        <v>1</v>
      </c>
      <c r="D5" s="61" t="inlineStr">
        <is>
          <t>黄金圣律·初誓</t>
        </is>
      </c>
      <c r="E5" s="375" t="n">
        <v>5867</v>
      </c>
      <c r="F5" s="375" t="n">
        <v>5868</v>
      </c>
      <c r="G5" s="375" t="n">
        <v>5869</v>
      </c>
      <c r="H5" s="375" t="n">
        <v>5870</v>
      </c>
      <c r="I5" s="375" t="n">
        <v>5871</v>
      </c>
      <c r="J5" s="375" t="n">
        <v>5872</v>
      </c>
      <c r="K5" s="375" t="n">
        <v>5873</v>
      </c>
      <c r="L5" s="375" t="n">
        <v>5874</v>
      </c>
      <c r="M5" s="375" t="n">
        <v>5875</v>
      </c>
      <c r="N5" s="60" t="inlineStr">
        <is>
          <t>5867-5875</t>
        </is>
      </c>
    </row>
    <row r="6" ht="22" customHeight="1">
      <c r="A6" s="63" t="n">
        <v>2</v>
      </c>
      <c r="B6" s="68" t="inlineStr">
        <is>
          <t>黄金圣律</t>
        </is>
      </c>
      <c r="C6" s="69" t="n">
        <v>2</v>
      </c>
      <c r="D6" s="68" t="inlineStr">
        <is>
          <t>黄金圣律·铭契</t>
        </is>
      </c>
      <c r="E6" s="376" t="n">
        <v>5876</v>
      </c>
      <c r="F6" s="376" t="n">
        <v>5877</v>
      </c>
      <c r="G6" s="376" t="n">
        <v>5878</v>
      </c>
      <c r="H6" s="376" t="n">
        <v>5879</v>
      </c>
      <c r="I6" s="376" t="n">
        <v>5880</v>
      </c>
      <c r="J6" s="376" t="n">
        <v>5881</v>
      </c>
      <c r="K6" s="376" t="n">
        <v>5882</v>
      </c>
      <c r="L6" s="376" t="n">
        <v>5883</v>
      </c>
      <c r="M6" s="376" t="n">
        <v>5884</v>
      </c>
      <c r="N6" s="67" t="inlineStr">
        <is>
          <t>5876-5884</t>
        </is>
      </c>
    </row>
    <row r="7" ht="22" customHeight="1">
      <c r="A7" s="63" t="n">
        <v>3</v>
      </c>
      <c r="B7" s="68" t="inlineStr">
        <is>
          <t>黄金圣律</t>
        </is>
      </c>
      <c r="C7" s="69" t="n">
        <v>3</v>
      </c>
      <c r="D7" s="68" t="inlineStr">
        <is>
          <t>黄金圣律·执火</t>
        </is>
      </c>
      <c r="E7" s="376" t="n">
        <v>5885</v>
      </c>
      <c r="F7" s="376" t="n">
        <v>5886</v>
      </c>
      <c r="G7" s="376" t="n">
        <v>5887</v>
      </c>
      <c r="H7" s="376" t="n">
        <v>5888</v>
      </c>
      <c r="I7" s="376" t="n">
        <v>5889</v>
      </c>
      <c r="J7" s="376" t="n">
        <v>5890</v>
      </c>
      <c r="K7" s="376" t="n">
        <v>5891</v>
      </c>
      <c r="L7" s="376" t="n">
        <v>5892</v>
      </c>
      <c r="M7" s="376" t="n">
        <v>5893</v>
      </c>
      <c r="N7" s="67" t="inlineStr">
        <is>
          <t>5885-5893</t>
        </is>
      </c>
    </row>
    <row r="8" ht="22" customHeight="1">
      <c r="A8" s="63" t="n">
        <v>4</v>
      </c>
      <c r="B8" s="68" t="inlineStr">
        <is>
          <t>黄金圣律</t>
        </is>
      </c>
      <c r="C8" s="69" t="n">
        <v>4</v>
      </c>
      <c r="D8" s="68" t="inlineStr">
        <is>
          <t>黄金圣律·圣徽</t>
        </is>
      </c>
      <c r="E8" s="376" t="n">
        <v>5894</v>
      </c>
      <c r="F8" s="376" t="n">
        <v>5895</v>
      </c>
      <c r="G8" s="376" t="n">
        <v>5896</v>
      </c>
      <c r="H8" s="376" t="n">
        <v>5897</v>
      </c>
      <c r="I8" s="376" t="n">
        <v>5898</v>
      </c>
      <c r="J8" s="376" t="n">
        <v>5899</v>
      </c>
      <c r="K8" s="376" t="n">
        <v>5900</v>
      </c>
      <c r="L8" s="376" t="n">
        <v>5901</v>
      </c>
      <c r="M8" s="376" t="n">
        <v>5902</v>
      </c>
      <c r="N8" s="67" t="inlineStr">
        <is>
          <t>5894-5902</t>
        </is>
      </c>
    </row>
    <row r="9" ht="22" customHeight="1">
      <c r="A9" s="63" t="n">
        <v>5</v>
      </c>
      <c r="B9" s="68" t="inlineStr">
        <is>
          <t>黄金圣律</t>
        </is>
      </c>
      <c r="C9" s="69" t="n">
        <v>5</v>
      </c>
      <c r="D9" s="68" t="inlineStr">
        <is>
          <t>黄金圣律·璨金</t>
        </is>
      </c>
      <c r="E9" s="376" t="n">
        <v>5903</v>
      </c>
      <c r="F9" s="376" t="n">
        <v>5904</v>
      </c>
      <c r="G9" s="376" t="n">
        <v>5905</v>
      </c>
      <c r="H9" s="376" t="n">
        <v>5906</v>
      </c>
      <c r="I9" s="376" t="n">
        <v>5907</v>
      </c>
      <c r="J9" s="376" t="n">
        <v>5908</v>
      </c>
      <c r="K9" s="376" t="n">
        <v>5909</v>
      </c>
      <c r="L9" s="376" t="n">
        <v>5910</v>
      </c>
      <c r="M9" s="376" t="n">
        <v>5911</v>
      </c>
      <c r="N9" s="67" t="inlineStr">
        <is>
          <t>5903-5911</t>
        </is>
      </c>
    </row>
    <row r="10" ht="22" customHeight="1">
      <c r="A10" s="63" t="n">
        <v>6</v>
      </c>
      <c r="B10" s="68" t="inlineStr">
        <is>
          <t>黄金圣律</t>
        </is>
      </c>
      <c r="C10" s="69" t="n">
        <v>6</v>
      </c>
      <c r="D10" s="68" t="inlineStr">
        <is>
          <t>黄金圣律·蓝辉</t>
        </is>
      </c>
      <c r="E10" s="376" t="n">
        <v>5912</v>
      </c>
      <c r="F10" s="376" t="n">
        <v>5913</v>
      </c>
      <c r="G10" s="376" t="n">
        <v>5914</v>
      </c>
      <c r="H10" s="376" t="n">
        <v>5915</v>
      </c>
      <c r="I10" s="376" t="n">
        <v>5916</v>
      </c>
      <c r="J10" s="376" t="n">
        <v>5917</v>
      </c>
      <c r="K10" s="376" t="n">
        <v>5918</v>
      </c>
      <c r="L10" s="376" t="n">
        <v>5919</v>
      </c>
      <c r="M10" s="376" t="n">
        <v>5920</v>
      </c>
      <c r="N10" s="67" t="inlineStr">
        <is>
          <t>5912-5920</t>
        </is>
      </c>
    </row>
    <row r="11" ht="22" customHeight="1">
      <c r="A11" s="63" t="n">
        <v>7</v>
      </c>
      <c r="B11" s="68" t="inlineStr">
        <is>
          <t>黄金圣律</t>
        </is>
      </c>
      <c r="C11" s="69" t="n">
        <v>7</v>
      </c>
      <c r="D11" s="68" t="inlineStr">
        <is>
          <t>黄金圣律·王权</t>
        </is>
      </c>
      <c r="E11" s="376" t="n">
        <v>5921</v>
      </c>
      <c r="F11" s="376" t="n">
        <v>5922</v>
      </c>
      <c r="G11" s="376" t="n">
        <v>5923</v>
      </c>
      <c r="H11" s="376" t="n">
        <v>5924</v>
      </c>
      <c r="I11" s="376" t="n">
        <v>5925</v>
      </c>
      <c r="J11" s="376" t="n">
        <v>5926</v>
      </c>
      <c r="K11" s="376" t="n">
        <v>5927</v>
      </c>
      <c r="L11" s="376" t="n">
        <v>5928</v>
      </c>
      <c r="M11" s="376" t="n">
        <v>5929</v>
      </c>
      <c r="N11" s="67" t="inlineStr">
        <is>
          <t>5921-5929</t>
        </is>
      </c>
    </row>
    <row r="12" ht="22" customHeight="1">
      <c r="A12" s="63" t="n">
        <v>8</v>
      </c>
      <c r="B12" s="68" t="inlineStr">
        <is>
          <t>黄金圣律</t>
        </is>
      </c>
      <c r="C12" s="69" t="n">
        <v>8</v>
      </c>
      <c r="D12" s="68" t="inlineStr">
        <is>
          <t>黄金圣律·日冕</t>
        </is>
      </c>
      <c r="E12" s="376" t="n">
        <v>5930</v>
      </c>
      <c r="F12" s="376" t="n">
        <v>5931</v>
      </c>
      <c r="G12" s="376" t="n">
        <v>5932</v>
      </c>
      <c r="H12" s="376" t="n">
        <v>5933</v>
      </c>
      <c r="I12" s="376" t="n">
        <v>5934</v>
      </c>
      <c r="J12" s="376" t="n">
        <v>5935</v>
      </c>
      <c r="K12" s="376" t="n">
        <v>5936</v>
      </c>
      <c r="L12" s="376" t="n">
        <v>5937</v>
      </c>
      <c r="M12" s="376" t="n">
        <v>5938</v>
      </c>
      <c r="N12" s="67" t="inlineStr">
        <is>
          <t>5930-5938</t>
        </is>
      </c>
    </row>
    <row r="13" ht="22" customHeight="1">
      <c r="A13" s="63" t="n">
        <v>9</v>
      </c>
      <c r="B13" s="68" t="inlineStr">
        <is>
          <t>黄金圣律</t>
        </is>
      </c>
      <c r="C13" s="69" t="n">
        <v>9</v>
      </c>
      <c r="D13" s="68" t="inlineStr">
        <is>
          <t>黄金圣律·神律</t>
        </is>
      </c>
      <c r="E13" s="376" t="n">
        <v>5939</v>
      </c>
      <c r="F13" s="376" t="n">
        <v>5940</v>
      </c>
      <c r="G13" s="376" t="n">
        <v>5941</v>
      </c>
      <c r="H13" s="376" t="n">
        <v>5942</v>
      </c>
      <c r="I13" s="376" t="n">
        <v>5943</v>
      </c>
      <c r="J13" s="376" t="n">
        <v>5944</v>
      </c>
      <c r="K13" s="376" t="n">
        <v>5945</v>
      </c>
      <c r="L13" s="376" t="n">
        <v>5946</v>
      </c>
      <c r="M13" s="376" t="n">
        <v>5947</v>
      </c>
      <c r="N13" s="67" t="inlineStr">
        <is>
          <t>5939-5947</t>
        </is>
      </c>
    </row>
    <row r="14" ht="22" customHeight="1">
      <c r="A14" s="63" t="n">
        <v>10</v>
      </c>
      <c r="B14" s="68" t="inlineStr">
        <is>
          <t>黄金圣律</t>
        </is>
      </c>
      <c r="C14" s="69" t="n">
        <v>10</v>
      </c>
      <c r="D14" s="68" t="inlineStr">
        <is>
          <t>黄金圣律·永耀</t>
        </is>
      </c>
      <c r="E14" s="376" t="n">
        <v>5948</v>
      </c>
      <c r="F14" s="376" t="n">
        <v>5949</v>
      </c>
      <c r="G14" s="376" t="n">
        <v>5950</v>
      </c>
      <c r="H14" s="376" t="n">
        <v>5951</v>
      </c>
      <c r="I14" s="376" t="n">
        <v>5952</v>
      </c>
      <c r="J14" s="376" t="n">
        <v>5953</v>
      </c>
      <c r="K14" s="376" t="n">
        <v>5954</v>
      </c>
      <c r="L14" s="376" t="n">
        <v>5955</v>
      </c>
      <c r="M14" s="376" t="n">
        <v>5956</v>
      </c>
      <c r="N14" s="67" t="inlineStr">
        <is>
          <t>5948-5956</t>
        </is>
      </c>
    </row>
    <row r="15" ht="22" customHeight="1">
      <c r="A15" s="70" t="n">
        <v>11</v>
      </c>
      <c r="B15" s="75" t="inlineStr">
        <is>
          <t>血月荆棘</t>
        </is>
      </c>
      <c r="C15" s="76" t="n">
        <v>1</v>
      </c>
      <c r="D15" s="75" t="inlineStr">
        <is>
          <t>血月荆棘·暗芽</t>
        </is>
      </c>
      <c r="E15" s="377" t="n">
        <v>5957</v>
      </c>
      <c r="F15" s="377" t="n">
        <v>5958</v>
      </c>
      <c r="G15" s="377" t="n">
        <v>5959</v>
      </c>
      <c r="H15" s="377" t="n">
        <v>5960</v>
      </c>
      <c r="I15" s="377" t="n">
        <v>5961</v>
      </c>
      <c r="J15" s="377" t="n">
        <v>5962</v>
      </c>
      <c r="K15" s="377" t="n">
        <v>5963</v>
      </c>
      <c r="L15" s="377" t="n">
        <v>5964</v>
      </c>
      <c r="M15" s="377" t="n">
        <v>5965</v>
      </c>
      <c r="N15" s="74" t="inlineStr">
        <is>
          <t>5957-5965</t>
        </is>
      </c>
    </row>
    <row r="16" ht="22" customHeight="1">
      <c r="A16" s="70" t="n">
        <v>12</v>
      </c>
      <c r="B16" s="75" t="inlineStr">
        <is>
          <t>血月荆棘</t>
        </is>
      </c>
      <c r="C16" s="76" t="n">
        <v>2</v>
      </c>
      <c r="D16" s="75" t="inlineStr">
        <is>
          <t>血月荆棘·血棘</t>
        </is>
      </c>
      <c r="E16" s="377" t="n">
        <v>5966</v>
      </c>
      <c r="F16" s="377" t="n">
        <v>5967</v>
      </c>
      <c r="G16" s="377" t="n">
        <v>5968</v>
      </c>
      <c r="H16" s="377" t="n">
        <v>5969</v>
      </c>
      <c r="I16" s="377" t="n">
        <v>5970</v>
      </c>
      <c r="J16" s="377" t="n">
        <v>5971</v>
      </c>
      <c r="K16" s="377" t="n">
        <v>5972</v>
      </c>
      <c r="L16" s="377" t="n">
        <v>5973</v>
      </c>
      <c r="M16" s="377" t="n">
        <v>5974</v>
      </c>
      <c r="N16" s="74" t="inlineStr">
        <is>
          <t>5966-5974</t>
        </is>
      </c>
    </row>
    <row r="17" ht="22" customHeight="1">
      <c r="A17" s="70" t="n">
        <v>13</v>
      </c>
      <c r="B17" s="75" t="inlineStr">
        <is>
          <t>血月荆棘</t>
        </is>
      </c>
      <c r="C17" s="76" t="n">
        <v>3</v>
      </c>
      <c r="D17" s="75" t="inlineStr">
        <is>
          <t>血月荆棘·猩痕</t>
        </is>
      </c>
      <c r="E17" s="377" t="n">
        <v>5975</v>
      </c>
      <c r="F17" s="377" t="n">
        <v>5976</v>
      </c>
      <c r="G17" s="377" t="n">
        <v>5977</v>
      </c>
      <c r="H17" s="377" t="n">
        <v>5978</v>
      </c>
      <c r="I17" s="377" t="n">
        <v>5979</v>
      </c>
      <c r="J17" s="377" t="n">
        <v>5980</v>
      </c>
      <c r="K17" s="377" t="n">
        <v>5981</v>
      </c>
      <c r="L17" s="377" t="n">
        <v>5982</v>
      </c>
      <c r="M17" s="377" t="n">
        <v>5983</v>
      </c>
      <c r="N17" s="74" t="inlineStr">
        <is>
          <t>5975-5983</t>
        </is>
      </c>
    </row>
    <row r="18" ht="22" customHeight="1">
      <c r="A18" s="70" t="n">
        <v>14</v>
      </c>
      <c r="B18" s="75" t="inlineStr">
        <is>
          <t>血月荆棘</t>
        </is>
      </c>
      <c r="C18" s="76" t="n">
        <v>4</v>
      </c>
      <c r="D18" s="75" t="inlineStr">
        <is>
          <t>血月荆棘·夜蔷</t>
        </is>
      </c>
      <c r="E18" s="377" t="n">
        <v>5984</v>
      </c>
      <c r="F18" s="377" t="n">
        <v>5985</v>
      </c>
      <c r="G18" s="377" t="n">
        <v>5986</v>
      </c>
      <c r="H18" s="377" t="n">
        <v>5987</v>
      </c>
      <c r="I18" s="377" t="n">
        <v>5988</v>
      </c>
      <c r="J18" s="377" t="n">
        <v>5989</v>
      </c>
      <c r="K18" s="377" t="n">
        <v>5990</v>
      </c>
      <c r="L18" s="377" t="n">
        <v>5991</v>
      </c>
      <c r="M18" s="377" t="n">
        <v>5992</v>
      </c>
      <c r="N18" s="74" t="inlineStr">
        <is>
          <t>5984-5992</t>
        </is>
      </c>
    </row>
    <row r="19" ht="22" customHeight="1">
      <c r="A19" s="70" t="n">
        <v>15</v>
      </c>
      <c r="B19" s="75" t="inlineStr">
        <is>
          <t>血月荆棘</t>
        </is>
      </c>
      <c r="C19" s="76" t="n">
        <v>5</v>
      </c>
      <c r="D19" s="75" t="inlineStr">
        <is>
          <t>血月荆棘·赤冠</t>
        </is>
      </c>
      <c r="E19" s="377" t="n">
        <v>5993</v>
      </c>
      <c r="F19" s="377" t="n">
        <v>5994</v>
      </c>
      <c r="G19" s="377" t="n">
        <v>5995</v>
      </c>
      <c r="H19" s="377" t="n">
        <v>5996</v>
      </c>
      <c r="I19" s="377" t="n">
        <v>5997</v>
      </c>
      <c r="J19" s="377" t="n">
        <v>5998</v>
      </c>
      <c r="K19" s="377" t="n">
        <v>5999</v>
      </c>
      <c r="L19" s="377" t="n">
        <v>6000</v>
      </c>
      <c r="M19" s="377" t="n">
        <v>6001</v>
      </c>
      <c r="N19" s="74" t="inlineStr">
        <is>
          <t>5993-6001</t>
        </is>
      </c>
    </row>
    <row r="20" ht="22" customHeight="1">
      <c r="A20" s="70" t="n">
        <v>16</v>
      </c>
      <c r="B20" s="75" t="inlineStr">
        <is>
          <t>血月荆棘</t>
        </is>
      </c>
      <c r="C20" s="76" t="n">
        <v>6</v>
      </c>
      <c r="D20" s="75" t="inlineStr">
        <is>
          <t>血月荆棘·月蚀</t>
        </is>
      </c>
      <c r="E20" s="377" t="n">
        <v>6002</v>
      </c>
      <c r="F20" s="377" t="n">
        <v>6003</v>
      </c>
      <c r="G20" s="377" t="n">
        <v>6004</v>
      </c>
      <c r="H20" s="377" t="n">
        <v>6005</v>
      </c>
      <c r="I20" s="377" t="n">
        <v>6006</v>
      </c>
      <c r="J20" s="377" t="n">
        <v>6007</v>
      </c>
      <c r="K20" s="377" t="n">
        <v>6008</v>
      </c>
      <c r="L20" s="377" t="n">
        <v>6009</v>
      </c>
      <c r="M20" s="377" t="n">
        <v>6010</v>
      </c>
      <c r="N20" s="74" t="inlineStr">
        <is>
          <t>6002-6010</t>
        </is>
      </c>
    </row>
    <row r="21" ht="22" customHeight="1">
      <c r="A21" s="70" t="n">
        <v>17</v>
      </c>
      <c r="B21" s="75" t="inlineStr">
        <is>
          <t>血月荆棘</t>
        </is>
      </c>
      <c r="C21" s="76" t="n">
        <v>7</v>
      </c>
      <c r="D21" s="75" t="inlineStr">
        <is>
          <t>血月荆棘·王刺</t>
        </is>
      </c>
      <c r="E21" s="377" t="n">
        <v>6011</v>
      </c>
      <c r="F21" s="377" t="n">
        <v>6012</v>
      </c>
      <c r="G21" s="377" t="n">
        <v>6013</v>
      </c>
      <c r="H21" s="377" t="n">
        <v>6014</v>
      </c>
      <c r="I21" s="377" t="n">
        <v>6015</v>
      </c>
      <c r="J21" s="377" t="n">
        <v>6016</v>
      </c>
      <c r="K21" s="377" t="n">
        <v>6017</v>
      </c>
      <c r="L21" s="377" t="n">
        <v>6018</v>
      </c>
      <c r="M21" s="377" t="n">
        <v>6019</v>
      </c>
      <c r="N21" s="74" t="inlineStr">
        <is>
          <t>6011-6019</t>
        </is>
      </c>
    </row>
    <row r="22" ht="22" customHeight="1">
      <c r="A22" s="70" t="n">
        <v>18</v>
      </c>
      <c r="B22" s="75" t="inlineStr">
        <is>
          <t>血月荆棘</t>
        </is>
      </c>
      <c r="C22" s="76" t="n">
        <v>8</v>
      </c>
      <c r="D22" s="75" t="inlineStr">
        <is>
          <t>血月荆棘·灾焰</t>
        </is>
      </c>
      <c r="E22" s="377" t="n">
        <v>6020</v>
      </c>
      <c r="F22" s="377" t="n">
        <v>6021</v>
      </c>
      <c r="G22" s="377" t="n">
        <v>6022</v>
      </c>
      <c r="H22" s="377" t="n">
        <v>6023</v>
      </c>
      <c r="I22" s="377" t="n">
        <v>6024</v>
      </c>
      <c r="J22" s="377" t="n">
        <v>6025</v>
      </c>
      <c r="K22" s="377" t="n">
        <v>6026</v>
      </c>
      <c r="L22" s="377" t="n">
        <v>6027</v>
      </c>
      <c r="M22" s="377" t="n">
        <v>6028</v>
      </c>
      <c r="N22" s="74" t="inlineStr">
        <is>
          <t>6020-6028</t>
        </is>
      </c>
    </row>
    <row r="23" ht="22" customHeight="1">
      <c r="A23" s="70" t="n">
        <v>19</v>
      </c>
      <c r="B23" s="75" t="inlineStr">
        <is>
          <t>血月荆棘</t>
        </is>
      </c>
      <c r="C23" s="76" t="n">
        <v>9</v>
      </c>
      <c r="D23" s="75" t="inlineStr">
        <is>
          <t>血月荆棘·弑神</t>
        </is>
      </c>
      <c r="E23" s="377" t="n">
        <v>6029</v>
      </c>
      <c r="F23" s="377" t="n">
        <v>6030</v>
      </c>
      <c r="G23" s="377" t="n">
        <v>6031</v>
      </c>
      <c r="H23" s="377" t="n">
        <v>6032</v>
      </c>
      <c r="I23" s="377" t="n">
        <v>6033</v>
      </c>
      <c r="J23" s="377" t="n">
        <v>6034</v>
      </c>
      <c r="K23" s="377" t="n">
        <v>6035</v>
      </c>
      <c r="L23" s="377" t="n">
        <v>6036</v>
      </c>
      <c r="M23" s="377" t="n">
        <v>6037</v>
      </c>
      <c r="N23" s="74" t="inlineStr">
        <is>
          <t>6029-6037</t>
        </is>
      </c>
    </row>
    <row r="24" ht="22" customHeight="1">
      <c r="A24" s="70" t="n">
        <v>20</v>
      </c>
      <c r="B24" s="75" t="inlineStr">
        <is>
          <t>血月荆棘</t>
        </is>
      </c>
      <c r="C24" s="76" t="n">
        <v>10</v>
      </c>
      <c r="D24" s="75" t="inlineStr">
        <is>
          <t>血月荆棘·终夜</t>
        </is>
      </c>
      <c r="E24" s="377" t="n">
        <v>6038</v>
      </c>
      <c r="F24" s="377" t="n">
        <v>6039</v>
      </c>
      <c r="G24" s="377" t="n">
        <v>6040</v>
      </c>
      <c r="H24" s="377" t="n">
        <v>6041</v>
      </c>
      <c r="I24" s="377" t="n">
        <v>6042</v>
      </c>
      <c r="J24" s="377" t="n">
        <v>6043</v>
      </c>
      <c r="K24" s="377" t="n">
        <v>6044</v>
      </c>
      <c r="L24" s="377" t="n">
        <v>6045</v>
      </c>
      <c r="M24" s="377" t="n">
        <v>6046</v>
      </c>
      <c r="N24" s="74" t="inlineStr">
        <is>
          <t>6038-6046</t>
        </is>
      </c>
    </row>
    <row r="25" ht="22" customHeight="1">
      <c r="A25" s="77" t="n">
        <v>21</v>
      </c>
      <c r="B25" s="82" t="inlineStr">
        <is>
          <t>星渊龙息</t>
        </is>
      </c>
      <c r="C25" s="83" t="n">
        <v>1</v>
      </c>
      <c r="D25" s="82" t="inlineStr">
        <is>
          <t>星渊龙息·寒鳞</t>
        </is>
      </c>
      <c r="E25" s="378" t="n">
        <v>6047</v>
      </c>
      <c r="F25" s="378" t="n">
        <v>6048</v>
      </c>
      <c r="G25" s="378" t="n">
        <v>6049</v>
      </c>
      <c r="H25" s="378" t="n">
        <v>6050</v>
      </c>
      <c r="I25" s="378" t="n">
        <v>6051</v>
      </c>
      <c r="J25" s="378" t="n">
        <v>6052</v>
      </c>
      <c r="K25" s="378" t="n">
        <v>6053</v>
      </c>
      <c r="L25" s="378" t="n">
        <v>6054</v>
      </c>
      <c r="M25" s="378" t="n">
        <v>6055</v>
      </c>
      <c r="N25" s="81" t="inlineStr">
        <is>
          <t>6047-6055</t>
        </is>
      </c>
    </row>
    <row r="26" ht="22" customHeight="1">
      <c r="A26" s="77" t="n">
        <v>22</v>
      </c>
      <c r="B26" s="82" t="inlineStr">
        <is>
          <t>星渊龙息</t>
        </is>
      </c>
      <c r="C26" s="83" t="n">
        <v>2</v>
      </c>
      <c r="D26" s="82" t="inlineStr">
        <is>
          <t>星渊龙息·龙痕</t>
        </is>
      </c>
      <c r="E26" s="378" t="n">
        <v>6056</v>
      </c>
      <c r="F26" s="378" t="n">
        <v>6057</v>
      </c>
      <c r="G26" s="378" t="n">
        <v>6058</v>
      </c>
      <c r="H26" s="378" t="n">
        <v>6059</v>
      </c>
      <c r="I26" s="378" t="n">
        <v>6060</v>
      </c>
      <c r="J26" s="378" t="n">
        <v>6061</v>
      </c>
      <c r="K26" s="378" t="n">
        <v>6062</v>
      </c>
      <c r="L26" s="378" t="n">
        <v>6063</v>
      </c>
      <c r="M26" s="378" t="n">
        <v>6064</v>
      </c>
      <c r="N26" s="81" t="inlineStr">
        <is>
          <t>6056-6064</t>
        </is>
      </c>
    </row>
    <row r="27" ht="22" customHeight="1">
      <c r="A27" s="77" t="n">
        <v>23</v>
      </c>
      <c r="B27" s="82" t="inlineStr">
        <is>
          <t>星渊龙息</t>
        </is>
      </c>
      <c r="C27" s="83" t="n">
        <v>3</v>
      </c>
      <c r="D27" s="82" t="inlineStr">
        <is>
          <t>星渊龙息·星晶</t>
        </is>
      </c>
      <c r="E27" s="378" t="n">
        <v>6065</v>
      </c>
      <c r="F27" s="378" t="n">
        <v>6066</v>
      </c>
      <c r="G27" s="378" t="n">
        <v>6067</v>
      </c>
      <c r="H27" s="378" t="n">
        <v>6068</v>
      </c>
      <c r="I27" s="378" t="n">
        <v>6069</v>
      </c>
      <c r="J27" s="378" t="n">
        <v>6070</v>
      </c>
      <c r="K27" s="378" t="n">
        <v>6071</v>
      </c>
      <c r="L27" s="378" t="n">
        <v>6072</v>
      </c>
      <c r="M27" s="378" t="n">
        <v>6073</v>
      </c>
      <c r="N27" s="81" t="inlineStr">
        <is>
          <t>6065-6073</t>
        </is>
      </c>
    </row>
    <row r="28" ht="22" customHeight="1">
      <c r="A28" s="77" t="n">
        <v>24</v>
      </c>
      <c r="B28" s="82" t="inlineStr">
        <is>
          <t>星渊龙息</t>
        </is>
      </c>
      <c r="C28" s="83" t="n">
        <v>4</v>
      </c>
      <c r="D28" s="82" t="inlineStr">
        <is>
          <t>星渊龙息·霜翼</t>
        </is>
      </c>
      <c r="E28" s="378" t="n">
        <v>6074</v>
      </c>
      <c r="F28" s="378" t="n">
        <v>6075</v>
      </c>
      <c r="G28" s="378" t="n">
        <v>6076</v>
      </c>
      <c r="H28" s="378" t="n">
        <v>6077</v>
      </c>
      <c r="I28" s="378" t="n">
        <v>6078</v>
      </c>
      <c r="J28" s="378" t="n">
        <v>6079</v>
      </c>
      <c r="K28" s="378" t="n">
        <v>6080</v>
      </c>
      <c r="L28" s="378" t="n">
        <v>6081</v>
      </c>
      <c r="M28" s="378" t="n">
        <v>6082</v>
      </c>
      <c r="N28" s="81" t="inlineStr">
        <is>
          <t>6074-6082</t>
        </is>
      </c>
    </row>
    <row r="29" ht="22" customHeight="1">
      <c r="A29" s="77" t="n">
        <v>25</v>
      </c>
      <c r="B29" s="82" t="inlineStr">
        <is>
          <t>星渊龙息</t>
        </is>
      </c>
      <c r="C29" s="83" t="n">
        <v>5</v>
      </c>
      <c r="D29" s="82" t="inlineStr">
        <is>
          <t>星渊龙息·渊潮</t>
        </is>
      </c>
      <c r="E29" s="378" t="n">
        <v>6083</v>
      </c>
      <c r="F29" s="378" t="n">
        <v>6084</v>
      </c>
      <c r="G29" s="378" t="n">
        <v>6085</v>
      </c>
      <c r="H29" s="378" t="n">
        <v>6086</v>
      </c>
      <c r="I29" s="378" t="n">
        <v>6087</v>
      </c>
      <c r="J29" s="378" t="n">
        <v>6088</v>
      </c>
      <c r="K29" s="378" t="n">
        <v>6089</v>
      </c>
      <c r="L29" s="378" t="n">
        <v>6090</v>
      </c>
      <c r="M29" s="378" t="n">
        <v>6091</v>
      </c>
      <c r="N29" s="81" t="inlineStr">
        <is>
          <t>6083-6091</t>
        </is>
      </c>
    </row>
    <row r="30" ht="22" customHeight="1">
      <c r="A30" s="77" t="n">
        <v>26</v>
      </c>
      <c r="B30" s="82" t="inlineStr">
        <is>
          <t>星渊龙息</t>
        </is>
      </c>
      <c r="C30" s="83" t="n">
        <v>6</v>
      </c>
      <c r="D30" s="82" t="inlineStr">
        <is>
          <t>星渊龙息·苍穹</t>
        </is>
      </c>
      <c r="E30" s="378" t="n">
        <v>6092</v>
      </c>
      <c r="F30" s="378" t="n">
        <v>6093</v>
      </c>
      <c r="G30" s="378" t="n">
        <v>6094</v>
      </c>
      <c r="H30" s="378" t="n">
        <v>6095</v>
      </c>
      <c r="I30" s="378" t="n">
        <v>6096</v>
      </c>
      <c r="J30" s="378" t="n">
        <v>6097</v>
      </c>
      <c r="K30" s="378" t="n">
        <v>6098</v>
      </c>
      <c r="L30" s="378" t="n">
        <v>6099</v>
      </c>
      <c r="M30" s="378" t="n">
        <v>6100</v>
      </c>
      <c r="N30" s="81" t="inlineStr">
        <is>
          <t>6092-6100</t>
        </is>
      </c>
    </row>
    <row r="31" ht="22" customHeight="1">
      <c r="A31" s="77" t="n">
        <v>27</v>
      </c>
      <c r="B31" s="82" t="inlineStr">
        <is>
          <t>星渊龙息</t>
        </is>
      </c>
      <c r="C31" s="83" t="n">
        <v>7</v>
      </c>
      <c r="D31" s="82" t="inlineStr">
        <is>
          <t>星渊龙息·龙皇</t>
        </is>
      </c>
      <c r="E31" s="378" t="n">
        <v>6101</v>
      </c>
      <c r="F31" s="378" t="n">
        <v>6102</v>
      </c>
      <c r="G31" s="378" t="n">
        <v>6103</v>
      </c>
      <c r="H31" s="378" t="n">
        <v>6104</v>
      </c>
      <c r="I31" s="378" t="n">
        <v>6105</v>
      </c>
      <c r="J31" s="378" t="n">
        <v>6106</v>
      </c>
      <c r="K31" s="378" t="n">
        <v>6107</v>
      </c>
      <c r="L31" s="378" t="n">
        <v>6108</v>
      </c>
      <c r="M31" s="378" t="n">
        <v>6109</v>
      </c>
      <c r="N31" s="81" t="inlineStr">
        <is>
          <t>6101-6109</t>
        </is>
      </c>
    </row>
    <row r="32" ht="22" customHeight="1">
      <c r="A32" s="77" t="n">
        <v>28</v>
      </c>
      <c r="B32" s="82" t="inlineStr">
        <is>
          <t>星渊龙息</t>
        </is>
      </c>
      <c r="C32" s="83" t="n">
        <v>8</v>
      </c>
      <c r="D32" s="82" t="inlineStr">
        <is>
          <t>星渊龙息·天陨</t>
        </is>
      </c>
      <c r="E32" s="378" t="n">
        <v>6110</v>
      </c>
      <c r="F32" s="378" t="n">
        <v>6111</v>
      </c>
      <c r="G32" s="378" t="n">
        <v>6112</v>
      </c>
      <c r="H32" s="378" t="n">
        <v>6113</v>
      </c>
      <c r="I32" s="378" t="n">
        <v>6114</v>
      </c>
      <c r="J32" s="378" t="n">
        <v>6115</v>
      </c>
      <c r="K32" s="378" t="n">
        <v>6116</v>
      </c>
      <c r="L32" s="378" t="n">
        <v>6117</v>
      </c>
      <c r="M32" s="378" t="n">
        <v>6118</v>
      </c>
      <c r="N32" s="81" t="inlineStr">
        <is>
          <t>6110-6118</t>
        </is>
      </c>
    </row>
    <row r="33" ht="22" customHeight="1">
      <c r="A33" s="77" t="n">
        <v>29</v>
      </c>
      <c r="B33" s="82" t="inlineStr">
        <is>
          <t>星渊龙息</t>
        </is>
      </c>
      <c r="C33" s="83" t="n">
        <v>9</v>
      </c>
      <c r="D33" s="82" t="inlineStr">
        <is>
          <t>星渊龙息·极星</t>
        </is>
      </c>
      <c r="E33" s="378" t="n">
        <v>6119</v>
      </c>
      <c r="F33" s="378" t="n">
        <v>6120</v>
      </c>
      <c r="G33" s="378" t="n">
        <v>6121</v>
      </c>
      <c r="H33" s="378" t="n">
        <v>6122</v>
      </c>
      <c r="I33" s="378" t="n">
        <v>6123</v>
      </c>
      <c r="J33" s="378" t="n">
        <v>6124</v>
      </c>
      <c r="K33" s="378" t="n">
        <v>6125</v>
      </c>
      <c r="L33" s="378" t="n">
        <v>6126</v>
      </c>
      <c r="M33" s="378" t="n">
        <v>6127</v>
      </c>
      <c r="N33" s="81" t="inlineStr">
        <is>
          <t>6119-6127</t>
        </is>
      </c>
    </row>
    <row r="34" ht="22" customHeight="1">
      <c r="A34" s="84" t="n">
        <v>30</v>
      </c>
      <c r="B34" s="89" t="inlineStr">
        <is>
          <t>星渊龙息</t>
        </is>
      </c>
      <c r="C34" s="90" t="n">
        <v>10</v>
      </c>
      <c r="D34" s="89" t="inlineStr">
        <is>
          <t>星渊龙息·无垠</t>
        </is>
      </c>
      <c r="E34" s="379" t="n">
        <v>6128</v>
      </c>
      <c r="F34" s="379" t="n">
        <v>6129</v>
      </c>
      <c r="G34" s="379" t="n">
        <v>6130</v>
      </c>
      <c r="H34" s="379" t="n">
        <v>6131</v>
      </c>
      <c r="I34" s="379" t="n">
        <v>6132</v>
      </c>
      <c r="J34" s="379" t="n">
        <v>6133</v>
      </c>
      <c r="K34" s="379" t="n">
        <v>6134</v>
      </c>
      <c r="L34" s="379" t="n">
        <v>6135</v>
      </c>
      <c r="M34" s="379" t="n">
        <v>6136</v>
      </c>
      <c r="N34" s="88" t="inlineStr">
        <is>
          <t>6128-6136</t>
        </is>
      </c>
    </row>
    <row r="35" ht="21" customHeight="1">
      <c r="A35" s="116" t="n">
        <v>31</v>
      </c>
      <c r="B35" s="120" t="inlineStr">
        <is>
          <t>太微金曜</t>
        </is>
      </c>
      <c r="C35" s="119" t="n">
        <v>1</v>
      </c>
      <c r="D35" s="120" t="inlineStr">
        <is>
          <t>太微金曜·曜仪</t>
        </is>
      </c>
      <c r="E35" s="380" t="n">
        <v>6201</v>
      </c>
      <c r="F35" s="380" t="n">
        <v>6202</v>
      </c>
      <c r="G35" s="380" t="n">
        <v>6203</v>
      </c>
      <c r="H35" s="380" t="n">
        <v>6204</v>
      </c>
      <c r="I35" s="380" t="n">
        <v>6205</v>
      </c>
      <c r="J35" s="380" t="n">
        <v>6206</v>
      </c>
      <c r="K35" s="380" t="n">
        <v>6207</v>
      </c>
      <c r="L35" s="380" t="n">
        <v>6208</v>
      </c>
      <c r="M35" s="380" t="n">
        <v>6209</v>
      </c>
      <c r="N35" s="118" t="inlineStr">
        <is>
          <t>6201-6209</t>
        </is>
      </c>
    </row>
    <row r="36" ht="21" customHeight="1">
      <c r="A36" s="133" t="n">
        <v>32</v>
      </c>
      <c r="B36" s="137" t="inlineStr">
        <is>
          <t>玄衡月蚀</t>
        </is>
      </c>
      <c r="C36" s="136" t="n">
        <v>1</v>
      </c>
      <c r="D36" s="137" t="inlineStr">
        <is>
          <t>玄衡月蚀·月轮</t>
        </is>
      </c>
      <c r="E36" s="381" t="n">
        <v>6210</v>
      </c>
      <c r="F36" s="381" t="n">
        <v>6211</v>
      </c>
      <c r="G36" s="381" t="n">
        <v>6212</v>
      </c>
      <c r="H36" s="381" t="n">
        <v>6213</v>
      </c>
      <c r="I36" s="381" t="n">
        <v>6214</v>
      </c>
      <c r="J36" s="381" t="n">
        <v>6215</v>
      </c>
      <c r="K36" s="381" t="n">
        <v>6216</v>
      </c>
      <c r="L36" s="381" t="n">
        <v>6217</v>
      </c>
      <c r="M36" s="381" t="n">
        <v>6218</v>
      </c>
      <c r="N36" s="135" t="inlineStr">
        <is>
          <t>6210-6218</t>
        </is>
      </c>
    </row>
    <row r="37" ht="21" customHeight="1">
      <c r="A37" s="150" t="n">
        <v>33</v>
      </c>
      <c r="B37" s="154" t="inlineStr">
        <is>
          <t>苍辰木火</t>
        </is>
      </c>
      <c r="C37" s="153" t="n">
        <v>1</v>
      </c>
      <c r="D37" s="154" t="inlineStr">
        <is>
          <t>苍辰木火·青焰</t>
        </is>
      </c>
      <c r="E37" s="382" t="n">
        <v>6219</v>
      </c>
      <c r="F37" s="382" t="n">
        <v>6220</v>
      </c>
      <c r="G37" s="382" t="n">
        <v>6221</v>
      </c>
      <c r="H37" s="382" t="n">
        <v>6222</v>
      </c>
      <c r="I37" s="382" t="n">
        <v>6223</v>
      </c>
      <c r="J37" s="382" t="n">
        <v>6224</v>
      </c>
      <c r="K37" s="382" t="n">
        <v>6225</v>
      </c>
      <c r="L37" s="382" t="n">
        <v>6226</v>
      </c>
      <c r="M37" s="382" t="n">
        <v>6227</v>
      </c>
      <c r="N37" s="152" t="inlineStr">
        <is>
          <t>6219-6227</t>
        </is>
      </c>
    </row>
    <row r="38" ht="21" customHeight="1">
      <c r="A38" s="167" t="n">
        <v>34</v>
      </c>
      <c r="B38" s="171" t="inlineStr">
        <is>
          <t>赤曜天穹</t>
        </is>
      </c>
      <c r="C38" s="170" t="n">
        <v>1</v>
      </c>
      <c r="D38" s="171" t="inlineStr">
        <is>
          <t>赤曜天穹·陨星</t>
        </is>
      </c>
      <c r="E38" s="383" t="n">
        <v>6228</v>
      </c>
      <c r="F38" s="383" t="n">
        <v>6229</v>
      </c>
      <c r="G38" s="383" t="n">
        <v>6230</v>
      </c>
      <c r="H38" s="383" t="n">
        <v>6231</v>
      </c>
      <c r="I38" s="383" t="n">
        <v>6232</v>
      </c>
      <c r="J38" s="383" t="n">
        <v>6233</v>
      </c>
      <c r="K38" s="383" t="n">
        <v>6234</v>
      </c>
      <c r="L38" s="383" t="n">
        <v>6235</v>
      </c>
      <c r="M38" s="383" t="n">
        <v>6236</v>
      </c>
      <c r="N38" s="169" t="inlineStr">
        <is>
          <t>6228-6236</t>
        </is>
      </c>
    </row>
    <row r="39" ht="21" customHeight="1">
      <c r="A39" s="184" t="n">
        <v>35</v>
      </c>
      <c r="B39" s="188" t="inlineStr">
        <is>
          <t>紫垣玄晶</t>
        </is>
      </c>
      <c r="C39" s="187" t="n">
        <v>1</v>
      </c>
      <c r="D39" s="188" t="inlineStr">
        <is>
          <t>紫垣玄晶·紫极</t>
        </is>
      </c>
      <c r="E39" s="384" t="n">
        <v>6237</v>
      </c>
      <c r="F39" s="384" t="n">
        <v>6238</v>
      </c>
      <c r="G39" s="384" t="n">
        <v>6239</v>
      </c>
      <c r="H39" s="384" t="n">
        <v>6240</v>
      </c>
      <c r="I39" s="384" t="n">
        <v>6241</v>
      </c>
      <c r="J39" s="384" t="n">
        <v>6242</v>
      </c>
      <c r="K39" s="384" t="n">
        <v>6243</v>
      </c>
      <c r="L39" s="384" t="n">
        <v>6244</v>
      </c>
      <c r="M39" s="384" t="n">
        <v>6245</v>
      </c>
      <c r="N39" s="186" t="inlineStr">
        <is>
          <t>6237-6245</t>
        </is>
      </c>
    </row>
  </sheetData>
  <mergeCells count="3">
    <mergeCell ref="A3:N3"/>
    <mergeCell ref="A2:N2"/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321" t="inlineStr">
        <is>
          <t>装备素材统一资源库使用说明</t>
        </is>
      </c>
    </row>
    <row r="3" ht="30" customHeight="1">
      <c r="A3" s="313" t="inlineStr">
        <is>
          <t>原九部位资源</t>
        </is>
      </c>
      <c r="B3" s="314" t="inlineStr">
        <is>
          <t>35套 / 315件</t>
        </is>
      </c>
    </row>
    <row r="4" ht="30" customHeight="1">
      <c r="A4" s="315" t="inlineStr">
        <is>
          <t>原生肖资源</t>
        </is>
      </c>
      <c r="B4" s="316" t="inlineStr">
        <is>
          <t>5套 / 60件</t>
        </is>
      </c>
    </row>
    <row r="5" ht="30" customHeight="1">
      <c r="A5" s="315" t="inlineStr">
        <is>
          <t>新增全装备资源</t>
        </is>
      </c>
      <c r="B5" s="316" t="inlineStr">
        <is>
          <t>20组 / 700件</t>
        </is>
      </c>
    </row>
    <row r="6" ht="30" customHeight="1">
      <c r="A6" s="315" t="inlineStr">
        <is>
          <t>总资源代码</t>
        </is>
      </c>
      <c r="B6" s="316">
        <f>COUNTA('全资源索引'!B2:B1076)</f>
        <v/>
      </c>
    </row>
    <row r="7" ht="30" customHeight="1">
      <c r="A7" s="315" t="inlineStr">
        <is>
          <t>正式代码范围</t>
        </is>
      </c>
      <c r="B7" s="316" t="inlineStr">
        <is>
          <t>5867-6136、6201-6305、6396-7095</t>
        </is>
      </c>
    </row>
    <row r="8" ht="30" customHeight="1">
      <c r="A8" s="315" t="inlineStr">
        <is>
          <t>分类使用规则</t>
        </is>
      </c>
      <c r="B8" s="316" t="inlineStr">
        <is>
          <t>不按原表的制式、专属、神器分类限制使用；分类不进入正式检索逻辑。</t>
        </is>
      </c>
    </row>
    <row r="9" ht="30" customHeight="1">
      <c r="A9" s="315" t="inlineStr">
        <is>
          <t>已知占用</t>
        </is>
      </c>
      <c r="B9" s="316" t="inlineStr">
        <is>
          <t>6246-6257已分配给宁姆格福生肖1-12；其他占用以现行装备表复核为准。</t>
        </is>
      </c>
    </row>
    <row r="10" ht="30" customHeight="1">
      <c r="A10" s="317" t="inlineStr">
        <is>
          <t>一对一规则</t>
        </is>
      </c>
      <c r="B10" s="385" t="n"/>
      <c r="C10" s="385" t="n"/>
      <c r="D10" s="385" t="n"/>
      <c r="E10" s="385" t="n"/>
      <c r="F10" s="386" t="n"/>
    </row>
    <row r="11" ht="30" customHeight="1">
      <c r="A11" s="315" t="inlineStr">
        <is>
          <t>后续使用入口</t>
        </is>
      </c>
      <c r="B11" s="316" t="inlineStr">
        <is>
          <t>以后制作装备先查“全资源索引”，再按部位、资源组和来源编号取用。</t>
        </is>
      </c>
    </row>
    <row r="12" ht="30" customHeight="1">
      <c r="A12" s="318" t="inlineStr">
        <is>
          <t>风险控制</t>
        </is>
      </c>
      <c r="B12" s="387" t="n"/>
      <c r="C12" s="387" t="n"/>
      <c r="D12" s="387" t="n"/>
      <c r="E12" s="387" t="n"/>
      <c r="F12" s="388" t="n"/>
    </row>
    <row r="13">
      <c r="A13" s="356" t="inlineStr">
        <is>
          <t>本次分配日期</t>
        </is>
      </c>
      <c r="B13" s="345" t="inlineStr">
        <is>
          <t>2026-09-02</t>
        </is>
      </c>
      <c r="C13" s="345" t="inlineStr">
        <is>
          <t>阶段性规划</t>
        </is>
      </c>
      <c r="D13" s="345" t="n"/>
      <c r="E13" s="345" t="n"/>
      <c r="F13" s="346" t="n"/>
    </row>
    <row r="14">
      <c r="A14" s="357" t="inlineStr">
        <is>
          <t>C3—C10专属</t>
        </is>
      </c>
      <c r="B14" s="348" t="inlineStr">
        <is>
          <t>342／464件已锁定</t>
        </is>
      </c>
      <c r="C14" s="348" t="inlineStr">
        <is>
          <t>122件缺码</t>
        </is>
      </c>
      <c r="D14" s="348" t="inlineStr">
        <is>
          <t>武器60／衣服51／斗笠11</t>
        </is>
      </c>
      <c r="E14" s="348" t="n"/>
      <c r="F14" s="349" t="n"/>
    </row>
    <row r="15">
      <c r="A15" s="357" t="inlineStr">
        <is>
          <t>材料冲突段</t>
        </is>
      </c>
      <c r="B15" s="348" t="inlineStr">
        <is>
          <t>6398—6462</t>
        </is>
      </c>
      <c r="C15" s="348" t="inlineStr">
        <is>
          <t>65码禁止装备使用</t>
        </is>
      </c>
      <c r="D15" s="348" t="inlineStr">
        <is>
          <t>已在Items实际占用</t>
        </is>
      </c>
      <c r="E15" s="348" t="n"/>
      <c r="F15" s="349" t="n"/>
    </row>
    <row r="16">
      <c r="A16" s="357" t="inlineStr">
        <is>
          <t>衣服映射</t>
        </is>
      </c>
      <c r="B16" s="348" t="inlineStr">
        <is>
          <t>衣服→男衣服StdMode10</t>
        </is>
      </c>
      <c r="C16" s="348" t="inlineStr">
        <is>
          <t>女衣服未并入通用池</t>
        </is>
      </c>
      <c r="D16" s="348" t="inlineStr">
        <is>
          <t>未经平台确认不得挪用</t>
        </is>
      </c>
      <c r="E16" s="348" t="n"/>
      <c r="F16" s="349" t="n"/>
    </row>
    <row r="17">
      <c r="A17" s="358" t="inlineStr">
        <is>
          <t>怪物编码</t>
        </is>
      </c>
      <c r="B17" s="351" t="inlineStr">
        <is>
          <t>不在本资源库分配</t>
        </is>
      </c>
      <c r="C17" s="351" t="inlineStr">
        <is>
          <t>用户自行处理</t>
        </is>
      </c>
      <c r="D17" s="351" t="n"/>
      <c r="E17" s="351" t="n"/>
      <c r="F17" s="352" t="n"/>
    </row>
  </sheetData>
  <mergeCells count="3">
    <mergeCell ref="A1:F1"/>
    <mergeCell ref="A12:F12"/>
    <mergeCell ref="A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5" customWidth="1" min="16" max="16"/>
  </cols>
  <sheetData>
    <row r="1" ht="34" customHeight="1">
      <c r="A1" s="389" t="inlineStr">
        <is>
          <t>玄渊五套十二星宫生肖槽位装备代码表</t>
        </is>
      </c>
      <c r="B1" s="373" t="n"/>
      <c r="C1" s="373" t="n"/>
      <c r="D1" s="373" t="n"/>
      <c r="E1" s="373" t="n"/>
      <c r="F1" s="373" t="n"/>
      <c r="G1" s="373" t="n"/>
      <c r="H1" s="373" t="n"/>
      <c r="I1" s="373" t="n"/>
      <c r="J1" s="373" t="n"/>
      <c r="K1" s="373" t="n"/>
      <c r="L1" s="373" t="n"/>
      <c r="M1" s="373" t="n"/>
      <c r="N1" s="373" t="n"/>
      <c r="O1" s="373" t="n"/>
      <c r="P1" s="374" t="n"/>
    </row>
    <row r="2" ht="24" customHeight="1">
      <c r="A2" s="204" t="inlineStr">
        <is>
          <t>共60件 / 6246-6305全部唯一 / 一个源码只对应一件装备 / 三库同码</t>
        </is>
      </c>
    </row>
    <row r="3" ht="28" customHeight="1">
      <c r="A3" s="209" t="inlineStr">
        <is>
          <t>套装序号</t>
        </is>
      </c>
      <c r="B3" s="209" t="inlineStr">
        <is>
          <t>系列</t>
        </is>
      </c>
      <c r="C3" s="209" t="inlineStr">
        <is>
          <t>套装名称</t>
        </is>
      </c>
      <c r="D3" s="209" t="inlineStr">
        <is>
          <t>槽位01</t>
        </is>
      </c>
      <c r="E3" s="209" t="inlineStr">
        <is>
          <t>槽位02</t>
        </is>
      </c>
      <c r="F3" s="209" t="inlineStr">
        <is>
          <t>槽位03</t>
        </is>
      </c>
      <c r="G3" s="209" t="inlineStr">
        <is>
          <t>槽位04</t>
        </is>
      </c>
      <c r="H3" s="209" t="inlineStr">
        <is>
          <t>槽位05</t>
        </is>
      </c>
      <c r="I3" s="209" t="inlineStr">
        <is>
          <t>槽位06</t>
        </is>
      </c>
      <c r="J3" s="209" t="inlineStr">
        <is>
          <t>槽位07</t>
        </is>
      </c>
      <c r="K3" s="209" t="inlineStr">
        <is>
          <t>槽位08</t>
        </is>
      </c>
      <c r="L3" s="209" t="inlineStr">
        <is>
          <t>槽位09</t>
        </is>
      </c>
      <c r="M3" s="209" t="inlineStr">
        <is>
          <t>槽位10</t>
        </is>
      </c>
      <c r="N3" s="209" t="inlineStr">
        <is>
          <t>槽位11</t>
        </is>
      </c>
      <c r="O3" s="209" t="inlineStr">
        <is>
          <t>槽位12</t>
        </is>
      </c>
      <c r="P3" s="209" t="inlineStr">
        <is>
          <t>代码范围</t>
        </is>
      </c>
    </row>
    <row r="4" ht="24" customHeight="1">
      <c r="A4" s="390" t="n">
        <v>1</v>
      </c>
      <c r="B4" s="235" t="inlineStr">
        <is>
          <t>星宫</t>
        </is>
      </c>
      <c r="C4" s="235" t="inlineStr">
        <is>
          <t>十二星宫生肖槽位</t>
        </is>
      </c>
      <c r="D4" s="390" t="n">
        <v>6246</v>
      </c>
      <c r="E4" s="390" t="n">
        <v>6247</v>
      </c>
      <c r="F4" s="390" t="n">
        <v>6248</v>
      </c>
      <c r="G4" s="390" t="n">
        <v>6249</v>
      </c>
      <c r="H4" s="390" t="n">
        <v>6250</v>
      </c>
      <c r="I4" s="390" t="n">
        <v>6251</v>
      </c>
      <c r="J4" s="390" t="n">
        <v>6252</v>
      </c>
      <c r="K4" s="390" t="n">
        <v>6253</v>
      </c>
      <c r="L4" s="390" t="n">
        <v>6254</v>
      </c>
      <c r="M4" s="390" t="n">
        <v>6255</v>
      </c>
      <c r="N4" s="390" t="n">
        <v>6256</v>
      </c>
      <c r="O4" s="390" t="n">
        <v>6257</v>
      </c>
      <c r="P4" s="214" t="inlineStr">
        <is>
          <t>6246-6257</t>
        </is>
      </c>
    </row>
    <row r="5" ht="24" customHeight="1">
      <c r="A5" s="391" t="n">
        <v>2</v>
      </c>
      <c r="B5" s="236" t="inlineStr">
        <is>
          <t>玄衡月蚀</t>
        </is>
      </c>
      <c r="C5" s="236" t="inlineStr">
        <is>
          <t>玄衡月蚀·星宫</t>
        </is>
      </c>
      <c r="D5" s="391" t="n">
        <v>6258</v>
      </c>
      <c r="E5" s="391" t="n">
        <v>6259</v>
      </c>
      <c r="F5" s="391" t="n">
        <v>6260</v>
      </c>
      <c r="G5" s="391" t="n">
        <v>6261</v>
      </c>
      <c r="H5" s="391" t="n">
        <v>6262</v>
      </c>
      <c r="I5" s="391" t="n">
        <v>6263</v>
      </c>
      <c r="J5" s="391" t="n">
        <v>6264</v>
      </c>
      <c r="K5" s="391" t="n">
        <v>6265</v>
      </c>
      <c r="L5" s="391" t="n">
        <v>6266</v>
      </c>
      <c r="M5" s="391" t="n">
        <v>6267</v>
      </c>
      <c r="N5" s="391" t="n">
        <v>6268</v>
      </c>
      <c r="O5" s="391" t="n">
        <v>6269</v>
      </c>
      <c r="P5" s="219" t="inlineStr">
        <is>
          <t>6258-6269</t>
        </is>
      </c>
    </row>
    <row r="6" ht="24" customHeight="1">
      <c r="A6" s="392" t="n">
        <v>3</v>
      </c>
      <c r="B6" s="237" t="inlineStr">
        <is>
          <t>苍辰木火</t>
        </is>
      </c>
      <c r="C6" s="237" t="inlineStr">
        <is>
          <t>苍辰木火·星宫</t>
        </is>
      </c>
      <c r="D6" s="392" t="n">
        <v>6270</v>
      </c>
      <c r="E6" s="392" t="n">
        <v>6271</v>
      </c>
      <c r="F6" s="392" t="n">
        <v>6272</v>
      </c>
      <c r="G6" s="392" t="n">
        <v>6273</v>
      </c>
      <c r="H6" s="392" t="n">
        <v>6274</v>
      </c>
      <c r="I6" s="392" t="n">
        <v>6275</v>
      </c>
      <c r="J6" s="392" t="n">
        <v>6276</v>
      </c>
      <c r="K6" s="392" t="n">
        <v>6277</v>
      </c>
      <c r="L6" s="392" t="n">
        <v>6278</v>
      </c>
      <c r="M6" s="392" t="n">
        <v>6279</v>
      </c>
      <c r="N6" s="392" t="n">
        <v>6280</v>
      </c>
      <c r="O6" s="392" t="n">
        <v>6281</v>
      </c>
      <c r="P6" s="224" t="inlineStr">
        <is>
          <t>6270-6281</t>
        </is>
      </c>
    </row>
    <row r="7" ht="24" customHeight="1">
      <c r="A7" s="393" t="n">
        <v>4</v>
      </c>
      <c r="B7" s="238" t="inlineStr">
        <is>
          <t>赤曜天穹</t>
        </is>
      </c>
      <c r="C7" s="238" t="inlineStr">
        <is>
          <t>赤曜天穹·星宫</t>
        </is>
      </c>
      <c r="D7" s="393" t="n">
        <v>6282</v>
      </c>
      <c r="E7" s="393" t="n">
        <v>6283</v>
      </c>
      <c r="F7" s="393" t="n">
        <v>6284</v>
      </c>
      <c r="G7" s="393" t="n">
        <v>6285</v>
      </c>
      <c r="H7" s="393" t="n">
        <v>6286</v>
      </c>
      <c r="I7" s="393" t="n">
        <v>6287</v>
      </c>
      <c r="J7" s="393" t="n">
        <v>6288</v>
      </c>
      <c r="K7" s="393" t="n">
        <v>6289</v>
      </c>
      <c r="L7" s="393" t="n">
        <v>6290</v>
      </c>
      <c r="M7" s="393" t="n">
        <v>6291</v>
      </c>
      <c r="N7" s="393" t="n">
        <v>6292</v>
      </c>
      <c r="O7" s="393" t="n">
        <v>6293</v>
      </c>
      <c r="P7" s="229" t="inlineStr">
        <is>
          <t>6282-6293</t>
        </is>
      </c>
    </row>
    <row r="8" ht="24" customHeight="1">
      <c r="A8" s="394" t="n">
        <v>5</v>
      </c>
      <c r="B8" s="239" t="inlineStr">
        <is>
          <t>紫垣玄晶</t>
        </is>
      </c>
      <c r="C8" s="239" t="inlineStr">
        <is>
          <t>紫垣玄晶·星宫</t>
        </is>
      </c>
      <c r="D8" s="394" t="n">
        <v>6294</v>
      </c>
      <c r="E8" s="394" t="n">
        <v>6295</v>
      </c>
      <c r="F8" s="394" t="n">
        <v>6296</v>
      </c>
      <c r="G8" s="394" t="n">
        <v>6297</v>
      </c>
      <c r="H8" s="394" t="n">
        <v>6298</v>
      </c>
      <c r="I8" s="394" t="n">
        <v>6299</v>
      </c>
      <c r="J8" s="394" t="n">
        <v>6300</v>
      </c>
      <c r="K8" s="394" t="n">
        <v>6301</v>
      </c>
      <c r="L8" s="394" t="n">
        <v>6302</v>
      </c>
      <c r="M8" s="394" t="n">
        <v>6303</v>
      </c>
      <c r="N8" s="394" t="n">
        <v>6304</v>
      </c>
      <c r="O8" s="394" t="n">
        <v>6305</v>
      </c>
      <c r="P8" s="234" t="inlineStr">
        <is>
          <t>6294-6305</t>
        </is>
      </c>
    </row>
    <row r="10" ht="24" customHeight="1">
      <c r="A10" s="395" t="inlineStr">
        <is>
          <t>当前分配：6246-6257 → 宁姆格福生肖1-12；6258-6305未分配。新增装备必须从未使用编号中取号。</t>
        </is>
      </c>
      <c r="B10" s="396" t="n"/>
      <c r="C10" s="396" t="n"/>
      <c r="D10" s="396" t="n"/>
      <c r="E10" s="396" t="n"/>
      <c r="F10" s="396" t="n"/>
      <c r="G10" s="396" t="n"/>
      <c r="H10" s="396" t="n"/>
      <c r="I10" s="396" t="n"/>
      <c r="J10" s="396" t="n"/>
      <c r="K10" s="396" t="n"/>
      <c r="L10" s="396" t="n"/>
      <c r="M10" s="396" t="n"/>
      <c r="N10" s="396" t="n"/>
      <c r="O10" s="396" t="n"/>
      <c r="P10" s="397" t="n"/>
    </row>
  </sheetData>
  <mergeCells count="3">
    <mergeCell ref="A1:P1"/>
    <mergeCell ref="A10:P10"/>
    <mergeCell ref="A2:P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22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</cols>
  <sheetData>
    <row r="1" ht="22" customHeight="1">
      <c r="A1" s="259" t="inlineStr">
        <is>
          <t>套装序号</t>
        </is>
      </c>
      <c r="B1" s="259" t="inlineStr">
        <is>
          <t>系列</t>
        </is>
      </c>
      <c r="C1" s="259" t="inlineStr">
        <is>
          <t>套装名称</t>
        </is>
      </c>
      <c r="D1" s="259" t="inlineStr">
        <is>
          <t>层级</t>
        </is>
      </c>
      <c r="E1" s="259" t="inlineStr">
        <is>
          <t>武器</t>
        </is>
      </c>
      <c r="F1" s="259" t="inlineStr">
        <is>
          <t>男衣服</t>
        </is>
      </c>
      <c r="G1" s="259" t="inlineStr">
        <is>
          <t>女衣服</t>
        </is>
      </c>
      <c r="H1" s="259" t="inlineStr">
        <is>
          <t>头盔</t>
        </is>
      </c>
      <c r="I1" s="259" t="inlineStr">
        <is>
          <t>面巾</t>
        </is>
      </c>
      <c r="J1" s="259" t="inlineStr">
        <is>
          <t>项链</t>
        </is>
      </c>
      <c r="K1" s="259" t="inlineStr">
        <is>
          <t>手镯</t>
        </is>
      </c>
      <c r="L1" s="259" t="inlineStr">
        <is>
          <t>戒指</t>
        </is>
      </c>
      <c r="M1" s="259" t="inlineStr">
        <is>
          <t>勋章</t>
        </is>
      </c>
      <c r="N1" s="259" t="inlineStr">
        <is>
          <t>盾牌</t>
        </is>
      </c>
      <c r="O1" s="259" t="inlineStr">
        <is>
          <t>灵玉</t>
        </is>
      </c>
      <c r="P1" s="259" t="inlineStr">
        <is>
          <t>鞋子</t>
        </is>
      </c>
      <c r="Q1" s="259" t="inlineStr">
        <is>
          <t>腰带</t>
        </is>
      </c>
      <c r="R1" s="259" t="inlineStr">
        <is>
          <t>护身符</t>
        </is>
      </c>
      <c r="S1" s="259" t="inlineStr">
        <is>
          <t>宝石</t>
        </is>
      </c>
      <c r="T1" s="259" t="inlineStr">
        <is>
          <t>军鼓</t>
        </is>
      </c>
      <c r="U1" s="259" t="inlineStr">
        <is>
          <t>马牌</t>
        </is>
      </c>
      <c r="V1" s="259" t="inlineStr">
        <is>
          <t>首饰盒1</t>
        </is>
      </c>
      <c r="W1" s="259" t="inlineStr">
        <is>
          <t>首饰盒2</t>
        </is>
      </c>
      <c r="X1" s="259" t="inlineStr">
        <is>
          <t>首饰盒3</t>
        </is>
      </c>
      <c r="Y1" s="259" t="inlineStr">
        <is>
          <t>首饰盒4</t>
        </is>
      </c>
      <c r="Z1" s="259" t="inlineStr">
        <is>
          <t>首饰盒5</t>
        </is>
      </c>
      <c r="AA1" s="259" t="inlineStr">
        <is>
          <t>首饰盒6</t>
        </is>
      </c>
      <c r="AB1" s="259" t="inlineStr">
        <is>
          <t>生肖1</t>
        </is>
      </c>
      <c r="AC1" s="259" t="inlineStr">
        <is>
          <t>生肖2</t>
        </is>
      </c>
      <c r="AD1" s="259" t="inlineStr">
        <is>
          <t>生肖3</t>
        </is>
      </c>
      <c r="AE1" s="259" t="inlineStr">
        <is>
          <t>生肖4</t>
        </is>
      </c>
      <c r="AF1" s="259" t="inlineStr">
        <is>
          <t>生肖5</t>
        </is>
      </c>
      <c r="AG1" s="259" t="inlineStr">
        <is>
          <t>生肖6</t>
        </is>
      </c>
      <c r="AH1" s="259" t="inlineStr">
        <is>
          <t>生肖7</t>
        </is>
      </c>
      <c r="AI1" s="259" t="inlineStr">
        <is>
          <t>生肖8</t>
        </is>
      </c>
      <c r="AJ1" s="259" t="inlineStr">
        <is>
          <t>生肖9</t>
        </is>
      </c>
      <c r="AK1" s="259" t="inlineStr">
        <is>
          <t>生肖10</t>
        </is>
      </c>
      <c r="AL1" s="259" t="inlineStr">
        <is>
          <t>生肖11</t>
        </is>
      </c>
      <c r="AM1" s="259" t="inlineStr">
        <is>
          <t>生肖12</t>
        </is>
      </c>
      <c r="AN1" s="259" t="inlineStr">
        <is>
          <t>武器Shape</t>
        </is>
      </c>
      <c r="AO1" s="259" t="inlineStr">
        <is>
          <t>男衣Shape</t>
        </is>
      </c>
      <c r="AP1" s="259" t="inlineStr">
        <is>
          <t>女衣Shape</t>
        </is>
      </c>
      <c r="AQ1" s="259" t="inlineStr">
        <is>
          <t>代码范围</t>
        </is>
      </c>
    </row>
    <row r="2" ht="22" customHeight="1">
      <c r="A2" s="280" t="n">
        <v>1</v>
      </c>
      <c r="B2" s="281" t="inlineStr">
        <is>
          <t>黄金圣树</t>
        </is>
      </c>
      <c r="C2" s="281" t="inlineStr">
        <is>
          <t>黄金圣树·初誓</t>
        </is>
      </c>
      <c r="D2" s="281" t="n">
        <v>1</v>
      </c>
      <c r="E2" s="281" t="n">
        <v>6396</v>
      </c>
      <c r="F2" s="281" t="n">
        <v>6397</v>
      </c>
      <c r="G2" s="281" t="n">
        <v>6398</v>
      </c>
      <c r="H2" s="281" t="n">
        <v>6399</v>
      </c>
      <c r="I2" s="281" t="n">
        <v>6400</v>
      </c>
      <c r="J2" s="281" t="n">
        <v>6401</v>
      </c>
      <c r="K2" s="281" t="n">
        <v>6402</v>
      </c>
      <c r="L2" s="281" t="n">
        <v>6403</v>
      </c>
      <c r="M2" s="281" t="n">
        <v>6404</v>
      </c>
      <c r="N2" s="281" t="n">
        <v>6405</v>
      </c>
      <c r="O2" s="281" t="n">
        <v>6406</v>
      </c>
      <c r="P2" s="281" t="n">
        <v>6407</v>
      </c>
      <c r="Q2" s="281" t="n">
        <v>6408</v>
      </c>
      <c r="R2" s="281" t="n">
        <v>6409</v>
      </c>
      <c r="S2" s="281" t="n">
        <v>6410</v>
      </c>
      <c r="T2" s="281" t="n">
        <v>6411</v>
      </c>
      <c r="U2" s="281" t="n">
        <v>6412</v>
      </c>
      <c r="V2" s="281" t="n">
        <v>6413</v>
      </c>
      <c r="W2" s="281" t="n">
        <v>6414</v>
      </c>
      <c r="X2" s="281" t="n">
        <v>6415</v>
      </c>
      <c r="Y2" s="281" t="n">
        <v>6416</v>
      </c>
      <c r="Z2" s="281" t="n">
        <v>6417</v>
      </c>
      <c r="AA2" s="281" t="n">
        <v>6418</v>
      </c>
      <c r="AB2" s="281" t="n">
        <v>6419</v>
      </c>
      <c r="AC2" s="281" t="n">
        <v>6420</v>
      </c>
      <c r="AD2" s="281" t="n">
        <v>6421</v>
      </c>
      <c r="AE2" s="281" t="n">
        <v>6422</v>
      </c>
      <c r="AF2" s="281" t="n">
        <v>6423</v>
      </c>
      <c r="AG2" s="281" t="n">
        <v>6424</v>
      </c>
      <c r="AH2" s="281" t="n">
        <v>6425</v>
      </c>
      <c r="AI2" s="281" t="n">
        <v>6426</v>
      </c>
      <c r="AJ2" s="281" t="n">
        <v>6427</v>
      </c>
      <c r="AK2" s="281" t="n">
        <v>6428</v>
      </c>
      <c r="AL2" s="281" t="n">
        <v>6429</v>
      </c>
      <c r="AM2" s="281" t="n">
        <v>6430</v>
      </c>
      <c r="AN2" s="281" t="n">
        <v>14</v>
      </c>
      <c r="AO2" s="281" t="n">
        <v>1</v>
      </c>
      <c r="AP2" s="281" t="n">
        <v>1</v>
      </c>
      <c r="AQ2" s="282" t="inlineStr">
        <is>
          <t>6396-6430</t>
        </is>
      </c>
    </row>
    <row r="3" ht="22" customHeight="1">
      <c r="A3" s="283" t="n">
        <v>2</v>
      </c>
      <c r="B3" s="284" t="inlineStr">
        <is>
          <t>黄金圣树</t>
        </is>
      </c>
      <c r="C3" s="284" t="inlineStr">
        <is>
          <t>黄金圣树·圣枝</t>
        </is>
      </c>
      <c r="D3" s="284" t="n">
        <v>2</v>
      </c>
      <c r="E3" s="284" t="n">
        <v>6431</v>
      </c>
      <c r="F3" s="284" t="n">
        <v>6432</v>
      </c>
      <c r="G3" s="284" t="n">
        <v>6433</v>
      </c>
      <c r="H3" s="284" t="n">
        <v>6434</v>
      </c>
      <c r="I3" s="284" t="n">
        <v>6435</v>
      </c>
      <c r="J3" s="284" t="n">
        <v>6436</v>
      </c>
      <c r="K3" s="284" t="n">
        <v>6437</v>
      </c>
      <c r="L3" s="284" t="n">
        <v>6438</v>
      </c>
      <c r="M3" s="284" t="n">
        <v>6439</v>
      </c>
      <c r="N3" s="284" t="n">
        <v>6440</v>
      </c>
      <c r="O3" s="284" t="n">
        <v>6441</v>
      </c>
      <c r="P3" s="284" t="n">
        <v>6442</v>
      </c>
      <c r="Q3" s="284" t="n">
        <v>6443</v>
      </c>
      <c r="R3" s="284" t="n">
        <v>6444</v>
      </c>
      <c r="S3" s="284" t="n">
        <v>6445</v>
      </c>
      <c r="T3" s="284" t="n">
        <v>6446</v>
      </c>
      <c r="U3" s="284" t="n">
        <v>6447</v>
      </c>
      <c r="V3" s="284" t="n">
        <v>6448</v>
      </c>
      <c r="W3" s="284" t="n">
        <v>6449</v>
      </c>
      <c r="X3" s="284" t="n">
        <v>6450</v>
      </c>
      <c r="Y3" s="284" t="n">
        <v>6451</v>
      </c>
      <c r="Z3" s="284" t="n">
        <v>6452</v>
      </c>
      <c r="AA3" s="284" t="n">
        <v>6453</v>
      </c>
      <c r="AB3" s="284" t="n">
        <v>6454</v>
      </c>
      <c r="AC3" s="284" t="n">
        <v>6455</v>
      </c>
      <c r="AD3" s="284" t="n">
        <v>6456</v>
      </c>
      <c r="AE3" s="284" t="n">
        <v>6457</v>
      </c>
      <c r="AF3" s="284" t="n">
        <v>6458</v>
      </c>
      <c r="AG3" s="284" t="n">
        <v>6459</v>
      </c>
      <c r="AH3" s="284" t="n">
        <v>6460</v>
      </c>
      <c r="AI3" s="284" t="n">
        <v>6461</v>
      </c>
      <c r="AJ3" s="284" t="n">
        <v>6462</v>
      </c>
      <c r="AK3" s="284" t="n">
        <v>6463</v>
      </c>
      <c r="AL3" s="284" t="n">
        <v>6464</v>
      </c>
      <c r="AM3" s="284" t="n">
        <v>6465</v>
      </c>
      <c r="AN3" s="284" t="n">
        <v>15</v>
      </c>
      <c r="AO3" s="284" t="n">
        <v>2</v>
      </c>
      <c r="AP3" s="284" t="n">
        <v>2</v>
      </c>
      <c r="AQ3" s="285" t="inlineStr">
        <is>
          <t>6431-6465</t>
        </is>
      </c>
    </row>
    <row r="4" ht="22" customHeight="1">
      <c r="A4" s="283" t="n">
        <v>3</v>
      </c>
      <c r="B4" s="284" t="inlineStr">
        <is>
          <t>黄金圣树</t>
        </is>
      </c>
      <c r="C4" s="284" t="inlineStr">
        <is>
          <t>黄金圣树·王权</t>
        </is>
      </c>
      <c r="D4" s="284" t="n">
        <v>3</v>
      </c>
      <c r="E4" s="284" t="n">
        <v>6466</v>
      </c>
      <c r="F4" s="284" t="n">
        <v>6467</v>
      </c>
      <c r="G4" s="284" t="n">
        <v>6468</v>
      </c>
      <c r="H4" s="284" t="n">
        <v>6469</v>
      </c>
      <c r="I4" s="284" t="n">
        <v>6470</v>
      </c>
      <c r="J4" s="284" t="n">
        <v>6471</v>
      </c>
      <c r="K4" s="284" t="n">
        <v>6472</v>
      </c>
      <c r="L4" s="284" t="n">
        <v>6473</v>
      </c>
      <c r="M4" s="284" t="n">
        <v>6474</v>
      </c>
      <c r="N4" s="284" t="n">
        <v>6475</v>
      </c>
      <c r="O4" s="284" t="n">
        <v>6476</v>
      </c>
      <c r="P4" s="284" t="n">
        <v>6477</v>
      </c>
      <c r="Q4" s="284" t="n">
        <v>6478</v>
      </c>
      <c r="R4" s="284" t="n">
        <v>6479</v>
      </c>
      <c r="S4" s="284" t="n">
        <v>6480</v>
      </c>
      <c r="T4" s="284" t="n">
        <v>6481</v>
      </c>
      <c r="U4" s="284" t="n">
        <v>6482</v>
      </c>
      <c r="V4" s="284" t="n">
        <v>6483</v>
      </c>
      <c r="W4" s="284" t="n">
        <v>6484</v>
      </c>
      <c r="X4" s="284" t="n">
        <v>6485</v>
      </c>
      <c r="Y4" s="284" t="n">
        <v>6486</v>
      </c>
      <c r="Z4" s="284" t="n">
        <v>6487</v>
      </c>
      <c r="AA4" s="284" t="n">
        <v>6488</v>
      </c>
      <c r="AB4" s="284" t="n">
        <v>6489</v>
      </c>
      <c r="AC4" s="284" t="n">
        <v>6490</v>
      </c>
      <c r="AD4" s="284" t="n">
        <v>6491</v>
      </c>
      <c r="AE4" s="284" t="n">
        <v>6492</v>
      </c>
      <c r="AF4" s="284" t="n">
        <v>6493</v>
      </c>
      <c r="AG4" s="284" t="n">
        <v>6494</v>
      </c>
      <c r="AH4" s="284" t="n">
        <v>6495</v>
      </c>
      <c r="AI4" s="284" t="n">
        <v>6496</v>
      </c>
      <c r="AJ4" s="284" t="n">
        <v>6497</v>
      </c>
      <c r="AK4" s="284" t="n">
        <v>6498</v>
      </c>
      <c r="AL4" s="284" t="n">
        <v>6499</v>
      </c>
      <c r="AM4" s="284" t="n">
        <v>6500</v>
      </c>
      <c r="AN4" s="284" t="n">
        <v>16</v>
      </c>
      <c r="AO4" s="284" t="n">
        <v>3</v>
      </c>
      <c r="AP4" s="284" t="n">
        <v>3</v>
      </c>
      <c r="AQ4" s="285" t="inlineStr">
        <is>
          <t>6466-6500</t>
        </is>
      </c>
    </row>
    <row r="5" ht="22" customHeight="1">
      <c r="A5" s="283" t="n">
        <v>4</v>
      </c>
      <c r="B5" s="284" t="inlineStr">
        <is>
          <t>黄金圣树</t>
        </is>
      </c>
      <c r="C5" s="284" t="inlineStr">
        <is>
          <t>黄金圣树·律法</t>
        </is>
      </c>
      <c r="D5" s="284" t="n">
        <v>4</v>
      </c>
      <c r="E5" s="284" t="n">
        <v>6501</v>
      </c>
      <c r="F5" s="284" t="n">
        <v>6502</v>
      </c>
      <c r="G5" s="284" t="n">
        <v>6503</v>
      </c>
      <c r="H5" s="284" t="n">
        <v>6504</v>
      </c>
      <c r="I5" s="284" t="n">
        <v>6505</v>
      </c>
      <c r="J5" s="284" t="n">
        <v>6506</v>
      </c>
      <c r="K5" s="284" t="n">
        <v>6507</v>
      </c>
      <c r="L5" s="284" t="n">
        <v>6508</v>
      </c>
      <c r="M5" s="284" t="n">
        <v>6509</v>
      </c>
      <c r="N5" s="284" t="n">
        <v>6510</v>
      </c>
      <c r="O5" s="284" t="n">
        <v>6511</v>
      </c>
      <c r="P5" s="284" t="n">
        <v>6512</v>
      </c>
      <c r="Q5" s="284" t="n">
        <v>6513</v>
      </c>
      <c r="R5" s="284" t="n">
        <v>6514</v>
      </c>
      <c r="S5" s="284" t="n">
        <v>6515</v>
      </c>
      <c r="T5" s="284" t="n">
        <v>6516</v>
      </c>
      <c r="U5" s="284" t="n">
        <v>6517</v>
      </c>
      <c r="V5" s="284" t="n">
        <v>6518</v>
      </c>
      <c r="W5" s="284" t="n">
        <v>6519</v>
      </c>
      <c r="X5" s="284" t="n">
        <v>6520</v>
      </c>
      <c r="Y5" s="284" t="n">
        <v>6521</v>
      </c>
      <c r="Z5" s="284" t="n">
        <v>6522</v>
      </c>
      <c r="AA5" s="284" t="n">
        <v>6523</v>
      </c>
      <c r="AB5" s="284" t="n">
        <v>6524</v>
      </c>
      <c r="AC5" s="284" t="n">
        <v>6525</v>
      </c>
      <c r="AD5" s="284" t="n">
        <v>6526</v>
      </c>
      <c r="AE5" s="284" t="n">
        <v>6527</v>
      </c>
      <c r="AF5" s="284" t="n">
        <v>6528</v>
      </c>
      <c r="AG5" s="284" t="n">
        <v>6529</v>
      </c>
      <c r="AH5" s="284" t="n">
        <v>6530</v>
      </c>
      <c r="AI5" s="284" t="n">
        <v>6531</v>
      </c>
      <c r="AJ5" s="284" t="n">
        <v>6532</v>
      </c>
      <c r="AK5" s="284" t="n">
        <v>6533</v>
      </c>
      <c r="AL5" s="284" t="n">
        <v>6534</v>
      </c>
      <c r="AM5" s="284" t="n">
        <v>6535</v>
      </c>
      <c r="AN5" s="284" t="n">
        <v>17</v>
      </c>
      <c r="AO5" s="284" t="n">
        <v>4</v>
      </c>
      <c r="AP5" s="284" t="n">
        <v>4</v>
      </c>
      <c r="AQ5" s="285" t="inlineStr">
        <is>
          <t>6501-6535</t>
        </is>
      </c>
    </row>
    <row r="6" ht="22" customHeight="1">
      <c r="A6" s="283" t="n">
        <v>5</v>
      </c>
      <c r="B6" s="284" t="inlineStr">
        <is>
          <t>黄金圣树</t>
        </is>
      </c>
      <c r="C6" s="284" t="inlineStr">
        <is>
          <t>黄金圣树·永恒</t>
        </is>
      </c>
      <c r="D6" s="284" t="n">
        <v>5</v>
      </c>
      <c r="E6" s="284" t="n">
        <v>6536</v>
      </c>
      <c r="F6" s="284" t="n">
        <v>6537</v>
      </c>
      <c r="G6" s="284" t="n">
        <v>6538</v>
      </c>
      <c r="H6" s="284" t="n">
        <v>6539</v>
      </c>
      <c r="I6" s="284" t="n">
        <v>6540</v>
      </c>
      <c r="J6" s="284" t="n">
        <v>6541</v>
      </c>
      <c r="K6" s="284" t="n">
        <v>6542</v>
      </c>
      <c r="L6" s="284" t="n">
        <v>6543</v>
      </c>
      <c r="M6" s="284" t="n">
        <v>6544</v>
      </c>
      <c r="N6" s="284" t="n">
        <v>6545</v>
      </c>
      <c r="O6" s="284" t="n">
        <v>6546</v>
      </c>
      <c r="P6" s="284" t="n">
        <v>6547</v>
      </c>
      <c r="Q6" s="284" t="n">
        <v>6548</v>
      </c>
      <c r="R6" s="284" t="n">
        <v>6549</v>
      </c>
      <c r="S6" s="284" t="n">
        <v>6550</v>
      </c>
      <c r="T6" s="284" t="n">
        <v>6551</v>
      </c>
      <c r="U6" s="284" t="n">
        <v>6552</v>
      </c>
      <c r="V6" s="284" t="n">
        <v>6553</v>
      </c>
      <c r="W6" s="284" t="n">
        <v>6554</v>
      </c>
      <c r="X6" s="284" t="n">
        <v>6555</v>
      </c>
      <c r="Y6" s="284" t="n">
        <v>6556</v>
      </c>
      <c r="Z6" s="284" t="n">
        <v>6557</v>
      </c>
      <c r="AA6" s="284" t="n">
        <v>6558</v>
      </c>
      <c r="AB6" s="284" t="n">
        <v>6559</v>
      </c>
      <c r="AC6" s="284" t="n">
        <v>6560</v>
      </c>
      <c r="AD6" s="284" t="n">
        <v>6561</v>
      </c>
      <c r="AE6" s="284" t="n">
        <v>6562</v>
      </c>
      <c r="AF6" s="284" t="n">
        <v>6563</v>
      </c>
      <c r="AG6" s="284" t="n">
        <v>6564</v>
      </c>
      <c r="AH6" s="284" t="n">
        <v>6565</v>
      </c>
      <c r="AI6" s="284" t="n">
        <v>6566</v>
      </c>
      <c r="AJ6" s="284" t="n">
        <v>6567</v>
      </c>
      <c r="AK6" s="284" t="n">
        <v>6568</v>
      </c>
      <c r="AL6" s="284" t="n">
        <v>6569</v>
      </c>
      <c r="AM6" s="284" t="n">
        <v>6570</v>
      </c>
      <c r="AN6" s="284" t="n">
        <v>20</v>
      </c>
      <c r="AO6" s="284" t="n">
        <v>5</v>
      </c>
      <c r="AP6" s="284" t="n">
        <v>5</v>
      </c>
      <c r="AQ6" s="285" t="inlineStr">
        <is>
          <t>6536-6570</t>
        </is>
      </c>
    </row>
    <row r="7" ht="22" customHeight="1">
      <c r="A7" s="283" t="n">
        <v>6</v>
      </c>
      <c r="B7" s="284" t="inlineStr">
        <is>
          <t>血月荆棘</t>
        </is>
      </c>
      <c r="C7" s="284" t="inlineStr">
        <is>
          <t>血月荆棘·血痕</t>
        </is>
      </c>
      <c r="D7" s="284" t="n">
        <v>1</v>
      </c>
      <c r="E7" s="284" t="n">
        <v>6571</v>
      </c>
      <c r="F7" s="284" t="n">
        <v>6572</v>
      </c>
      <c r="G7" s="284" t="n">
        <v>6573</v>
      </c>
      <c r="H7" s="284" t="n">
        <v>6574</v>
      </c>
      <c r="I7" s="284" t="n">
        <v>6575</v>
      </c>
      <c r="J7" s="284" t="n">
        <v>6576</v>
      </c>
      <c r="K7" s="284" t="n">
        <v>6577</v>
      </c>
      <c r="L7" s="284" t="n">
        <v>6578</v>
      </c>
      <c r="M7" s="284" t="n">
        <v>6579</v>
      </c>
      <c r="N7" s="284" t="n">
        <v>6580</v>
      </c>
      <c r="O7" s="284" t="n">
        <v>6581</v>
      </c>
      <c r="P7" s="284" t="n">
        <v>6582</v>
      </c>
      <c r="Q7" s="284" t="n">
        <v>6583</v>
      </c>
      <c r="R7" s="284" t="n">
        <v>6584</v>
      </c>
      <c r="S7" s="284" t="n">
        <v>6585</v>
      </c>
      <c r="T7" s="284" t="n">
        <v>6586</v>
      </c>
      <c r="U7" s="284" t="n">
        <v>6587</v>
      </c>
      <c r="V7" s="284" t="n">
        <v>6588</v>
      </c>
      <c r="W7" s="284" t="n">
        <v>6589</v>
      </c>
      <c r="X7" s="284" t="n">
        <v>6590</v>
      </c>
      <c r="Y7" s="284" t="n">
        <v>6591</v>
      </c>
      <c r="Z7" s="284" t="n">
        <v>6592</v>
      </c>
      <c r="AA7" s="284" t="n">
        <v>6593</v>
      </c>
      <c r="AB7" s="284" t="n">
        <v>6594</v>
      </c>
      <c r="AC7" s="284" t="n">
        <v>6595</v>
      </c>
      <c r="AD7" s="284" t="n">
        <v>6596</v>
      </c>
      <c r="AE7" s="284" t="n">
        <v>6597</v>
      </c>
      <c r="AF7" s="284" t="n">
        <v>6598</v>
      </c>
      <c r="AG7" s="284" t="n">
        <v>6599</v>
      </c>
      <c r="AH7" s="284" t="n">
        <v>6600</v>
      </c>
      <c r="AI7" s="284" t="n">
        <v>6601</v>
      </c>
      <c r="AJ7" s="284" t="n">
        <v>6602</v>
      </c>
      <c r="AK7" s="284" t="n">
        <v>6603</v>
      </c>
      <c r="AL7" s="284" t="n">
        <v>6604</v>
      </c>
      <c r="AM7" s="284" t="n">
        <v>6605</v>
      </c>
      <c r="AN7" s="284" t="n">
        <v>21</v>
      </c>
      <c r="AO7" s="284" t="n">
        <v>6</v>
      </c>
      <c r="AP7" s="284" t="n">
        <v>6</v>
      </c>
      <c r="AQ7" s="285" t="inlineStr">
        <is>
          <t>6571-6605</t>
        </is>
      </c>
    </row>
    <row r="8" ht="22" customHeight="1">
      <c r="A8" s="283" t="n">
        <v>7</v>
      </c>
      <c r="B8" s="284" t="inlineStr">
        <is>
          <t>血月荆棘</t>
        </is>
      </c>
      <c r="C8" s="284" t="inlineStr">
        <is>
          <t>血月荆棘·荆冠</t>
        </is>
      </c>
      <c r="D8" s="284" t="n">
        <v>2</v>
      </c>
      <c r="E8" s="284" t="n">
        <v>6606</v>
      </c>
      <c r="F8" s="284" t="n">
        <v>6607</v>
      </c>
      <c r="G8" s="284" t="n">
        <v>6608</v>
      </c>
      <c r="H8" s="284" t="n">
        <v>6609</v>
      </c>
      <c r="I8" s="284" t="n">
        <v>6610</v>
      </c>
      <c r="J8" s="284" t="n">
        <v>6611</v>
      </c>
      <c r="K8" s="284" t="n">
        <v>6612</v>
      </c>
      <c r="L8" s="284" t="n">
        <v>6613</v>
      </c>
      <c r="M8" s="284" t="n">
        <v>6614</v>
      </c>
      <c r="N8" s="284" t="n">
        <v>6615</v>
      </c>
      <c r="O8" s="284" t="n">
        <v>6616</v>
      </c>
      <c r="P8" s="284" t="n">
        <v>6617</v>
      </c>
      <c r="Q8" s="284" t="n">
        <v>6618</v>
      </c>
      <c r="R8" s="284" t="n">
        <v>6619</v>
      </c>
      <c r="S8" s="284" t="n">
        <v>6620</v>
      </c>
      <c r="T8" s="284" t="n">
        <v>6621</v>
      </c>
      <c r="U8" s="284" t="n">
        <v>6622</v>
      </c>
      <c r="V8" s="284" t="n">
        <v>6623</v>
      </c>
      <c r="W8" s="284" t="n">
        <v>6624</v>
      </c>
      <c r="X8" s="284" t="n">
        <v>6625</v>
      </c>
      <c r="Y8" s="284" t="n">
        <v>6626</v>
      </c>
      <c r="Z8" s="284" t="n">
        <v>6627</v>
      </c>
      <c r="AA8" s="284" t="n">
        <v>6628</v>
      </c>
      <c r="AB8" s="284" t="n">
        <v>6629</v>
      </c>
      <c r="AC8" s="284" t="n">
        <v>6630</v>
      </c>
      <c r="AD8" s="284" t="n">
        <v>6631</v>
      </c>
      <c r="AE8" s="284" t="n">
        <v>6632</v>
      </c>
      <c r="AF8" s="284" t="n">
        <v>6633</v>
      </c>
      <c r="AG8" s="284" t="n">
        <v>6634</v>
      </c>
      <c r="AH8" s="284" t="n">
        <v>6635</v>
      </c>
      <c r="AI8" s="284" t="n">
        <v>6636</v>
      </c>
      <c r="AJ8" s="284" t="n">
        <v>6637</v>
      </c>
      <c r="AK8" s="284" t="n">
        <v>6638</v>
      </c>
      <c r="AL8" s="284" t="n">
        <v>6639</v>
      </c>
      <c r="AM8" s="284" t="n">
        <v>6640</v>
      </c>
      <c r="AN8" s="284" t="n">
        <v>22</v>
      </c>
      <c r="AO8" s="284" t="n">
        <v>7</v>
      </c>
      <c r="AP8" s="284" t="n">
        <v>7</v>
      </c>
      <c r="AQ8" s="285" t="inlineStr">
        <is>
          <t>6606-6640</t>
        </is>
      </c>
    </row>
    <row r="9" ht="22" customHeight="1">
      <c r="A9" s="283" t="n">
        <v>8</v>
      </c>
      <c r="B9" s="284" t="inlineStr">
        <is>
          <t>血月荆棘</t>
        </is>
      </c>
      <c r="C9" s="284" t="inlineStr">
        <is>
          <t>血月荆棘·猩月</t>
        </is>
      </c>
      <c r="D9" s="284" t="n">
        <v>3</v>
      </c>
      <c r="E9" s="284" t="n">
        <v>6641</v>
      </c>
      <c r="F9" s="284" t="n">
        <v>6642</v>
      </c>
      <c r="G9" s="284" t="n">
        <v>6643</v>
      </c>
      <c r="H9" s="284" t="n">
        <v>6644</v>
      </c>
      <c r="I9" s="284" t="n">
        <v>6645</v>
      </c>
      <c r="J9" s="284" t="n">
        <v>6646</v>
      </c>
      <c r="K9" s="284" t="n">
        <v>6647</v>
      </c>
      <c r="L9" s="284" t="n">
        <v>6648</v>
      </c>
      <c r="M9" s="284" t="n">
        <v>6649</v>
      </c>
      <c r="N9" s="284" t="n">
        <v>6650</v>
      </c>
      <c r="O9" s="284" t="n">
        <v>6651</v>
      </c>
      <c r="P9" s="284" t="n">
        <v>6652</v>
      </c>
      <c r="Q9" s="284" t="n">
        <v>6653</v>
      </c>
      <c r="R9" s="284" t="n">
        <v>6654</v>
      </c>
      <c r="S9" s="284" t="n">
        <v>6655</v>
      </c>
      <c r="T9" s="284" t="n">
        <v>6656</v>
      </c>
      <c r="U9" s="284" t="n">
        <v>6657</v>
      </c>
      <c r="V9" s="284" t="n">
        <v>6658</v>
      </c>
      <c r="W9" s="284" t="n">
        <v>6659</v>
      </c>
      <c r="X9" s="284" t="n">
        <v>6660</v>
      </c>
      <c r="Y9" s="284" t="n">
        <v>6661</v>
      </c>
      <c r="Z9" s="284" t="n">
        <v>6662</v>
      </c>
      <c r="AA9" s="284" t="n">
        <v>6663</v>
      </c>
      <c r="AB9" s="284" t="n">
        <v>6664</v>
      </c>
      <c r="AC9" s="284" t="n">
        <v>6665</v>
      </c>
      <c r="AD9" s="284" t="n">
        <v>6666</v>
      </c>
      <c r="AE9" s="284" t="n">
        <v>6667</v>
      </c>
      <c r="AF9" s="284" t="n">
        <v>6668</v>
      </c>
      <c r="AG9" s="284" t="n">
        <v>6669</v>
      </c>
      <c r="AH9" s="284" t="n">
        <v>6670</v>
      </c>
      <c r="AI9" s="284" t="n">
        <v>6671</v>
      </c>
      <c r="AJ9" s="284" t="n">
        <v>6672</v>
      </c>
      <c r="AK9" s="284" t="n">
        <v>6673</v>
      </c>
      <c r="AL9" s="284" t="n">
        <v>6674</v>
      </c>
      <c r="AM9" s="284" t="n">
        <v>6675</v>
      </c>
      <c r="AN9" s="284" t="n">
        <v>23</v>
      </c>
      <c r="AO9" s="284" t="n">
        <v>8</v>
      </c>
      <c r="AP9" s="284" t="n">
        <v>8</v>
      </c>
      <c r="AQ9" s="285" t="inlineStr">
        <is>
          <t>6641-6675</t>
        </is>
      </c>
    </row>
    <row r="10" ht="22" customHeight="1">
      <c r="A10" s="283" t="n">
        <v>9</v>
      </c>
      <c r="B10" s="284" t="inlineStr">
        <is>
          <t>血月荆棘</t>
        </is>
      </c>
      <c r="C10" s="284" t="inlineStr">
        <is>
          <t>血月荆棘·弑王</t>
        </is>
      </c>
      <c r="D10" s="284" t="n">
        <v>4</v>
      </c>
      <c r="E10" s="284" t="n">
        <v>6676</v>
      </c>
      <c r="F10" s="284" t="n">
        <v>6677</v>
      </c>
      <c r="G10" s="284" t="n">
        <v>6678</v>
      </c>
      <c r="H10" s="284" t="n">
        <v>6679</v>
      </c>
      <c r="I10" s="284" t="n">
        <v>6680</v>
      </c>
      <c r="J10" s="284" t="n">
        <v>6681</v>
      </c>
      <c r="K10" s="284" t="n">
        <v>6682</v>
      </c>
      <c r="L10" s="284" t="n">
        <v>6683</v>
      </c>
      <c r="M10" s="284" t="n">
        <v>6684</v>
      </c>
      <c r="N10" s="284" t="n">
        <v>6685</v>
      </c>
      <c r="O10" s="284" t="n">
        <v>6686</v>
      </c>
      <c r="P10" s="284" t="n">
        <v>6687</v>
      </c>
      <c r="Q10" s="284" t="n">
        <v>6688</v>
      </c>
      <c r="R10" s="284" t="n">
        <v>6689</v>
      </c>
      <c r="S10" s="284" t="n">
        <v>6690</v>
      </c>
      <c r="T10" s="284" t="n">
        <v>6691</v>
      </c>
      <c r="U10" s="284" t="n">
        <v>6692</v>
      </c>
      <c r="V10" s="284" t="n">
        <v>6693</v>
      </c>
      <c r="W10" s="284" t="n">
        <v>6694</v>
      </c>
      <c r="X10" s="284" t="n">
        <v>6695</v>
      </c>
      <c r="Y10" s="284" t="n">
        <v>6696</v>
      </c>
      <c r="Z10" s="284" t="n">
        <v>6697</v>
      </c>
      <c r="AA10" s="284" t="n">
        <v>6698</v>
      </c>
      <c r="AB10" s="284" t="n">
        <v>6699</v>
      </c>
      <c r="AC10" s="284" t="n">
        <v>6700</v>
      </c>
      <c r="AD10" s="284" t="n">
        <v>6701</v>
      </c>
      <c r="AE10" s="284" t="n">
        <v>6702</v>
      </c>
      <c r="AF10" s="284" t="n">
        <v>6703</v>
      </c>
      <c r="AG10" s="284" t="n">
        <v>6704</v>
      </c>
      <c r="AH10" s="284" t="n">
        <v>6705</v>
      </c>
      <c r="AI10" s="284" t="n">
        <v>6706</v>
      </c>
      <c r="AJ10" s="284" t="n">
        <v>6707</v>
      </c>
      <c r="AK10" s="284" t="n">
        <v>6708</v>
      </c>
      <c r="AL10" s="284" t="n">
        <v>6709</v>
      </c>
      <c r="AM10" s="284" t="n">
        <v>6710</v>
      </c>
      <c r="AN10" s="284" t="n">
        <v>24</v>
      </c>
      <c r="AO10" s="284" t="n">
        <v>1</v>
      </c>
      <c r="AP10" s="284" t="n">
        <v>1</v>
      </c>
      <c r="AQ10" s="285" t="inlineStr">
        <is>
          <t>6676-6710</t>
        </is>
      </c>
    </row>
    <row r="11" ht="22" customHeight="1">
      <c r="A11" s="283" t="n">
        <v>10</v>
      </c>
      <c r="B11" s="284" t="inlineStr">
        <is>
          <t>血月荆棘</t>
        </is>
      </c>
      <c r="C11" s="284" t="inlineStr">
        <is>
          <t>血月荆棘·血月</t>
        </is>
      </c>
      <c r="D11" s="284" t="n">
        <v>5</v>
      </c>
      <c r="E11" s="284" t="n">
        <v>6711</v>
      </c>
      <c r="F11" s="284" t="n">
        <v>6712</v>
      </c>
      <c r="G11" s="284" t="n">
        <v>6713</v>
      </c>
      <c r="H11" s="284" t="n">
        <v>6714</v>
      </c>
      <c r="I11" s="284" t="n">
        <v>6715</v>
      </c>
      <c r="J11" s="284" t="n">
        <v>6716</v>
      </c>
      <c r="K11" s="284" t="n">
        <v>6717</v>
      </c>
      <c r="L11" s="284" t="n">
        <v>6718</v>
      </c>
      <c r="M11" s="284" t="n">
        <v>6719</v>
      </c>
      <c r="N11" s="284" t="n">
        <v>6720</v>
      </c>
      <c r="O11" s="284" t="n">
        <v>6721</v>
      </c>
      <c r="P11" s="284" t="n">
        <v>6722</v>
      </c>
      <c r="Q11" s="284" t="n">
        <v>6723</v>
      </c>
      <c r="R11" s="284" t="n">
        <v>6724</v>
      </c>
      <c r="S11" s="284" t="n">
        <v>6725</v>
      </c>
      <c r="T11" s="284" t="n">
        <v>6726</v>
      </c>
      <c r="U11" s="284" t="n">
        <v>6727</v>
      </c>
      <c r="V11" s="284" t="n">
        <v>6728</v>
      </c>
      <c r="W11" s="284" t="n">
        <v>6729</v>
      </c>
      <c r="X11" s="284" t="n">
        <v>6730</v>
      </c>
      <c r="Y11" s="284" t="n">
        <v>6731</v>
      </c>
      <c r="Z11" s="284" t="n">
        <v>6732</v>
      </c>
      <c r="AA11" s="284" t="n">
        <v>6733</v>
      </c>
      <c r="AB11" s="284" t="n">
        <v>6734</v>
      </c>
      <c r="AC11" s="284" t="n">
        <v>6735</v>
      </c>
      <c r="AD11" s="284" t="n">
        <v>6736</v>
      </c>
      <c r="AE11" s="284" t="n">
        <v>6737</v>
      </c>
      <c r="AF11" s="284" t="n">
        <v>6738</v>
      </c>
      <c r="AG11" s="284" t="n">
        <v>6739</v>
      </c>
      <c r="AH11" s="284" t="n">
        <v>6740</v>
      </c>
      <c r="AI11" s="284" t="n">
        <v>6741</v>
      </c>
      <c r="AJ11" s="284" t="n">
        <v>6742</v>
      </c>
      <c r="AK11" s="284" t="n">
        <v>6743</v>
      </c>
      <c r="AL11" s="284" t="n">
        <v>6744</v>
      </c>
      <c r="AM11" s="284" t="n">
        <v>6745</v>
      </c>
      <c r="AN11" s="284" t="n">
        <v>25</v>
      </c>
      <c r="AO11" s="284" t="n">
        <v>2</v>
      </c>
      <c r="AP11" s="284" t="n">
        <v>2</v>
      </c>
      <c r="AQ11" s="285" t="inlineStr">
        <is>
          <t>6711-6745</t>
        </is>
      </c>
    </row>
    <row r="12" ht="22" customHeight="1">
      <c r="A12" s="283" t="n">
        <v>11</v>
      </c>
      <c r="B12" s="284" t="inlineStr">
        <is>
          <t>星渊龙息</t>
        </is>
      </c>
      <c r="C12" s="284" t="inlineStr">
        <is>
          <t>星渊龙息·星痕</t>
        </is>
      </c>
      <c r="D12" s="284" t="n">
        <v>1</v>
      </c>
      <c r="E12" s="284" t="n">
        <v>6746</v>
      </c>
      <c r="F12" s="284" t="n">
        <v>6747</v>
      </c>
      <c r="G12" s="284" t="n">
        <v>6748</v>
      </c>
      <c r="H12" s="284" t="n">
        <v>6749</v>
      </c>
      <c r="I12" s="284" t="n">
        <v>6750</v>
      </c>
      <c r="J12" s="284" t="n">
        <v>6751</v>
      </c>
      <c r="K12" s="284" t="n">
        <v>6752</v>
      </c>
      <c r="L12" s="284" t="n">
        <v>6753</v>
      </c>
      <c r="M12" s="284" t="n">
        <v>6754</v>
      </c>
      <c r="N12" s="284" t="n">
        <v>6755</v>
      </c>
      <c r="O12" s="284" t="n">
        <v>6756</v>
      </c>
      <c r="P12" s="284" t="n">
        <v>6757</v>
      </c>
      <c r="Q12" s="284" t="n">
        <v>6758</v>
      </c>
      <c r="R12" s="284" t="n">
        <v>6759</v>
      </c>
      <c r="S12" s="284" t="n">
        <v>6760</v>
      </c>
      <c r="T12" s="284" t="n">
        <v>6761</v>
      </c>
      <c r="U12" s="284" t="n">
        <v>6762</v>
      </c>
      <c r="V12" s="284" t="n">
        <v>6763</v>
      </c>
      <c r="W12" s="284" t="n">
        <v>6764</v>
      </c>
      <c r="X12" s="284" t="n">
        <v>6765</v>
      </c>
      <c r="Y12" s="284" t="n">
        <v>6766</v>
      </c>
      <c r="Z12" s="284" t="n">
        <v>6767</v>
      </c>
      <c r="AA12" s="284" t="n">
        <v>6768</v>
      </c>
      <c r="AB12" s="284" t="n">
        <v>6769</v>
      </c>
      <c r="AC12" s="284" t="n">
        <v>6770</v>
      </c>
      <c r="AD12" s="284" t="n">
        <v>6771</v>
      </c>
      <c r="AE12" s="284" t="n">
        <v>6772</v>
      </c>
      <c r="AF12" s="284" t="n">
        <v>6773</v>
      </c>
      <c r="AG12" s="284" t="n">
        <v>6774</v>
      </c>
      <c r="AH12" s="284" t="n">
        <v>6775</v>
      </c>
      <c r="AI12" s="284" t="n">
        <v>6776</v>
      </c>
      <c r="AJ12" s="284" t="n">
        <v>6777</v>
      </c>
      <c r="AK12" s="284" t="n">
        <v>6778</v>
      </c>
      <c r="AL12" s="284" t="n">
        <v>6779</v>
      </c>
      <c r="AM12" s="284" t="n">
        <v>6780</v>
      </c>
      <c r="AN12" s="284" t="n">
        <v>26</v>
      </c>
      <c r="AO12" s="284" t="n">
        <v>3</v>
      </c>
      <c r="AP12" s="284" t="n">
        <v>3</v>
      </c>
      <c r="AQ12" s="285" t="inlineStr">
        <is>
          <t>6746-6780</t>
        </is>
      </c>
    </row>
    <row r="13" ht="22" customHeight="1">
      <c r="A13" s="283" t="n">
        <v>12</v>
      </c>
      <c r="B13" s="284" t="inlineStr">
        <is>
          <t>星渊龙息</t>
        </is>
      </c>
      <c r="C13" s="284" t="inlineStr">
        <is>
          <t>星渊龙息·龙鳞</t>
        </is>
      </c>
      <c r="D13" s="284" t="n">
        <v>2</v>
      </c>
      <c r="E13" s="284" t="n">
        <v>6781</v>
      </c>
      <c r="F13" s="284" t="n">
        <v>6782</v>
      </c>
      <c r="G13" s="284" t="n">
        <v>6783</v>
      </c>
      <c r="H13" s="284" t="n">
        <v>6784</v>
      </c>
      <c r="I13" s="284" t="n">
        <v>6785</v>
      </c>
      <c r="J13" s="284" t="n">
        <v>6786</v>
      </c>
      <c r="K13" s="284" t="n">
        <v>6787</v>
      </c>
      <c r="L13" s="284" t="n">
        <v>6788</v>
      </c>
      <c r="M13" s="284" t="n">
        <v>6789</v>
      </c>
      <c r="N13" s="284" t="n">
        <v>6790</v>
      </c>
      <c r="O13" s="284" t="n">
        <v>6791</v>
      </c>
      <c r="P13" s="284" t="n">
        <v>6792</v>
      </c>
      <c r="Q13" s="284" t="n">
        <v>6793</v>
      </c>
      <c r="R13" s="284" t="n">
        <v>6794</v>
      </c>
      <c r="S13" s="284" t="n">
        <v>6795</v>
      </c>
      <c r="T13" s="284" t="n">
        <v>6796</v>
      </c>
      <c r="U13" s="284" t="n">
        <v>6797</v>
      </c>
      <c r="V13" s="284" t="n">
        <v>6798</v>
      </c>
      <c r="W13" s="284" t="n">
        <v>6799</v>
      </c>
      <c r="X13" s="284" t="n">
        <v>6800</v>
      </c>
      <c r="Y13" s="284" t="n">
        <v>6801</v>
      </c>
      <c r="Z13" s="284" t="n">
        <v>6802</v>
      </c>
      <c r="AA13" s="284" t="n">
        <v>6803</v>
      </c>
      <c r="AB13" s="284" t="n">
        <v>6804</v>
      </c>
      <c r="AC13" s="284" t="n">
        <v>6805</v>
      </c>
      <c r="AD13" s="284" t="n">
        <v>6806</v>
      </c>
      <c r="AE13" s="284" t="n">
        <v>6807</v>
      </c>
      <c r="AF13" s="284" t="n">
        <v>6808</v>
      </c>
      <c r="AG13" s="284" t="n">
        <v>6809</v>
      </c>
      <c r="AH13" s="284" t="n">
        <v>6810</v>
      </c>
      <c r="AI13" s="284" t="n">
        <v>6811</v>
      </c>
      <c r="AJ13" s="284" t="n">
        <v>6812</v>
      </c>
      <c r="AK13" s="284" t="n">
        <v>6813</v>
      </c>
      <c r="AL13" s="284" t="n">
        <v>6814</v>
      </c>
      <c r="AM13" s="284" t="n">
        <v>6815</v>
      </c>
      <c r="AN13" s="284" t="n">
        <v>27</v>
      </c>
      <c r="AO13" s="284" t="n">
        <v>4</v>
      </c>
      <c r="AP13" s="284" t="n">
        <v>4</v>
      </c>
      <c r="AQ13" s="285" t="inlineStr">
        <is>
          <t>6781-6815</t>
        </is>
      </c>
    </row>
    <row r="14" ht="22" customHeight="1">
      <c r="A14" s="283" t="n">
        <v>13</v>
      </c>
      <c r="B14" s="284" t="inlineStr">
        <is>
          <t>星渊龙息</t>
        </is>
      </c>
      <c r="C14" s="284" t="inlineStr">
        <is>
          <t>星渊龙息·渊辉</t>
        </is>
      </c>
      <c r="D14" s="284" t="n">
        <v>3</v>
      </c>
      <c r="E14" s="284" t="n">
        <v>6816</v>
      </c>
      <c r="F14" s="284" t="n">
        <v>6817</v>
      </c>
      <c r="G14" s="284" t="n">
        <v>6818</v>
      </c>
      <c r="H14" s="284" t="n">
        <v>6819</v>
      </c>
      <c r="I14" s="284" t="n">
        <v>6820</v>
      </c>
      <c r="J14" s="284" t="n">
        <v>6821</v>
      </c>
      <c r="K14" s="284" t="n">
        <v>6822</v>
      </c>
      <c r="L14" s="284" t="n">
        <v>6823</v>
      </c>
      <c r="M14" s="284" t="n">
        <v>6824</v>
      </c>
      <c r="N14" s="284" t="n">
        <v>6825</v>
      </c>
      <c r="O14" s="284" t="n">
        <v>6826</v>
      </c>
      <c r="P14" s="284" t="n">
        <v>6827</v>
      </c>
      <c r="Q14" s="284" t="n">
        <v>6828</v>
      </c>
      <c r="R14" s="284" t="n">
        <v>6829</v>
      </c>
      <c r="S14" s="284" t="n">
        <v>6830</v>
      </c>
      <c r="T14" s="284" t="n">
        <v>6831</v>
      </c>
      <c r="U14" s="284" t="n">
        <v>6832</v>
      </c>
      <c r="V14" s="284" t="n">
        <v>6833</v>
      </c>
      <c r="W14" s="284" t="n">
        <v>6834</v>
      </c>
      <c r="X14" s="284" t="n">
        <v>6835</v>
      </c>
      <c r="Y14" s="284" t="n">
        <v>6836</v>
      </c>
      <c r="Z14" s="284" t="n">
        <v>6837</v>
      </c>
      <c r="AA14" s="284" t="n">
        <v>6838</v>
      </c>
      <c r="AB14" s="284" t="n">
        <v>6839</v>
      </c>
      <c r="AC14" s="284" t="n">
        <v>6840</v>
      </c>
      <c r="AD14" s="284" t="n">
        <v>6841</v>
      </c>
      <c r="AE14" s="284" t="n">
        <v>6842</v>
      </c>
      <c r="AF14" s="284" t="n">
        <v>6843</v>
      </c>
      <c r="AG14" s="284" t="n">
        <v>6844</v>
      </c>
      <c r="AH14" s="284" t="n">
        <v>6845</v>
      </c>
      <c r="AI14" s="284" t="n">
        <v>6846</v>
      </c>
      <c r="AJ14" s="284" t="n">
        <v>6847</v>
      </c>
      <c r="AK14" s="284" t="n">
        <v>6848</v>
      </c>
      <c r="AL14" s="284" t="n">
        <v>6849</v>
      </c>
      <c r="AM14" s="284" t="n">
        <v>6850</v>
      </c>
      <c r="AN14" s="284" t="n">
        <v>28</v>
      </c>
      <c r="AO14" s="284" t="n">
        <v>5</v>
      </c>
      <c r="AP14" s="284" t="n">
        <v>5</v>
      </c>
      <c r="AQ14" s="285" t="inlineStr">
        <is>
          <t>6816-6850</t>
        </is>
      </c>
    </row>
    <row r="15" ht="22" customHeight="1">
      <c r="A15" s="283" t="n">
        <v>14</v>
      </c>
      <c r="B15" s="284" t="inlineStr">
        <is>
          <t>星渊龙息</t>
        </is>
      </c>
      <c r="C15" s="284" t="inlineStr">
        <is>
          <t>星渊龙息·天穹</t>
        </is>
      </c>
      <c r="D15" s="284" t="n">
        <v>4</v>
      </c>
      <c r="E15" s="284" t="n">
        <v>6851</v>
      </c>
      <c r="F15" s="284" t="n">
        <v>6852</v>
      </c>
      <c r="G15" s="284" t="n">
        <v>6853</v>
      </c>
      <c r="H15" s="284" t="n">
        <v>6854</v>
      </c>
      <c r="I15" s="284" t="n">
        <v>6855</v>
      </c>
      <c r="J15" s="284" t="n">
        <v>6856</v>
      </c>
      <c r="K15" s="284" t="n">
        <v>6857</v>
      </c>
      <c r="L15" s="284" t="n">
        <v>6858</v>
      </c>
      <c r="M15" s="284" t="n">
        <v>6859</v>
      </c>
      <c r="N15" s="284" t="n">
        <v>6860</v>
      </c>
      <c r="O15" s="284" t="n">
        <v>6861</v>
      </c>
      <c r="P15" s="284" t="n">
        <v>6862</v>
      </c>
      <c r="Q15" s="284" t="n">
        <v>6863</v>
      </c>
      <c r="R15" s="284" t="n">
        <v>6864</v>
      </c>
      <c r="S15" s="284" t="n">
        <v>6865</v>
      </c>
      <c r="T15" s="284" t="n">
        <v>6866</v>
      </c>
      <c r="U15" s="284" t="n">
        <v>6867</v>
      </c>
      <c r="V15" s="284" t="n">
        <v>6868</v>
      </c>
      <c r="W15" s="284" t="n">
        <v>6869</v>
      </c>
      <c r="X15" s="284" t="n">
        <v>6870</v>
      </c>
      <c r="Y15" s="284" t="n">
        <v>6871</v>
      </c>
      <c r="Z15" s="284" t="n">
        <v>6872</v>
      </c>
      <c r="AA15" s="284" t="n">
        <v>6873</v>
      </c>
      <c r="AB15" s="284" t="n">
        <v>6874</v>
      </c>
      <c r="AC15" s="284" t="n">
        <v>6875</v>
      </c>
      <c r="AD15" s="284" t="n">
        <v>6876</v>
      </c>
      <c r="AE15" s="284" t="n">
        <v>6877</v>
      </c>
      <c r="AF15" s="284" t="n">
        <v>6878</v>
      </c>
      <c r="AG15" s="284" t="n">
        <v>6879</v>
      </c>
      <c r="AH15" s="284" t="n">
        <v>6880</v>
      </c>
      <c r="AI15" s="284" t="n">
        <v>6881</v>
      </c>
      <c r="AJ15" s="284" t="n">
        <v>6882</v>
      </c>
      <c r="AK15" s="284" t="n">
        <v>6883</v>
      </c>
      <c r="AL15" s="284" t="n">
        <v>6884</v>
      </c>
      <c r="AM15" s="284" t="n">
        <v>6885</v>
      </c>
      <c r="AN15" s="284" t="n">
        <v>29</v>
      </c>
      <c r="AO15" s="284" t="n">
        <v>6</v>
      </c>
      <c r="AP15" s="284" t="n">
        <v>6</v>
      </c>
      <c r="AQ15" s="285" t="inlineStr">
        <is>
          <t>6851-6885</t>
        </is>
      </c>
    </row>
    <row r="16" ht="22" customHeight="1">
      <c r="A16" s="283" t="n">
        <v>15</v>
      </c>
      <c r="B16" s="284" t="inlineStr">
        <is>
          <t>星渊龙息</t>
        </is>
      </c>
      <c r="C16" s="284" t="inlineStr">
        <is>
          <t>星渊龙息·无垠</t>
        </is>
      </c>
      <c r="D16" s="284" t="n">
        <v>5</v>
      </c>
      <c r="E16" s="284" t="n">
        <v>6886</v>
      </c>
      <c r="F16" s="284" t="n">
        <v>6887</v>
      </c>
      <c r="G16" s="284" t="n">
        <v>6888</v>
      </c>
      <c r="H16" s="284" t="n">
        <v>6889</v>
      </c>
      <c r="I16" s="284" t="n">
        <v>6890</v>
      </c>
      <c r="J16" s="284" t="n">
        <v>6891</v>
      </c>
      <c r="K16" s="284" t="n">
        <v>6892</v>
      </c>
      <c r="L16" s="284" t="n">
        <v>6893</v>
      </c>
      <c r="M16" s="284" t="n">
        <v>6894</v>
      </c>
      <c r="N16" s="284" t="n">
        <v>6895</v>
      </c>
      <c r="O16" s="284" t="n">
        <v>6896</v>
      </c>
      <c r="P16" s="284" t="n">
        <v>6897</v>
      </c>
      <c r="Q16" s="284" t="n">
        <v>6898</v>
      </c>
      <c r="R16" s="284" t="n">
        <v>6899</v>
      </c>
      <c r="S16" s="284" t="n">
        <v>6900</v>
      </c>
      <c r="T16" s="284" t="n">
        <v>6901</v>
      </c>
      <c r="U16" s="284" t="n">
        <v>6902</v>
      </c>
      <c r="V16" s="284" t="n">
        <v>6903</v>
      </c>
      <c r="W16" s="284" t="n">
        <v>6904</v>
      </c>
      <c r="X16" s="284" t="n">
        <v>6905</v>
      </c>
      <c r="Y16" s="284" t="n">
        <v>6906</v>
      </c>
      <c r="Z16" s="284" t="n">
        <v>6907</v>
      </c>
      <c r="AA16" s="284" t="n">
        <v>6908</v>
      </c>
      <c r="AB16" s="284" t="n">
        <v>6909</v>
      </c>
      <c r="AC16" s="284" t="n">
        <v>6910</v>
      </c>
      <c r="AD16" s="284" t="n">
        <v>6911</v>
      </c>
      <c r="AE16" s="284" t="n">
        <v>6912</v>
      </c>
      <c r="AF16" s="284" t="n">
        <v>6913</v>
      </c>
      <c r="AG16" s="284" t="n">
        <v>6914</v>
      </c>
      <c r="AH16" s="284" t="n">
        <v>6915</v>
      </c>
      <c r="AI16" s="284" t="n">
        <v>6916</v>
      </c>
      <c r="AJ16" s="284" t="n">
        <v>6917</v>
      </c>
      <c r="AK16" s="284" t="n">
        <v>6918</v>
      </c>
      <c r="AL16" s="284" t="n">
        <v>6919</v>
      </c>
      <c r="AM16" s="284" t="n">
        <v>6920</v>
      </c>
      <c r="AN16" s="284" t="n">
        <v>30</v>
      </c>
      <c r="AO16" s="284" t="n">
        <v>7</v>
      </c>
      <c r="AP16" s="284" t="n">
        <v>7</v>
      </c>
      <c r="AQ16" s="285" t="inlineStr">
        <is>
          <t>6886-6920</t>
        </is>
      </c>
    </row>
    <row r="17" ht="22" customHeight="1">
      <c r="A17" s="283" t="n">
        <v>16</v>
      </c>
      <c r="B17" s="284" t="inlineStr">
        <is>
          <t>翠焰冥契</t>
        </is>
      </c>
      <c r="C17" s="284" t="inlineStr">
        <is>
          <t>翠焰冥契·幽焰</t>
        </is>
      </c>
      <c r="D17" s="284" t="n">
        <v>1</v>
      </c>
      <c r="E17" s="284" t="n">
        <v>6921</v>
      </c>
      <c r="F17" s="284" t="n">
        <v>6922</v>
      </c>
      <c r="G17" s="284" t="n">
        <v>6923</v>
      </c>
      <c r="H17" s="284" t="n">
        <v>6924</v>
      </c>
      <c r="I17" s="284" t="n">
        <v>6925</v>
      </c>
      <c r="J17" s="284" t="n">
        <v>6926</v>
      </c>
      <c r="K17" s="284" t="n">
        <v>6927</v>
      </c>
      <c r="L17" s="284" t="n">
        <v>6928</v>
      </c>
      <c r="M17" s="284" t="n">
        <v>6929</v>
      </c>
      <c r="N17" s="284" t="n">
        <v>6930</v>
      </c>
      <c r="O17" s="284" t="n">
        <v>6931</v>
      </c>
      <c r="P17" s="284" t="n">
        <v>6932</v>
      </c>
      <c r="Q17" s="284" t="n">
        <v>6933</v>
      </c>
      <c r="R17" s="284" t="n">
        <v>6934</v>
      </c>
      <c r="S17" s="284" t="n">
        <v>6935</v>
      </c>
      <c r="T17" s="284" t="n">
        <v>6936</v>
      </c>
      <c r="U17" s="284" t="n">
        <v>6937</v>
      </c>
      <c r="V17" s="284" t="n">
        <v>6938</v>
      </c>
      <c r="W17" s="284" t="n">
        <v>6939</v>
      </c>
      <c r="X17" s="284" t="n">
        <v>6940</v>
      </c>
      <c r="Y17" s="284" t="n">
        <v>6941</v>
      </c>
      <c r="Z17" s="284" t="n">
        <v>6942</v>
      </c>
      <c r="AA17" s="284" t="n">
        <v>6943</v>
      </c>
      <c r="AB17" s="284" t="n">
        <v>6944</v>
      </c>
      <c r="AC17" s="284" t="n">
        <v>6945</v>
      </c>
      <c r="AD17" s="284" t="n">
        <v>6946</v>
      </c>
      <c r="AE17" s="284" t="n">
        <v>6947</v>
      </c>
      <c r="AF17" s="284" t="n">
        <v>6948</v>
      </c>
      <c r="AG17" s="284" t="n">
        <v>6949</v>
      </c>
      <c r="AH17" s="284" t="n">
        <v>6950</v>
      </c>
      <c r="AI17" s="284" t="n">
        <v>6951</v>
      </c>
      <c r="AJ17" s="284" t="n">
        <v>6952</v>
      </c>
      <c r="AK17" s="284" t="n">
        <v>6953</v>
      </c>
      <c r="AL17" s="284" t="n">
        <v>6954</v>
      </c>
      <c r="AM17" s="284" t="n">
        <v>6955</v>
      </c>
      <c r="AN17" s="284" t="n">
        <v>31</v>
      </c>
      <c r="AO17" s="284" t="n">
        <v>8</v>
      </c>
      <c r="AP17" s="284" t="n">
        <v>8</v>
      </c>
      <c r="AQ17" s="285" t="inlineStr">
        <is>
          <t>6921-6955</t>
        </is>
      </c>
    </row>
    <row r="18" ht="22" customHeight="1">
      <c r="A18" s="283" t="n">
        <v>17</v>
      </c>
      <c r="B18" s="284" t="inlineStr">
        <is>
          <t>翠焰冥契</t>
        </is>
      </c>
      <c r="C18" s="284" t="inlineStr">
        <is>
          <t>翠焰冥契·腐痕</t>
        </is>
      </c>
      <c r="D18" s="284" t="n">
        <v>2</v>
      </c>
      <c r="E18" s="284" t="n">
        <v>6956</v>
      </c>
      <c r="F18" s="284" t="n">
        <v>6957</v>
      </c>
      <c r="G18" s="284" t="n">
        <v>6958</v>
      </c>
      <c r="H18" s="284" t="n">
        <v>6959</v>
      </c>
      <c r="I18" s="284" t="n">
        <v>6960</v>
      </c>
      <c r="J18" s="284" t="n">
        <v>6961</v>
      </c>
      <c r="K18" s="284" t="n">
        <v>6962</v>
      </c>
      <c r="L18" s="284" t="n">
        <v>6963</v>
      </c>
      <c r="M18" s="284" t="n">
        <v>6964</v>
      </c>
      <c r="N18" s="284" t="n">
        <v>6965</v>
      </c>
      <c r="O18" s="284" t="n">
        <v>6966</v>
      </c>
      <c r="P18" s="284" t="n">
        <v>6967</v>
      </c>
      <c r="Q18" s="284" t="n">
        <v>6968</v>
      </c>
      <c r="R18" s="284" t="n">
        <v>6969</v>
      </c>
      <c r="S18" s="284" t="n">
        <v>6970</v>
      </c>
      <c r="T18" s="284" t="n">
        <v>6971</v>
      </c>
      <c r="U18" s="284" t="n">
        <v>6972</v>
      </c>
      <c r="V18" s="284" t="n">
        <v>6973</v>
      </c>
      <c r="W18" s="284" t="n">
        <v>6974</v>
      </c>
      <c r="X18" s="284" t="n">
        <v>6975</v>
      </c>
      <c r="Y18" s="284" t="n">
        <v>6976</v>
      </c>
      <c r="Z18" s="284" t="n">
        <v>6977</v>
      </c>
      <c r="AA18" s="284" t="n">
        <v>6978</v>
      </c>
      <c r="AB18" s="284" t="n">
        <v>6979</v>
      </c>
      <c r="AC18" s="284" t="n">
        <v>6980</v>
      </c>
      <c r="AD18" s="284" t="n">
        <v>6981</v>
      </c>
      <c r="AE18" s="284" t="n">
        <v>6982</v>
      </c>
      <c r="AF18" s="284" t="n">
        <v>6983</v>
      </c>
      <c r="AG18" s="284" t="n">
        <v>6984</v>
      </c>
      <c r="AH18" s="284" t="n">
        <v>6985</v>
      </c>
      <c r="AI18" s="284" t="n">
        <v>6986</v>
      </c>
      <c r="AJ18" s="284" t="n">
        <v>6987</v>
      </c>
      <c r="AK18" s="284" t="n">
        <v>6988</v>
      </c>
      <c r="AL18" s="284" t="n">
        <v>6989</v>
      </c>
      <c r="AM18" s="284" t="n">
        <v>6990</v>
      </c>
      <c r="AN18" s="284" t="n">
        <v>32</v>
      </c>
      <c r="AO18" s="284" t="n">
        <v>1</v>
      </c>
      <c r="AP18" s="284" t="n">
        <v>1</v>
      </c>
      <c r="AQ18" s="285" t="inlineStr">
        <is>
          <t>6956-6990</t>
        </is>
      </c>
    </row>
    <row r="19" ht="22" customHeight="1">
      <c r="A19" s="283" t="n">
        <v>18</v>
      </c>
      <c r="B19" s="284" t="inlineStr">
        <is>
          <t>翠焰冥契</t>
        </is>
      </c>
      <c r="C19" s="284" t="inlineStr">
        <is>
          <t>翠焰冥契·冥契</t>
        </is>
      </c>
      <c r="D19" s="284" t="n">
        <v>3</v>
      </c>
      <c r="E19" s="284" t="n">
        <v>6991</v>
      </c>
      <c r="F19" s="284" t="n">
        <v>6992</v>
      </c>
      <c r="G19" s="284" t="n">
        <v>6993</v>
      </c>
      <c r="H19" s="284" t="n">
        <v>6994</v>
      </c>
      <c r="I19" s="284" t="n">
        <v>6995</v>
      </c>
      <c r="J19" s="284" t="n">
        <v>6996</v>
      </c>
      <c r="K19" s="284" t="n">
        <v>6997</v>
      </c>
      <c r="L19" s="284" t="n">
        <v>6998</v>
      </c>
      <c r="M19" s="284" t="n">
        <v>6999</v>
      </c>
      <c r="N19" s="284" t="n">
        <v>7000</v>
      </c>
      <c r="O19" s="284" t="n">
        <v>7001</v>
      </c>
      <c r="P19" s="284" t="n">
        <v>7002</v>
      </c>
      <c r="Q19" s="284" t="n">
        <v>7003</v>
      </c>
      <c r="R19" s="284" t="n">
        <v>7004</v>
      </c>
      <c r="S19" s="284" t="n">
        <v>7005</v>
      </c>
      <c r="T19" s="284" t="n">
        <v>7006</v>
      </c>
      <c r="U19" s="284" t="n">
        <v>7007</v>
      </c>
      <c r="V19" s="284" t="n">
        <v>7008</v>
      </c>
      <c r="W19" s="284" t="n">
        <v>7009</v>
      </c>
      <c r="X19" s="284" t="n">
        <v>7010</v>
      </c>
      <c r="Y19" s="284" t="n">
        <v>7011</v>
      </c>
      <c r="Z19" s="284" t="n">
        <v>7012</v>
      </c>
      <c r="AA19" s="284" t="n">
        <v>7013</v>
      </c>
      <c r="AB19" s="284" t="n">
        <v>7014</v>
      </c>
      <c r="AC19" s="284" t="n">
        <v>7015</v>
      </c>
      <c r="AD19" s="284" t="n">
        <v>7016</v>
      </c>
      <c r="AE19" s="284" t="n">
        <v>7017</v>
      </c>
      <c r="AF19" s="284" t="n">
        <v>7018</v>
      </c>
      <c r="AG19" s="284" t="n">
        <v>7019</v>
      </c>
      <c r="AH19" s="284" t="n">
        <v>7020</v>
      </c>
      <c r="AI19" s="284" t="n">
        <v>7021</v>
      </c>
      <c r="AJ19" s="284" t="n">
        <v>7022</v>
      </c>
      <c r="AK19" s="284" t="n">
        <v>7023</v>
      </c>
      <c r="AL19" s="284" t="n">
        <v>7024</v>
      </c>
      <c r="AM19" s="284" t="n">
        <v>7025</v>
      </c>
      <c r="AN19" s="284" t="n">
        <v>33</v>
      </c>
      <c r="AO19" s="284" t="n">
        <v>2</v>
      </c>
      <c r="AP19" s="284" t="n">
        <v>2</v>
      </c>
      <c r="AQ19" s="285" t="inlineStr">
        <is>
          <t>6991-7025</t>
        </is>
      </c>
    </row>
    <row r="20" ht="22" customHeight="1">
      <c r="A20" s="283" t="n">
        <v>19</v>
      </c>
      <c r="B20" s="284" t="inlineStr">
        <is>
          <t>翠焰冥契</t>
        </is>
      </c>
      <c r="C20" s="284" t="inlineStr">
        <is>
          <t>翠焰冥契·灾厄</t>
        </is>
      </c>
      <c r="D20" s="284" t="n">
        <v>4</v>
      </c>
      <c r="E20" s="284" t="n">
        <v>7026</v>
      </c>
      <c r="F20" s="284" t="n">
        <v>7027</v>
      </c>
      <c r="G20" s="284" t="n">
        <v>7028</v>
      </c>
      <c r="H20" s="284" t="n">
        <v>7029</v>
      </c>
      <c r="I20" s="284" t="n">
        <v>7030</v>
      </c>
      <c r="J20" s="284" t="n">
        <v>7031</v>
      </c>
      <c r="K20" s="284" t="n">
        <v>7032</v>
      </c>
      <c r="L20" s="284" t="n">
        <v>7033</v>
      </c>
      <c r="M20" s="284" t="n">
        <v>7034</v>
      </c>
      <c r="N20" s="284" t="n">
        <v>7035</v>
      </c>
      <c r="O20" s="284" t="n">
        <v>7036</v>
      </c>
      <c r="P20" s="284" t="n">
        <v>7037</v>
      </c>
      <c r="Q20" s="284" t="n">
        <v>7038</v>
      </c>
      <c r="R20" s="284" t="n">
        <v>7039</v>
      </c>
      <c r="S20" s="284" t="n">
        <v>7040</v>
      </c>
      <c r="T20" s="284" t="n">
        <v>7041</v>
      </c>
      <c r="U20" s="284" t="n">
        <v>7042</v>
      </c>
      <c r="V20" s="284" t="n">
        <v>7043</v>
      </c>
      <c r="W20" s="284" t="n">
        <v>7044</v>
      </c>
      <c r="X20" s="284" t="n">
        <v>7045</v>
      </c>
      <c r="Y20" s="284" t="n">
        <v>7046</v>
      </c>
      <c r="Z20" s="284" t="n">
        <v>7047</v>
      </c>
      <c r="AA20" s="284" t="n">
        <v>7048</v>
      </c>
      <c r="AB20" s="284" t="n">
        <v>7049</v>
      </c>
      <c r="AC20" s="284" t="n">
        <v>7050</v>
      </c>
      <c r="AD20" s="284" t="n">
        <v>7051</v>
      </c>
      <c r="AE20" s="284" t="n">
        <v>7052</v>
      </c>
      <c r="AF20" s="284" t="n">
        <v>7053</v>
      </c>
      <c r="AG20" s="284" t="n">
        <v>7054</v>
      </c>
      <c r="AH20" s="284" t="n">
        <v>7055</v>
      </c>
      <c r="AI20" s="284" t="n">
        <v>7056</v>
      </c>
      <c r="AJ20" s="284" t="n">
        <v>7057</v>
      </c>
      <c r="AK20" s="284" t="n">
        <v>7058</v>
      </c>
      <c r="AL20" s="284" t="n">
        <v>7059</v>
      </c>
      <c r="AM20" s="284" t="n">
        <v>7060</v>
      </c>
      <c r="AN20" s="284" t="n">
        <v>12</v>
      </c>
      <c r="AO20" s="284" t="n">
        <v>3</v>
      </c>
      <c r="AP20" s="284" t="n">
        <v>3</v>
      </c>
      <c r="AQ20" s="285" t="inlineStr">
        <is>
          <t>7026-7060</t>
        </is>
      </c>
    </row>
    <row r="21" ht="22" customHeight="1">
      <c r="A21" s="286" t="n">
        <v>20</v>
      </c>
      <c r="B21" s="287" t="inlineStr">
        <is>
          <t>翠焰冥契</t>
        </is>
      </c>
      <c r="C21" s="287" t="inlineStr">
        <is>
          <t>翠焰冥契·永夜</t>
        </is>
      </c>
      <c r="D21" s="287" t="n">
        <v>5</v>
      </c>
      <c r="E21" s="287" t="n">
        <v>7061</v>
      </c>
      <c r="F21" s="287" t="n">
        <v>7062</v>
      </c>
      <c r="G21" s="287" t="n">
        <v>7063</v>
      </c>
      <c r="H21" s="287" t="n">
        <v>7064</v>
      </c>
      <c r="I21" s="287" t="n">
        <v>7065</v>
      </c>
      <c r="J21" s="287" t="n">
        <v>7066</v>
      </c>
      <c r="K21" s="287" t="n">
        <v>7067</v>
      </c>
      <c r="L21" s="287" t="n">
        <v>7068</v>
      </c>
      <c r="M21" s="287" t="n">
        <v>7069</v>
      </c>
      <c r="N21" s="287" t="n">
        <v>7070</v>
      </c>
      <c r="O21" s="287" t="n">
        <v>7071</v>
      </c>
      <c r="P21" s="287" t="n">
        <v>7072</v>
      </c>
      <c r="Q21" s="287" t="n">
        <v>7073</v>
      </c>
      <c r="R21" s="287" t="n">
        <v>7074</v>
      </c>
      <c r="S21" s="287" t="n">
        <v>7075</v>
      </c>
      <c r="T21" s="287" t="n">
        <v>7076</v>
      </c>
      <c r="U21" s="287" t="n">
        <v>7077</v>
      </c>
      <c r="V21" s="287" t="n">
        <v>7078</v>
      </c>
      <c r="W21" s="287" t="n">
        <v>7079</v>
      </c>
      <c r="X21" s="287" t="n">
        <v>7080</v>
      </c>
      <c r="Y21" s="287" t="n">
        <v>7081</v>
      </c>
      <c r="Z21" s="287" t="n">
        <v>7082</v>
      </c>
      <c r="AA21" s="287" t="n">
        <v>7083</v>
      </c>
      <c r="AB21" s="287" t="n">
        <v>7084</v>
      </c>
      <c r="AC21" s="287" t="n">
        <v>7085</v>
      </c>
      <c r="AD21" s="287" t="n">
        <v>7086</v>
      </c>
      <c r="AE21" s="287" t="n">
        <v>7087</v>
      </c>
      <c r="AF21" s="287" t="n">
        <v>7088</v>
      </c>
      <c r="AG21" s="287" t="n">
        <v>7089</v>
      </c>
      <c r="AH21" s="287" t="n">
        <v>7090</v>
      </c>
      <c r="AI21" s="287" t="n">
        <v>7091</v>
      </c>
      <c r="AJ21" s="287" t="n">
        <v>7092</v>
      </c>
      <c r="AK21" s="287" t="n">
        <v>7093</v>
      </c>
      <c r="AL21" s="287" t="n">
        <v>7094</v>
      </c>
      <c r="AM21" s="287" t="n">
        <v>7095</v>
      </c>
      <c r="AN21" s="287" t="n">
        <v>11</v>
      </c>
      <c r="AO21" s="287" t="n">
        <v>4</v>
      </c>
      <c r="AP21" s="287" t="n">
        <v>4</v>
      </c>
      <c r="AQ21" s="288" t="inlineStr">
        <is>
          <t>7061-7095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23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8" customWidth="1" min="16" max="16"/>
    <col width="22" customWidth="1" min="17" max="17"/>
    <col width="22" customWidth="1" min="18" max="18"/>
    <col width="32" customWidth="1" min="19" max="19"/>
    <col width="64" customWidth="1" min="20" max="20"/>
    <col width="14" customWidth="1" min="21" max="21"/>
    <col width="14" customWidth="1" min="22" max="22"/>
  </cols>
  <sheetData>
    <row r="1" ht="22" customHeight="1">
      <c r="A1" s="297" t="inlineStr">
        <is>
          <t>序号</t>
        </is>
      </c>
      <c r="B1" s="297" t="inlineStr">
        <is>
          <t>来源编号</t>
        </is>
      </c>
      <c r="C1" s="297" t="inlineStr">
        <is>
          <t>资源组</t>
        </is>
      </c>
      <c r="D1" s="297" t="inlineStr">
        <is>
          <t>系列</t>
        </is>
      </c>
      <c r="E1" s="297" t="inlineStr">
        <is>
          <t>层级</t>
        </is>
      </c>
      <c r="F1" s="297" t="inlineStr">
        <is>
          <t>部位</t>
        </is>
      </c>
      <c r="G1" s="297" t="inlineStr">
        <is>
          <t>StdMode</t>
        </is>
      </c>
      <c r="H1" s="297" t="inlineStr">
        <is>
          <t>位置</t>
        </is>
      </c>
      <c r="I1" s="297" t="inlineStr">
        <is>
          <t>Looks</t>
        </is>
      </c>
      <c r="J1" s="297" t="inlineStr">
        <is>
          <t>Shape</t>
        </is>
      </c>
      <c r="K1" s="297" t="inlineStr">
        <is>
          <t>OverLap</t>
        </is>
      </c>
      <c r="L1" s="297" t="inlineStr">
        <is>
          <t>Expand1</t>
        </is>
      </c>
      <c r="M1" s="297" t="inlineStr">
        <is>
          <t>Items</t>
        </is>
      </c>
      <c r="N1" s="297" t="inlineStr">
        <is>
          <t>StateItem</t>
        </is>
      </c>
      <c r="O1" s="297" t="inlineStr">
        <is>
          <t>DnItems</t>
        </is>
      </c>
      <c r="P1" s="297" t="inlineStr">
        <is>
          <t>动作图库</t>
        </is>
      </c>
      <c r="Q1" s="297" t="inlineStr">
        <is>
          <t>源状态</t>
        </is>
      </c>
      <c r="R1" s="297" t="inlineStr">
        <is>
          <t>已知占用</t>
        </is>
      </c>
      <c r="S1" s="297" t="inlineStr">
        <is>
          <t>来源文件</t>
        </is>
      </c>
      <c r="T1" s="297" t="inlineStr">
        <is>
          <t>备注</t>
        </is>
      </c>
      <c r="U1" s="297" t="inlineStr">
        <is>
          <t>编码重复检查</t>
        </is>
      </c>
      <c r="V1" s="297" t="inlineStr">
        <is>
          <t>三库同码检查</t>
        </is>
      </c>
    </row>
    <row r="2" ht="22" customHeight="1">
      <c r="A2" s="398" t="n">
        <v>1</v>
      </c>
      <c r="B2" s="398" t="n">
        <v>5867</v>
      </c>
      <c r="C2" s="399" t="inlineStr">
        <is>
          <t>黄金圣律·初誓</t>
        </is>
      </c>
      <c r="D2" s="399" t="inlineStr">
        <is>
          <t>黄金圣律</t>
        </is>
      </c>
      <c r="E2" s="399" t="n">
        <v>1</v>
      </c>
      <c r="F2" s="399" t="inlineStr">
        <is>
          <t>勋章</t>
        </is>
      </c>
      <c r="G2" s="398" t="n"/>
      <c r="H2" s="398" t="n"/>
      <c r="I2" s="398" t="n">
        <v>5867</v>
      </c>
      <c r="J2" s="398" t="n"/>
      <c r="K2" s="398" t="n"/>
      <c r="L2" s="398" t="n"/>
      <c r="M2" s="398" t="n">
        <v>5867</v>
      </c>
      <c r="N2" s="398" t="n">
        <v>5867</v>
      </c>
      <c r="O2" s="398" t="n">
        <v>5867</v>
      </c>
      <c r="P2" s="292" t="n"/>
      <c r="Q2" s="292" t="inlineStr">
        <is>
          <t>原九部位资源库已登记</t>
        </is>
      </c>
      <c r="R2" s="324" t="inlineStr">
        <is>
          <t>C3-C10规划锁定：剜影巷钟章</t>
        </is>
      </c>
      <c r="S2" s="292" t="inlineStr">
        <is>
          <t>装备素材套装代码表.xlsx（原九部位）</t>
        </is>
      </c>
      <c r="T2" s="292" t="inlineStr">
        <is>
          <t>同一代码用于 Items / StateItem / DnItems；属性与掉落另表定义。</t>
        </is>
      </c>
      <c r="U2">
        <f>IF(COUNTIF($B$2:$B$1076,B2)&gt;1,"重复","")</f>
        <v/>
      </c>
      <c r="V2">
        <f>IF(AND(OR(M2="",M2=B2),OR(N2="",N2=B2),OR(O2="",O2=B2)),"通过","不一致")</f>
        <v/>
      </c>
    </row>
    <row r="3" ht="22" customHeight="1">
      <c r="A3" s="398" t="n">
        <v>2</v>
      </c>
      <c r="B3" s="398" t="n">
        <v>5868</v>
      </c>
      <c r="C3" s="399" t="inlineStr">
        <is>
          <t>黄金圣律·初誓</t>
        </is>
      </c>
      <c r="D3" s="399" t="inlineStr">
        <is>
          <t>黄金圣律</t>
        </is>
      </c>
      <c r="E3" s="399" t="n">
        <v>1</v>
      </c>
      <c r="F3" s="399" t="inlineStr">
        <is>
          <t>项链</t>
        </is>
      </c>
      <c r="G3" s="398" t="n"/>
      <c r="H3" s="398" t="n"/>
      <c r="I3" s="398" t="n">
        <v>5868</v>
      </c>
      <c r="J3" s="398" t="n"/>
      <c r="K3" s="398" t="n"/>
      <c r="L3" s="398" t="n"/>
      <c r="M3" s="398" t="n">
        <v>5868</v>
      </c>
      <c r="N3" s="398" t="n">
        <v>5868</v>
      </c>
      <c r="O3" s="398" t="n">
        <v>5868</v>
      </c>
      <c r="P3" s="292" t="n"/>
      <c r="Q3" s="292" t="inlineStr">
        <is>
          <t>原九部位资源库已登记</t>
        </is>
      </c>
      <c r="R3" s="322" t="inlineStr">
        <is>
          <t>C1/C2现用：尖牙骨链</t>
        </is>
      </c>
      <c r="S3" s="292" t="inlineStr">
        <is>
          <t>装备素材套装代码表.xlsx（原九部位）</t>
        </is>
      </c>
      <c r="T3" s="292" t="inlineStr">
        <is>
          <t>同一代码用于 Items / StateItem / DnItems；属性与掉落另表定义。</t>
        </is>
      </c>
      <c r="U3">
        <f>IF(COUNTIF($B$2:$B$1076,B3)&gt;1,"重复","")</f>
        <v/>
      </c>
      <c r="V3">
        <f>IF(AND(OR(M3="",M3=B3),OR(N3="",N3=B3),OR(O3="",O3=B3)),"通过","不一致")</f>
        <v/>
      </c>
    </row>
    <row r="4" ht="22" customHeight="1">
      <c r="A4" s="398" t="n">
        <v>3</v>
      </c>
      <c r="B4" s="398" t="n">
        <v>5869</v>
      </c>
      <c r="C4" s="399" t="inlineStr">
        <is>
          <t>黄金圣律·初誓</t>
        </is>
      </c>
      <c r="D4" s="399" t="inlineStr">
        <is>
          <t>黄金圣律</t>
        </is>
      </c>
      <c r="E4" s="399" t="n">
        <v>1</v>
      </c>
      <c r="F4" s="399" t="inlineStr">
        <is>
          <t>头盔</t>
        </is>
      </c>
      <c r="G4" s="398" t="n"/>
      <c r="H4" s="398" t="n"/>
      <c r="I4" s="398" t="n">
        <v>5869</v>
      </c>
      <c r="J4" s="398" t="n"/>
      <c r="K4" s="398" t="n"/>
      <c r="L4" s="398" t="n"/>
      <c r="M4" s="398" t="n">
        <v>5869</v>
      </c>
      <c r="N4" s="398" t="n">
        <v>5869</v>
      </c>
      <c r="O4" s="398" t="n">
        <v>5869</v>
      </c>
      <c r="P4" s="292" t="n"/>
      <c r="Q4" s="292" t="inlineStr">
        <is>
          <t>原九部位资源库已登记</t>
        </is>
      </c>
      <c r="R4" s="322" t="inlineStr">
        <is>
          <t>C1/C2现用：巨人铁盔</t>
        </is>
      </c>
      <c r="S4" s="292" t="inlineStr">
        <is>
          <t>装备素材套装代码表.xlsx（原九部位）</t>
        </is>
      </c>
      <c r="T4" s="292" t="inlineStr">
        <is>
          <t>同一代码用于 Items / StateItem / DnItems；属性与掉落另表定义。</t>
        </is>
      </c>
      <c r="U4">
        <f>IF(COUNTIF($B$2:$B$1076,B4)&gt;1,"重复","")</f>
        <v/>
      </c>
      <c r="V4">
        <f>IF(AND(OR(M4="",M4=B4),OR(N4="",N4=B4),OR(O4="",O4=B4)),"通过","不一致")</f>
        <v/>
      </c>
    </row>
    <row r="5" ht="22" customHeight="1">
      <c r="A5" s="398" t="n">
        <v>4</v>
      </c>
      <c r="B5" s="398" t="n">
        <v>5870</v>
      </c>
      <c r="C5" s="399" t="inlineStr">
        <is>
          <t>黄金圣律·初誓</t>
        </is>
      </c>
      <c r="D5" s="399" t="inlineStr">
        <is>
          <t>黄金圣律</t>
        </is>
      </c>
      <c r="E5" s="399" t="n">
        <v>1</v>
      </c>
      <c r="F5" s="399" t="inlineStr">
        <is>
          <t>手镯</t>
        </is>
      </c>
      <c r="G5" s="398" t="n"/>
      <c r="H5" s="398" t="n"/>
      <c r="I5" s="398" t="n">
        <v>5870</v>
      </c>
      <c r="J5" s="398" t="n"/>
      <c r="K5" s="398" t="n"/>
      <c r="L5" s="398" t="n"/>
      <c r="M5" s="398" t="n">
        <v>5870</v>
      </c>
      <c r="N5" s="398" t="n">
        <v>5870</v>
      </c>
      <c r="O5" s="398" t="n">
        <v>5870</v>
      </c>
      <c r="P5" s="292" t="n"/>
      <c r="Q5" s="292" t="inlineStr">
        <is>
          <t>原九部位资源库已登记</t>
        </is>
      </c>
      <c r="R5" s="324" t="inlineStr">
        <is>
          <t>C3-C10规划锁定：赤螯腕甲</t>
        </is>
      </c>
      <c r="S5" s="292" t="inlineStr">
        <is>
          <t>装备素材套装代码表.xlsx（原九部位）</t>
        </is>
      </c>
      <c r="T5" s="292" t="inlineStr">
        <is>
          <t>同一代码用于 Items / StateItem / DnItems；属性与掉落另表定义。</t>
        </is>
      </c>
      <c r="U5">
        <f>IF(COUNTIF($B$2:$B$1076,B5)&gt;1,"重复","")</f>
        <v/>
      </c>
      <c r="V5">
        <f>IF(AND(OR(M5="",M5=B5),OR(N5="",N5=B5),OR(O5="",O5=B5)),"通过","不一致")</f>
        <v/>
      </c>
    </row>
    <row r="6" ht="22" customHeight="1">
      <c r="A6" s="398" t="n">
        <v>5</v>
      </c>
      <c r="B6" s="398" t="n">
        <v>5871</v>
      </c>
      <c r="C6" s="399" t="inlineStr">
        <is>
          <t>黄金圣律·初誓</t>
        </is>
      </c>
      <c r="D6" s="399" t="inlineStr">
        <is>
          <t>黄金圣律</t>
        </is>
      </c>
      <c r="E6" s="399" t="n">
        <v>1</v>
      </c>
      <c r="F6" s="399" t="inlineStr">
        <is>
          <t>戒指</t>
        </is>
      </c>
      <c r="G6" s="398" t="n"/>
      <c r="H6" s="398" t="n"/>
      <c r="I6" s="398" t="n">
        <v>5871</v>
      </c>
      <c r="J6" s="398" t="n"/>
      <c r="K6" s="398" t="n"/>
      <c r="L6" s="398" t="n"/>
      <c r="M6" s="398" t="n">
        <v>5871</v>
      </c>
      <c r="N6" s="398" t="n">
        <v>5871</v>
      </c>
      <c r="O6" s="398" t="n">
        <v>5871</v>
      </c>
      <c r="P6" s="292" t="n"/>
      <c r="Q6" s="292" t="inlineStr">
        <is>
          <t>原九部位资源库已登记</t>
        </is>
      </c>
      <c r="R6" s="324" t="inlineStr">
        <is>
          <t>C3-C10规划锁定：守星残灵戒</t>
        </is>
      </c>
      <c r="S6" s="292" t="inlineStr">
        <is>
          <t>装备素材套装代码表.xlsx（原九部位）</t>
        </is>
      </c>
      <c r="T6" s="292" t="inlineStr">
        <is>
          <t>同一代码用于 Items / StateItem / DnItems；属性与掉落另表定义。</t>
        </is>
      </c>
      <c r="U6">
        <f>IF(COUNTIF($B$2:$B$1076,B6)&gt;1,"重复","")</f>
        <v/>
      </c>
      <c r="V6">
        <f>IF(AND(OR(M6="",M6=B6),OR(N6="",N6=B6),OR(O6="",O6=B6)),"通过","不一致")</f>
        <v/>
      </c>
    </row>
    <row r="7" ht="22" customHeight="1">
      <c r="A7" s="398" t="n">
        <v>6</v>
      </c>
      <c r="B7" s="398" t="n">
        <v>5872</v>
      </c>
      <c r="C7" s="399" t="inlineStr">
        <is>
          <t>黄金圣律·初誓</t>
        </is>
      </c>
      <c r="D7" s="399" t="inlineStr">
        <is>
          <t>黄金圣律</t>
        </is>
      </c>
      <c r="E7" s="399" t="n">
        <v>1</v>
      </c>
      <c r="F7" s="399" t="inlineStr">
        <is>
          <t>盾牌</t>
        </is>
      </c>
      <c r="G7" s="398" t="n"/>
      <c r="H7" s="398" t="n"/>
      <c r="I7" s="398" t="n">
        <v>5872</v>
      </c>
      <c r="J7" s="398" t="n"/>
      <c r="K7" s="398" t="n"/>
      <c r="L7" s="398" t="n"/>
      <c r="M7" s="398" t="n">
        <v>5872</v>
      </c>
      <c r="N7" s="398" t="n">
        <v>5872</v>
      </c>
      <c r="O7" s="398" t="n">
        <v>5872</v>
      </c>
      <c r="P7" s="292" t="n"/>
      <c r="Q7" s="292" t="inlineStr">
        <is>
          <t>原九部位资源库已登记</t>
        </is>
      </c>
      <c r="R7" s="324" t="inlineStr">
        <is>
          <t>C3-C10规划锁定：赤焰塔盾</t>
        </is>
      </c>
      <c r="S7" s="292" t="inlineStr">
        <is>
          <t>装备素材套装代码表.xlsx（原九部位）</t>
        </is>
      </c>
      <c r="T7" s="292" t="inlineStr">
        <is>
          <t>同一代码用于 Items / StateItem / DnItems；属性与掉落另表定义。</t>
        </is>
      </c>
      <c r="U7">
        <f>IF(COUNTIF($B$2:$B$1076,B7)&gt;1,"重复","")</f>
        <v/>
      </c>
      <c r="V7">
        <f>IF(AND(OR(M7="",M7=B7),OR(N7="",N7=B7),OR(O7="",O7=B7)),"通过","不一致")</f>
        <v/>
      </c>
    </row>
    <row r="8" ht="22" customHeight="1">
      <c r="A8" s="398" t="n">
        <v>7</v>
      </c>
      <c r="B8" s="398" t="n">
        <v>5873</v>
      </c>
      <c r="C8" s="399" t="inlineStr">
        <is>
          <t>黄金圣律·初誓</t>
        </is>
      </c>
      <c r="D8" s="399" t="inlineStr">
        <is>
          <t>黄金圣律</t>
        </is>
      </c>
      <c r="E8" s="399" t="n">
        <v>1</v>
      </c>
      <c r="F8" s="399" t="inlineStr">
        <is>
          <t>灵玉</t>
        </is>
      </c>
      <c r="G8" s="398" t="n"/>
      <c r="H8" s="398" t="n"/>
      <c r="I8" s="398" t="n">
        <v>5873</v>
      </c>
      <c r="J8" s="398" t="n"/>
      <c r="K8" s="398" t="n"/>
      <c r="L8" s="398" t="n"/>
      <c r="M8" s="398" t="n">
        <v>5873</v>
      </c>
      <c r="N8" s="398" t="n">
        <v>5873</v>
      </c>
      <c r="O8" s="398" t="n">
        <v>5873</v>
      </c>
      <c r="P8" s="292" t="n"/>
      <c r="Q8" s="292" t="inlineStr">
        <is>
          <t>原九部位资源库已登记</t>
        </is>
      </c>
      <c r="R8" s="292" t="str"/>
      <c r="S8" s="292" t="inlineStr">
        <is>
          <t>装备素材套装代码表.xlsx（原九部位）</t>
        </is>
      </c>
      <c r="T8" s="292" t="inlineStr">
        <is>
          <t>同一代码用于 Items / StateItem / DnItems；属性与掉落另表定义。</t>
        </is>
      </c>
      <c r="U8">
        <f>IF(COUNTIF($B$2:$B$1076,B8)&gt;1,"重复","")</f>
        <v/>
      </c>
      <c r="V8">
        <f>IF(AND(OR(M8="",M8=B8),OR(N8="",N8=B8),OR(O8="",O8=B8)),"通过","不一致")</f>
        <v/>
      </c>
    </row>
    <row r="9" ht="22" customHeight="1">
      <c r="A9" s="398" t="n">
        <v>8</v>
      </c>
      <c r="B9" s="398" t="n">
        <v>5874</v>
      </c>
      <c r="C9" s="399" t="inlineStr">
        <is>
          <t>黄金圣律·初誓</t>
        </is>
      </c>
      <c r="D9" s="399" t="inlineStr">
        <is>
          <t>黄金圣律</t>
        </is>
      </c>
      <c r="E9" s="399" t="n">
        <v>1</v>
      </c>
      <c r="F9" s="399" t="inlineStr">
        <is>
          <t>鞋子</t>
        </is>
      </c>
      <c r="G9" s="398" t="n"/>
      <c r="H9" s="398" t="n"/>
      <c r="I9" s="398" t="n">
        <v>5874</v>
      </c>
      <c r="J9" s="398" t="n"/>
      <c r="K9" s="398" t="n"/>
      <c r="L9" s="398" t="n"/>
      <c r="M9" s="398" t="n">
        <v>5874</v>
      </c>
      <c r="N9" s="398" t="n">
        <v>5874</v>
      </c>
      <c r="O9" s="398" t="n">
        <v>5874</v>
      </c>
      <c r="P9" s="292" t="n"/>
      <c r="Q9" s="292" t="inlineStr">
        <is>
          <t>原九部位资源库已登记</t>
        </is>
      </c>
      <c r="R9" s="324" t="inlineStr">
        <is>
          <t>C3-C10规划锁定：赤鬃战靴</t>
        </is>
      </c>
      <c r="S9" s="292" t="inlineStr">
        <is>
          <t>装备素材套装代码表.xlsx（原九部位）</t>
        </is>
      </c>
      <c r="T9" s="292" t="inlineStr">
        <is>
          <t>同一代码用于 Items / StateItem / DnItems；属性与掉落另表定义。</t>
        </is>
      </c>
      <c r="U9">
        <f>IF(COUNTIF($B$2:$B$1076,B9)&gt;1,"重复","")</f>
        <v/>
      </c>
      <c r="V9">
        <f>IF(AND(OR(M9="",M9=B9),OR(N9="",N9=B9),OR(O9="",O9=B9)),"通过","不一致")</f>
        <v/>
      </c>
    </row>
    <row r="10" ht="22" customHeight="1">
      <c r="A10" s="398" t="n">
        <v>9</v>
      </c>
      <c r="B10" s="398" t="n">
        <v>5875</v>
      </c>
      <c r="C10" s="399" t="inlineStr">
        <is>
          <t>黄金圣律·初誓</t>
        </is>
      </c>
      <c r="D10" s="399" t="inlineStr">
        <is>
          <t>黄金圣律</t>
        </is>
      </c>
      <c r="E10" s="399" t="n">
        <v>1</v>
      </c>
      <c r="F10" s="399" t="inlineStr">
        <is>
          <t>腰带</t>
        </is>
      </c>
      <c r="G10" s="398" t="n"/>
      <c r="H10" s="398" t="n"/>
      <c r="I10" s="398" t="n">
        <v>5875</v>
      </c>
      <c r="J10" s="398" t="n"/>
      <c r="K10" s="398" t="n"/>
      <c r="L10" s="398" t="n"/>
      <c r="M10" s="398" t="n">
        <v>5875</v>
      </c>
      <c r="N10" s="398" t="n">
        <v>5875</v>
      </c>
      <c r="O10" s="398" t="n">
        <v>5875</v>
      </c>
      <c r="P10" s="292" t="n"/>
      <c r="Q10" s="292" t="inlineStr">
        <is>
          <t>原九部位资源库已登记</t>
        </is>
      </c>
      <c r="R10" s="324" t="inlineStr">
        <is>
          <t>C3-C10规划锁定：掘冰腰带</t>
        </is>
      </c>
      <c r="S10" s="292" t="inlineStr">
        <is>
          <t>装备素材套装代码表.xlsx（原九部位）</t>
        </is>
      </c>
      <c r="T10" s="292" t="inlineStr">
        <is>
          <t>同一代码用于 Items / StateItem / DnItems；属性与掉落另表定义。</t>
        </is>
      </c>
      <c r="U10">
        <f>IF(COUNTIF($B$2:$B$1076,B10)&gt;1,"重复","")</f>
        <v/>
      </c>
      <c r="V10">
        <f>IF(AND(OR(M10="",M10=B10),OR(N10="",N10=B10),OR(O10="",O10=B10)),"通过","不一致")</f>
        <v/>
      </c>
    </row>
    <row r="11" ht="22" customHeight="1">
      <c r="A11" s="398" t="n">
        <v>10</v>
      </c>
      <c r="B11" s="398" t="n">
        <v>5876</v>
      </c>
      <c r="C11" s="399" t="inlineStr">
        <is>
          <t>黄金圣律·铭契</t>
        </is>
      </c>
      <c r="D11" s="399" t="inlineStr">
        <is>
          <t>黄金圣律</t>
        </is>
      </c>
      <c r="E11" s="399" t="n">
        <v>2</v>
      </c>
      <c r="F11" s="399" t="inlineStr">
        <is>
          <t>勋章</t>
        </is>
      </c>
      <c r="G11" s="398" t="n"/>
      <c r="H11" s="398" t="n"/>
      <c r="I11" s="398" t="n">
        <v>5876</v>
      </c>
      <c r="J11" s="398" t="n"/>
      <c r="K11" s="398" t="n"/>
      <c r="L11" s="398" t="n"/>
      <c r="M11" s="398" t="n">
        <v>5876</v>
      </c>
      <c r="N11" s="398" t="n">
        <v>5876</v>
      </c>
      <c r="O11" s="398" t="n">
        <v>5876</v>
      </c>
      <c r="P11" s="292" t="n"/>
      <c r="Q11" s="292" t="inlineStr">
        <is>
          <t>原九部位资源库已登记</t>
        </is>
      </c>
      <c r="R11" s="324" t="inlineStr">
        <is>
          <t>C3-C10规划锁定：沸淤校阀章</t>
        </is>
      </c>
      <c r="S11" s="292" t="inlineStr">
        <is>
          <t>装备素材套装代码表.xlsx（原九部位）</t>
        </is>
      </c>
      <c r="T11" s="292" t="inlineStr">
        <is>
          <t>同一代码用于 Items / StateItem / DnItems；属性与掉落另表定义。</t>
        </is>
      </c>
      <c r="U11">
        <f>IF(COUNTIF($B$2:$B$1076,B11)&gt;1,"重复","")</f>
        <v/>
      </c>
      <c r="V11">
        <f>IF(AND(OR(M11="",M11=B11),OR(N11="",N11=B11),OR(O11="",O11=B11)),"通过","不一致")</f>
        <v/>
      </c>
    </row>
    <row r="12" ht="22" customHeight="1">
      <c r="A12" s="398" t="n">
        <v>11</v>
      </c>
      <c r="B12" s="398" t="n">
        <v>5877</v>
      </c>
      <c r="C12" s="399" t="inlineStr">
        <is>
          <t>黄金圣律·铭契</t>
        </is>
      </c>
      <c r="D12" s="399" t="inlineStr">
        <is>
          <t>黄金圣律</t>
        </is>
      </c>
      <c r="E12" s="399" t="n">
        <v>2</v>
      </c>
      <c r="F12" s="399" t="inlineStr">
        <is>
          <t>项链</t>
        </is>
      </c>
      <c r="G12" s="398" t="n"/>
      <c r="H12" s="398" t="n"/>
      <c r="I12" s="398" t="n">
        <v>5877</v>
      </c>
      <c r="J12" s="398" t="n"/>
      <c r="K12" s="398" t="n"/>
      <c r="L12" s="398" t="n"/>
      <c r="M12" s="398" t="n">
        <v>5877</v>
      </c>
      <c r="N12" s="398" t="n">
        <v>5877</v>
      </c>
      <c r="O12" s="398" t="n">
        <v>5877</v>
      </c>
      <c r="P12" s="292" t="n"/>
      <c r="Q12" s="292" t="inlineStr">
        <is>
          <t>原九部位资源库已登记</t>
        </is>
      </c>
      <c r="R12" s="322" t="inlineStr">
        <is>
          <t>C1/C2现用：古树祷链</t>
        </is>
      </c>
      <c r="S12" s="292" t="inlineStr">
        <is>
          <t>装备素材套装代码表.xlsx（原九部位）</t>
        </is>
      </c>
      <c r="T12" s="292" t="inlineStr">
        <is>
          <t>同一代码用于 Items / StateItem / DnItems；属性与掉落另表定义。</t>
        </is>
      </c>
      <c r="U12">
        <f>IF(COUNTIF($B$2:$B$1076,B12)&gt;1,"重复","")</f>
        <v/>
      </c>
      <c r="V12">
        <f>IF(AND(OR(M12="",M12=B12),OR(N12="",N12=B12),OR(O12="",O12=B12)),"通过","不一致")</f>
        <v/>
      </c>
    </row>
    <row r="13" ht="22" customHeight="1">
      <c r="A13" s="398" t="n">
        <v>12</v>
      </c>
      <c r="B13" s="398" t="n">
        <v>5878</v>
      </c>
      <c r="C13" s="399" t="inlineStr">
        <is>
          <t>黄金圣律·铭契</t>
        </is>
      </c>
      <c r="D13" s="399" t="inlineStr">
        <is>
          <t>黄金圣律</t>
        </is>
      </c>
      <c r="E13" s="399" t="n">
        <v>2</v>
      </c>
      <c r="F13" s="399" t="inlineStr">
        <is>
          <t>头盔</t>
        </is>
      </c>
      <c r="G13" s="398" t="n"/>
      <c r="H13" s="398" t="n"/>
      <c r="I13" s="398" t="n">
        <v>5878</v>
      </c>
      <c r="J13" s="398" t="n"/>
      <c r="K13" s="398" t="n"/>
      <c r="L13" s="398" t="n"/>
      <c r="M13" s="398" t="n">
        <v>5878</v>
      </c>
      <c r="N13" s="398" t="n">
        <v>5878</v>
      </c>
      <c r="O13" s="398" t="n">
        <v>5878</v>
      </c>
      <c r="P13" s="292" t="n"/>
      <c r="Q13" s="292" t="inlineStr">
        <is>
          <t>原九部位资源库已登记</t>
        </is>
      </c>
      <c r="R13" s="324" t="inlineStr">
        <is>
          <t>C3-C10规划锁定：缄门法官冠</t>
        </is>
      </c>
      <c r="S13" s="292" t="inlineStr">
        <is>
          <t>装备素材套装代码表.xlsx（原九部位）</t>
        </is>
      </c>
      <c r="T13" s="292" t="inlineStr">
        <is>
          <t>同一代码用于 Items / StateItem / DnItems；属性与掉落另表定义。</t>
        </is>
      </c>
      <c r="U13">
        <f>IF(COUNTIF($B$2:$B$1076,B13)&gt;1,"重复","")</f>
        <v/>
      </c>
      <c r="V13">
        <f>IF(AND(OR(M13="",M13=B13),OR(N13="",N13=B13),OR(O13="",O13=B13)),"通过","不一致")</f>
        <v/>
      </c>
    </row>
    <row r="14" ht="22" customHeight="1">
      <c r="A14" s="398" t="n">
        <v>13</v>
      </c>
      <c r="B14" s="398" t="n">
        <v>5879</v>
      </c>
      <c r="C14" s="399" t="inlineStr">
        <is>
          <t>黄金圣律·铭契</t>
        </is>
      </c>
      <c r="D14" s="399" t="inlineStr">
        <is>
          <t>黄金圣律</t>
        </is>
      </c>
      <c r="E14" s="399" t="n">
        <v>2</v>
      </c>
      <c r="F14" s="399" t="inlineStr">
        <is>
          <t>手镯</t>
        </is>
      </c>
      <c r="G14" s="398" t="n"/>
      <c r="H14" s="398" t="n"/>
      <c r="I14" s="398" t="n">
        <v>5879</v>
      </c>
      <c r="J14" s="398" t="n"/>
      <c r="K14" s="398" t="n"/>
      <c r="L14" s="398" t="n"/>
      <c r="M14" s="398" t="n">
        <v>5879</v>
      </c>
      <c r="N14" s="398" t="n">
        <v>5879</v>
      </c>
      <c r="O14" s="398" t="n">
        <v>5879</v>
      </c>
      <c r="P14" s="292" t="n"/>
      <c r="Q14" s="292" t="inlineStr">
        <is>
          <t>原九部位资源库已登记</t>
        </is>
      </c>
      <c r="R14" s="324" t="inlineStr">
        <is>
          <t>C3-C10规划锁定：血菌腕轮</t>
        </is>
      </c>
      <c r="S14" s="292" t="inlineStr">
        <is>
          <t>装备素材套装代码表.xlsx（原九部位）</t>
        </is>
      </c>
      <c r="T14" s="292" t="inlineStr">
        <is>
          <t>同一代码用于 Items / StateItem / DnItems；属性与掉落另表定义。</t>
        </is>
      </c>
      <c r="U14">
        <f>IF(COUNTIF($B$2:$B$1076,B14)&gt;1,"重复","")</f>
        <v/>
      </c>
      <c r="V14">
        <f>IF(AND(OR(M14="",M14=B14),OR(N14="",N14=B14),OR(O14="",O14=B14)),"通过","不一致")</f>
        <v/>
      </c>
    </row>
    <row r="15" ht="22" customHeight="1">
      <c r="A15" s="398" t="n">
        <v>14</v>
      </c>
      <c r="B15" s="398" t="n">
        <v>5880</v>
      </c>
      <c r="C15" s="399" t="inlineStr">
        <is>
          <t>黄金圣律·铭契</t>
        </is>
      </c>
      <c r="D15" s="399" t="inlineStr">
        <is>
          <t>黄金圣律</t>
        </is>
      </c>
      <c r="E15" s="399" t="n">
        <v>2</v>
      </c>
      <c r="F15" s="399" t="inlineStr">
        <is>
          <t>戒指</t>
        </is>
      </c>
      <c r="G15" s="398" t="n"/>
      <c r="H15" s="398" t="n"/>
      <c r="I15" s="398" t="n">
        <v>5880</v>
      </c>
      <c r="J15" s="398" t="n"/>
      <c r="K15" s="398" t="n"/>
      <c r="L15" s="398" t="n"/>
      <c r="M15" s="398" t="n">
        <v>5880</v>
      </c>
      <c r="N15" s="398" t="n">
        <v>5880</v>
      </c>
      <c r="O15" s="398" t="n">
        <v>5880</v>
      </c>
      <c r="P15" s="292" t="n"/>
      <c r="Q15" s="292" t="inlineStr">
        <is>
          <t>原九部位资源库已登记</t>
        </is>
      </c>
      <c r="R15" s="324" t="inlineStr">
        <is>
          <t>C3-C10规划锁定：赤棘重戒</t>
        </is>
      </c>
      <c r="S15" s="292" t="inlineStr">
        <is>
          <t>装备素材套装代码表.xlsx（原九部位）</t>
        </is>
      </c>
      <c r="T15" s="292" t="inlineStr">
        <is>
          <t>同一代码用于 Items / StateItem / DnItems；属性与掉落另表定义。</t>
        </is>
      </c>
      <c r="U15">
        <f>IF(COUNTIF($B$2:$B$1076,B15)&gt;1,"重复","")</f>
        <v/>
      </c>
      <c r="V15">
        <f>IF(AND(OR(M15="",M15=B15),OR(N15="",N15=B15),OR(O15="",O15=B15)),"通过","不一致")</f>
        <v/>
      </c>
    </row>
    <row r="16" ht="22" customHeight="1">
      <c r="A16" s="398" t="n">
        <v>15</v>
      </c>
      <c r="B16" s="398" t="n">
        <v>5881</v>
      </c>
      <c r="C16" s="399" t="inlineStr">
        <is>
          <t>黄金圣律·铭契</t>
        </is>
      </c>
      <c r="D16" s="399" t="inlineStr">
        <is>
          <t>黄金圣律</t>
        </is>
      </c>
      <c r="E16" s="399" t="n">
        <v>2</v>
      </c>
      <c r="F16" s="399" t="inlineStr">
        <is>
          <t>盾牌</t>
        </is>
      </c>
      <c r="G16" s="398" t="n"/>
      <c r="H16" s="398" t="n"/>
      <c r="I16" s="398" t="n">
        <v>5881</v>
      </c>
      <c r="J16" s="398" t="n"/>
      <c r="K16" s="398" t="n"/>
      <c r="L16" s="398" t="n"/>
      <c r="M16" s="398" t="n">
        <v>5881</v>
      </c>
      <c r="N16" s="398" t="n">
        <v>5881</v>
      </c>
      <c r="O16" s="398" t="n">
        <v>5881</v>
      </c>
      <c r="P16" s="292" t="n"/>
      <c r="Q16" s="292" t="inlineStr">
        <is>
          <t>原九部位资源库已登记</t>
        </is>
      </c>
      <c r="R16" s="324" t="inlineStr">
        <is>
          <t>C3-C10规划锁定：晶背塔盾</t>
        </is>
      </c>
      <c r="S16" s="292" t="inlineStr">
        <is>
          <t>装备素材套装代码表.xlsx（原九部位）</t>
        </is>
      </c>
      <c r="T16" s="292" t="inlineStr">
        <is>
          <t>同一代码用于 Items / StateItem / DnItems；属性与掉落另表定义。</t>
        </is>
      </c>
      <c r="U16">
        <f>IF(COUNTIF($B$2:$B$1076,B16)&gt;1,"重复","")</f>
        <v/>
      </c>
      <c r="V16">
        <f>IF(AND(OR(M16="",M16=B16),OR(N16="",N16=B16),OR(O16="",O16=B16)),"通过","不一致")</f>
        <v/>
      </c>
    </row>
    <row r="17" ht="22" customHeight="1">
      <c r="A17" s="398" t="n">
        <v>16</v>
      </c>
      <c r="B17" s="398" t="n">
        <v>5882</v>
      </c>
      <c r="C17" s="399" t="inlineStr">
        <is>
          <t>黄金圣律·铭契</t>
        </is>
      </c>
      <c r="D17" s="399" t="inlineStr">
        <is>
          <t>黄金圣律</t>
        </is>
      </c>
      <c r="E17" s="399" t="n">
        <v>2</v>
      </c>
      <c r="F17" s="399" t="inlineStr">
        <is>
          <t>灵玉</t>
        </is>
      </c>
      <c r="G17" s="398" t="n"/>
      <c r="H17" s="398" t="n"/>
      <c r="I17" s="398" t="n">
        <v>5882</v>
      </c>
      <c r="J17" s="398" t="n"/>
      <c r="K17" s="398" t="n"/>
      <c r="L17" s="398" t="n"/>
      <c r="M17" s="398" t="n">
        <v>5882</v>
      </c>
      <c r="N17" s="398" t="n">
        <v>5882</v>
      </c>
      <c r="O17" s="398" t="n">
        <v>5882</v>
      </c>
      <c r="P17" s="292" t="n"/>
      <c r="Q17" s="292" t="inlineStr">
        <is>
          <t>原九部位资源库已登记</t>
        </is>
      </c>
      <c r="R17" s="292" t="str"/>
      <c r="S17" s="292" t="inlineStr">
        <is>
          <t>装备素材套装代码表.xlsx（原九部位）</t>
        </is>
      </c>
      <c r="T17" s="292" t="inlineStr">
        <is>
          <t>同一代码用于 Items / StateItem / DnItems；属性与掉落另表定义。</t>
        </is>
      </c>
      <c r="U17">
        <f>IF(COUNTIF($B$2:$B$1076,B17)&gt;1,"重复","")</f>
        <v/>
      </c>
      <c r="V17">
        <f>IF(AND(OR(M17="",M17=B17),OR(N17="",N17=B17),OR(O17="",O17=B17)),"通过","不一致")</f>
        <v/>
      </c>
    </row>
    <row r="18" ht="22" customHeight="1">
      <c r="A18" s="398" t="n">
        <v>17</v>
      </c>
      <c r="B18" s="398" t="n">
        <v>5883</v>
      </c>
      <c r="C18" s="399" t="inlineStr">
        <is>
          <t>黄金圣律·铭契</t>
        </is>
      </c>
      <c r="D18" s="399" t="inlineStr">
        <is>
          <t>黄金圣律</t>
        </is>
      </c>
      <c r="E18" s="399" t="n">
        <v>2</v>
      </c>
      <c r="F18" s="399" t="inlineStr">
        <is>
          <t>鞋子</t>
        </is>
      </c>
      <c r="G18" s="398" t="n"/>
      <c r="H18" s="398" t="n"/>
      <c r="I18" s="398" t="n">
        <v>5883</v>
      </c>
      <c r="J18" s="398" t="n"/>
      <c r="K18" s="398" t="n"/>
      <c r="L18" s="398" t="n"/>
      <c r="M18" s="398" t="n">
        <v>5883</v>
      </c>
      <c r="N18" s="398" t="n">
        <v>5883</v>
      </c>
      <c r="O18" s="398" t="n">
        <v>5883</v>
      </c>
      <c r="P18" s="292" t="n"/>
      <c r="Q18" s="292" t="inlineStr">
        <is>
          <t>原九部位资源库已登记</t>
        </is>
      </c>
      <c r="R18" s="324" t="inlineStr">
        <is>
          <t>C3-C10规划锁定：霜风战靴</t>
        </is>
      </c>
      <c r="S18" s="292" t="inlineStr">
        <is>
          <t>装备素材套装代码表.xlsx（原九部位）</t>
        </is>
      </c>
      <c r="T18" s="292" t="inlineStr">
        <is>
          <t>同一代码用于 Items / StateItem / DnItems；属性与掉落另表定义。</t>
        </is>
      </c>
      <c r="U18">
        <f>IF(COUNTIF($B$2:$B$1076,B18)&gt;1,"重复","")</f>
        <v/>
      </c>
      <c r="V18">
        <f>IF(AND(OR(M18="",M18=B18),OR(N18="",N18=B18),OR(O18="",O18=B18)),"通过","不一致")</f>
        <v/>
      </c>
    </row>
    <row r="19" ht="22" customHeight="1">
      <c r="A19" s="398" t="n">
        <v>18</v>
      </c>
      <c r="B19" s="398" t="n">
        <v>5884</v>
      </c>
      <c r="C19" s="399" t="inlineStr">
        <is>
          <t>黄金圣律·铭契</t>
        </is>
      </c>
      <c r="D19" s="399" t="inlineStr">
        <is>
          <t>黄金圣律</t>
        </is>
      </c>
      <c r="E19" s="399" t="n">
        <v>2</v>
      </c>
      <c r="F19" s="399" t="inlineStr">
        <is>
          <t>腰带</t>
        </is>
      </c>
      <c r="G19" s="398" t="n"/>
      <c r="H19" s="398" t="n"/>
      <c r="I19" s="398" t="n">
        <v>5884</v>
      </c>
      <c r="J19" s="398" t="n"/>
      <c r="K19" s="398" t="n"/>
      <c r="L19" s="398" t="n"/>
      <c r="M19" s="398" t="n">
        <v>5884</v>
      </c>
      <c r="N19" s="398" t="n">
        <v>5884</v>
      </c>
      <c r="O19" s="398" t="n">
        <v>5884</v>
      </c>
      <c r="P19" s="292" t="n"/>
      <c r="Q19" s="292" t="inlineStr">
        <is>
          <t>原九部位资源库已登记</t>
        </is>
      </c>
      <c r="R19" s="324" t="inlineStr">
        <is>
          <t>C3-C10规划锁定：寒弓束带</t>
        </is>
      </c>
      <c r="S19" s="292" t="inlineStr">
        <is>
          <t>装备素材套装代码表.xlsx（原九部位）</t>
        </is>
      </c>
      <c r="T19" s="292" t="inlineStr">
        <is>
          <t>同一代码用于 Items / StateItem / DnItems；属性与掉落另表定义。</t>
        </is>
      </c>
      <c r="U19">
        <f>IF(COUNTIF($B$2:$B$1076,B19)&gt;1,"重复","")</f>
        <v/>
      </c>
      <c r="V19">
        <f>IF(AND(OR(M19="",M19=B19),OR(N19="",N19=B19),OR(O19="",O19=B19)),"通过","不一致")</f>
        <v/>
      </c>
    </row>
    <row r="20" ht="22" customHeight="1">
      <c r="A20" s="398" t="n">
        <v>19</v>
      </c>
      <c r="B20" s="398" t="n">
        <v>5885</v>
      </c>
      <c r="C20" s="399" t="inlineStr">
        <is>
          <t>黄金圣律·执火</t>
        </is>
      </c>
      <c r="D20" s="399" t="inlineStr">
        <is>
          <t>黄金圣律</t>
        </is>
      </c>
      <c r="E20" s="399" t="n">
        <v>3</v>
      </c>
      <c r="F20" s="399" t="inlineStr">
        <is>
          <t>勋章</t>
        </is>
      </c>
      <c r="G20" s="398" t="n"/>
      <c r="H20" s="398" t="n"/>
      <c r="I20" s="398" t="n">
        <v>5885</v>
      </c>
      <c r="J20" s="398" t="n"/>
      <c r="K20" s="398" t="n"/>
      <c r="L20" s="398" t="n"/>
      <c r="M20" s="398" t="n">
        <v>5885</v>
      </c>
      <c r="N20" s="398" t="n">
        <v>5885</v>
      </c>
      <c r="O20" s="398" t="n">
        <v>5885</v>
      </c>
      <c r="P20" s="292" t="n"/>
      <c r="Q20" s="292" t="inlineStr">
        <is>
          <t>原九部位资源库已登记</t>
        </is>
      </c>
      <c r="R20" s="322" t="inlineStr">
        <is>
          <t>C1/C2现用：失乡统帅勋</t>
        </is>
      </c>
      <c r="S20" s="292" t="inlineStr">
        <is>
          <t>装备素材套装代码表.xlsx（原九部位）</t>
        </is>
      </c>
      <c r="T20" s="292" t="inlineStr">
        <is>
          <t>同一代码用于 Items / StateItem / DnItems；属性与掉落另表定义。</t>
        </is>
      </c>
      <c r="U20">
        <f>IF(COUNTIF($B$2:$B$1076,B20)&gt;1,"重复","")</f>
        <v/>
      </c>
      <c r="V20">
        <f>IF(AND(OR(M20="",M20=B20),OR(N20="",N20=B20),OR(O20="",O20=B20)),"通过","不一致")</f>
        <v/>
      </c>
    </row>
    <row r="21" ht="22" customHeight="1">
      <c r="A21" s="398" t="n">
        <v>20</v>
      </c>
      <c r="B21" s="398" t="n">
        <v>5886</v>
      </c>
      <c r="C21" s="399" t="inlineStr">
        <is>
          <t>黄金圣律·执火</t>
        </is>
      </c>
      <c r="D21" s="399" t="inlineStr">
        <is>
          <t>黄金圣律</t>
        </is>
      </c>
      <c r="E21" s="399" t="n">
        <v>3</v>
      </c>
      <c r="F21" s="399" t="inlineStr">
        <is>
          <t>项链</t>
        </is>
      </c>
      <c r="G21" s="398" t="n"/>
      <c r="H21" s="398" t="n"/>
      <c r="I21" s="398" t="n">
        <v>5886</v>
      </c>
      <c r="J21" s="398" t="n"/>
      <c r="K21" s="398" t="n"/>
      <c r="L21" s="398" t="n"/>
      <c r="M21" s="398" t="n">
        <v>5886</v>
      </c>
      <c r="N21" s="398" t="n">
        <v>5886</v>
      </c>
      <c r="O21" s="398" t="n">
        <v>5886</v>
      </c>
      <c r="P21" s="292" t="n"/>
      <c r="Q21" s="292" t="inlineStr">
        <is>
          <t>原九部位资源库已登记</t>
        </is>
      </c>
      <c r="R21" s="324" t="inlineStr">
        <is>
          <t>C3-C10规划锁定：镜刃王室链</t>
        </is>
      </c>
      <c r="S21" s="292" t="inlineStr">
        <is>
          <t>装备素材套装代码表.xlsx（原九部位）</t>
        </is>
      </c>
      <c r="T21" s="292" t="inlineStr">
        <is>
          <t>同一代码用于 Items / StateItem / DnItems；属性与掉落另表定义。</t>
        </is>
      </c>
      <c r="U21">
        <f>IF(COUNTIF($B$2:$B$1076,B21)&gt;1,"重复","")</f>
        <v/>
      </c>
      <c r="V21">
        <f>IF(AND(OR(M21="",M21=B21),OR(N21="",N21=B21),OR(O21="",O21=B21)),"通过","不一致")</f>
        <v/>
      </c>
    </row>
    <row r="22" ht="22" customHeight="1">
      <c r="A22" s="398" t="n">
        <v>21</v>
      </c>
      <c r="B22" s="398" t="n">
        <v>5887</v>
      </c>
      <c r="C22" s="399" t="inlineStr">
        <is>
          <t>黄金圣律·执火</t>
        </is>
      </c>
      <c r="D22" s="399" t="inlineStr">
        <is>
          <t>黄金圣律</t>
        </is>
      </c>
      <c r="E22" s="399" t="n">
        <v>3</v>
      </c>
      <c r="F22" s="399" t="inlineStr">
        <is>
          <t>头盔</t>
        </is>
      </c>
      <c r="G22" s="398" t="n"/>
      <c r="H22" s="398" t="n"/>
      <c r="I22" s="398" t="n">
        <v>5887</v>
      </c>
      <c r="J22" s="398" t="n"/>
      <c r="K22" s="398" t="n"/>
      <c r="L22" s="398" t="n"/>
      <c r="M22" s="398" t="n">
        <v>5887</v>
      </c>
      <c r="N22" s="398" t="n">
        <v>5887</v>
      </c>
      <c r="O22" s="398" t="n">
        <v>5887</v>
      </c>
      <c r="P22" s="292" t="n"/>
      <c r="Q22" s="292" t="inlineStr">
        <is>
          <t>原九部位资源库已登记</t>
        </is>
      </c>
      <c r="R22" s="324" t="inlineStr">
        <is>
          <t>C3-C10规划锁定：拾骸骨盔</t>
        </is>
      </c>
      <c r="S22" s="292" t="inlineStr">
        <is>
          <t>装备素材套装代码表.xlsx（原九部位）</t>
        </is>
      </c>
      <c r="T22" s="292" t="inlineStr">
        <is>
          <t>同一代码用于 Items / StateItem / DnItems；属性与掉落另表定义。</t>
        </is>
      </c>
      <c r="U22">
        <f>IF(COUNTIF($B$2:$B$1076,B22)&gt;1,"重复","")</f>
        <v/>
      </c>
      <c r="V22">
        <f>IF(AND(OR(M22="",M22=B22),OR(N22="",N22=B22),OR(O22="",O22=B22)),"通过","不一致")</f>
        <v/>
      </c>
    </row>
    <row r="23" ht="22" customHeight="1">
      <c r="A23" s="398" t="n">
        <v>22</v>
      </c>
      <c r="B23" s="398" t="n">
        <v>5888</v>
      </c>
      <c r="C23" s="399" t="inlineStr">
        <is>
          <t>黄金圣律·执火</t>
        </is>
      </c>
      <c r="D23" s="399" t="inlineStr">
        <is>
          <t>黄金圣律</t>
        </is>
      </c>
      <c r="E23" s="399" t="n">
        <v>3</v>
      </c>
      <c r="F23" s="399" t="inlineStr">
        <is>
          <t>手镯</t>
        </is>
      </c>
      <c r="G23" s="398" t="n"/>
      <c r="H23" s="398" t="n"/>
      <c r="I23" s="398" t="n">
        <v>5888</v>
      </c>
      <c r="J23" s="398" t="n"/>
      <c r="K23" s="398" t="n"/>
      <c r="L23" s="398" t="n"/>
      <c r="M23" s="398" t="n">
        <v>5888</v>
      </c>
      <c r="N23" s="398" t="n">
        <v>5888</v>
      </c>
      <c r="O23" s="398" t="n">
        <v>5888</v>
      </c>
      <c r="P23" s="292" t="n"/>
      <c r="Q23" s="292" t="inlineStr">
        <is>
          <t>原九部位资源库已登记</t>
        </is>
      </c>
      <c r="R23" s="324" t="inlineStr">
        <is>
          <t>C3-C10规划锁定：烬鳞护腕</t>
        </is>
      </c>
      <c r="S23" s="292" t="inlineStr">
        <is>
          <t>装备素材套装代码表.xlsx（原九部位）</t>
        </is>
      </c>
      <c r="T23" s="292" t="inlineStr">
        <is>
          <t>同一代码用于 Items / StateItem / DnItems；属性与掉落另表定义。</t>
        </is>
      </c>
      <c r="U23">
        <f>IF(COUNTIF($B$2:$B$1076,B23)&gt;1,"重复","")</f>
        <v/>
      </c>
      <c r="V23">
        <f>IF(AND(OR(M23="",M23=B23),OR(N23="",N23=B23),OR(O23="",O23=B23)),"通过","不一致")</f>
        <v/>
      </c>
    </row>
    <row r="24" ht="22" customHeight="1">
      <c r="A24" s="398" t="n">
        <v>23</v>
      </c>
      <c r="B24" s="398" t="n">
        <v>5889</v>
      </c>
      <c r="C24" s="399" t="inlineStr">
        <is>
          <t>黄金圣律·执火</t>
        </is>
      </c>
      <c r="D24" s="399" t="inlineStr">
        <is>
          <t>黄金圣律</t>
        </is>
      </c>
      <c r="E24" s="399" t="n">
        <v>3</v>
      </c>
      <c r="F24" s="399" t="inlineStr">
        <is>
          <t>戒指</t>
        </is>
      </c>
      <c r="G24" s="398" t="n"/>
      <c r="H24" s="398" t="n"/>
      <c r="I24" s="398" t="n">
        <v>5889</v>
      </c>
      <c r="J24" s="398" t="n"/>
      <c r="K24" s="398" t="n"/>
      <c r="L24" s="398" t="n"/>
      <c r="M24" s="398" t="n">
        <v>5889</v>
      </c>
      <c r="N24" s="398" t="n">
        <v>5889</v>
      </c>
      <c r="O24" s="398" t="n">
        <v>5889</v>
      </c>
      <c r="P24" s="292" t="n"/>
      <c r="Q24" s="292" t="inlineStr">
        <is>
          <t>原九部位资源库已登记</t>
        </is>
      </c>
      <c r="R24" s="324" t="inlineStr">
        <is>
          <t>C3-C10规划锁定：熔喉牙戒</t>
        </is>
      </c>
      <c r="S24" s="292" t="inlineStr">
        <is>
          <t>装备素材套装代码表.xlsx（原九部位）</t>
        </is>
      </c>
      <c r="T24" s="292" t="inlineStr">
        <is>
          <t>同一代码用于 Items / StateItem / DnItems；属性与掉落另表定义。</t>
        </is>
      </c>
      <c r="U24">
        <f>IF(COUNTIF($B$2:$B$1076,B24)&gt;1,"重复","")</f>
        <v/>
      </c>
      <c r="V24">
        <f>IF(AND(OR(M24="",M24=B24),OR(N24="",N24=B24),OR(O24="",O24=B24)),"通过","不一致")</f>
        <v/>
      </c>
    </row>
    <row r="25" ht="22" customHeight="1">
      <c r="A25" s="398" t="n">
        <v>24</v>
      </c>
      <c r="B25" s="398" t="n">
        <v>5890</v>
      </c>
      <c r="C25" s="399" t="inlineStr">
        <is>
          <t>黄金圣律·执火</t>
        </is>
      </c>
      <c r="D25" s="399" t="inlineStr">
        <is>
          <t>黄金圣律</t>
        </is>
      </c>
      <c r="E25" s="399" t="n">
        <v>3</v>
      </c>
      <c r="F25" s="399" t="inlineStr">
        <is>
          <t>盾牌</t>
        </is>
      </c>
      <c r="G25" s="398" t="n"/>
      <c r="H25" s="398" t="n"/>
      <c r="I25" s="398" t="n">
        <v>5890</v>
      </c>
      <c r="J25" s="398" t="n"/>
      <c r="K25" s="398" t="n"/>
      <c r="L25" s="398" t="n"/>
      <c r="M25" s="398" t="n">
        <v>5890</v>
      </c>
      <c r="N25" s="398" t="n">
        <v>5890</v>
      </c>
      <c r="O25" s="398" t="n">
        <v>5890</v>
      </c>
      <c r="P25" s="292" t="n"/>
      <c r="Q25" s="292" t="inlineStr">
        <is>
          <t>原九部位资源库已登记</t>
        </is>
      </c>
      <c r="R25" s="324" t="inlineStr">
        <is>
          <t>C3-C10规划锁定：冰甲重盾</t>
        </is>
      </c>
      <c r="S25" s="292" t="inlineStr">
        <is>
          <t>装备素材套装代码表.xlsx（原九部位）</t>
        </is>
      </c>
      <c r="T25" s="292" t="inlineStr">
        <is>
          <t>同一代码用于 Items / StateItem / DnItems；属性与掉落另表定义。</t>
        </is>
      </c>
      <c r="U25">
        <f>IF(COUNTIF($B$2:$B$1076,B25)&gt;1,"重复","")</f>
        <v/>
      </c>
      <c r="V25">
        <f>IF(AND(OR(M25="",M25=B25),OR(N25="",N25=B25),OR(O25="",O25=B25)),"通过","不一致")</f>
        <v/>
      </c>
    </row>
    <row r="26" ht="22" customHeight="1">
      <c r="A26" s="398" t="n">
        <v>25</v>
      </c>
      <c r="B26" s="398" t="n">
        <v>5891</v>
      </c>
      <c r="C26" s="399" t="inlineStr">
        <is>
          <t>黄金圣律·执火</t>
        </is>
      </c>
      <c r="D26" s="399" t="inlineStr">
        <is>
          <t>黄金圣律</t>
        </is>
      </c>
      <c r="E26" s="399" t="n">
        <v>3</v>
      </c>
      <c r="F26" s="399" t="inlineStr">
        <is>
          <t>灵玉</t>
        </is>
      </c>
      <c r="G26" s="398" t="n"/>
      <c r="H26" s="398" t="n"/>
      <c r="I26" s="398" t="n">
        <v>5891</v>
      </c>
      <c r="J26" s="398" t="n"/>
      <c r="K26" s="398" t="n"/>
      <c r="L26" s="398" t="n"/>
      <c r="M26" s="398" t="n">
        <v>5891</v>
      </c>
      <c r="N26" s="398" t="n">
        <v>5891</v>
      </c>
      <c r="O26" s="398" t="n">
        <v>5891</v>
      </c>
      <c r="P26" s="292" t="n"/>
      <c r="Q26" s="292" t="inlineStr">
        <is>
          <t>原九部位资源库已登记</t>
        </is>
      </c>
      <c r="R26" s="292" t="str"/>
      <c r="S26" s="292" t="inlineStr">
        <is>
          <t>装备素材套装代码表.xlsx（原九部位）</t>
        </is>
      </c>
      <c r="T26" s="292" t="inlineStr">
        <is>
          <t>同一代码用于 Items / StateItem / DnItems；属性与掉落另表定义。</t>
        </is>
      </c>
      <c r="U26">
        <f>IF(COUNTIF($B$2:$B$1076,B26)&gt;1,"重复","")</f>
        <v/>
      </c>
      <c r="V26">
        <f>IF(AND(OR(M26="",M26=B26),OR(N26="",N26=B26),OR(O26="",O26=B26)),"通过","不一致")</f>
        <v/>
      </c>
    </row>
    <row r="27" ht="22" customHeight="1">
      <c r="A27" s="398" t="n">
        <v>26</v>
      </c>
      <c r="B27" s="398" t="n">
        <v>5892</v>
      </c>
      <c r="C27" s="399" t="inlineStr">
        <is>
          <t>黄金圣律·执火</t>
        </is>
      </c>
      <c r="D27" s="399" t="inlineStr">
        <is>
          <t>黄金圣律</t>
        </is>
      </c>
      <c r="E27" s="399" t="n">
        <v>3</v>
      </c>
      <c r="F27" s="399" t="inlineStr">
        <is>
          <t>鞋子</t>
        </is>
      </c>
      <c r="G27" s="398" t="n"/>
      <c r="H27" s="398" t="n"/>
      <c r="I27" s="398" t="n">
        <v>5892</v>
      </c>
      <c r="J27" s="398" t="n"/>
      <c r="K27" s="398" t="n"/>
      <c r="L27" s="398" t="n"/>
      <c r="M27" s="398" t="n">
        <v>5892</v>
      </c>
      <c r="N27" s="398" t="n">
        <v>5892</v>
      </c>
      <c r="O27" s="398" t="n">
        <v>5892</v>
      </c>
      <c r="P27" s="292" t="n"/>
      <c r="Q27" s="292" t="inlineStr">
        <is>
          <t>原九部位资源库已登记</t>
        </is>
      </c>
      <c r="R27" s="324" t="inlineStr">
        <is>
          <t>C3-C10规划锁定：审判长靴</t>
        </is>
      </c>
      <c r="S27" s="292" t="inlineStr">
        <is>
          <t>装备素材套装代码表.xlsx（原九部位）</t>
        </is>
      </c>
      <c r="T27" s="292" t="inlineStr">
        <is>
          <t>同一代码用于 Items / StateItem / DnItems；属性与掉落另表定义。</t>
        </is>
      </c>
      <c r="U27">
        <f>IF(COUNTIF($B$2:$B$1076,B27)&gt;1,"重复","")</f>
        <v/>
      </c>
      <c r="V27">
        <f>IF(AND(OR(M27="",M27=B27),OR(N27="",N27=B27),OR(O27="",O27=B27)),"通过","不一致")</f>
        <v/>
      </c>
    </row>
    <row r="28" ht="22" customHeight="1">
      <c r="A28" s="398" t="n">
        <v>27</v>
      </c>
      <c r="B28" s="398" t="n">
        <v>5893</v>
      </c>
      <c r="C28" s="399" t="inlineStr">
        <is>
          <t>黄金圣律·执火</t>
        </is>
      </c>
      <c r="D28" s="399" t="inlineStr">
        <is>
          <t>黄金圣律</t>
        </is>
      </c>
      <c r="E28" s="399" t="n">
        <v>3</v>
      </c>
      <c r="F28" s="399" t="inlineStr">
        <is>
          <t>腰带</t>
        </is>
      </c>
      <c r="G28" s="398" t="n"/>
      <c r="H28" s="398" t="n"/>
      <c r="I28" s="398" t="n">
        <v>5893</v>
      </c>
      <c r="J28" s="398" t="n"/>
      <c r="K28" s="398" t="n"/>
      <c r="L28" s="398" t="n"/>
      <c r="M28" s="398" t="n">
        <v>5893</v>
      </c>
      <c r="N28" s="398" t="n">
        <v>5893</v>
      </c>
      <c r="O28" s="398" t="n">
        <v>5893</v>
      </c>
      <c r="P28" s="292" t="n"/>
      <c r="Q28" s="292" t="inlineStr">
        <is>
          <t>原九部位资源库已登记</t>
        </is>
      </c>
      <c r="R28" s="324" t="inlineStr">
        <is>
          <t>C3-C10规划锁定：幻刃腰封</t>
        </is>
      </c>
      <c r="S28" s="292" t="inlineStr">
        <is>
          <t>装备素材套装代码表.xlsx（原九部位）</t>
        </is>
      </c>
      <c r="T28" s="292" t="inlineStr">
        <is>
          <t>同一代码用于 Items / StateItem / DnItems；属性与掉落另表定义。</t>
        </is>
      </c>
      <c r="U28">
        <f>IF(COUNTIF($B$2:$B$1076,B28)&gt;1,"重复","")</f>
        <v/>
      </c>
      <c r="V28">
        <f>IF(AND(OR(M28="",M28=B28),OR(N28="",N28=B28),OR(O28="",O28=B28)),"通过","不一致")</f>
        <v/>
      </c>
    </row>
    <row r="29" ht="22" customHeight="1">
      <c r="A29" s="398" t="n">
        <v>28</v>
      </c>
      <c r="B29" s="398" t="n">
        <v>5894</v>
      </c>
      <c r="C29" s="399" t="inlineStr">
        <is>
          <t>黄金圣律·圣徽</t>
        </is>
      </c>
      <c r="D29" s="399" t="inlineStr">
        <is>
          <t>黄金圣律</t>
        </is>
      </c>
      <c r="E29" s="399" t="n">
        <v>4</v>
      </c>
      <c r="F29" s="399" t="inlineStr">
        <is>
          <t>勋章</t>
        </is>
      </c>
      <c r="G29" s="398" t="n"/>
      <c r="H29" s="398" t="n"/>
      <c r="I29" s="398" t="n">
        <v>5894</v>
      </c>
      <c r="J29" s="398" t="n"/>
      <c r="K29" s="398" t="n"/>
      <c r="L29" s="398" t="n"/>
      <c r="M29" s="398" t="n">
        <v>5894</v>
      </c>
      <c r="N29" s="398" t="n">
        <v>5894</v>
      </c>
      <c r="O29" s="398" t="n">
        <v>5894</v>
      </c>
      <c r="P29" s="292" t="n"/>
      <c r="Q29" s="292" t="inlineStr">
        <is>
          <t>原九部位资源库已登记</t>
        </is>
      </c>
      <c r="R29" s="324" t="inlineStr">
        <is>
          <t>C3-C10规划锁定：封勘金衡章</t>
        </is>
      </c>
      <c r="S29" s="292" t="inlineStr">
        <is>
          <t>装备素材套装代码表.xlsx（原九部位）</t>
        </is>
      </c>
      <c r="T29" s="292" t="inlineStr">
        <is>
          <t>同一代码用于 Items / StateItem / DnItems；属性与掉落另表定义。</t>
        </is>
      </c>
      <c r="U29">
        <f>IF(COUNTIF($B$2:$B$1076,B29)&gt;1,"重复","")</f>
        <v/>
      </c>
      <c r="V29">
        <f>IF(AND(OR(M29="",M29=B29),OR(N29="",N29=B29),OR(O29="",O29=B29)),"通过","不一致")</f>
        <v/>
      </c>
    </row>
    <row r="30" ht="22" customHeight="1">
      <c r="A30" s="398" t="n">
        <v>29</v>
      </c>
      <c r="B30" s="398" t="n">
        <v>5895</v>
      </c>
      <c r="C30" s="399" t="inlineStr">
        <is>
          <t>黄金圣律·圣徽</t>
        </is>
      </c>
      <c r="D30" s="399" t="inlineStr">
        <is>
          <t>黄金圣律</t>
        </is>
      </c>
      <c r="E30" s="399" t="n">
        <v>4</v>
      </c>
      <c r="F30" s="399" t="inlineStr">
        <is>
          <t>项链</t>
        </is>
      </c>
      <c r="G30" s="398" t="n"/>
      <c r="H30" s="398" t="n"/>
      <c r="I30" s="398" t="n">
        <v>5895</v>
      </c>
      <c r="J30" s="398" t="n"/>
      <c r="K30" s="398" t="n"/>
      <c r="L30" s="398" t="n"/>
      <c r="M30" s="398" t="n">
        <v>5895</v>
      </c>
      <c r="N30" s="398" t="n">
        <v>5895</v>
      </c>
      <c r="O30" s="398" t="n">
        <v>5895</v>
      </c>
      <c r="P30" s="292" t="n"/>
      <c r="Q30" s="292" t="inlineStr">
        <is>
          <t>原九部位资源库已登记</t>
        </is>
      </c>
      <c r="R30" s="324" t="inlineStr">
        <is>
          <t>C3-C10规划锁定：焦脉祭链</t>
        </is>
      </c>
      <c r="S30" s="292" t="inlineStr">
        <is>
          <t>装备素材套装代码表.xlsx（原九部位）</t>
        </is>
      </c>
      <c r="T30" s="292" t="inlineStr">
        <is>
          <t>同一代码用于 Items / StateItem / DnItems；属性与掉落另表定义。</t>
        </is>
      </c>
      <c r="U30">
        <f>IF(COUNTIF($B$2:$B$1076,B30)&gt;1,"重复","")</f>
        <v/>
      </c>
      <c r="V30">
        <f>IF(AND(OR(M30="",M30=B30),OR(N30="",N30=B30),OR(O30="",O30=B30)),"通过","不一致")</f>
        <v/>
      </c>
    </row>
    <row r="31" ht="22" customHeight="1">
      <c r="A31" s="398" t="n">
        <v>30</v>
      </c>
      <c r="B31" s="398" t="n">
        <v>5896</v>
      </c>
      <c r="C31" s="399" t="inlineStr">
        <is>
          <t>黄金圣律·圣徽</t>
        </is>
      </c>
      <c r="D31" s="399" t="inlineStr">
        <is>
          <t>黄金圣律</t>
        </is>
      </c>
      <c r="E31" s="399" t="n">
        <v>4</v>
      </c>
      <c r="F31" s="399" t="inlineStr">
        <is>
          <t>头盔</t>
        </is>
      </c>
      <c r="G31" s="398" t="n"/>
      <c r="H31" s="398" t="n"/>
      <c r="I31" s="398" t="n">
        <v>5896</v>
      </c>
      <c r="J31" s="398" t="n"/>
      <c r="K31" s="398" t="n"/>
      <c r="L31" s="398" t="n"/>
      <c r="M31" s="398" t="n">
        <v>5896</v>
      </c>
      <c r="N31" s="398" t="n">
        <v>5896</v>
      </c>
      <c r="O31" s="398" t="n">
        <v>5896</v>
      </c>
      <c r="P31" s="292" t="n"/>
      <c r="Q31" s="292" t="inlineStr">
        <is>
          <t>原九部位资源库已登记</t>
        </is>
      </c>
      <c r="R31" s="324" t="inlineStr">
        <is>
          <t>C3-C10规划锁定：伊弗腐冠</t>
        </is>
      </c>
      <c r="S31" s="292" t="inlineStr">
        <is>
          <t>装备素材套装代码表.xlsx（原九部位）</t>
        </is>
      </c>
      <c r="T31" s="292" t="inlineStr">
        <is>
          <t>同一代码用于 Items / StateItem / DnItems；属性与掉落另表定义。</t>
        </is>
      </c>
      <c r="U31">
        <f>IF(COUNTIF($B$2:$B$1076,B31)&gt;1,"重复","")</f>
        <v/>
      </c>
      <c r="V31">
        <f>IF(AND(OR(M31="",M31=B31),OR(N31="",N31=B31),OR(O31="",O31=B31)),"通过","不一致")</f>
        <v/>
      </c>
    </row>
    <row r="32" ht="22" customHeight="1">
      <c r="A32" s="398" t="n">
        <v>31</v>
      </c>
      <c r="B32" s="398" t="n">
        <v>5897</v>
      </c>
      <c r="C32" s="399" t="inlineStr">
        <is>
          <t>黄金圣律·圣徽</t>
        </is>
      </c>
      <c r="D32" s="399" t="inlineStr">
        <is>
          <t>黄金圣律</t>
        </is>
      </c>
      <c r="E32" s="399" t="n">
        <v>4</v>
      </c>
      <c r="F32" s="399" t="inlineStr">
        <is>
          <t>手镯</t>
        </is>
      </c>
      <c r="G32" s="398" t="n"/>
      <c r="H32" s="398" t="n"/>
      <c r="I32" s="398" t="n">
        <v>5897</v>
      </c>
      <c r="J32" s="398" t="n"/>
      <c r="K32" s="398" t="n"/>
      <c r="L32" s="398" t="n"/>
      <c r="M32" s="398" t="n">
        <v>5897</v>
      </c>
      <c r="N32" s="398" t="n">
        <v>5897</v>
      </c>
      <c r="O32" s="398" t="n">
        <v>5897</v>
      </c>
      <c r="P32" s="292" t="n"/>
      <c r="Q32" s="292" t="inlineStr">
        <is>
          <t>原九部位资源库已登记</t>
        </is>
      </c>
      <c r="R32" s="324" t="inlineStr">
        <is>
          <t>C3-C10规划锁定：冻角护腕</t>
        </is>
      </c>
      <c r="S32" s="292" t="inlineStr">
        <is>
          <t>装备素材套装代码表.xlsx（原九部位）</t>
        </is>
      </c>
      <c r="T32" s="292" t="inlineStr">
        <is>
          <t>同一代码用于 Items / StateItem / DnItems；属性与掉落另表定义。</t>
        </is>
      </c>
      <c r="U32">
        <f>IF(COUNTIF($B$2:$B$1076,B32)&gt;1,"重复","")</f>
        <v/>
      </c>
      <c r="V32">
        <f>IF(AND(OR(M32="",M32=B32),OR(N32="",N32=B32),OR(O32="",O32=B32)),"通过","不一致")</f>
        <v/>
      </c>
    </row>
    <row r="33" ht="22" customHeight="1">
      <c r="A33" s="398" t="n">
        <v>32</v>
      </c>
      <c r="B33" s="398" t="n">
        <v>5898</v>
      </c>
      <c r="C33" s="399" t="inlineStr">
        <is>
          <t>黄金圣律·圣徽</t>
        </is>
      </c>
      <c r="D33" s="399" t="inlineStr">
        <is>
          <t>黄金圣律</t>
        </is>
      </c>
      <c r="E33" s="399" t="n">
        <v>4</v>
      </c>
      <c r="F33" s="399" t="inlineStr">
        <is>
          <t>戒指</t>
        </is>
      </c>
      <c r="G33" s="398" t="n"/>
      <c r="H33" s="398" t="n"/>
      <c r="I33" s="398" t="n">
        <v>5898</v>
      </c>
      <c r="J33" s="398" t="n"/>
      <c r="K33" s="398" t="n"/>
      <c r="L33" s="398" t="n"/>
      <c r="M33" s="398" t="n">
        <v>5898</v>
      </c>
      <c r="N33" s="398" t="n">
        <v>5898</v>
      </c>
      <c r="O33" s="398" t="n">
        <v>5898</v>
      </c>
      <c r="P33" s="292" t="n"/>
      <c r="Q33" s="292" t="inlineStr">
        <is>
          <t>原九部位资源库已登记</t>
        </is>
      </c>
      <c r="R33" s="322" t="inlineStr">
        <is>
          <t>C1/C2现用：断旗马戒</t>
        </is>
      </c>
      <c r="S33" s="292" t="inlineStr">
        <is>
          <t>装备素材套装代码表.xlsx（原九部位）</t>
        </is>
      </c>
      <c r="T33" s="292" t="inlineStr">
        <is>
          <t>同一代码用于 Items / StateItem / DnItems；属性与掉落另表定义。</t>
        </is>
      </c>
      <c r="U33">
        <f>IF(COUNTIF($B$2:$B$1076,B33)&gt;1,"重复","")</f>
        <v/>
      </c>
      <c r="V33">
        <f>IF(AND(OR(M33="",M33=B33),OR(N33="",N33=B33),OR(O33="",O33=B33)),"通过","不一致")</f>
        <v/>
      </c>
    </row>
    <row r="34" ht="22" customHeight="1">
      <c r="A34" s="398" t="n">
        <v>33</v>
      </c>
      <c r="B34" s="398" t="n">
        <v>5899</v>
      </c>
      <c r="C34" s="399" t="inlineStr">
        <is>
          <t>黄金圣律·圣徽</t>
        </is>
      </c>
      <c r="D34" s="399" t="inlineStr">
        <is>
          <t>黄金圣律</t>
        </is>
      </c>
      <c r="E34" s="399" t="n">
        <v>4</v>
      </c>
      <c r="F34" s="399" t="inlineStr">
        <is>
          <t>盾牌</t>
        </is>
      </c>
      <c r="G34" s="398" t="n"/>
      <c r="H34" s="398" t="n"/>
      <c r="I34" s="398" t="n">
        <v>5899</v>
      </c>
      <c r="J34" s="398" t="n"/>
      <c r="K34" s="398" t="n"/>
      <c r="L34" s="398" t="n"/>
      <c r="M34" s="398" t="n">
        <v>5899</v>
      </c>
      <c r="N34" s="398" t="n">
        <v>5899</v>
      </c>
      <c r="O34" s="398" t="n">
        <v>5899</v>
      </c>
      <c r="P34" s="292" t="n"/>
      <c r="Q34" s="292" t="inlineStr">
        <is>
          <t>原九部位资源库已登记</t>
        </is>
      </c>
      <c r="R34" s="324" t="inlineStr">
        <is>
          <t>C3-C10规划锁定：银角塔盾</t>
        </is>
      </c>
      <c r="S34" s="292" t="inlineStr">
        <is>
          <t>装备素材套装代码表.xlsx（原九部位）</t>
        </is>
      </c>
      <c r="T34" s="292" t="inlineStr">
        <is>
          <t>同一代码用于 Items / StateItem / DnItems；属性与掉落另表定义。</t>
        </is>
      </c>
      <c r="U34">
        <f>IF(COUNTIF($B$2:$B$1076,B34)&gt;1,"重复","")</f>
        <v/>
      </c>
      <c r="V34">
        <f>IF(AND(OR(M34="",M34=B34),OR(N34="",N34=B34),OR(O34="",O34=B34)),"通过","不一致")</f>
        <v/>
      </c>
    </row>
    <row r="35" ht="22" customHeight="1">
      <c r="A35" s="398" t="n">
        <v>34</v>
      </c>
      <c r="B35" s="398" t="n">
        <v>5900</v>
      </c>
      <c r="C35" s="399" t="inlineStr">
        <is>
          <t>黄金圣律·圣徽</t>
        </is>
      </c>
      <c r="D35" s="399" t="inlineStr">
        <is>
          <t>黄金圣律</t>
        </is>
      </c>
      <c r="E35" s="399" t="n">
        <v>4</v>
      </c>
      <c r="F35" s="399" t="inlineStr">
        <is>
          <t>灵玉</t>
        </is>
      </c>
      <c r="G35" s="398" t="n"/>
      <c r="H35" s="398" t="n"/>
      <c r="I35" s="398" t="n">
        <v>5900</v>
      </c>
      <c r="J35" s="398" t="n"/>
      <c r="K35" s="398" t="n"/>
      <c r="L35" s="398" t="n"/>
      <c r="M35" s="398" t="n">
        <v>5900</v>
      </c>
      <c r="N35" s="398" t="n">
        <v>5900</v>
      </c>
      <c r="O35" s="398" t="n">
        <v>5900</v>
      </c>
      <c r="P35" s="292" t="n"/>
      <c r="Q35" s="292" t="inlineStr">
        <is>
          <t>原九部位资源库已登记</t>
        </is>
      </c>
      <c r="R35" s="292" t="str"/>
      <c r="S35" s="292" t="inlineStr">
        <is>
          <t>装备素材套装代码表.xlsx（原九部位）</t>
        </is>
      </c>
      <c r="T35" s="292" t="inlineStr">
        <is>
          <t>同一代码用于 Items / StateItem / DnItems；属性与掉落另表定义。</t>
        </is>
      </c>
      <c r="U35">
        <f>IF(COUNTIF($B$2:$B$1076,B35)&gt;1,"重复","")</f>
        <v/>
      </c>
      <c r="V35">
        <f>IF(AND(OR(M35="",M35=B35),OR(N35="",N35=B35),OR(O35="",O35=B35)),"通过","不一致")</f>
        <v/>
      </c>
    </row>
    <row r="36" ht="22" customHeight="1">
      <c r="A36" s="398" t="n">
        <v>35</v>
      </c>
      <c r="B36" s="398" t="n">
        <v>5901</v>
      </c>
      <c r="C36" s="399" t="inlineStr">
        <is>
          <t>黄金圣律·圣徽</t>
        </is>
      </c>
      <c r="D36" s="399" t="inlineStr">
        <is>
          <t>黄金圣律</t>
        </is>
      </c>
      <c r="E36" s="399" t="n">
        <v>4</v>
      </c>
      <c r="F36" s="399" t="inlineStr">
        <is>
          <t>鞋子</t>
        </is>
      </c>
      <c r="G36" s="398" t="n"/>
      <c r="H36" s="398" t="n"/>
      <c r="I36" s="398" t="n">
        <v>5901</v>
      </c>
      <c r="J36" s="398" t="n"/>
      <c r="K36" s="398" t="n"/>
      <c r="L36" s="398" t="n"/>
      <c r="M36" s="398" t="n">
        <v>5901</v>
      </c>
      <c r="N36" s="398" t="n">
        <v>5901</v>
      </c>
      <c r="O36" s="398" t="n">
        <v>5901</v>
      </c>
      <c r="P36" s="292" t="n"/>
      <c r="Q36" s="292" t="inlineStr">
        <is>
          <t>原九部位资源库已登记</t>
        </is>
      </c>
      <c r="R36" s="324" t="inlineStr">
        <is>
          <t>C3-C10规划锁定：冰骨战靴</t>
        </is>
      </c>
      <c r="S36" s="292" t="inlineStr">
        <is>
          <t>装备素材套装代码表.xlsx（原九部位）</t>
        </is>
      </c>
      <c r="T36" s="292" t="inlineStr">
        <is>
          <t>同一代码用于 Items / StateItem / DnItems；属性与掉落另表定义。</t>
        </is>
      </c>
      <c r="U36">
        <f>IF(COUNTIF($B$2:$B$1076,B36)&gt;1,"重复","")</f>
        <v/>
      </c>
      <c r="V36">
        <f>IF(AND(OR(M36="",M36=B36),OR(N36="",N36=B36),OR(O36="",O36=B36)),"通过","不一致")</f>
        <v/>
      </c>
    </row>
    <row r="37" ht="22" customHeight="1">
      <c r="A37" s="398" t="n">
        <v>36</v>
      </c>
      <c r="B37" s="398" t="n">
        <v>5902</v>
      </c>
      <c r="C37" s="399" t="inlineStr">
        <is>
          <t>黄金圣律·圣徽</t>
        </is>
      </c>
      <c r="D37" s="399" t="inlineStr">
        <is>
          <t>黄金圣律</t>
        </is>
      </c>
      <c r="E37" s="399" t="n">
        <v>4</v>
      </c>
      <c r="F37" s="399" t="inlineStr">
        <is>
          <t>腰带</t>
        </is>
      </c>
      <c r="G37" s="398" t="n"/>
      <c r="H37" s="398" t="n"/>
      <c r="I37" s="398" t="n">
        <v>5902</v>
      </c>
      <c r="J37" s="398" t="n"/>
      <c r="K37" s="398" t="n"/>
      <c r="L37" s="398" t="n"/>
      <c r="M37" s="398" t="n">
        <v>5902</v>
      </c>
      <c r="N37" s="398" t="n">
        <v>5902</v>
      </c>
      <c r="O37" s="398" t="n">
        <v>5902</v>
      </c>
      <c r="P37" s="292" t="n"/>
      <c r="Q37" s="292" t="inlineStr">
        <is>
          <t>原九部位资源库已登记</t>
        </is>
      </c>
      <c r="R37" s="324" t="inlineStr">
        <is>
          <t>C3-C10规划锁定：驮碑束腰</t>
        </is>
      </c>
      <c r="S37" s="292" t="inlineStr">
        <is>
          <t>装备素材套装代码表.xlsx（原九部位）</t>
        </is>
      </c>
      <c r="T37" s="292" t="inlineStr">
        <is>
          <t>同一代码用于 Items / StateItem / DnItems；属性与掉落另表定义。</t>
        </is>
      </c>
      <c r="U37">
        <f>IF(COUNTIF($B$2:$B$1076,B37)&gt;1,"重复","")</f>
        <v/>
      </c>
      <c r="V37">
        <f>IF(AND(OR(M37="",M37=B37),OR(N37="",N37=B37),OR(O37="",O37=B37)),"通过","不一致")</f>
        <v/>
      </c>
    </row>
    <row r="38" ht="22" customHeight="1">
      <c r="A38" s="398" t="n">
        <v>37</v>
      </c>
      <c r="B38" s="398" t="n">
        <v>5903</v>
      </c>
      <c r="C38" s="399" t="inlineStr">
        <is>
          <t>黄金圣律·璨金</t>
        </is>
      </c>
      <c r="D38" s="399" t="inlineStr">
        <is>
          <t>黄金圣律</t>
        </is>
      </c>
      <c r="E38" s="399" t="n">
        <v>5</v>
      </c>
      <c r="F38" s="399" t="inlineStr">
        <is>
          <t>勋章</t>
        </is>
      </c>
      <c r="G38" s="398" t="n"/>
      <c r="H38" s="398" t="n"/>
      <c r="I38" s="398" t="n">
        <v>5903</v>
      </c>
      <c r="J38" s="398" t="n"/>
      <c r="K38" s="398" t="n"/>
      <c r="L38" s="398" t="n"/>
      <c r="M38" s="398" t="n">
        <v>5903</v>
      </c>
      <c r="N38" s="398" t="n">
        <v>5903</v>
      </c>
      <c r="O38" s="398" t="n">
        <v>5903</v>
      </c>
      <c r="P38" s="292" t="n"/>
      <c r="Q38" s="292" t="inlineStr">
        <is>
          <t>原九部位资源库已登记</t>
        </is>
      </c>
      <c r="R38" s="324" t="inlineStr">
        <is>
          <t>C3-C10规划锁定：秤罪墓律章</t>
        </is>
      </c>
      <c r="S38" s="292" t="inlineStr">
        <is>
          <t>装备素材套装代码表.xlsx（原九部位）</t>
        </is>
      </c>
      <c r="T38" s="292" t="inlineStr">
        <is>
          <t>同一代码用于 Items / StateItem / DnItems；属性与掉落另表定义。</t>
        </is>
      </c>
      <c r="U38">
        <f>IF(COUNTIF($B$2:$B$1076,B38)&gt;1,"重复","")</f>
        <v/>
      </c>
      <c r="V38">
        <f>IF(AND(OR(M38="",M38=B38),OR(N38="",N38=B38),OR(O38="",O38=B38)),"通过","不一致")</f>
        <v/>
      </c>
    </row>
    <row r="39" ht="22" customHeight="1">
      <c r="A39" s="398" t="n">
        <v>38</v>
      </c>
      <c r="B39" s="398" t="n">
        <v>5904</v>
      </c>
      <c r="C39" s="399" t="inlineStr">
        <is>
          <t>黄金圣律·璨金</t>
        </is>
      </c>
      <c r="D39" s="399" t="inlineStr">
        <is>
          <t>黄金圣律</t>
        </is>
      </c>
      <c r="E39" s="399" t="n">
        <v>5</v>
      </c>
      <c r="F39" s="399" t="inlineStr">
        <is>
          <t>项链</t>
        </is>
      </c>
      <c r="G39" s="398" t="n"/>
      <c r="H39" s="398" t="n"/>
      <c r="I39" s="398" t="n">
        <v>5904</v>
      </c>
      <c r="J39" s="398" t="n"/>
      <c r="K39" s="398" t="n"/>
      <c r="L39" s="398" t="n"/>
      <c r="M39" s="398" t="n">
        <v>5904</v>
      </c>
      <c r="N39" s="398" t="n">
        <v>5904</v>
      </c>
      <c r="O39" s="398" t="n">
        <v>5904</v>
      </c>
      <c r="P39" s="292" t="n"/>
      <c r="Q39" s="292" t="inlineStr">
        <is>
          <t>原九部位资源库已登记</t>
        </is>
      </c>
      <c r="R39" s="322" t="inlineStr">
        <is>
          <t>C1/C2现用：火药锁链</t>
        </is>
      </c>
      <c r="S39" s="292" t="inlineStr">
        <is>
          <t>装备素材套装代码表.xlsx（原九部位）</t>
        </is>
      </c>
      <c r="T39" s="292" t="inlineStr">
        <is>
          <t>同一代码用于 Items / StateItem / DnItems；属性与掉落另表定义。</t>
        </is>
      </c>
      <c r="U39">
        <f>IF(COUNTIF($B$2:$B$1076,B39)&gt;1,"重复","")</f>
        <v/>
      </c>
      <c r="V39">
        <f>IF(AND(OR(M39="",M39=B39),OR(N39="",N39=B39),OR(O39="",O39=B39)),"通过","不一致")</f>
        <v/>
      </c>
    </row>
    <row r="40" ht="22" customHeight="1">
      <c r="A40" s="398" t="n">
        <v>39</v>
      </c>
      <c r="B40" s="398" t="n">
        <v>5905</v>
      </c>
      <c r="C40" s="399" t="inlineStr">
        <is>
          <t>黄金圣律·璨金</t>
        </is>
      </c>
      <c r="D40" s="399" t="inlineStr">
        <is>
          <t>黄金圣律</t>
        </is>
      </c>
      <c r="E40" s="399" t="n">
        <v>5</v>
      </c>
      <c r="F40" s="399" t="inlineStr">
        <is>
          <t>头盔</t>
        </is>
      </c>
      <c r="G40" s="398" t="n"/>
      <c r="H40" s="398" t="n"/>
      <c r="I40" s="398" t="n">
        <v>5905</v>
      </c>
      <c r="J40" s="398" t="n"/>
      <c r="K40" s="398" t="n"/>
      <c r="L40" s="398" t="n"/>
      <c r="M40" s="398" t="n">
        <v>5905</v>
      </c>
      <c r="N40" s="398" t="n">
        <v>5905</v>
      </c>
      <c r="O40" s="398" t="n">
        <v>5905</v>
      </c>
      <c r="P40" s="292" t="n"/>
      <c r="Q40" s="292" t="inlineStr">
        <is>
          <t>原九部位资源库已登记</t>
        </is>
      </c>
      <c r="R40" s="324" t="inlineStr">
        <is>
          <t>C3-C10规划锁定：崎路狮盔</t>
        </is>
      </c>
      <c r="S40" s="292" t="inlineStr">
        <is>
          <t>装备素材套装代码表.xlsx（原九部位）</t>
        </is>
      </c>
      <c r="T40" s="292" t="inlineStr">
        <is>
          <t>同一代码用于 Items / StateItem / DnItems；属性与掉落另表定义。</t>
        </is>
      </c>
      <c r="U40">
        <f>IF(COUNTIF($B$2:$B$1076,B40)&gt;1,"重复","")</f>
        <v/>
      </c>
      <c r="V40">
        <f>IF(AND(OR(M40="",M40=B40),OR(N40="",N40=B40),OR(O40="",O40=B40)),"通过","不一致")</f>
        <v/>
      </c>
    </row>
    <row r="41" ht="22" customHeight="1">
      <c r="A41" s="398" t="n">
        <v>40</v>
      </c>
      <c r="B41" s="398" t="n">
        <v>5906</v>
      </c>
      <c r="C41" s="399" t="inlineStr">
        <is>
          <t>黄金圣律·璨金</t>
        </is>
      </c>
      <c r="D41" s="399" t="inlineStr">
        <is>
          <t>黄金圣律</t>
        </is>
      </c>
      <c r="E41" s="399" t="n">
        <v>5</v>
      </c>
      <c r="F41" s="399" t="inlineStr">
        <is>
          <t>手镯</t>
        </is>
      </c>
      <c r="G41" s="398" t="n"/>
      <c r="H41" s="398" t="n"/>
      <c r="I41" s="398" t="n">
        <v>5906</v>
      </c>
      <c r="J41" s="398" t="n"/>
      <c r="K41" s="398" t="n"/>
      <c r="L41" s="398" t="n"/>
      <c r="M41" s="398" t="n">
        <v>5906</v>
      </c>
      <c r="N41" s="398" t="n">
        <v>5906</v>
      </c>
      <c r="O41" s="398" t="n">
        <v>5906</v>
      </c>
      <c r="P41" s="292" t="n"/>
      <c r="Q41" s="292" t="inlineStr">
        <is>
          <t>原九部位资源库已登记</t>
        </is>
      </c>
      <c r="R41" s="324" t="inlineStr">
        <is>
          <t>C3-C10规划锁定：雪壳腕甲</t>
        </is>
      </c>
      <c r="S41" s="292" t="inlineStr">
        <is>
          <t>装备素材套装代码表.xlsx（原九部位）</t>
        </is>
      </c>
      <c r="T41" s="292" t="inlineStr">
        <is>
          <t>同一代码用于 Items / StateItem / DnItems；属性与掉落另表定义。</t>
        </is>
      </c>
      <c r="U41">
        <f>IF(COUNTIF($B$2:$B$1076,B41)&gt;1,"重复","")</f>
        <v/>
      </c>
      <c r="V41">
        <f>IF(AND(OR(M41="",M41=B41),OR(N41="",N41=B41),OR(O41="",O41=B41)),"通过","不一致")</f>
        <v/>
      </c>
    </row>
    <row r="42" ht="22" customHeight="1">
      <c r="A42" s="398" t="n">
        <v>41</v>
      </c>
      <c r="B42" s="398" t="n">
        <v>5907</v>
      </c>
      <c r="C42" s="399" t="inlineStr">
        <is>
          <t>黄金圣律·璨金</t>
        </is>
      </c>
      <c r="D42" s="399" t="inlineStr">
        <is>
          <t>黄金圣律</t>
        </is>
      </c>
      <c r="E42" s="399" t="n">
        <v>5</v>
      </c>
      <c r="F42" s="399" t="inlineStr">
        <is>
          <t>戒指</t>
        </is>
      </c>
      <c r="G42" s="398" t="n"/>
      <c r="H42" s="398" t="n"/>
      <c r="I42" s="398" t="n">
        <v>5907</v>
      </c>
      <c r="J42" s="398" t="n"/>
      <c r="K42" s="398" t="n"/>
      <c r="L42" s="398" t="n"/>
      <c r="M42" s="398" t="n">
        <v>5907</v>
      </c>
      <c r="N42" s="398" t="n">
        <v>5907</v>
      </c>
      <c r="O42" s="398" t="n">
        <v>5907</v>
      </c>
      <c r="P42" s="292" t="n"/>
      <c r="Q42" s="292" t="inlineStr">
        <is>
          <t>原九部位资源库已登记</t>
        </is>
      </c>
      <c r="R42" s="324" t="inlineStr">
        <is>
          <t>C3-C10规划锁定：火弩指环</t>
        </is>
      </c>
      <c r="S42" s="292" t="inlineStr">
        <is>
          <t>装备素材套装代码表.xlsx（原九部位）</t>
        </is>
      </c>
      <c r="T42" s="292" t="inlineStr">
        <is>
          <t>同一代码用于 Items / StateItem / DnItems；属性与掉落另表定义。</t>
        </is>
      </c>
      <c r="U42">
        <f>IF(COUNTIF($B$2:$B$1076,B42)&gt;1,"重复","")</f>
        <v/>
      </c>
      <c r="V42">
        <f>IF(AND(OR(M42="",M42=B42),OR(N42="",N42=B42),OR(O42="",O42=B42)),"通过","不一致")</f>
        <v/>
      </c>
    </row>
    <row r="43" ht="22" customHeight="1">
      <c r="A43" s="398" t="n">
        <v>42</v>
      </c>
      <c r="B43" s="398" t="n">
        <v>5908</v>
      </c>
      <c r="C43" s="399" t="inlineStr">
        <is>
          <t>黄金圣律·璨金</t>
        </is>
      </c>
      <c r="D43" s="399" t="inlineStr">
        <is>
          <t>黄金圣律</t>
        </is>
      </c>
      <c r="E43" s="399" t="n">
        <v>5</v>
      </c>
      <c r="F43" s="399" t="inlineStr">
        <is>
          <t>盾牌</t>
        </is>
      </c>
      <c r="G43" s="398" t="n"/>
      <c r="H43" s="398" t="n"/>
      <c r="I43" s="398" t="n">
        <v>5908</v>
      </c>
      <c r="J43" s="398" t="n"/>
      <c r="K43" s="398" t="n"/>
      <c r="L43" s="398" t="n"/>
      <c r="M43" s="398" t="n">
        <v>5908</v>
      </c>
      <c r="N43" s="398" t="n">
        <v>5908</v>
      </c>
      <c r="O43" s="398" t="n">
        <v>5908</v>
      </c>
      <c r="P43" s="292" t="n"/>
      <c r="Q43" s="292" t="inlineStr">
        <is>
          <t>原九部位资源库已登记</t>
        </is>
      </c>
      <c r="R43" s="324" t="inlineStr">
        <is>
          <t>C3-C10规划锁定：冻骨圆盾</t>
        </is>
      </c>
      <c r="S43" s="292" t="inlineStr">
        <is>
          <t>装备素材套装代码表.xlsx（原九部位）</t>
        </is>
      </c>
      <c r="T43" s="292" t="inlineStr">
        <is>
          <t>同一代码用于 Items / StateItem / DnItems；属性与掉落另表定义。</t>
        </is>
      </c>
      <c r="U43">
        <f>IF(COUNTIF($B$2:$B$1076,B43)&gt;1,"重复","")</f>
        <v/>
      </c>
      <c r="V43">
        <f>IF(AND(OR(M43="",M43=B43),OR(N43="",N43=B43),OR(O43="",O43=B43)),"通过","不一致")</f>
        <v/>
      </c>
    </row>
    <row r="44" ht="22" customHeight="1">
      <c r="A44" s="398" t="n">
        <v>43</v>
      </c>
      <c r="B44" s="398" t="n">
        <v>5909</v>
      </c>
      <c r="C44" s="399" t="inlineStr">
        <is>
          <t>黄金圣律·璨金</t>
        </is>
      </c>
      <c r="D44" s="399" t="inlineStr">
        <is>
          <t>黄金圣律</t>
        </is>
      </c>
      <c r="E44" s="399" t="n">
        <v>5</v>
      </c>
      <c r="F44" s="399" t="inlineStr">
        <is>
          <t>灵玉</t>
        </is>
      </c>
      <c r="G44" s="398" t="n"/>
      <c r="H44" s="398" t="n"/>
      <c r="I44" s="398" t="n">
        <v>5909</v>
      </c>
      <c r="J44" s="398" t="n"/>
      <c r="K44" s="398" t="n"/>
      <c r="L44" s="398" t="n"/>
      <c r="M44" s="398" t="n">
        <v>5909</v>
      </c>
      <c r="N44" s="398" t="n">
        <v>5909</v>
      </c>
      <c r="O44" s="398" t="n">
        <v>5909</v>
      </c>
      <c r="P44" s="292" t="n"/>
      <c r="Q44" s="292" t="inlineStr">
        <is>
          <t>原九部位资源库已登记</t>
        </is>
      </c>
      <c r="R44" s="322" t="inlineStr">
        <is>
          <t>C1/C2现用：玛莲妮亚的大卢恩</t>
        </is>
      </c>
      <c r="S44" s="292" t="inlineStr">
        <is>
          <t>装备素材套装代码表.xlsx（原九部位）</t>
        </is>
      </c>
      <c r="T44" s="292" t="inlineStr">
        <is>
          <t>同一代码用于 Items / StateItem / DnItems；属性与掉落另表定义。</t>
        </is>
      </c>
      <c r="U44">
        <f>IF(COUNTIF($B$2:$B$1076,B44)&gt;1,"重复","")</f>
        <v/>
      </c>
      <c r="V44">
        <f>IF(AND(OR(M44="",M44=B44),OR(N44="",N44=B44),OR(O44="",O44=B44)),"通过","不一致")</f>
        <v/>
      </c>
    </row>
    <row r="45" ht="22" customHeight="1">
      <c r="A45" s="398" t="n">
        <v>44</v>
      </c>
      <c r="B45" s="398" t="n">
        <v>5910</v>
      </c>
      <c r="C45" s="399" t="inlineStr">
        <is>
          <t>黄金圣律·璨金</t>
        </is>
      </c>
      <c r="D45" s="399" t="inlineStr">
        <is>
          <t>黄金圣律</t>
        </is>
      </c>
      <c r="E45" s="399" t="n">
        <v>5</v>
      </c>
      <c r="F45" s="399" t="inlineStr">
        <is>
          <t>鞋子</t>
        </is>
      </c>
      <c r="G45" s="398" t="n"/>
      <c r="H45" s="398" t="n"/>
      <c r="I45" s="398" t="n">
        <v>5910</v>
      </c>
      <c r="J45" s="398" t="n"/>
      <c r="K45" s="398" t="n"/>
      <c r="L45" s="398" t="n"/>
      <c r="M45" s="398" t="n">
        <v>5910</v>
      </c>
      <c r="N45" s="398" t="n">
        <v>5910</v>
      </c>
      <c r="O45" s="398" t="n">
        <v>5910</v>
      </c>
      <c r="P45" s="292" t="n"/>
      <c r="Q45" s="292" t="inlineStr">
        <is>
          <t>原九部位资源库已登记</t>
        </is>
      </c>
      <c r="R45" s="324" t="inlineStr">
        <is>
          <t>C3-C10规划锁定：霜蹄踏雪靴</t>
        </is>
      </c>
      <c r="S45" s="292" t="inlineStr">
        <is>
          <t>装备素材套装代码表.xlsx（原九部位）</t>
        </is>
      </c>
      <c r="T45" s="292" t="inlineStr">
        <is>
          <t>同一代码用于 Items / StateItem / DnItems；属性与掉落另表定义。</t>
        </is>
      </c>
      <c r="U45">
        <f>IF(COUNTIF($B$2:$B$1076,B45)&gt;1,"重复","")</f>
        <v/>
      </c>
      <c r="V45">
        <f>IF(AND(OR(M45="",M45=B45),OR(N45="",N45=B45),OR(O45="",O45=B45)),"通过","不一致")</f>
        <v/>
      </c>
    </row>
    <row r="46" ht="22" customHeight="1">
      <c r="A46" s="398" t="n">
        <v>45</v>
      </c>
      <c r="B46" s="398" t="n">
        <v>5911</v>
      </c>
      <c r="C46" s="399" t="inlineStr">
        <is>
          <t>黄金圣律·璨金</t>
        </is>
      </c>
      <c r="D46" s="399" t="inlineStr">
        <is>
          <t>黄金圣律</t>
        </is>
      </c>
      <c r="E46" s="399" t="n">
        <v>5</v>
      </c>
      <c r="F46" s="399" t="inlineStr">
        <is>
          <t>腰带</t>
        </is>
      </c>
      <c r="G46" s="398" t="n"/>
      <c r="H46" s="398" t="n"/>
      <c r="I46" s="398" t="n">
        <v>5911</v>
      </c>
      <c r="J46" s="398" t="n"/>
      <c r="K46" s="398" t="n"/>
      <c r="L46" s="398" t="n"/>
      <c r="M46" s="398" t="n">
        <v>5911</v>
      </c>
      <c r="N46" s="398" t="n">
        <v>5911</v>
      </c>
      <c r="O46" s="398" t="n">
        <v>5911</v>
      </c>
      <c r="P46" s="292" t="n"/>
      <c r="Q46" s="292" t="inlineStr">
        <is>
          <t>原九部位资源库已登记</t>
        </is>
      </c>
      <c r="R46" s="324" t="inlineStr">
        <is>
          <t>C3-C10规划锁定：负霜钉腰带</t>
        </is>
      </c>
      <c r="S46" s="292" t="inlineStr">
        <is>
          <t>装备素材套装代码表.xlsx（原九部位）</t>
        </is>
      </c>
      <c r="T46" s="292" t="inlineStr">
        <is>
          <t>同一代码用于 Items / StateItem / DnItems；属性与掉落另表定义。</t>
        </is>
      </c>
      <c r="U46">
        <f>IF(COUNTIF($B$2:$B$1076,B46)&gt;1,"重复","")</f>
        <v/>
      </c>
      <c r="V46">
        <f>IF(AND(OR(M46="",M46=B46),OR(N46="",N46=B46),OR(O46="",O46=B46)),"通过","不一致")</f>
        <v/>
      </c>
    </row>
    <row r="47" ht="22" customHeight="1">
      <c r="A47" s="398" t="n">
        <v>46</v>
      </c>
      <c r="B47" s="398" t="n">
        <v>5912</v>
      </c>
      <c r="C47" s="399" t="inlineStr">
        <is>
          <t>黄金圣律·蓝辉</t>
        </is>
      </c>
      <c r="D47" s="399" t="inlineStr">
        <is>
          <t>黄金圣律</t>
        </is>
      </c>
      <c r="E47" s="399" t="n">
        <v>6</v>
      </c>
      <c r="F47" s="399" t="inlineStr">
        <is>
          <t>勋章</t>
        </is>
      </c>
      <c r="G47" s="398" t="n"/>
      <c r="H47" s="398" t="n"/>
      <c r="I47" s="398" t="n">
        <v>5912</v>
      </c>
      <c r="J47" s="398" t="n"/>
      <c r="K47" s="398" t="n"/>
      <c r="L47" s="398" t="n"/>
      <c r="M47" s="398" t="n">
        <v>5912</v>
      </c>
      <c r="N47" s="398" t="n">
        <v>5912</v>
      </c>
      <c r="O47" s="398" t="n">
        <v>5912</v>
      </c>
      <c r="P47" s="292" t="n"/>
      <c r="Q47" s="292" t="inlineStr">
        <is>
          <t>原九部位资源库已登记</t>
        </is>
      </c>
      <c r="R47" s="324" t="inlineStr">
        <is>
          <t>C3-C10规划锁定：无声执冠勋章</t>
        </is>
      </c>
      <c r="S47" s="292" t="inlineStr">
        <is>
          <t>装备素材套装代码表.xlsx（原九部位）</t>
        </is>
      </c>
      <c r="T47" s="292" t="inlineStr">
        <is>
          <t>同一代码用于 Items / StateItem / DnItems；属性与掉落另表定义。</t>
        </is>
      </c>
      <c r="U47">
        <f>IF(COUNTIF($B$2:$B$1076,B47)&gt;1,"重复","")</f>
        <v/>
      </c>
      <c r="V47">
        <f>IF(AND(OR(M47="",M47=B47),OR(N47="",N47=B47),OR(O47="",O47=B47)),"通过","不一致")</f>
        <v/>
      </c>
    </row>
    <row r="48" ht="22" customHeight="1">
      <c r="A48" s="398" t="n">
        <v>47</v>
      </c>
      <c r="B48" s="398" t="n">
        <v>5913</v>
      </c>
      <c r="C48" s="399" t="inlineStr">
        <is>
          <t>黄金圣律·蓝辉</t>
        </is>
      </c>
      <c r="D48" s="399" t="inlineStr">
        <is>
          <t>黄金圣律</t>
        </is>
      </c>
      <c r="E48" s="399" t="n">
        <v>6</v>
      </c>
      <c r="F48" s="399" t="inlineStr">
        <is>
          <t>项链</t>
        </is>
      </c>
      <c r="G48" s="398" t="n"/>
      <c r="H48" s="398" t="n"/>
      <c r="I48" s="398" t="n">
        <v>5913</v>
      </c>
      <c r="J48" s="398" t="n"/>
      <c r="K48" s="398" t="n"/>
      <c r="L48" s="398" t="n"/>
      <c r="M48" s="398" t="n">
        <v>5913</v>
      </c>
      <c r="N48" s="398" t="n">
        <v>5913</v>
      </c>
      <c r="O48" s="398" t="n">
        <v>5913</v>
      </c>
      <c r="P48" s="292" t="n"/>
      <c r="Q48" s="292" t="inlineStr">
        <is>
          <t>原九部位资源库已登记</t>
        </is>
      </c>
      <c r="R48" s="324" t="inlineStr">
        <is>
          <t>C3-C10规划锁定：腐狱铁链</t>
        </is>
      </c>
      <c r="S48" s="292" t="inlineStr">
        <is>
          <t>装备素材套装代码表.xlsx（原九部位）</t>
        </is>
      </c>
      <c r="T48" s="292" t="inlineStr">
        <is>
          <t>同一代码用于 Items / StateItem / DnItems；属性与掉落另表定义。</t>
        </is>
      </c>
      <c r="U48">
        <f>IF(COUNTIF($B$2:$B$1076,B48)&gt;1,"重复","")</f>
        <v/>
      </c>
      <c r="V48">
        <f>IF(AND(OR(M48="",M48=B48),OR(N48="",N48=B48),OR(O48="",O48=B48)),"通过","不一致")</f>
        <v/>
      </c>
    </row>
    <row r="49" ht="22" customHeight="1">
      <c r="A49" s="398" t="n">
        <v>48</v>
      </c>
      <c r="B49" s="398" t="n">
        <v>5914</v>
      </c>
      <c r="C49" s="399" t="inlineStr">
        <is>
          <t>黄金圣律·蓝辉</t>
        </is>
      </c>
      <c r="D49" s="399" t="inlineStr">
        <is>
          <t>黄金圣律</t>
        </is>
      </c>
      <c r="E49" s="399" t="n">
        <v>6</v>
      </c>
      <c r="F49" s="399" t="inlineStr">
        <is>
          <t>头盔</t>
        </is>
      </c>
      <c r="G49" s="398" t="n"/>
      <c r="H49" s="398" t="n"/>
      <c r="I49" s="398" t="n">
        <v>5914</v>
      </c>
      <c r="J49" s="398" t="n"/>
      <c r="K49" s="398" t="n"/>
      <c r="L49" s="398" t="n"/>
      <c r="M49" s="398" t="n">
        <v>5914</v>
      </c>
      <c r="N49" s="398" t="n">
        <v>5914</v>
      </c>
      <c r="O49" s="398" t="n">
        <v>5914</v>
      </c>
      <c r="P49" s="292" t="n"/>
      <c r="Q49" s="292" t="inlineStr">
        <is>
          <t>原九部位资源库已登记</t>
        </is>
      </c>
      <c r="R49" s="324" t="inlineStr">
        <is>
          <t>C3-C10规划锁定：白烛礼冠</t>
        </is>
      </c>
      <c r="S49" s="292" t="inlineStr">
        <is>
          <t>装备素材套装代码表.xlsx（原九部位）</t>
        </is>
      </c>
      <c r="T49" s="292" t="inlineStr">
        <is>
          <t>同一代码用于 Items / StateItem / DnItems；属性与掉落另表定义。</t>
        </is>
      </c>
      <c r="U49">
        <f>IF(COUNTIF($B$2:$B$1076,B49)&gt;1,"重复","")</f>
        <v/>
      </c>
      <c r="V49">
        <f>IF(AND(OR(M49="",M49=B49),OR(N49="",N49=B49),OR(O49="",O49=B49)),"通过","不一致")</f>
        <v/>
      </c>
    </row>
    <row r="50" ht="22" customHeight="1">
      <c r="A50" s="398" t="n">
        <v>49</v>
      </c>
      <c r="B50" s="398" t="n">
        <v>5915</v>
      </c>
      <c r="C50" s="399" t="inlineStr">
        <is>
          <t>黄金圣律·蓝辉</t>
        </is>
      </c>
      <c r="D50" s="399" t="inlineStr">
        <is>
          <t>黄金圣律</t>
        </is>
      </c>
      <c r="E50" s="399" t="n">
        <v>6</v>
      </c>
      <c r="F50" s="399" t="inlineStr">
        <is>
          <t>手镯</t>
        </is>
      </c>
      <c r="G50" s="398" t="n"/>
      <c r="H50" s="398" t="n"/>
      <c r="I50" s="398" t="n">
        <v>5915</v>
      </c>
      <c r="J50" s="398" t="n"/>
      <c r="K50" s="398" t="n"/>
      <c r="L50" s="398" t="n"/>
      <c r="M50" s="398" t="n">
        <v>5915</v>
      </c>
      <c r="N50" s="398" t="n">
        <v>5915</v>
      </c>
      <c r="O50" s="398" t="n">
        <v>5915</v>
      </c>
      <c r="P50" s="292" t="n"/>
      <c r="Q50" s="292" t="inlineStr">
        <is>
          <t>原九部位资源库已登记</t>
        </is>
      </c>
      <c r="R50" s="324" t="inlineStr">
        <is>
          <t>C3-C10规划锁定：寒狱铁镯</t>
        </is>
      </c>
      <c r="S50" s="292" t="inlineStr">
        <is>
          <t>装备素材套装代码表.xlsx（原九部位）</t>
        </is>
      </c>
      <c r="T50" s="292" t="inlineStr">
        <is>
          <t>同一代码用于 Items / StateItem / DnItems；属性与掉落另表定义。</t>
        </is>
      </c>
      <c r="U50">
        <f>IF(COUNTIF($B$2:$B$1076,B50)&gt;1,"重复","")</f>
        <v/>
      </c>
      <c r="V50">
        <f>IF(AND(OR(M50="",M50=B50),OR(N50="",N50=B50),OR(O50="",O50=B50)),"通过","不一致")</f>
        <v/>
      </c>
    </row>
    <row r="51" ht="22" customHeight="1">
      <c r="A51" s="398" t="n">
        <v>50</v>
      </c>
      <c r="B51" s="398" t="n">
        <v>5916</v>
      </c>
      <c r="C51" s="399" t="inlineStr">
        <is>
          <t>黄金圣律·蓝辉</t>
        </is>
      </c>
      <c r="D51" s="399" t="inlineStr">
        <is>
          <t>黄金圣律</t>
        </is>
      </c>
      <c r="E51" s="399" t="n">
        <v>6</v>
      </c>
      <c r="F51" s="399" t="inlineStr">
        <is>
          <t>戒指</t>
        </is>
      </c>
      <c r="G51" s="398" t="n"/>
      <c r="H51" s="398" t="n"/>
      <c r="I51" s="398" t="n">
        <v>5916</v>
      </c>
      <c r="J51" s="398" t="n"/>
      <c r="K51" s="398" t="n"/>
      <c r="L51" s="398" t="n"/>
      <c r="M51" s="398" t="n">
        <v>5916</v>
      </c>
      <c r="N51" s="398" t="n">
        <v>5916</v>
      </c>
      <c r="O51" s="398" t="n">
        <v>5916</v>
      </c>
      <c r="P51" s="292" t="n"/>
      <c r="Q51" s="292" t="inlineStr">
        <is>
          <t>原九部位资源库已登记</t>
        </is>
      </c>
      <c r="R51" s="324" t="inlineStr">
        <is>
          <t>C3-C10规划锁定：苍鬃牙戒</t>
        </is>
      </c>
      <c r="S51" s="292" t="inlineStr">
        <is>
          <t>装备素材套装代码表.xlsx（原九部位）</t>
        </is>
      </c>
      <c r="T51" s="292" t="inlineStr">
        <is>
          <t>同一代码用于 Items / StateItem / DnItems；属性与掉落另表定义。</t>
        </is>
      </c>
      <c r="U51">
        <f>IF(COUNTIF($B$2:$B$1076,B51)&gt;1,"重复","")</f>
        <v/>
      </c>
      <c r="V51">
        <f>IF(AND(OR(M51="",M51=B51),OR(N51="",N51=B51),OR(O51="",O51=B51)),"通过","不一致")</f>
        <v/>
      </c>
    </row>
    <row r="52" ht="22" customHeight="1">
      <c r="A52" s="398" t="n">
        <v>51</v>
      </c>
      <c r="B52" s="398" t="n">
        <v>5917</v>
      </c>
      <c r="C52" s="399" t="inlineStr">
        <is>
          <t>黄金圣律·蓝辉</t>
        </is>
      </c>
      <c r="D52" s="399" t="inlineStr">
        <is>
          <t>黄金圣律</t>
        </is>
      </c>
      <c r="E52" s="399" t="n">
        <v>6</v>
      </c>
      <c r="F52" s="399" t="inlineStr">
        <is>
          <t>盾牌</t>
        </is>
      </c>
      <c r="G52" s="398" t="n"/>
      <c r="H52" s="398" t="n"/>
      <c r="I52" s="398" t="n">
        <v>5917</v>
      </c>
      <c r="J52" s="398" t="n"/>
      <c r="K52" s="398" t="n"/>
      <c r="L52" s="398" t="n"/>
      <c r="M52" s="398" t="n">
        <v>5917</v>
      </c>
      <c r="N52" s="398" t="n">
        <v>5917</v>
      </c>
      <c r="O52" s="398" t="n">
        <v>5917</v>
      </c>
      <c r="P52" s="292" t="n"/>
      <c r="Q52" s="292" t="inlineStr">
        <is>
          <t>原九部位资源库已登记</t>
        </is>
      </c>
      <c r="R52" s="322" t="inlineStr">
        <is>
          <t>C1/C2现用：腐根塔盾</t>
        </is>
      </c>
      <c r="S52" s="292" t="inlineStr">
        <is>
          <t>装备素材套装代码表.xlsx（原九部位）</t>
        </is>
      </c>
      <c r="T52" s="292" t="inlineStr">
        <is>
          <t>同一代码用于 Items / StateItem / DnItems；属性与掉落另表定义。</t>
        </is>
      </c>
      <c r="U52">
        <f>IF(COUNTIF($B$2:$B$1076,B52)&gt;1,"重复","")</f>
        <v/>
      </c>
      <c r="V52">
        <f>IF(AND(OR(M52="",M52=B52),OR(N52="",N52=B52),OR(O52="",O52=B52)),"通过","不一致")</f>
        <v/>
      </c>
    </row>
    <row r="53" ht="22" customHeight="1">
      <c r="A53" s="398" t="n">
        <v>52</v>
      </c>
      <c r="B53" s="398" t="n">
        <v>5918</v>
      </c>
      <c r="C53" s="399" t="inlineStr">
        <is>
          <t>黄金圣律·蓝辉</t>
        </is>
      </c>
      <c r="D53" s="399" t="inlineStr">
        <is>
          <t>黄金圣律</t>
        </is>
      </c>
      <c r="E53" s="399" t="n">
        <v>6</v>
      </c>
      <c r="F53" s="399" t="inlineStr">
        <is>
          <t>灵玉</t>
        </is>
      </c>
      <c r="G53" s="398" t="n"/>
      <c r="H53" s="398" t="n"/>
      <c r="I53" s="398" t="n">
        <v>5918</v>
      </c>
      <c r="J53" s="398" t="n"/>
      <c r="K53" s="398" t="n"/>
      <c r="L53" s="398" t="n"/>
      <c r="M53" s="398" t="n">
        <v>5918</v>
      </c>
      <c r="N53" s="398" t="n">
        <v>5918</v>
      </c>
      <c r="O53" s="398" t="n">
        <v>5918</v>
      </c>
      <c r="P53" s="292" t="n"/>
      <c r="Q53" s="292" t="inlineStr">
        <is>
          <t>原九部位资源库已登记</t>
        </is>
      </c>
      <c r="R53" s="292" t="str"/>
      <c r="S53" s="292" t="inlineStr">
        <is>
          <t>装备素材套装代码表.xlsx（原九部位）</t>
        </is>
      </c>
      <c r="T53" s="292" t="inlineStr">
        <is>
          <t>同一代码用于 Items / StateItem / DnItems；属性与掉落另表定义。</t>
        </is>
      </c>
      <c r="U53">
        <f>IF(COUNTIF($B$2:$B$1076,B53)&gt;1,"重复","")</f>
        <v/>
      </c>
      <c r="V53">
        <f>IF(AND(OR(M53="",M53=B53),OR(N53="",N53=B53),OR(O53="",O53=B53)),"通过","不一致")</f>
        <v/>
      </c>
    </row>
    <row r="54" ht="22" customHeight="1">
      <c r="A54" s="398" t="n">
        <v>53</v>
      </c>
      <c r="B54" s="398" t="n">
        <v>5919</v>
      </c>
      <c r="C54" s="399" t="inlineStr">
        <is>
          <t>黄金圣律·蓝辉</t>
        </is>
      </c>
      <c r="D54" s="399" t="inlineStr">
        <is>
          <t>黄金圣律</t>
        </is>
      </c>
      <c r="E54" s="399" t="n">
        <v>6</v>
      </c>
      <c r="F54" s="399" t="inlineStr">
        <is>
          <t>鞋子</t>
        </is>
      </c>
      <c r="G54" s="398" t="n"/>
      <c r="H54" s="398" t="n"/>
      <c r="I54" s="398" t="n">
        <v>5919</v>
      </c>
      <c r="J54" s="398" t="n"/>
      <c r="K54" s="398" t="n"/>
      <c r="L54" s="398" t="n"/>
      <c r="M54" s="398" t="n">
        <v>5919</v>
      </c>
      <c r="N54" s="398" t="n">
        <v>5919</v>
      </c>
      <c r="O54" s="398" t="n">
        <v>5919</v>
      </c>
      <c r="P54" s="292" t="n"/>
      <c r="Q54" s="292" t="inlineStr">
        <is>
          <t>原九部位资源库已登记</t>
        </is>
      </c>
      <c r="R54" s="324" t="inlineStr">
        <is>
          <t>C3-C10规划锁定：岩獾碎石履</t>
        </is>
      </c>
      <c r="S54" s="292" t="inlineStr">
        <is>
          <t>装备素材套装代码表.xlsx（原九部位）</t>
        </is>
      </c>
      <c r="T54" s="292" t="inlineStr">
        <is>
          <t>同一代码用于 Items / StateItem / DnItems；属性与掉落另表定义。</t>
        </is>
      </c>
      <c r="U54">
        <f>IF(COUNTIF($B$2:$B$1076,B54)&gt;1,"重复","")</f>
        <v/>
      </c>
      <c r="V54">
        <f>IF(AND(OR(M54="",M54=B54),OR(N54="",N54=B54),OR(O54="",O54=B54)),"通过","不一致")</f>
        <v/>
      </c>
    </row>
    <row r="55" ht="22" customHeight="1">
      <c r="A55" s="398" t="n">
        <v>54</v>
      </c>
      <c r="B55" s="398" t="n">
        <v>5920</v>
      </c>
      <c r="C55" s="399" t="inlineStr">
        <is>
          <t>黄金圣律·蓝辉</t>
        </is>
      </c>
      <c r="D55" s="399" t="inlineStr">
        <is>
          <t>黄金圣律</t>
        </is>
      </c>
      <c r="E55" s="399" t="n">
        <v>6</v>
      </c>
      <c r="F55" s="399" t="inlineStr">
        <is>
          <t>腰带</t>
        </is>
      </c>
      <c r="G55" s="398" t="n"/>
      <c r="H55" s="398" t="n"/>
      <c r="I55" s="398" t="n">
        <v>5920</v>
      </c>
      <c r="J55" s="398" t="n"/>
      <c r="K55" s="398" t="n"/>
      <c r="L55" s="398" t="n"/>
      <c r="M55" s="398" t="n">
        <v>5920</v>
      </c>
      <c r="N55" s="398" t="n">
        <v>5920</v>
      </c>
      <c r="O55" s="398" t="n">
        <v>5920</v>
      </c>
      <c r="P55" s="292" t="n"/>
      <c r="Q55" s="292" t="inlineStr">
        <is>
          <t>原九部位资源库已登记</t>
        </is>
      </c>
      <c r="R55" s="324" t="inlineStr">
        <is>
          <t>C3-C10规划锁定：古律铭板带</t>
        </is>
      </c>
      <c r="S55" s="292" t="inlineStr">
        <is>
          <t>装备素材套装代码表.xlsx（原九部位）</t>
        </is>
      </c>
      <c r="T55" s="292" t="inlineStr">
        <is>
          <t>同一代码用于 Items / StateItem / DnItems；属性与掉落另表定义。</t>
        </is>
      </c>
      <c r="U55">
        <f>IF(COUNTIF($B$2:$B$1076,B55)&gt;1,"重复","")</f>
        <v/>
      </c>
      <c r="V55">
        <f>IF(AND(OR(M55="",M55=B55),OR(N55="",N55=B55),OR(O55="",O55=B55)),"通过","不一致")</f>
        <v/>
      </c>
    </row>
    <row r="56" ht="22" customHeight="1">
      <c r="A56" s="398" t="n">
        <v>55</v>
      </c>
      <c r="B56" s="398" t="n">
        <v>5921</v>
      </c>
      <c r="C56" s="399" t="inlineStr">
        <is>
          <t>黄金圣律·王权</t>
        </is>
      </c>
      <c r="D56" s="399" t="inlineStr">
        <is>
          <t>黄金圣律</t>
        </is>
      </c>
      <c r="E56" s="399" t="n">
        <v>7</v>
      </c>
      <c r="F56" s="399" t="inlineStr">
        <is>
          <t>勋章</t>
        </is>
      </c>
      <c r="G56" s="398" t="n"/>
      <c r="H56" s="398" t="n"/>
      <c r="I56" s="398" t="n">
        <v>5921</v>
      </c>
      <c r="J56" s="398" t="n"/>
      <c r="K56" s="398" t="n"/>
      <c r="L56" s="398" t="n"/>
      <c r="M56" s="398" t="n">
        <v>5921</v>
      </c>
      <c r="N56" s="398" t="n">
        <v>5921</v>
      </c>
      <c r="O56" s="398" t="n">
        <v>5921</v>
      </c>
      <c r="P56" s="292" t="n"/>
      <c r="Q56" s="292" t="inlineStr">
        <is>
          <t>原九部位资源库已登记</t>
        </is>
      </c>
      <c r="R56" s="292" t="str"/>
      <c r="S56" s="292" t="inlineStr">
        <is>
          <t>装备素材套装代码表.xlsx（原九部位）</t>
        </is>
      </c>
      <c r="T56" s="292" t="inlineStr">
        <is>
          <t>同一代码用于 Items / StateItem / DnItems；属性与掉落另表定义。</t>
        </is>
      </c>
      <c r="U56">
        <f>IF(COUNTIF($B$2:$B$1076,B56)&gt;1,"重复","")</f>
        <v/>
      </c>
      <c r="V56">
        <f>IF(AND(OR(M56="",M56=B56),OR(N56="",N56=B56),OR(O56="",O56=B56)),"通过","不一致")</f>
        <v/>
      </c>
    </row>
    <row r="57" ht="22" customHeight="1">
      <c r="A57" s="398" t="n">
        <v>56</v>
      </c>
      <c r="B57" s="398" t="n">
        <v>5922</v>
      </c>
      <c r="C57" s="399" t="inlineStr">
        <is>
          <t>黄金圣律·王权</t>
        </is>
      </c>
      <c r="D57" s="399" t="inlineStr">
        <is>
          <t>黄金圣律</t>
        </is>
      </c>
      <c r="E57" s="399" t="n">
        <v>7</v>
      </c>
      <c r="F57" s="399" t="inlineStr">
        <is>
          <t>项链</t>
        </is>
      </c>
      <c r="G57" s="398" t="n"/>
      <c r="H57" s="398" t="n"/>
      <c r="I57" s="398" t="n">
        <v>5922</v>
      </c>
      <c r="J57" s="398" t="n"/>
      <c r="K57" s="398" t="n"/>
      <c r="L57" s="398" t="n"/>
      <c r="M57" s="398" t="n">
        <v>5922</v>
      </c>
      <c r="N57" s="398" t="n">
        <v>5922</v>
      </c>
      <c r="O57" s="398" t="n">
        <v>5922</v>
      </c>
      <c r="P57" s="292" t="n"/>
      <c r="Q57" s="292" t="inlineStr">
        <is>
          <t>原九部位资源库已登记</t>
        </is>
      </c>
      <c r="R57" s="324" t="inlineStr">
        <is>
          <t>C3-C10规划锁定：驯火锁链</t>
        </is>
      </c>
      <c r="S57" s="292" t="inlineStr">
        <is>
          <t>装备素材套装代码表.xlsx（原九部位）</t>
        </is>
      </c>
      <c r="T57" s="292" t="inlineStr">
        <is>
          <t>同一代码用于 Items / StateItem / DnItems；属性与掉落另表定义。</t>
        </is>
      </c>
      <c r="U57">
        <f>IF(COUNTIF($B$2:$B$1076,B57)&gt;1,"重复","")</f>
        <v/>
      </c>
      <c r="V57">
        <f>IF(AND(OR(M57="",M57=B57),OR(N57="",N57=B57),OR(O57="",O57=B57)),"通过","不一致")</f>
        <v/>
      </c>
    </row>
    <row r="58" ht="22" customHeight="1">
      <c r="A58" s="398" t="n">
        <v>57</v>
      </c>
      <c r="B58" s="398" t="n">
        <v>5923</v>
      </c>
      <c r="C58" s="399" t="inlineStr">
        <is>
          <t>黄金圣律·王权</t>
        </is>
      </c>
      <c r="D58" s="399" t="inlineStr">
        <is>
          <t>黄金圣律</t>
        </is>
      </c>
      <c r="E58" s="399" t="n">
        <v>7</v>
      </c>
      <c r="F58" s="399" t="inlineStr">
        <is>
          <t>头盔</t>
        </is>
      </c>
      <c r="G58" s="398" t="n"/>
      <c r="H58" s="398" t="n"/>
      <c r="I58" s="398" t="n">
        <v>5923</v>
      </c>
      <c r="J58" s="398" t="n"/>
      <c r="K58" s="398" t="n"/>
      <c r="L58" s="398" t="n"/>
      <c r="M58" s="398" t="n">
        <v>5923</v>
      </c>
      <c r="N58" s="398" t="n">
        <v>5923</v>
      </c>
      <c r="O58" s="398" t="n">
        <v>5923</v>
      </c>
      <c r="P58" s="292" t="n"/>
      <c r="Q58" s="292" t="inlineStr">
        <is>
          <t>原九部位资源库已登记</t>
        </is>
      </c>
      <c r="R58" s="324" t="inlineStr">
        <is>
          <t>C3-C10规划锁定：艾尔维霜冠</t>
        </is>
      </c>
      <c r="S58" s="292" t="inlineStr">
        <is>
          <t>装备素材套装代码表.xlsx（原九部位）</t>
        </is>
      </c>
      <c r="T58" s="292" t="inlineStr">
        <is>
          <t>同一代码用于 Items / StateItem / DnItems；属性与掉落另表定义。</t>
        </is>
      </c>
      <c r="U58">
        <f>IF(COUNTIF($B$2:$B$1076,B58)&gt;1,"重复","")</f>
        <v/>
      </c>
      <c r="V58">
        <f>IF(AND(OR(M58="",M58=B58),OR(N58="",N58=B58),OR(O58="",O58=B58)),"通过","不一致")</f>
        <v/>
      </c>
    </row>
    <row r="59" ht="22" customHeight="1">
      <c r="A59" s="398" t="n">
        <v>58</v>
      </c>
      <c r="B59" s="398" t="n">
        <v>5924</v>
      </c>
      <c r="C59" s="399" t="inlineStr">
        <is>
          <t>黄金圣律·王权</t>
        </is>
      </c>
      <c r="D59" s="399" t="inlineStr">
        <is>
          <t>黄金圣律</t>
        </is>
      </c>
      <c r="E59" s="399" t="n">
        <v>7</v>
      </c>
      <c r="F59" s="399" t="inlineStr">
        <is>
          <t>手镯</t>
        </is>
      </c>
      <c r="G59" s="398" t="n"/>
      <c r="H59" s="398" t="n"/>
      <c r="I59" s="398" t="n">
        <v>5924</v>
      </c>
      <c r="J59" s="398" t="n"/>
      <c r="K59" s="398" t="n"/>
      <c r="L59" s="398" t="n"/>
      <c r="M59" s="398" t="n">
        <v>5924</v>
      </c>
      <c r="N59" s="398" t="n">
        <v>5924</v>
      </c>
      <c r="O59" s="398" t="n">
        <v>5924</v>
      </c>
      <c r="P59" s="292" t="n"/>
      <c r="Q59" s="292" t="inlineStr">
        <is>
          <t>原九部位资源库已登记</t>
        </is>
      </c>
      <c r="R59" s="324" t="inlineStr">
        <is>
          <t>C3-C10规划锁定：白魈啸风镯</t>
        </is>
      </c>
      <c r="S59" s="292" t="inlineStr">
        <is>
          <t>装备素材套装代码表.xlsx（原九部位）</t>
        </is>
      </c>
      <c r="T59" s="292" t="inlineStr">
        <is>
          <t>同一代码用于 Items / StateItem / DnItems；属性与掉落另表定义。</t>
        </is>
      </c>
      <c r="U59">
        <f>IF(COUNTIF($B$2:$B$1076,B59)&gt;1,"重复","")</f>
        <v/>
      </c>
      <c r="V59">
        <f>IF(AND(OR(M59="",M59=B59),OR(N59="",N59=B59),OR(O59="",O59=B59)),"通过","不一致")</f>
        <v/>
      </c>
    </row>
    <row r="60" ht="22" customHeight="1">
      <c r="A60" s="398" t="n">
        <v>59</v>
      </c>
      <c r="B60" s="398" t="n">
        <v>5925</v>
      </c>
      <c r="C60" s="399" t="inlineStr">
        <is>
          <t>黄金圣律·王权</t>
        </is>
      </c>
      <c r="D60" s="399" t="inlineStr">
        <is>
          <t>黄金圣律</t>
        </is>
      </c>
      <c r="E60" s="399" t="n">
        <v>7</v>
      </c>
      <c r="F60" s="399" t="inlineStr">
        <is>
          <t>戒指</t>
        </is>
      </c>
      <c r="G60" s="398" t="n"/>
      <c r="H60" s="398" t="n"/>
      <c r="I60" s="398" t="n">
        <v>5925</v>
      </c>
      <c r="J60" s="398" t="n"/>
      <c r="K60" s="398" t="n"/>
      <c r="L60" s="398" t="n"/>
      <c r="M60" s="398" t="n">
        <v>5925</v>
      </c>
      <c r="N60" s="398" t="n">
        <v>5925</v>
      </c>
      <c r="O60" s="398" t="n">
        <v>5925</v>
      </c>
      <c r="P60" s="292" t="n"/>
      <c r="Q60" s="292" t="inlineStr">
        <is>
          <t>原九部位资源库已登记</t>
        </is>
      </c>
      <c r="R60" s="322" t="inlineStr">
        <is>
          <t>C1/C2现用：风角骨戒</t>
        </is>
      </c>
      <c r="S60" s="292" t="inlineStr">
        <is>
          <t>装备素材套装代码表.xlsx（原九部位）</t>
        </is>
      </c>
      <c r="T60" s="292" t="inlineStr">
        <is>
          <t>同一代码用于 Items / StateItem / DnItems；属性与掉落另表定义。</t>
        </is>
      </c>
      <c r="U60">
        <f>IF(COUNTIF($B$2:$B$1076,B60)&gt;1,"重复","")</f>
        <v/>
      </c>
      <c r="V60">
        <f>IF(AND(OR(M60="",M60=B60),OR(N60="",N60=B60),OR(O60="",O60=B60)),"通过","不一致")</f>
        <v/>
      </c>
    </row>
    <row r="61" ht="22" customHeight="1">
      <c r="A61" s="398" t="n">
        <v>60</v>
      </c>
      <c r="B61" s="398" t="n">
        <v>5926</v>
      </c>
      <c r="C61" s="399" t="inlineStr">
        <is>
          <t>黄金圣律·王权</t>
        </is>
      </c>
      <c r="D61" s="399" t="inlineStr">
        <is>
          <t>黄金圣律</t>
        </is>
      </c>
      <c r="E61" s="399" t="n">
        <v>7</v>
      </c>
      <c r="F61" s="399" t="inlineStr">
        <is>
          <t>盾牌</t>
        </is>
      </c>
      <c r="G61" s="398" t="n"/>
      <c r="H61" s="398" t="n"/>
      <c r="I61" s="398" t="n">
        <v>5926</v>
      </c>
      <c r="J61" s="398" t="n"/>
      <c r="K61" s="398" t="n"/>
      <c r="L61" s="398" t="n"/>
      <c r="M61" s="398" t="n">
        <v>5926</v>
      </c>
      <c r="N61" s="398" t="n">
        <v>5926</v>
      </c>
      <c r="O61" s="398" t="n">
        <v>5926</v>
      </c>
      <c r="P61" s="292" t="n"/>
      <c r="Q61" s="292" t="inlineStr">
        <is>
          <t>原九部位资源库已登记</t>
        </is>
      </c>
      <c r="R61" s="324" t="inlineStr">
        <is>
          <t>C3-C10规划锁定：冰甲棱盾</t>
        </is>
      </c>
      <c r="S61" s="292" t="inlineStr">
        <is>
          <t>装备素材套装代码表.xlsx（原九部位）</t>
        </is>
      </c>
      <c r="T61" s="292" t="inlineStr">
        <is>
          <t>同一代码用于 Items / StateItem / DnItems；属性与掉落另表定义。</t>
        </is>
      </c>
      <c r="U61">
        <f>IF(COUNTIF($B$2:$B$1076,B61)&gt;1,"重复","")</f>
        <v/>
      </c>
      <c r="V61">
        <f>IF(AND(OR(M61="",M61=B61),OR(N61="",N61=B61),OR(O61="",O61=B61)),"通过","不一致")</f>
        <v/>
      </c>
    </row>
    <row r="62" ht="22" customHeight="1">
      <c r="A62" s="398" t="n">
        <v>61</v>
      </c>
      <c r="B62" s="398" t="n">
        <v>5927</v>
      </c>
      <c r="C62" s="399" t="inlineStr">
        <is>
          <t>黄金圣律·王权</t>
        </is>
      </c>
      <c r="D62" s="399" t="inlineStr">
        <is>
          <t>黄金圣律</t>
        </is>
      </c>
      <c r="E62" s="399" t="n">
        <v>7</v>
      </c>
      <c r="F62" s="399" t="inlineStr">
        <is>
          <t>灵玉</t>
        </is>
      </c>
      <c r="G62" s="398" t="n"/>
      <c r="H62" s="398" t="n"/>
      <c r="I62" s="398" t="n">
        <v>5927</v>
      </c>
      <c r="J62" s="398" t="n"/>
      <c r="K62" s="398" t="n"/>
      <c r="L62" s="398" t="n"/>
      <c r="M62" s="398" t="n">
        <v>5927</v>
      </c>
      <c r="N62" s="398" t="n">
        <v>5927</v>
      </c>
      <c r="O62" s="398" t="n">
        <v>5927</v>
      </c>
      <c r="P62" s="292" t="n"/>
      <c r="Q62" s="292" t="inlineStr">
        <is>
          <t>原九部位资源库已登记</t>
        </is>
      </c>
      <c r="R62" s="292" t="str"/>
      <c r="S62" s="292" t="inlineStr">
        <is>
          <t>装备素材套装代码表.xlsx（原九部位）</t>
        </is>
      </c>
      <c r="T62" s="292" t="inlineStr">
        <is>
          <t>同一代码用于 Items / StateItem / DnItems；属性与掉落另表定义。</t>
        </is>
      </c>
      <c r="U62">
        <f>IF(COUNTIF($B$2:$B$1076,B62)&gt;1,"重复","")</f>
        <v/>
      </c>
      <c r="V62">
        <f>IF(AND(OR(M62="",M62=B62),OR(N62="",N62=B62),OR(O62="",O62=B62)),"通过","不一致")</f>
        <v/>
      </c>
    </row>
    <row r="63" ht="22" customHeight="1">
      <c r="A63" s="398" t="n">
        <v>62</v>
      </c>
      <c r="B63" s="398" t="n">
        <v>5928</v>
      </c>
      <c r="C63" s="399" t="inlineStr">
        <is>
          <t>黄金圣律·王权</t>
        </is>
      </c>
      <c r="D63" s="399" t="inlineStr">
        <is>
          <t>黄金圣律</t>
        </is>
      </c>
      <c r="E63" s="399" t="n">
        <v>7</v>
      </c>
      <c r="F63" s="399" t="inlineStr">
        <is>
          <t>鞋子</t>
        </is>
      </c>
      <c r="G63" s="398" t="n"/>
      <c r="H63" s="398" t="n"/>
      <c r="I63" s="398" t="n">
        <v>5928</v>
      </c>
      <c r="J63" s="398" t="n"/>
      <c r="K63" s="398" t="n"/>
      <c r="L63" s="398" t="n"/>
      <c r="M63" s="398" t="n">
        <v>5928</v>
      </c>
      <c r="N63" s="398" t="n">
        <v>5928</v>
      </c>
      <c r="O63" s="398" t="n">
        <v>5928</v>
      </c>
      <c r="P63" s="292" t="n"/>
      <c r="Q63" s="292" t="inlineStr">
        <is>
          <t>原九部位资源库已登记</t>
        </is>
      </c>
      <c r="R63" s="324" t="inlineStr">
        <is>
          <t>C3-C10规划锁定：寒灯侍履</t>
        </is>
      </c>
      <c r="S63" s="292" t="inlineStr">
        <is>
          <t>装备素材套装代码表.xlsx（原九部位）</t>
        </is>
      </c>
      <c r="T63" s="292" t="inlineStr">
        <is>
          <t>同一代码用于 Items / StateItem / DnItems；属性与掉落另表定义。</t>
        </is>
      </c>
      <c r="U63">
        <f>IF(COUNTIF($B$2:$B$1076,B63)&gt;1,"重复","")</f>
        <v/>
      </c>
      <c r="V63">
        <f>IF(AND(OR(M63="",M63=B63),OR(N63="",N63=B63),OR(O63="",O63=B63)),"通过","不一致")</f>
        <v/>
      </c>
    </row>
    <row r="64" ht="22" customHeight="1">
      <c r="A64" s="398" t="n">
        <v>63</v>
      </c>
      <c r="B64" s="398" t="n">
        <v>5929</v>
      </c>
      <c r="C64" s="399" t="inlineStr">
        <is>
          <t>黄金圣律·王权</t>
        </is>
      </c>
      <c r="D64" s="399" t="inlineStr">
        <is>
          <t>黄金圣律</t>
        </is>
      </c>
      <c r="E64" s="399" t="n">
        <v>7</v>
      </c>
      <c r="F64" s="399" t="inlineStr">
        <is>
          <t>腰带</t>
        </is>
      </c>
      <c r="G64" s="398" t="n"/>
      <c r="H64" s="398" t="n"/>
      <c r="I64" s="398" t="n">
        <v>5929</v>
      </c>
      <c r="J64" s="398" t="n"/>
      <c r="K64" s="398" t="n"/>
      <c r="L64" s="398" t="n"/>
      <c r="M64" s="398" t="n">
        <v>5929</v>
      </c>
      <c r="N64" s="398" t="n">
        <v>5929</v>
      </c>
      <c r="O64" s="398" t="n">
        <v>5929</v>
      </c>
      <c r="P64" s="292" t="n"/>
      <c r="Q64" s="292" t="inlineStr">
        <is>
          <t>原九部位资源库已登记</t>
        </is>
      </c>
      <c r="R64" s="324" t="inlineStr">
        <is>
          <t>C3-C10规划锁定：封门玄冰带</t>
        </is>
      </c>
      <c r="S64" s="292" t="inlineStr">
        <is>
          <t>装备素材套装代码表.xlsx（原九部位）</t>
        </is>
      </c>
      <c r="T64" s="292" t="inlineStr">
        <is>
          <t>同一代码用于 Items / StateItem / DnItems；属性与掉落另表定义。</t>
        </is>
      </c>
      <c r="U64">
        <f>IF(COUNTIF($B$2:$B$1076,B64)&gt;1,"重复","")</f>
        <v/>
      </c>
      <c r="V64">
        <f>IF(AND(OR(M64="",M64=B64),OR(N64="",N64=B64),OR(O64="",O64=B64)),"通过","不一致")</f>
        <v/>
      </c>
    </row>
    <row r="65" ht="22" customHeight="1">
      <c r="A65" s="398" t="n">
        <v>64</v>
      </c>
      <c r="B65" s="398" t="n">
        <v>5930</v>
      </c>
      <c r="C65" s="399" t="inlineStr">
        <is>
          <t>黄金圣律·日冕</t>
        </is>
      </c>
      <c r="D65" s="399" t="inlineStr">
        <is>
          <t>黄金圣律</t>
        </is>
      </c>
      <c r="E65" s="399" t="n">
        <v>8</v>
      </c>
      <c r="F65" s="399" t="inlineStr">
        <is>
          <t>勋章</t>
        </is>
      </c>
      <c r="G65" s="398" t="n"/>
      <c r="H65" s="398" t="n"/>
      <c r="I65" s="398" t="n">
        <v>5930</v>
      </c>
      <c r="J65" s="398" t="n"/>
      <c r="K65" s="398" t="n"/>
      <c r="L65" s="398" t="n"/>
      <c r="M65" s="398" t="n">
        <v>5930</v>
      </c>
      <c r="N65" s="398" t="n">
        <v>5930</v>
      </c>
      <c r="O65" s="398" t="n">
        <v>5930</v>
      </c>
      <c r="P65" s="292" t="n"/>
      <c r="Q65" s="292" t="inlineStr">
        <is>
          <t>原九部位资源库已登记</t>
        </is>
      </c>
      <c r="R65" s="292" t="str"/>
      <c r="S65" s="292" t="inlineStr">
        <is>
          <t>装备素材套装代码表.xlsx（原九部位）</t>
        </is>
      </c>
      <c r="T65" s="292" t="inlineStr">
        <is>
          <t>同一代码用于 Items / StateItem / DnItems；属性与掉落另表定义。</t>
        </is>
      </c>
      <c r="U65">
        <f>IF(COUNTIF($B$2:$B$1076,B65)&gt;1,"重复","")</f>
        <v/>
      </c>
      <c r="V65">
        <f>IF(AND(OR(M65="",M65=B65),OR(N65="",N65=B65),OR(O65="",O65=B65)),"通过","不一致")</f>
        <v/>
      </c>
    </row>
    <row r="66" ht="22" customHeight="1">
      <c r="A66" s="398" t="n">
        <v>65</v>
      </c>
      <c r="B66" s="398" t="n">
        <v>5931</v>
      </c>
      <c r="C66" s="399" t="inlineStr">
        <is>
          <t>黄金圣律·日冕</t>
        </is>
      </c>
      <c r="D66" s="399" t="inlineStr">
        <is>
          <t>黄金圣律</t>
        </is>
      </c>
      <c r="E66" s="399" t="n">
        <v>8</v>
      </c>
      <c r="F66" s="399" t="inlineStr">
        <is>
          <t>项链</t>
        </is>
      </c>
      <c r="G66" s="398" t="n"/>
      <c r="H66" s="398" t="n"/>
      <c r="I66" s="398" t="n">
        <v>5931</v>
      </c>
      <c r="J66" s="398" t="n"/>
      <c r="K66" s="398" t="n"/>
      <c r="L66" s="398" t="n"/>
      <c r="M66" s="398" t="n">
        <v>5931</v>
      </c>
      <c r="N66" s="398" t="n">
        <v>5931</v>
      </c>
      <c r="O66" s="398" t="n">
        <v>5931</v>
      </c>
      <c r="P66" s="292" t="n"/>
      <c r="Q66" s="292" t="inlineStr">
        <is>
          <t>原九部位资源库已登记</t>
        </is>
      </c>
      <c r="R66" s="324" t="inlineStr">
        <is>
          <t>C3-C10规划锁定：寒羽猎链</t>
        </is>
      </c>
      <c r="S66" s="292" t="inlineStr">
        <is>
          <t>装备素材套装代码表.xlsx（原九部位）</t>
        </is>
      </c>
      <c r="T66" s="292" t="inlineStr">
        <is>
          <t>同一代码用于 Items / StateItem / DnItems；属性与掉落另表定义。</t>
        </is>
      </c>
      <c r="U66">
        <f>IF(COUNTIF($B$2:$B$1076,B66)&gt;1,"重复","")</f>
        <v/>
      </c>
      <c r="V66">
        <f>IF(AND(OR(M66="",M66=B66),OR(N66="",N66=B66),OR(O66="",O66=B66)),"通过","不一致")</f>
        <v/>
      </c>
    </row>
    <row r="67" ht="22" customHeight="1">
      <c r="A67" s="398" t="n">
        <v>66</v>
      </c>
      <c r="B67" s="398" t="n">
        <v>5932</v>
      </c>
      <c r="C67" s="399" t="inlineStr">
        <is>
          <t>黄金圣律·日冕</t>
        </is>
      </c>
      <c r="D67" s="399" t="inlineStr">
        <is>
          <t>黄金圣律</t>
        </is>
      </c>
      <c r="E67" s="399" t="n">
        <v>8</v>
      </c>
      <c r="F67" s="399" t="inlineStr">
        <is>
          <t>头盔</t>
        </is>
      </c>
      <c r="G67" s="398" t="n"/>
      <c r="H67" s="398" t="n"/>
      <c r="I67" s="398" t="n">
        <v>5932</v>
      </c>
      <c r="J67" s="398" t="n"/>
      <c r="K67" s="398" t="n"/>
      <c r="L67" s="398" t="n"/>
      <c r="M67" s="398" t="n">
        <v>5932</v>
      </c>
      <c r="N67" s="398" t="n">
        <v>5932</v>
      </c>
      <c r="O67" s="398" t="n">
        <v>5932</v>
      </c>
      <c r="P67" s="292" t="n"/>
      <c r="Q67" s="292" t="inlineStr">
        <is>
          <t>原九部位资源库已登记</t>
        </is>
      </c>
      <c r="R67" s="322" t="inlineStr">
        <is>
          <t>C1/C2现用：守墓石盔</t>
        </is>
      </c>
      <c r="S67" s="292" t="inlineStr">
        <is>
          <t>装备素材套装代码表.xlsx（原九部位）</t>
        </is>
      </c>
      <c r="T67" s="292" t="inlineStr">
        <is>
          <t>同一代码用于 Items / StateItem / DnItems；属性与掉落另表定义。</t>
        </is>
      </c>
      <c r="U67">
        <f>IF(COUNTIF($B$2:$B$1076,B67)&gt;1,"重复","")</f>
        <v/>
      </c>
      <c r="V67">
        <f>IF(AND(OR(M67="",M67=B67),OR(N67="",N67=B67),OR(O67="",O67=B67)),"通过","不一致")</f>
        <v/>
      </c>
    </row>
    <row r="68" ht="22" customHeight="1">
      <c r="A68" s="398" t="n">
        <v>67</v>
      </c>
      <c r="B68" s="398" t="n">
        <v>5933</v>
      </c>
      <c r="C68" s="399" t="inlineStr">
        <is>
          <t>黄金圣律·日冕</t>
        </is>
      </c>
      <c r="D68" s="399" t="inlineStr">
        <is>
          <t>黄金圣律</t>
        </is>
      </c>
      <c r="E68" s="399" t="n">
        <v>8</v>
      </c>
      <c r="F68" s="399" t="inlineStr">
        <is>
          <t>手镯</t>
        </is>
      </c>
      <c r="G68" s="398" t="n"/>
      <c r="H68" s="398" t="n"/>
      <c r="I68" s="398" t="n">
        <v>5933</v>
      </c>
      <c r="J68" s="398" t="n"/>
      <c r="K68" s="398" t="n"/>
      <c r="L68" s="398" t="n"/>
      <c r="M68" s="398" t="n">
        <v>5933</v>
      </c>
      <c r="N68" s="398" t="n">
        <v>5933</v>
      </c>
      <c r="O68" s="398" t="n">
        <v>5933</v>
      </c>
      <c r="P68" s="292" t="n"/>
      <c r="Q68" s="292" t="inlineStr">
        <is>
          <t>原九部位资源库已登记</t>
        </is>
      </c>
      <c r="R68" s="324" t="inlineStr">
        <is>
          <t>C3-C10规划锁定：残斧魂腕环</t>
        </is>
      </c>
      <c r="S68" s="292" t="inlineStr">
        <is>
          <t>装备素材套装代码表.xlsx（原九部位）</t>
        </is>
      </c>
      <c r="T68" s="292" t="inlineStr">
        <is>
          <t>同一代码用于 Items / StateItem / DnItems；属性与掉落另表定义。</t>
        </is>
      </c>
      <c r="U68">
        <f>IF(COUNTIF($B$2:$B$1076,B68)&gt;1,"重复","")</f>
        <v/>
      </c>
      <c r="V68">
        <f>IF(AND(OR(M68="",M68=B68),OR(N68="",N68=B68),OR(O68="",O68=B68)),"通过","不一致")</f>
        <v/>
      </c>
    </row>
    <row r="69" ht="22" customHeight="1">
      <c r="A69" s="398" t="n">
        <v>68</v>
      </c>
      <c r="B69" s="398" t="n">
        <v>5934</v>
      </c>
      <c r="C69" s="399" t="inlineStr">
        <is>
          <t>黄金圣律·日冕</t>
        </is>
      </c>
      <c r="D69" s="399" t="inlineStr">
        <is>
          <t>黄金圣律</t>
        </is>
      </c>
      <c r="E69" s="399" t="n">
        <v>8</v>
      </c>
      <c r="F69" s="399" t="inlineStr">
        <is>
          <t>戒指</t>
        </is>
      </c>
      <c r="G69" s="398" t="n"/>
      <c r="H69" s="398" t="n"/>
      <c r="I69" s="398" t="n">
        <v>5934</v>
      </c>
      <c r="J69" s="398" t="n"/>
      <c r="K69" s="398" t="n"/>
      <c r="L69" s="398" t="n"/>
      <c r="M69" s="398" t="n">
        <v>5934</v>
      </c>
      <c r="N69" s="398" t="n">
        <v>5934</v>
      </c>
      <c r="O69" s="398" t="n">
        <v>5934</v>
      </c>
      <c r="P69" s="292" t="n"/>
      <c r="Q69" s="292" t="inlineStr">
        <is>
          <t>原九部位资源库已登记</t>
        </is>
      </c>
      <c r="R69" s="324" t="inlineStr">
        <is>
          <t>C3-C10规划锁定：霜牙指环</t>
        </is>
      </c>
      <c r="S69" s="292" t="inlineStr">
        <is>
          <t>装备素材套装代码表.xlsx（原九部位）</t>
        </is>
      </c>
      <c r="T69" s="292" t="inlineStr">
        <is>
          <t>同一代码用于 Items / StateItem / DnItems；属性与掉落另表定义。</t>
        </is>
      </c>
      <c r="U69">
        <f>IF(COUNTIF($B$2:$B$1076,B69)&gt;1,"重复","")</f>
        <v/>
      </c>
      <c r="V69">
        <f>IF(AND(OR(M69="",M69=B69),OR(N69="",N69=B69),OR(O69="",O69=B69)),"通过","不一致")</f>
        <v/>
      </c>
    </row>
    <row r="70" ht="22" customHeight="1">
      <c r="A70" s="398" t="n">
        <v>69</v>
      </c>
      <c r="B70" s="398" t="n">
        <v>5935</v>
      </c>
      <c r="C70" s="399" t="inlineStr">
        <is>
          <t>黄金圣律·日冕</t>
        </is>
      </c>
      <c r="D70" s="399" t="inlineStr">
        <is>
          <t>黄金圣律</t>
        </is>
      </c>
      <c r="E70" s="399" t="n">
        <v>8</v>
      </c>
      <c r="F70" s="399" t="inlineStr">
        <is>
          <t>盾牌</t>
        </is>
      </c>
      <c r="G70" s="398" t="n"/>
      <c r="H70" s="398" t="n"/>
      <c r="I70" s="398" t="n">
        <v>5935</v>
      </c>
      <c r="J70" s="398" t="n"/>
      <c r="K70" s="398" t="n"/>
      <c r="L70" s="398" t="n"/>
      <c r="M70" s="398" t="n">
        <v>5935</v>
      </c>
      <c r="N70" s="398" t="n">
        <v>5935</v>
      </c>
      <c r="O70" s="398" t="n">
        <v>5935</v>
      </c>
      <c r="P70" s="292" t="n"/>
      <c r="Q70" s="292" t="inlineStr">
        <is>
          <t>原九部位资源库已登记</t>
        </is>
      </c>
      <c r="R70" s="324" t="inlineStr">
        <is>
          <t>C3-C10规划锁定：外廊纹冰盾</t>
        </is>
      </c>
      <c r="S70" s="292" t="inlineStr">
        <is>
          <t>装备素材套装代码表.xlsx（原九部位）</t>
        </is>
      </c>
      <c r="T70" s="292" t="inlineStr">
        <is>
          <t>同一代码用于 Items / StateItem / DnItems；属性与掉落另表定义。</t>
        </is>
      </c>
      <c r="U70">
        <f>IF(COUNTIF($B$2:$B$1076,B70)&gt;1,"重复","")</f>
        <v/>
      </c>
      <c r="V70">
        <f>IF(AND(OR(M70="",M70=B70),OR(N70="",N70=B70),OR(O70="",O70=B70)),"通过","不一致")</f>
        <v/>
      </c>
    </row>
    <row r="71" ht="22" customHeight="1">
      <c r="A71" s="398" t="n">
        <v>70</v>
      </c>
      <c r="B71" s="398" t="n">
        <v>5936</v>
      </c>
      <c r="C71" s="399" t="inlineStr">
        <is>
          <t>黄金圣律·日冕</t>
        </is>
      </c>
      <c r="D71" s="399" t="inlineStr">
        <is>
          <t>黄金圣律</t>
        </is>
      </c>
      <c r="E71" s="399" t="n">
        <v>8</v>
      </c>
      <c r="F71" s="399" t="inlineStr">
        <is>
          <t>灵玉</t>
        </is>
      </c>
      <c r="G71" s="398" t="n"/>
      <c r="H71" s="398" t="n"/>
      <c r="I71" s="398" t="n">
        <v>5936</v>
      </c>
      <c r="J71" s="398" t="n"/>
      <c r="K71" s="398" t="n"/>
      <c r="L71" s="398" t="n"/>
      <c r="M71" s="398" t="n">
        <v>5936</v>
      </c>
      <c r="N71" s="398" t="n">
        <v>5936</v>
      </c>
      <c r="O71" s="398" t="n">
        <v>5936</v>
      </c>
      <c r="P71" s="292" t="n"/>
      <c r="Q71" s="292" t="inlineStr">
        <is>
          <t>原九部位资源库已登记</t>
        </is>
      </c>
      <c r="R71" s="292" t="str"/>
      <c r="S71" s="292" t="inlineStr">
        <is>
          <t>装备素材套装代码表.xlsx（原九部位）</t>
        </is>
      </c>
      <c r="T71" s="292" t="inlineStr">
        <is>
          <t>同一代码用于 Items / StateItem / DnItems；属性与掉落另表定义。</t>
        </is>
      </c>
      <c r="U71">
        <f>IF(COUNTIF($B$2:$B$1076,B71)&gt;1,"重复","")</f>
        <v/>
      </c>
      <c r="V71">
        <f>IF(AND(OR(M71="",M71=B71),OR(N71="",N71=B71),OR(O71="",O71=B71)),"通过","不一致")</f>
        <v/>
      </c>
    </row>
    <row r="72" ht="22" customHeight="1">
      <c r="A72" s="398" t="n">
        <v>71</v>
      </c>
      <c r="B72" s="398" t="n">
        <v>5937</v>
      </c>
      <c r="C72" s="399" t="inlineStr">
        <is>
          <t>黄金圣律·日冕</t>
        </is>
      </c>
      <c r="D72" s="399" t="inlineStr">
        <is>
          <t>黄金圣律</t>
        </is>
      </c>
      <c r="E72" s="399" t="n">
        <v>8</v>
      </c>
      <c r="F72" s="399" t="inlineStr">
        <is>
          <t>鞋子</t>
        </is>
      </c>
      <c r="G72" s="398" t="n"/>
      <c r="H72" s="398" t="n"/>
      <c r="I72" s="398" t="n">
        <v>5937</v>
      </c>
      <c r="J72" s="398" t="n"/>
      <c r="K72" s="398" t="n"/>
      <c r="L72" s="398" t="n"/>
      <c r="M72" s="398" t="n">
        <v>5937</v>
      </c>
      <c r="N72" s="398" t="n">
        <v>5937</v>
      </c>
      <c r="O72" s="398" t="n">
        <v>5937</v>
      </c>
      <c r="P72" s="292" t="n"/>
      <c r="Q72" s="292" t="inlineStr">
        <is>
          <t>原九部位资源库已登记</t>
        </is>
      </c>
      <c r="R72" s="324" t="inlineStr">
        <is>
          <t>C3-C10规划锁定：雪鬃獒踏靴</t>
        </is>
      </c>
      <c r="S72" s="292" t="inlineStr">
        <is>
          <t>装备素材套装代码表.xlsx（原九部位）</t>
        </is>
      </c>
      <c r="T72" s="292" t="inlineStr">
        <is>
          <t>同一代码用于 Items / StateItem / DnItems；属性与掉落另表定义。</t>
        </is>
      </c>
      <c r="U72">
        <f>IF(COUNTIF($B$2:$B$1076,B72)&gt;1,"重复","")</f>
        <v/>
      </c>
      <c r="V72">
        <f>IF(AND(OR(M72="",M72=B72),OR(N72="",N72=B72),OR(O72="",O72=B72)),"通过","不一致")</f>
        <v/>
      </c>
    </row>
    <row r="73" ht="22" customHeight="1">
      <c r="A73" s="398" t="n">
        <v>72</v>
      </c>
      <c r="B73" s="398" t="n">
        <v>5938</v>
      </c>
      <c r="C73" s="399" t="inlineStr">
        <is>
          <t>黄金圣律·日冕</t>
        </is>
      </c>
      <c r="D73" s="399" t="inlineStr">
        <is>
          <t>黄金圣律</t>
        </is>
      </c>
      <c r="E73" s="399" t="n">
        <v>8</v>
      </c>
      <c r="F73" s="399" t="inlineStr">
        <is>
          <t>腰带</t>
        </is>
      </c>
      <c r="G73" s="398" t="n"/>
      <c r="H73" s="398" t="n"/>
      <c r="I73" s="398" t="n">
        <v>5938</v>
      </c>
      <c r="J73" s="398" t="n"/>
      <c r="K73" s="398" t="n"/>
      <c r="L73" s="398" t="n"/>
      <c r="M73" s="398" t="n">
        <v>5938</v>
      </c>
      <c r="N73" s="398" t="n">
        <v>5938</v>
      </c>
      <c r="O73" s="398" t="n">
        <v>5938</v>
      </c>
      <c r="P73" s="292" t="n"/>
      <c r="Q73" s="292" t="inlineStr">
        <is>
          <t>原九部位资源库已登记</t>
        </is>
      </c>
      <c r="R73" s="324" t="inlineStr">
        <is>
          <t>C3-C10规划锁定：逆风驿骑带</t>
        </is>
      </c>
      <c r="S73" s="292" t="inlineStr">
        <is>
          <t>装备素材套装代码表.xlsx（原九部位）</t>
        </is>
      </c>
      <c r="T73" s="292" t="inlineStr">
        <is>
          <t>同一代码用于 Items / StateItem / DnItems；属性与掉落另表定义。</t>
        </is>
      </c>
      <c r="U73">
        <f>IF(COUNTIF($B$2:$B$1076,B73)&gt;1,"重复","")</f>
        <v/>
      </c>
      <c r="V73">
        <f>IF(AND(OR(M73="",M73=B73),OR(N73="",N73=B73),OR(O73="",O73=B73)),"通过","不一致")</f>
        <v/>
      </c>
    </row>
    <row r="74" ht="22" customHeight="1">
      <c r="A74" s="398" t="n">
        <v>73</v>
      </c>
      <c r="B74" s="398" t="n">
        <v>5939</v>
      </c>
      <c r="C74" s="399" t="inlineStr">
        <is>
          <t>黄金圣律·神律</t>
        </is>
      </c>
      <c r="D74" s="399" t="inlineStr">
        <is>
          <t>黄金圣律</t>
        </is>
      </c>
      <c r="E74" s="399" t="n">
        <v>9</v>
      </c>
      <c r="F74" s="399" t="inlineStr">
        <is>
          <t>勋章</t>
        </is>
      </c>
      <c r="G74" s="398" t="n"/>
      <c r="H74" s="398" t="n"/>
      <c r="I74" s="398" t="n">
        <v>5939</v>
      </c>
      <c r="J74" s="398" t="n"/>
      <c r="K74" s="398" t="n"/>
      <c r="L74" s="398" t="n"/>
      <c r="M74" s="398" t="n">
        <v>5939</v>
      </c>
      <c r="N74" s="398" t="n">
        <v>5939</v>
      </c>
      <c r="O74" s="398" t="n">
        <v>5939</v>
      </c>
      <c r="P74" s="292" t="n"/>
      <c r="Q74" s="292" t="inlineStr">
        <is>
          <t>原九部位资源库已登记</t>
        </is>
      </c>
      <c r="R74" s="322" t="inlineStr">
        <is>
          <t>C1/C2现用：半兽战勋</t>
        </is>
      </c>
      <c r="S74" s="292" t="inlineStr">
        <is>
          <t>装备素材套装代码表.xlsx（原九部位）</t>
        </is>
      </c>
      <c r="T74" s="292" t="inlineStr">
        <is>
          <t>同一代码用于 Items / StateItem / DnItems；属性与掉落另表定义。</t>
        </is>
      </c>
      <c r="U74">
        <f>IF(COUNTIF($B$2:$B$1076,B74)&gt;1,"重复","")</f>
        <v/>
      </c>
      <c r="V74">
        <f>IF(AND(OR(M74="",M74=B74),OR(N74="",N74=B74),OR(O74="",O74=B74)),"通过","不一致")</f>
        <v/>
      </c>
    </row>
    <row r="75" ht="22" customHeight="1">
      <c r="A75" s="398" t="n">
        <v>74</v>
      </c>
      <c r="B75" s="398" t="n">
        <v>5940</v>
      </c>
      <c r="C75" s="399" t="inlineStr">
        <is>
          <t>黄金圣律·神律</t>
        </is>
      </c>
      <c r="D75" s="399" t="inlineStr">
        <is>
          <t>黄金圣律</t>
        </is>
      </c>
      <c r="E75" s="399" t="n">
        <v>9</v>
      </c>
      <c r="F75" s="399" t="inlineStr">
        <is>
          <t>项链</t>
        </is>
      </c>
      <c r="G75" s="398" t="n"/>
      <c r="H75" s="398" t="n"/>
      <c r="I75" s="398" t="n">
        <v>5940</v>
      </c>
      <c r="J75" s="398" t="n"/>
      <c r="K75" s="398" t="n"/>
      <c r="L75" s="398" t="n"/>
      <c r="M75" s="398" t="n">
        <v>5940</v>
      </c>
      <c r="N75" s="398" t="n">
        <v>5940</v>
      </c>
      <c r="O75" s="398" t="n">
        <v>5940</v>
      </c>
      <c r="P75" s="292" t="n"/>
      <c r="Q75" s="292" t="inlineStr">
        <is>
          <t>原九部位资源库已登记</t>
        </is>
      </c>
      <c r="R75" s="324" t="inlineStr">
        <is>
          <t>C3-C10规划锁定：白翼颈链</t>
        </is>
      </c>
      <c r="S75" s="292" t="inlineStr">
        <is>
          <t>装备素材套装代码表.xlsx（原九部位）</t>
        </is>
      </c>
      <c r="T75" s="292" t="inlineStr">
        <is>
          <t>同一代码用于 Items / StateItem / DnItems；属性与掉落另表定义。</t>
        </is>
      </c>
      <c r="U75">
        <f>IF(COUNTIF($B$2:$B$1076,B75)&gt;1,"重复","")</f>
        <v/>
      </c>
      <c r="V75">
        <f>IF(AND(OR(M75="",M75=B75),OR(N75="",N75=B75),OR(O75="",O75=B75)),"通过","不一致")</f>
        <v/>
      </c>
    </row>
    <row r="76" ht="22" customHeight="1">
      <c r="A76" s="398" t="n">
        <v>75</v>
      </c>
      <c r="B76" s="398" t="n">
        <v>5941</v>
      </c>
      <c r="C76" s="399" t="inlineStr">
        <is>
          <t>黄金圣律·神律</t>
        </is>
      </c>
      <c r="D76" s="399" t="inlineStr">
        <is>
          <t>黄金圣律</t>
        </is>
      </c>
      <c r="E76" s="399" t="n">
        <v>9</v>
      </c>
      <c r="F76" s="399" t="inlineStr">
        <is>
          <t>头盔</t>
        </is>
      </c>
      <c r="G76" s="398" t="n"/>
      <c r="H76" s="398" t="n"/>
      <c r="I76" s="398" t="n">
        <v>5941</v>
      </c>
      <c r="J76" s="398" t="n"/>
      <c r="K76" s="398" t="n"/>
      <c r="L76" s="398" t="n"/>
      <c r="M76" s="398" t="n">
        <v>5941</v>
      </c>
      <c r="N76" s="398" t="n">
        <v>5941</v>
      </c>
      <c r="O76" s="398" t="n">
        <v>5941</v>
      </c>
      <c r="P76" s="292" t="n"/>
      <c r="Q76" s="292" t="inlineStr">
        <is>
          <t>原九部位资源库已登记</t>
        </is>
      </c>
      <c r="R76" s="324" t="inlineStr">
        <is>
          <t>C3-C10规划锁定：芙蕾冰冠</t>
        </is>
      </c>
      <c r="S76" s="292" t="inlineStr">
        <is>
          <t>装备素材套装代码表.xlsx（原九部位）</t>
        </is>
      </c>
      <c r="T76" s="292" t="inlineStr">
        <is>
          <t>同一代码用于 Items / StateItem / DnItems；属性与掉落另表定义。</t>
        </is>
      </c>
      <c r="U76">
        <f>IF(COUNTIF($B$2:$B$1076,B76)&gt;1,"重复","")</f>
        <v/>
      </c>
      <c r="V76">
        <f>IF(AND(OR(M76="",M76=B76),OR(N76="",N76=B76),OR(O76="",O76=B76)),"通过","不一致")</f>
        <v/>
      </c>
    </row>
    <row r="77" ht="22" customHeight="1">
      <c r="A77" s="398" t="n">
        <v>76</v>
      </c>
      <c r="B77" s="398" t="n">
        <v>5942</v>
      </c>
      <c r="C77" s="399" t="inlineStr">
        <is>
          <t>黄金圣律·神律</t>
        </is>
      </c>
      <c r="D77" s="399" t="inlineStr">
        <is>
          <t>黄金圣律</t>
        </is>
      </c>
      <c r="E77" s="399" t="n">
        <v>9</v>
      </c>
      <c r="F77" s="399" t="inlineStr">
        <is>
          <t>手镯</t>
        </is>
      </c>
      <c r="G77" s="398" t="n"/>
      <c r="H77" s="398" t="n"/>
      <c r="I77" s="398" t="n">
        <v>5942</v>
      </c>
      <c r="J77" s="398" t="n"/>
      <c r="K77" s="398" t="n"/>
      <c r="L77" s="398" t="n"/>
      <c r="M77" s="398" t="n">
        <v>5942</v>
      </c>
      <c r="N77" s="398" t="n">
        <v>5942</v>
      </c>
      <c r="O77" s="398" t="n">
        <v>5942</v>
      </c>
      <c r="P77" s="292" t="n"/>
      <c r="Q77" s="292" t="inlineStr">
        <is>
          <t>原九部位资源库已登记</t>
        </is>
      </c>
      <c r="R77" s="324" t="inlineStr">
        <is>
          <t>C3-C10规划锁定：石髯记事镯</t>
        </is>
      </c>
      <c r="S77" s="292" t="inlineStr">
        <is>
          <t>装备素材套装代码表.xlsx（原九部位）</t>
        </is>
      </c>
      <c r="T77" s="292" t="inlineStr">
        <is>
          <t>同一代码用于 Items / StateItem / DnItems；属性与掉落另表定义。</t>
        </is>
      </c>
      <c r="U77">
        <f>IF(COUNTIF($B$2:$B$1076,B77)&gt;1,"重复","")</f>
        <v/>
      </c>
      <c r="V77">
        <f>IF(AND(OR(M77="",M77=B77),OR(N77="",N77=B77),OR(O77="",O77=B77)),"通过","不一致")</f>
        <v/>
      </c>
    </row>
    <row r="78" ht="22" customHeight="1">
      <c r="A78" s="398" t="n">
        <v>77</v>
      </c>
      <c r="B78" s="398" t="n">
        <v>5943</v>
      </c>
      <c r="C78" s="399" t="inlineStr">
        <is>
          <t>黄金圣律·神律</t>
        </is>
      </c>
      <c r="D78" s="399" t="inlineStr">
        <is>
          <t>黄金圣律</t>
        </is>
      </c>
      <c r="E78" s="399" t="n">
        <v>9</v>
      </c>
      <c r="F78" s="399" t="inlineStr">
        <is>
          <t>戒指</t>
        </is>
      </c>
      <c r="G78" s="398" t="n"/>
      <c r="H78" s="398" t="n"/>
      <c r="I78" s="398" t="n">
        <v>5943</v>
      </c>
      <c r="J78" s="398" t="n"/>
      <c r="K78" s="398" t="n"/>
      <c r="L78" s="398" t="n"/>
      <c r="M78" s="398" t="n">
        <v>5943</v>
      </c>
      <c r="N78" s="398" t="n">
        <v>5943</v>
      </c>
      <c r="O78" s="398" t="n">
        <v>5943</v>
      </c>
      <c r="P78" s="292" t="n"/>
      <c r="Q78" s="292" t="inlineStr">
        <is>
          <t>原九部位资源库已登记</t>
        </is>
      </c>
      <c r="R78" s="324" t="inlineStr">
        <is>
          <t>C3-C10规划锁定：巡界牙戒</t>
        </is>
      </c>
      <c r="S78" s="292" t="inlineStr">
        <is>
          <t>装备素材套装代码表.xlsx（原九部位）</t>
        </is>
      </c>
      <c r="T78" s="292" t="inlineStr">
        <is>
          <t>同一代码用于 Items / StateItem / DnItems；属性与掉落另表定义。</t>
        </is>
      </c>
      <c r="U78">
        <f>IF(COUNTIF($B$2:$B$1076,B78)&gt;1,"重复","")</f>
        <v/>
      </c>
      <c r="V78">
        <f>IF(AND(OR(M78="",M78=B78),OR(N78="",N78=B78),OR(O78="",O78=B78)),"通过","不一致")</f>
        <v/>
      </c>
    </row>
    <row r="79" ht="22" customHeight="1">
      <c r="A79" s="398" t="n">
        <v>78</v>
      </c>
      <c r="B79" s="398" t="n">
        <v>5944</v>
      </c>
      <c r="C79" s="399" t="inlineStr">
        <is>
          <t>黄金圣律·神律</t>
        </is>
      </c>
      <c r="D79" s="399" t="inlineStr">
        <is>
          <t>黄金圣律</t>
        </is>
      </c>
      <c r="E79" s="399" t="n">
        <v>9</v>
      </c>
      <c r="F79" s="399" t="inlineStr">
        <is>
          <t>盾牌</t>
        </is>
      </c>
      <c r="G79" s="398" t="n"/>
      <c r="H79" s="398" t="n"/>
      <c r="I79" s="398" t="n">
        <v>5944</v>
      </c>
      <c r="J79" s="398" t="n"/>
      <c r="K79" s="398" t="n"/>
      <c r="L79" s="398" t="n"/>
      <c r="M79" s="398" t="n">
        <v>5944</v>
      </c>
      <c r="N79" s="398" t="n">
        <v>5944</v>
      </c>
      <c r="O79" s="398" t="n">
        <v>5944</v>
      </c>
      <c r="P79" s="292" t="n"/>
      <c r="Q79" s="292" t="inlineStr">
        <is>
          <t>原九部位资源库已登记</t>
        </is>
      </c>
      <c r="R79" s="324" t="inlineStr">
        <is>
          <t>C3-C10规划锁定：负碑王座盾</t>
        </is>
      </c>
      <c r="S79" s="292" t="inlineStr">
        <is>
          <t>装备素材套装代码表.xlsx（原九部位）</t>
        </is>
      </c>
      <c r="T79" s="292" t="inlineStr">
        <is>
          <t>同一代码用于 Items / StateItem / DnItems；属性与掉落另表定义。</t>
        </is>
      </c>
      <c r="U79">
        <f>IF(COUNTIF($B$2:$B$1076,B79)&gt;1,"重复","")</f>
        <v/>
      </c>
      <c r="V79">
        <f>IF(AND(OR(M79="",M79=B79),OR(N79="",N79=B79),OR(O79="",O79=B79)),"通过","不一致")</f>
        <v/>
      </c>
    </row>
    <row r="80" ht="22" customHeight="1">
      <c r="A80" s="398" t="n">
        <v>79</v>
      </c>
      <c r="B80" s="398" t="n">
        <v>5945</v>
      </c>
      <c r="C80" s="399" t="inlineStr">
        <is>
          <t>黄金圣律·神律</t>
        </is>
      </c>
      <c r="D80" s="399" t="inlineStr">
        <is>
          <t>黄金圣律</t>
        </is>
      </c>
      <c r="E80" s="399" t="n">
        <v>9</v>
      </c>
      <c r="F80" s="399" t="inlineStr">
        <is>
          <t>灵玉</t>
        </is>
      </c>
      <c r="G80" s="398" t="n"/>
      <c r="H80" s="398" t="n"/>
      <c r="I80" s="398" t="n">
        <v>5945</v>
      </c>
      <c r="J80" s="398" t="n"/>
      <c r="K80" s="398" t="n"/>
      <c r="L80" s="398" t="n"/>
      <c r="M80" s="398" t="n">
        <v>5945</v>
      </c>
      <c r="N80" s="398" t="n">
        <v>5945</v>
      </c>
      <c r="O80" s="398" t="n">
        <v>5945</v>
      </c>
      <c r="P80" s="292" t="n"/>
      <c r="Q80" s="292" t="inlineStr">
        <is>
          <t>原九部位资源库已登记</t>
        </is>
      </c>
      <c r="R80" s="292" t="str"/>
      <c r="S80" s="292" t="inlineStr">
        <is>
          <t>装备素材套装代码表.xlsx（原九部位）</t>
        </is>
      </c>
      <c r="T80" s="292" t="inlineStr">
        <is>
          <t>同一代码用于 Items / StateItem / DnItems；属性与掉落另表定义。</t>
        </is>
      </c>
      <c r="U80">
        <f>IF(COUNTIF($B$2:$B$1076,B80)&gt;1,"重复","")</f>
        <v/>
      </c>
      <c r="V80">
        <f>IF(AND(OR(M80="",M80=B80),OR(N80="",N80=B80),OR(O80="",O80=B80)),"通过","不一致")</f>
        <v/>
      </c>
    </row>
    <row r="81" ht="22" customHeight="1">
      <c r="A81" s="398" t="n">
        <v>80</v>
      </c>
      <c r="B81" s="398" t="n">
        <v>5946</v>
      </c>
      <c r="C81" s="399" t="inlineStr">
        <is>
          <t>黄金圣律·神律</t>
        </is>
      </c>
      <c r="D81" s="399" t="inlineStr">
        <is>
          <t>黄金圣律</t>
        </is>
      </c>
      <c r="E81" s="399" t="n">
        <v>9</v>
      </c>
      <c r="F81" s="399" t="inlineStr">
        <is>
          <t>鞋子</t>
        </is>
      </c>
      <c r="G81" s="398" t="n"/>
      <c r="H81" s="398" t="n"/>
      <c r="I81" s="398" t="n">
        <v>5946</v>
      </c>
      <c r="J81" s="398" t="n"/>
      <c r="K81" s="398" t="n"/>
      <c r="L81" s="398" t="n"/>
      <c r="M81" s="398" t="n">
        <v>5946</v>
      </c>
      <c r="N81" s="398" t="n">
        <v>5946</v>
      </c>
      <c r="O81" s="398" t="n">
        <v>5946</v>
      </c>
      <c r="P81" s="292" t="n"/>
      <c r="Q81" s="292" t="inlineStr">
        <is>
          <t>原九部位资源库已登记</t>
        </is>
      </c>
      <c r="R81" s="324" t="inlineStr">
        <is>
          <t>C3-C10规划锁定：角鹿逐叶履</t>
        </is>
      </c>
      <c r="S81" s="292" t="inlineStr">
        <is>
          <t>装备素材套装代码表.xlsx（原九部位）</t>
        </is>
      </c>
      <c r="T81" s="292" t="inlineStr">
        <is>
          <t>同一代码用于 Items / StateItem / DnItems；属性与掉落另表定义。</t>
        </is>
      </c>
      <c r="U81">
        <f>IF(COUNTIF($B$2:$B$1076,B81)&gt;1,"重复","")</f>
        <v/>
      </c>
      <c r="V81">
        <f>IF(AND(OR(M81="",M81=B81),OR(N81="",N81=B81),OR(O81="",O81=B81)),"通过","不一致")</f>
        <v/>
      </c>
    </row>
    <row r="82" ht="22" customHeight="1">
      <c r="A82" s="398" t="n">
        <v>81</v>
      </c>
      <c r="B82" s="398" t="n">
        <v>5947</v>
      </c>
      <c r="C82" s="399" t="inlineStr">
        <is>
          <t>黄金圣律·神律</t>
        </is>
      </c>
      <c r="D82" s="399" t="inlineStr">
        <is>
          <t>黄金圣律</t>
        </is>
      </c>
      <c r="E82" s="399" t="n">
        <v>9</v>
      </c>
      <c r="F82" s="399" t="inlineStr">
        <is>
          <t>腰带</t>
        </is>
      </c>
      <c r="G82" s="398" t="n"/>
      <c r="H82" s="398" t="n"/>
      <c r="I82" s="398" t="n">
        <v>5947</v>
      </c>
      <c r="J82" s="398" t="n"/>
      <c r="K82" s="398" t="n"/>
      <c r="L82" s="398" t="n"/>
      <c r="M82" s="398" t="n">
        <v>5947</v>
      </c>
      <c r="N82" s="398" t="n">
        <v>5947</v>
      </c>
      <c r="O82" s="398" t="n">
        <v>5947</v>
      </c>
      <c r="P82" s="292" t="n"/>
      <c r="Q82" s="292" t="inlineStr">
        <is>
          <t>原九部位资源库已登记</t>
        </is>
      </c>
      <c r="R82" s="324" t="inlineStr">
        <is>
          <t>C3-C10规划锁定：吞金蜥尾带</t>
        </is>
      </c>
      <c r="S82" s="292" t="inlineStr">
        <is>
          <t>装备素材套装代码表.xlsx（原九部位）</t>
        </is>
      </c>
      <c r="T82" s="292" t="inlineStr">
        <is>
          <t>同一代码用于 Items / StateItem / DnItems；属性与掉落另表定义。</t>
        </is>
      </c>
      <c r="U82">
        <f>IF(COUNTIF($B$2:$B$1076,B82)&gt;1,"重复","")</f>
        <v/>
      </c>
      <c r="V82">
        <f>IF(AND(OR(M82="",M82=B82),OR(N82="",N82=B82),OR(O82="",O82=B82)),"通过","不一致")</f>
        <v/>
      </c>
    </row>
    <row r="83" ht="22" customHeight="1">
      <c r="A83" s="398" t="n">
        <v>82</v>
      </c>
      <c r="B83" s="398" t="n">
        <v>5948</v>
      </c>
      <c r="C83" s="399" t="inlineStr">
        <is>
          <t>黄金圣律·永耀</t>
        </is>
      </c>
      <c r="D83" s="399" t="inlineStr">
        <is>
          <t>黄金圣律</t>
        </is>
      </c>
      <c r="E83" s="399" t="n">
        <v>10</v>
      </c>
      <c r="F83" s="399" t="inlineStr">
        <is>
          <t>勋章</t>
        </is>
      </c>
      <c r="G83" s="398" t="n"/>
      <c r="H83" s="398" t="n"/>
      <c r="I83" s="398" t="n">
        <v>5948</v>
      </c>
      <c r="J83" s="398" t="n"/>
      <c r="K83" s="398" t="n"/>
      <c r="L83" s="398" t="n"/>
      <c r="M83" s="398" t="n">
        <v>5948</v>
      </c>
      <c r="N83" s="398" t="n">
        <v>5948</v>
      </c>
      <c r="O83" s="398" t="n">
        <v>5948</v>
      </c>
      <c r="P83" s="292" t="n"/>
      <c r="Q83" s="292" t="inlineStr">
        <is>
          <t>原九部位资源库已登记</t>
        </is>
      </c>
      <c r="R83" s="292" t="str"/>
      <c r="S83" s="292" t="inlineStr">
        <is>
          <t>装备素材套装代码表.xlsx（原九部位）</t>
        </is>
      </c>
      <c r="T83" s="292" t="inlineStr">
        <is>
          <t>同一代码用于 Items / StateItem / DnItems；属性与掉落另表定义。</t>
        </is>
      </c>
      <c r="U83">
        <f>IF(COUNTIF($B$2:$B$1076,B83)&gt;1,"重复","")</f>
        <v/>
      </c>
      <c r="V83">
        <f>IF(AND(OR(M83="",M83=B83),OR(N83="",N83=B83),OR(O83="",O83=B83)),"通过","不一致")</f>
        <v/>
      </c>
    </row>
    <row r="84" ht="22" customHeight="1">
      <c r="A84" s="398" t="n">
        <v>83</v>
      </c>
      <c r="B84" s="398" t="n">
        <v>5949</v>
      </c>
      <c r="C84" s="399" t="inlineStr">
        <is>
          <t>黄金圣律·永耀</t>
        </is>
      </c>
      <c r="D84" s="399" t="inlineStr">
        <is>
          <t>黄金圣律</t>
        </is>
      </c>
      <c r="E84" s="399" t="n">
        <v>10</v>
      </c>
      <c r="F84" s="399" t="inlineStr">
        <is>
          <t>项链</t>
        </is>
      </c>
      <c r="G84" s="398" t="n"/>
      <c r="H84" s="398" t="n"/>
      <c r="I84" s="398" t="n">
        <v>5949</v>
      </c>
      <c r="J84" s="398" t="n"/>
      <c r="K84" s="398" t="n"/>
      <c r="L84" s="398" t="n"/>
      <c r="M84" s="398" t="n">
        <v>5949</v>
      </c>
      <c r="N84" s="398" t="n">
        <v>5949</v>
      </c>
      <c r="O84" s="398" t="n">
        <v>5949</v>
      </c>
      <c r="P84" s="292" t="n"/>
      <c r="Q84" s="292" t="inlineStr">
        <is>
          <t>原九部位资源库已登记</t>
        </is>
      </c>
      <c r="R84" s="324" t="inlineStr">
        <is>
          <t>C3-C10规划锁定：守烛项链</t>
        </is>
      </c>
      <c r="S84" s="292" t="inlineStr">
        <is>
          <t>装备素材套装代码表.xlsx（原九部位）</t>
        </is>
      </c>
      <c r="T84" s="292" t="inlineStr">
        <is>
          <t>同一代码用于 Items / StateItem / DnItems；属性与掉落另表定义。</t>
        </is>
      </c>
      <c r="U84">
        <f>IF(COUNTIF($B$2:$B$1076,B84)&gt;1,"重复","")</f>
        <v/>
      </c>
      <c r="V84">
        <f>IF(AND(OR(M84="",M84=B84),OR(N84="",N84=B84),OR(O84="",O84=B84)),"通过","不一致")</f>
        <v/>
      </c>
    </row>
    <row r="85" ht="22" customHeight="1">
      <c r="A85" s="398" t="n">
        <v>84</v>
      </c>
      <c r="B85" s="398" t="n">
        <v>5950</v>
      </c>
      <c r="C85" s="399" t="inlineStr">
        <is>
          <t>黄金圣律·永耀</t>
        </is>
      </c>
      <c r="D85" s="399" t="inlineStr">
        <is>
          <t>黄金圣律</t>
        </is>
      </c>
      <c r="E85" s="399" t="n">
        <v>10</v>
      </c>
      <c r="F85" s="399" t="inlineStr">
        <is>
          <t>头盔</t>
        </is>
      </c>
      <c r="G85" s="398" t="n"/>
      <c r="H85" s="398" t="n"/>
      <c r="I85" s="398" t="n">
        <v>5950</v>
      </c>
      <c r="J85" s="398" t="n"/>
      <c r="K85" s="398" t="n"/>
      <c r="L85" s="398" t="n"/>
      <c r="M85" s="398" t="n">
        <v>5950</v>
      </c>
      <c r="N85" s="398" t="n">
        <v>5950</v>
      </c>
      <c r="O85" s="398" t="n">
        <v>5950</v>
      </c>
      <c r="P85" s="292" t="n"/>
      <c r="Q85" s="292" t="inlineStr">
        <is>
          <t>原九部位资源库已登记</t>
        </is>
      </c>
      <c r="R85" s="324" t="inlineStr">
        <is>
          <t>C3-C10规划锁定：希尔达圣冠</t>
        </is>
      </c>
      <c r="S85" s="292" t="inlineStr">
        <is>
          <t>装备素材套装代码表.xlsx（原九部位）</t>
        </is>
      </c>
      <c r="T85" s="292" t="inlineStr">
        <is>
          <t>同一代码用于 Items / StateItem / DnItems；属性与掉落另表定义。</t>
        </is>
      </c>
      <c r="U85">
        <f>IF(COUNTIF($B$2:$B$1076,B85)&gt;1,"重复","")</f>
        <v/>
      </c>
      <c r="V85">
        <f>IF(AND(OR(M85="",M85=B85),OR(N85="",N85=B85),OR(O85="",O85=B85)),"通过","不一致")</f>
        <v/>
      </c>
    </row>
    <row r="86" ht="22" customHeight="1">
      <c r="A86" s="398" t="n">
        <v>85</v>
      </c>
      <c r="B86" s="398" t="n">
        <v>5951</v>
      </c>
      <c r="C86" s="399" t="inlineStr">
        <is>
          <t>黄金圣律·永耀</t>
        </is>
      </c>
      <c r="D86" s="399" t="inlineStr">
        <is>
          <t>黄金圣律</t>
        </is>
      </c>
      <c r="E86" s="399" t="n">
        <v>10</v>
      </c>
      <c r="F86" s="399" t="inlineStr">
        <is>
          <t>手镯</t>
        </is>
      </c>
      <c r="G86" s="398" t="n"/>
      <c r="H86" s="398" t="n"/>
      <c r="I86" s="398" t="n">
        <v>5951</v>
      </c>
      <c r="J86" s="398" t="n"/>
      <c r="K86" s="398" t="n"/>
      <c r="L86" s="398" t="n"/>
      <c r="M86" s="398" t="n">
        <v>5951</v>
      </c>
      <c r="N86" s="398" t="n">
        <v>5951</v>
      </c>
      <c r="O86" s="398" t="n">
        <v>5951</v>
      </c>
      <c r="P86" s="292" t="n"/>
      <c r="Q86" s="292" t="inlineStr">
        <is>
          <t>原九部位资源库已登记</t>
        </is>
      </c>
      <c r="R86" s="324" t="inlineStr">
        <is>
          <t>C3-C10规划锁定：冰铃童腕镯</t>
        </is>
      </c>
      <c r="S86" s="292" t="inlineStr">
        <is>
          <t>装备素材套装代码表.xlsx（原九部位）</t>
        </is>
      </c>
      <c r="T86" s="292" t="inlineStr">
        <is>
          <t>同一代码用于 Items / StateItem / DnItems；属性与掉落另表定义。</t>
        </is>
      </c>
      <c r="U86">
        <f>IF(COUNTIF($B$2:$B$1076,B86)&gt;1,"重复","")</f>
        <v/>
      </c>
      <c r="V86">
        <f>IF(AND(OR(M86="",M86=B86),OR(N86="",N86=B86),OR(O86="",O86=B86)),"通过","不一致")</f>
        <v/>
      </c>
    </row>
    <row r="87" ht="22" customHeight="1">
      <c r="A87" s="398" t="n">
        <v>86</v>
      </c>
      <c r="B87" s="398" t="n">
        <v>5952</v>
      </c>
      <c r="C87" s="399" t="inlineStr">
        <is>
          <t>黄金圣律·永耀</t>
        </is>
      </c>
      <c r="D87" s="399" t="inlineStr">
        <is>
          <t>黄金圣律</t>
        </is>
      </c>
      <c r="E87" s="399" t="n">
        <v>10</v>
      </c>
      <c r="F87" s="399" t="inlineStr">
        <is>
          <t>戒指</t>
        </is>
      </c>
      <c r="G87" s="398" t="n"/>
      <c r="H87" s="398" t="n"/>
      <c r="I87" s="398" t="n">
        <v>5952</v>
      </c>
      <c r="J87" s="398" t="n"/>
      <c r="K87" s="398" t="n"/>
      <c r="L87" s="398" t="n"/>
      <c r="M87" s="398" t="n">
        <v>5952</v>
      </c>
      <c r="N87" s="398" t="n">
        <v>5952</v>
      </c>
      <c r="O87" s="398" t="n">
        <v>5952</v>
      </c>
      <c r="P87" s="292" t="n"/>
      <c r="Q87" s="292" t="inlineStr">
        <is>
          <t>原九部位资源库已登记</t>
        </is>
      </c>
      <c r="R87" s="324" t="inlineStr">
        <is>
          <t>C3-C10规划锁定：封誓霜纹戒</t>
        </is>
      </c>
      <c r="S87" s="292" t="inlineStr">
        <is>
          <t>装备素材套装代码表.xlsx（原九部位）</t>
        </is>
      </c>
      <c r="T87" s="292" t="inlineStr">
        <is>
          <t>同一代码用于 Items / StateItem / DnItems；属性与掉落另表定义。</t>
        </is>
      </c>
      <c r="U87">
        <f>IF(COUNTIF($B$2:$B$1076,B87)&gt;1,"重复","")</f>
        <v/>
      </c>
      <c r="V87">
        <f>IF(AND(OR(M87="",M87=B87),OR(N87="",N87=B87),OR(O87="",O87=B87)),"通过","不一致")</f>
        <v/>
      </c>
    </row>
    <row r="88" ht="22" customHeight="1">
      <c r="A88" s="398" t="n">
        <v>87</v>
      </c>
      <c r="B88" s="398" t="n">
        <v>5953</v>
      </c>
      <c r="C88" s="399" t="inlineStr">
        <is>
          <t>黄金圣律·永耀</t>
        </is>
      </c>
      <c r="D88" s="399" t="inlineStr">
        <is>
          <t>黄金圣律</t>
        </is>
      </c>
      <c r="E88" s="399" t="n">
        <v>10</v>
      </c>
      <c r="F88" s="399" t="inlineStr">
        <is>
          <t>盾牌</t>
        </is>
      </c>
      <c r="G88" s="398" t="n"/>
      <c r="H88" s="398" t="n"/>
      <c r="I88" s="398" t="n">
        <v>5953</v>
      </c>
      <c r="J88" s="398" t="n"/>
      <c r="K88" s="398" t="n"/>
      <c r="L88" s="398" t="n"/>
      <c r="M88" s="398" t="n">
        <v>5953</v>
      </c>
      <c r="N88" s="398" t="n">
        <v>5953</v>
      </c>
      <c r="O88" s="398" t="n">
        <v>5953</v>
      </c>
      <c r="P88" s="292" t="n"/>
      <c r="Q88" s="292" t="inlineStr">
        <is>
          <t>原九部位资源库已登记</t>
        </is>
      </c>
      <c r="R88" s="322" t="inlineStr">
        <is>
          <t>C1/C2现用：百骸狮盾</t>
        </is>
      </c>
      <c r="S88" s="292" t="inlineStr">
        <is>
          <t>装备素材套装代码表.xlsx（原九部位）</t>
        </is>
      </c>
      <c r="T88" s="292" t="inlineStr">
        <is>
          <t>同一代码用于 Items / StateItem / DnItems；属性与掉落另表定义。</t>
        </is>
      </c>
      <c r="U88">
        <f>IF(COUNTIF($B$2:$B$1076,B88)&gt;1,"重复","")</f>
        <v/>
      </c>
      <c r="V88">
        <f>IF(AND(OR(M88="",M88=B88),OR(N88="",N88=B88),OR(O88="",O88=B88)),"通过","不一致")</f>
        <v/>
      </c>
    </row>
    <row r="89" ht="22" customHeight="1">
      <c r="A89" s="398" t="n">
        <v>88</v>
      </c>
      <c r="B89" s="398" t="n">
        <v>5954</v>
      </c>
      <c r="C89" s="399" t="inlineStr">
        <is>
          <t>黄金圣律·永耀</t>
        </is>
      </c>
      <c r="D89" s="399" t="inlineStr">
        <is>
          <t>黄金圣律</t>
        </is>
      </c>
      <c r="E89" s="399" t="n">
        <v>10</v>
      </c>
      <c r="F89" s="399" t="inlineStr">
        <is>
          <t>灵玉</t>
        </is>
      </c>
      <c r="G89" s="398" t="n"/>
      <c r="H89" s="398" t="n"/>
      <c r="I89" s="398" t="n">
        <v>5954</v>
      </c>
      <c r="J89" s="398" t="n"/>
      <c r="K89" s="398" t="n"/>
      <c r="L89" s="398" t="n"/>
      <c r="M89" s="398" t="n">
        <v>5954</v>
      </c>
      <c r="N89" s="398" t="n">
        <v>5954</v>
      </c>
      <c r="O89" s="398" t="n">
        <v>5954</v>
      </c>
      <c r="P89" s="292" t="n"/>
      <c r="Q89" s="292" t="inlineStr">
        <is>
          <t>原九部位资源库已登记</t>
        </is>
      </c>
      <c r="R89" s="322" t="inlineStr">
        <is>
          <t>C1/C2现用：拉塔恩的大卢恩</t>
        </is>
      </c>
      <c r="S89" s="292" t="inlineStr">
        <is>
          <t>装备素材套装代码表.xlsx（原九部位）</t>
        </is>
      </c>
      <c r="T89" s="292" t="inlineStr">
        <is>
          <t>同一代码用于 Items / StateItem / DnItems；属性与掉落另表定义。</t>
        </is>
      </c>
      <c r="U89">
        <f>IF(COUNTIF($B$2:$B$1076,B89)&gt;1,"重复","")</f>
        <v/>
      </c>
      <c r="V89">
        <f>IF(AND(OR(M89="",M89=B89),OR(N89="",N89=B89),OR(O89="",O89=B89)),"通过","不一致")</f>
        <v/>
      </c>
    </row>
    <row r="90" ht="22" customHeight="1">
      <c r="A90" s="398" t="n">
        <v>89</v>
      </c>
      <c r="B90" s="398" t="n">
        <v>5955</v>
      </c>
      <c r="C90" s="399" t="inlineStr">
        <is>
          <t>黄金圣律·永耀</t>
        </is>
      </c>
      <c r="D90" s="399" t="inlineStr">
        <is>
          <t>黄金圣律</t>
        </is>
      </c>
      <c r="E90" s="399" t="n">
        <v>10</v>
      </c>
      <c r="F90" s="399" t="inlineStr">
        <is>
          <t>鞋子</t>
        </is>
      </c>
      <c r="G90" s="398" t="n"/>
      <c r="H90" s="398" t="n"/>
      <c r="I90" s="398" t="n">
        <v>5955</v>
      </c>
      <c r="J90" s="398" t="n"/>
      <c r="K90" s="398" t="n"/>
      <c r="L90" s="398" t="n"/>
      <c r="M90" s="398" t="n">
        <v>5955</v>
      </c>
      <c r="N90" s="398" t="n">
        <v>5955</v>
      </c>
      <c r="O90" s="398" t="n">
        <v>5955</v>
      </c>
      <c r="P90" s="292" t="n"/>
      <c r="Q90" s="292" t="inlineStr">
        <is>
          <t>原九部位资源库已登记</t>
        </is>
      </c>
      <c r="R90" s="324" t="inlineStr">
        <is>
          <t>C3-C10规划锁定：啮岩鼠爪靴</t>
        </is>
      </c>
      <c r="S90" s="292" t="inlineStr">
        <is>
          <t>装备素材套装代码表.xlsx（原九部位）</t>
        </is>
      </c>
      <c r="T90" s="292" t="inlineStr">
        <is>
          <t>同一代码用于 Items / StateItem / DnItems；属性与掉落另表定义。</t>
        </is>
      </c>
      <c r="U90">
        <f>IF(COUNTIF($B$2:$B$1076,B90)&gt;1,"重复","")</f>
        <v/>
      </c>
      <c r="V90">
        <f>IF(AND(OR(M90="",M90=B90),OR(N90="",N90=B90),OR(O90="",O90=B90)),"通过","不一致")</f>
        <v/>
      </c>
    </row>
    <row r="91" ht="22" customHeight="1">
      <c r="A91" s="398" t="n">
        <v>90</v>
      </c>
      <c r="B91" s="398" t="n">
        <v>5956</v>
      </c>
      <c r="C91" s="399" t="inlineStr">
        <is>
          <t>黄金圣律·永耀</t>
        </is>
      </c>
      <c r="D91" s="399" t="inlineStr">
        <is>
          <t>黄金圣律</t>
        </is>
      </c>
      <c r="E91" s="399" t="n">
        <v>10</v>
      </c>
      <c r="F91" s="399" t="inlineStr">
        <is>
          <t>腰带</t>
        </is>
      </c>
      <c r="G91" s="398" t="n"/>
      <c r="H91" s="398" t="n"/>
      <c r="I91" s="398" t="n">
        <v>5956</v>
      </c>
      <c r="J91" s="398" t="n"/>
      <c r="K91" s="398" t="n"/>
      <c r="L91" s="398" t="n"/>
      <c r="M91" s="398" t="n">
        <v>5956</v>
      </c>
      <c r="N91" s="398" t="n">
        <v>5956</v>
      </c>
      <c r="O91" s="398" t="n">
        <v>5956</v>
      </c>
      <c r="P91" s="292" t="n"/>
      <c r="Q91" s="292" t="inlineStr">
        <is>
          <t>原九部位资源库已登记</t>
        </is>
      </c>
      <c r="R91" s="324" t="inlineStr">
        <is>
          <t>C3-C10规划锁定：食梦蝉蜕带</t>
        </is>
      </c>
      <c r="S91" s="292" t="inlineStr">
        <is>
          <t>装备素材套装代码表.xlsx（原九部位）</t>
        </is>
      </c>
      <c r="T91" s="292" t="inlineStr">
        <is>
          <t>同一代码用于 Items / StateItem / DnItems；属性与掉落另表定义。</t>
        </is>
      </c>
      <c r="U91">
        <f>IF(COUNTIF($B$2:$B$1076,B91)&gt;1,"重复","")</f>
        <v/>
      </c>
      <c r="V91">
        <f>IF(AND(OR(M91="",M91=B91),OR(N91="",N91=B91),OR(O91="",O91=B91)),"通过","不一致")</f>
        <v/>
      </c>
    </row>
    <row r="92" ht="22" customHeight="1">
      <c r="A92" s="398" t="n">
        <v>91</v>
      </c>
      <c r="B92" s="398" t="n">
        <v>5957</v>
      </c>
      <c r="C92" s="399" t="inlineStr">
        <is>
          <t>血月荆棘·暗芽</t>
        </is>
      </c>
      <c r="D92" s="399" t="inlineStr">
        <is>
          <t>血月荆棘</t>
        </is>
      </c>
      <c r="E92" s="399" t="n">
        <v>1</v>
      </c>
      <c r="F92" s="399" t="inlineStr">
        <is>
          <t>勋章</t>
        </is>
      </c>
      <c r="G92" s="398" t="n"/>
      <c r="H92" s="398" t="n"/>
      <c r="I92" s="398" t="n">
        <v>5957</v>
      </c>
      <c r="J92" s="398" t="n"/>
      <c r="K92" s="398" t="n"/>
      <c r="L92" s="398" t="n"/>
      <c r="M92" s="398" t="n">
        <v>5957</v>
      </c>
      <c r="N92" s="398" t="n">
        <v>5957</v>
      </c>
      <c r="O92" s="398" t="n">
        <v>5957</v>
      </c>
      <c r="P92" s="292" t="n"/>
      <c r="Q92" s="292" t="inlineStr">
        <is>
          <t>原九部位资源库已登记</t>
        </is>
      </c>
      <c r="R92" s="292" t="str"/>
      <c r="S92" s="292" t="inlineStr">
        <is>
          <t>装备素材套装代码表.xlsx（原九部位）</t>
        </is>
      </c>
      <c r="T92" s="292" t="inlineStr">
        <is>
          <t>同一代码用于 Items / StateItem / DnItems；属性与掉落另表定义。</t>
        </is>
      </c>
      <c r="U92">
        <f>IF(COUNTIF($B$2:$B$1076,B92)&gt;1,"重复","")</f>
        <v/>
      </c>
      <c r="V92">
        <f>IF(AND(OR(M92="",M92=B92),OR(N92="",N92=B92),OR(O92="",O92=B92)),"通过","不一致")</f>
        <v/>
      </c>
    </row>
    <row r="93" ht="22" customHeight="1">
      <c r="A93" s="398" t="n">
        <v>92</v>
      </c>
      <c r="B93" s="398" t="n">
        <v>5958</v>
      </c>
      <c r="C93" s="399" t="inlineStr">
        <is>
          <t>血月荆棘·暗芽</t>
        </is>
      </c>
      <c r="D93" s="399" t="inlineStr">
        <is>
          <t>血月荆棘</t>
        </is>
      </c>
      <c r="E93" s="399" t="n">
        <v>1</v>
      </c>
      <c r="F93" s="399" t="inlineStr">
        <is>
          <t>项链</t>
        </is>
      </c>
      <c r="G93" s="398" t="n"/>
      <c r="H93" s="398" t="n"/>
      <c r="I93" s="398" t="n">
        <v>5958</v>
      </c>
      <c r="J93" s="398" t="n"/>
      <c r="K93" s="398" t="n"/>
      <c r="L93" s="398" t="n"/>
      <c r="M93" s="398" t="n">
        <v>5958</v>
      </c>
      <c r="N93" s="398" t="n">
        <v>5958</v>
      </c>
      <c r="O93" s="398" t="n">
        <v>5958</v>
      </c>
      <c r="P93" s="292" t="n"/>
      <c r="Q93" s="292" t="inlineStr">
        <is>
          <t>原九部位资源库已登记</t>
        </is>
      </c>
      <c r="R93" s="324" t="inlineStr">
        <is>
          <t>C3-C10规划锁定：霜烛垂链</t>
        </is>
      </c>
      <c r="S93" s="292" t="inlineStr">
        <is>
          <t>装备素材套装代码表.xlsx（原九部位）</t>
        </is>
      </c>
      <c r="T93" s="292" t="inlineStr">
        <is>
          <t>同一代码用于 Items / StateItem / DnItems；属性与掉落另表定义。</t>
        </is>
      </c>
      <c r="U93">
        <f>IF(COUNTIF($B$2:$B$1076,B93)&gt;1,"重复","")</f>
        <v/>
      </c>
      <c r="V93">
        <f>IF(AND(OR(M93="",M93=B93),OR(N93="",N93=B93),OR(O93="",O93=B93)),"通过","不一致")</f>
        <v/>
      </c>
    </row>
    <row r="94" ht="22" customHeight="1">
      <c r="A94" s="398" t="n">
        <v>93</v>
      </c>
      <c r="B94" s="398" t="n">
        <v>5959</v>
      </c>
      <c r="C94" s="399" t="inlineStr">
        <is>
          <t>血月荆棘·暗芽</t>
        </is>
      </c>
      <c r="D94" s="399" t="inlineStr">
        <is>
          <t>血月荆棘</t>
        </is>
      </c>
      <c r="E94" s="399" t="n">
        <v>1</v>
      </c>
      <c r="F94" s="399" t="inlineStr">
        <is>
          <t>头盔</t>
        </is>
      </c>
      <c r="G94" s="398" t="n"/>
      <c r="H94" s="398" t="n"/>
      <c r="I94" s="398" t="n">
        <v>5959</v>
      </c>
      <c r="J94" s="398" t="n"/>
      <c r="K94" s="398" t="n"/>
      <c r="L94" s="398" t="n"/>
      <c r="M94" s="398" t="n">
        <v>5959</v>
      </c>
      <c r="N94" s="398" t="n">
        <v>5959</v>
      </c>
      <c r="O94" s="398" t="n">
        <v>5959</v>
      </c>
      <c r="P94" s="292" t="n"/>
      <c r="Q94" s="292" t="inlineStr">
        <is>
          <t>原九部位资源库已登记</t>
        </is>
      </c>
      <c r="R94" s="324" t="inlineStr">
        <is>
          <t>C3-C10规划锁定：青隼翎盔</t>
        </is>
      </c>
      <c r="S94" s="292" t="inlineStr">
        <is>
          <t>装备素材套装代码表.xlsx（原九部位）</t>
        </is>
      </c>
      <c r="T94" s="292" t="inlineStr">
        <is>
          <t>同一代码用于 Items / StateItem / DnItems；属性与掉落另表定义。</t>
        </is>
      </c>
      <c r="U94">
        <f>IF(COUNTIF($B$2:$B$1076,B94)&gt;1,"重复","")</f>
        <v/>
      </c>
      <c r="V94">
        <f>IF(AND(OR(M94="",M94=B94),OR(N94="",N94=B94),OR(O94="",O94=B94)),"通过","不一致")</f>
        <v/>
      </c>
    </row>
    <row r="95" ht="22" customHeight="1">
      <c r="A95" s="398" t="n">
        <v>94</v>
      </c>
      <c r="B95" s="398" t="n">
        <v>5960</v>
      </c>
      <c r="C95" s="399" t="inlineStr">
        <is>
          <t>血月荆棘·暗芽</t>
        </is>
      </c>
      <c r="D95" s="399" t="inlineStr">
        <is>
          <t>血月荆棘</t>
        </is>
      </c>
      <c r="E95" s="399" t="n">
        <v>1</v>
      </c>
      <c r="F95" s="399" t="inlineStr">
        <is>
          <t>手镯</t>
        </is>
      </c>
      <c r="G95" s="398" t="n"/>
      <c r="H95" s="398" t="n"/>
      <c r="I95" s="398" t="n">
        <v>5960</v>
      </c>
      <c r="J95" s="398" t="n"/>
      <c r="K95" s="398" t="n"/>
      <c r="L95" s="398" t="n"/>
      <c r="M95" s="398" t="n">
        <v>5960</v>
      </c>
      <c r="N95" s="398" t="n">
        <v>5960</v>
      </c>
      <c r="O95" s="398" t="n">
        <v>5960</v>
      </c>
      <c r="P95" s="292" t="n"/>
      <c r="Q95" s="292" t="inlineStr">
        <is>
          <t>原九部位资源库已登记</t>
        </is>
      </c>
      <c r="R95" s="324" t="inlineStr">
        <is>
          <t>C3-C10规划锁定：金颚守陵镯</t>
        </is>
      </c>
      <c r="S95" s="292" t="inlineStr">
        <is>
          <t>装备素材套装代码表.xlsx（原九部位）</t>
        </is>
      </c>
      <c r="T95" s="292" t="inlineStr">
        <is>
          <t>同一代码用于 Items / StateItem / DnItems；属性与掉落另表定义。</t>
        </is>
      </c>
      <c r="U95">
        <f>IF(COUNTIF($B$2:$B$1076,B95)&gt;1,"重复","")</f>
        <v/>
      </c>
      <c r="V95">
        <f>IF(AND(OR(M95="",M95=B95),OR(N95="",N95=B95),OR(O95="",O95=B95)),"通过","不一致")</f>
        <v/>
      </c>
    </row>
    <row r="96" ht="22" customHeight="1">
      <c r="A96" s="398" t="n">
        <v>95</v>
      </c>
      <c r="B96" s="398" t="n">
        <v>5961</v>
      </c>
      <c r="C96" s="399" t="inlineStr">
        <is>
          <t>血月荆棘·暗芽</t>
        </is>
      </c>
      <c r="D96" s="399" t="inlineStr">
        <is>
          <t>血月荆棘</t>
        </is>
      </c>
      <c r="E96" s="399" t="n">
        <v>1</v>
      </c>
      <c r="F96" s="399" t="inlineStr">
        <is>
          <t>戒指</t>
        </is>
      </c>
      <c r="G96" s="398" t="n"/>
      <c r="H96" s="398" t="n"/>
      <c r="I96" s="398" t="n">
        <v>5961</v>
      </c>
      <c r="J96" s="398" t="n"/>
      <c r="K96" s="398" t="n"/>
      <c r="L96" s="398" t="n"/>
      <c r="M96" s="398" t="n">
        <v>5961</v>
      </c>
      <c r="N96" s="398" t="n">
        <v>5961</v>
      </c>
      <c r="O96" s="398" t="n">
        <v>5961</v>
      </c>
      <c r="P96" s="292" t="n"/>
      <c r="Q96" s="292" t="inlineStr">
        <is>
          <t>原九部位资源库已登记</t>
        </is>
      </c>
      <c r="R96" s="324" t="inlineStr">
        <is>
          <t>C3-C10规划锁定：缄誓寒铁戒</t>
        </is>
      </c>
      <c r="S96" s="292" t="inlineStr">
        <is>
          <t>装备素材套装代码表.xlsx（原九部位）</t>
        </is>
      </c>
      <c r="T96" s="292" t="inlineStr">
        <is>
          <t>同一代码用于 Items / StateItem / DnItems；属性与掉落另表定义。</t>
        </is>
      </c>
      <c r="U96">
        <f>IF(COUNTIF($B$2:$B$1076,B96)&gt;1,"重复","")</f>
        <v/>
      </c>
      <c r="V96">
        <f>IF(AND(OR(M96="",M96=B96),OR(N96="",N96=B96),OR(O96="",O96=B96)),"通过","不一致")</f>
        <v/>
      </c>
    </row>
    <row r="97" ht="22" customHeight="1">
      <c r="A97" s="398" t="n">
        <v>96</v>
      </c>
      <c r="B97" s="398" t="n">
        <v>5962</v>
      </c>
      <c r="C97" s="399" t="inlineStr">
        <is>
          <t>血月荆棘·暗芽</t>
        </is>
      </c>
      <c r="D97" s="399" t="inlineStr">
        <is>
          <t>血月荆棘</t>
        </is>
      </c>
      <c r="E97" s="399" t="n">
        <v>1</v>
      </c>
      <c r="F97" s="399" t="inlineStr">
        <is>
          <t>盾牌</t>
        </is>
      </c>
      <c r="G97" s="398" t="n"/>
      <c r="H97" s="398" t="n"/>
      <c r="I97" s="398" t="n">
        <v>5962</v>
      </c>
      <c r="J97" s="398" t="n"/>
      <c r="K97" s="398" t="n"/>
      <c r="L97" s="398" t="n"/>
      <c r="M97" s="398" t="n">
        <v>5962</v>
      </c>
      <c r="N97" s="398" t="n">
        <v>5962</v>
      </c>
      <c r="O97" s="398" t="n">
        <v>5962</v>
      </c>
      <c r="P97" s="292" t="n"/>
      <c r="Q97" s="292" t="inlineStr">
        <is>
          <t>原九部位资源库已登记</t>
        </is>
      </c>
      <c r="R97" s="324" t="inlineStr">
        <is>
          <t>C3-C10规划锁定：驮甲叶纹盾</t>
        </is>
      </c>
      <c r="S97" s="292" t="inlineStr">
        <is>
          <t>装备素材套装代码表.xlsx（原九部位）</t>
        </is>
      </c>
      <c r="T97" s="292" t="inlineStr">
        <is>
          <t>同一代码用于 Items / StateItem / DnItems；属性与掉落另表定义。</t>
        </is>
      </c>
      <c r="U97">
        <f>IF(COUNTIF($B$2:$B$1076,B97)&gt;1,"重复","")</f>
        <v/>
      </c>
      <c r="V97">
        <f>IF(AND(OR(M97="",M97=B97),OR(N97="",N97=B97),OR(O97="",O97=B97)),"通过","不一致")</f>
        <v/>
      </c>
    </row>
    <row r="98" ht="22" customHeight="1">
      <c r="A98" s="398" t="n">
        <v>97</v>
      </c>
      <c r="B98" s="398" t="n">
        <v>5963</v>
      </c>
      <c r="C98" s="399" t="inlineStr">
        <is>
          <t>血月荆棘·暗芽</t>
        </is>
      </c>
      <c r="D98" s="399" t="inlineStr">
        <is>
          <t>血月荆棘</t>
        </is>
      </c>
      <c r="E98" s="399" t="n">
        <v>1</v>
      </c>
      <c r="F98" s="399" t="inlineStr">
        <is>
          <t>灵玉</t>
        </is>
      </c>
      <c r="G98" s="398" t="n"/>
      <c r="H98" s="398" t="n"/>
      <c r="I98" s="398" t="n">
        <v>5963</v>
      </c>
      <c r="J98" s="398" t="n"/>
      <c r="K98" s="398" t="n"/>
      <c r="L98" s="398" t="n"/>
      <c r="M98" s="398" t="n">
        <v>5963</v>
      </c>
      <c r="N98" s="398" t="n">
        <v>5963</v>
      </c>
      <c r="O98" s="398" t="n">
        <v>5963</v>
      </c>
      <c r="P98" s="292" t="n"/>
      <c r="Q98" s="292" t="inlineStr">
        <is>
          <t>原九部位资源库已登记</t>
        </is>
      </c>
      <c r="R98" s="292" t="str"/>
      <c r="S98" s="292" t="inlineStr">
        <is>
          <t>装备素材套装代码表.xlsx（原九部位）</t>
        </is>
      </c>
      <c r="T98" s="292" t="inlineStr">
        <is>
          <t>同一代码用于 Items / StateItem / DnItems；属性与掉落另表定义。</t>
        </is>
      </c>
      <c r="U98">
        <f>IF(COUNTIF($B$2:$B$1076,B98)&gt;1,"重复","")</f>
        <v/>
      </c>
      <c r="V98">
        <f>IF(AND(OR(M98="",M98=B98),OR(N98="",N98=B98),OR(O98="",O98=B98)),"通过","不一致")</f>
        <v/>
      </c>
    </row>
    <row r="99" ht="22" customHeight="1">
      <c r="A99" s="398" t="n">
        <v>98</v>
      </c>
      <c r="B99" s="398" t="n">
        <v>5964</v>
      </c>
      <c r="C99" s="399" t="inlineStr">
        <is>
          <t>血月荆棘·暗芽</t>
        </is>
      </c>
      <c r="D99" s="399" t="inlineStr">
        <is>
          <t>血月荆棘</t>
        </is>
      </c>
      <c r="E99" s="399" t="n">
        <v>1</v>
      </c>
      <c r="F99" s="399" t="inlineStr">
        <is>
          <t>鞋子</t>
        </is>
      </c>
      <c r="G99" s="398" t="n"/>
      <c r="H99" s="398" t="n"/>
      <c r="I99" s="398" t="n">
        <v>5964</v>
      </c>
      <c r="J99" s="398" t="n"/>
      <c r="K99" s="398" t="n"/>
      <c r="L99" s="398" t="n"/>
      <c r="M99" s="398" t="n">
        <v>5964</v>
      </c>
      <c r="N99" s="398" t="n">
        <v>5964</v>
      </c>
      <c r="O99" s="398" t="n">
        <v>5964</v>
      </c>
      <c r="P99" s="292" t="n"/>
      <c r="Q99" s="292" t="inlineStr">
        <is>
          <t>原九部位资源库已登记</t>
        </is>
      </c>
      <c r="R99" s="324" t="inlineStr">
        <is>
          <t>C3-C10规划锁定：金翅碑尘履</t>
        </is>
      </c>
      <c r="S99" s="292" t="inlineStr">
        <is>
          <t>装备素材套装代码表.xlsx（原九部位）</t>
        </is>
      </c>
      <c r="T99" s="292" t="inlineStr">
        <is>
          <t>同一代码用于 Items / StateItem / DnItems；属性与掉落另表定义。</t>
        </is>
      </c>
      <c r="U99">
        <f>IF(COUNTIF($B$2:$B$1076,B99)&gt;1,"重复","")</f>
        <v/>
      </c>
      <c r="V99">
        <f>IF(AND(OR(M99="",M99=B99),OR(N99="",N99=B99),OR(O99="",O99=B99)),"通过","不一致")</f>
        <v/>
      </c>
    </row>
    <row r="100" ht="22" customHeight="1">
      <c r="A100" s="398" t="n">
        <v>99</v>
      </c>
      <c r="B100" s="398" t="n">
        <v>5965</v>
      </c>
      <c r="C100" s="399" t="inlineStr">
        <is>
          <t>血月荆棘·暗芽</t>
        </is>
      </c>
      <c r="D100" s="399" t="inlineStr">
        <is>
          <t>血月荆棘</t>
        </is>
      </c>
      <c r="E100" s="399" t="n">
        <v>1</v>
      </c>
      <c r="F100" s="399" t="inlineStr">
        <is>
          <t>腰带</t>
        </is>
      </c>
      <c r="G100" s="398" t="n"/>
      <c r="H100" s="398" t="n"/>
      <c r="I100" s="398" t="n">
        <v>5965</v>
      </c>
      <c r="J100" s="398" t="n"/>
      <c r="K100" s="398" t="n"/>
      <c r="L100" s="398" t="n"/>
      <c r="M100" s="398" t="n">
        <v>5965</v>
      </c>
      <c r="N100" s="398" t="n">
        <v>5965</v>
      </c>
      <c r="O100" s="398" t="n">
        <v>5965</v>
      </c>
      <c r="P100" s="292" t="n"/>
      <c r="Q100" s="292" t="inlineStr">
        <is>
          <t>原九部位资源库已登记</t>
        </is>
      </c>
      <c r="R100" s="322" t="inlineStr">
        <is>
          <t>C1/C2现用：黄金战带</t>
        </is>
      </c>
      <c r="S100" s="292" t="inlineStr">
        <is>
          <t>装备素材套装代码表.xlsx（原九部位）</t>
        </is>
      </c>
      <c r="T100" s="292" t="inlineStr">
        <is>
          <t>同一代码用于 Items / StateItem / DnItems；属性与掉落另表定义。</t>
        </is>
      </c>
      <c r="U100">
        <f>IF(COUNTIF($B$2:$B$1076,B100)&gt;1,"重复","")</f>
        <v/>
      </c>
      <c r="V100">
        <f>IF(AND(OR(M100="",M100=B100),OR(N100="",N100=B100),OR(O100="",O100=B100)),"通过","不一致")</f>
        <v/>
      </c>
    </row>
    <row r="101" ht="22" customHeight="1">
      <c r="A101" s="398" t="n">
        <v>100</v>
      </c>
      <c r="B101" s="398" t="n">
        <v>5966</v>
      </c>
      <c r="C101" s="399" t="inlineStr">
        <is>
          <t>血月荆棘·血棘</t>
        </is>
      </c>
      <c r="D101" s="399" t="inlineStr">
        <is>
          <t>血月荆棘</t>
        </is>
      </c>
      <c r="E101" s="399" t="n">
        <v>2</v>
      </c>
      <c r="F101" s="399" t="inlineStr">
        <is>
          <t>勋章</t>
        </is>
      </c>
      <c r="G101" s="398" t="n"/>
      <c r="H101" s="398" t="n"/>
      <c r="I101" s="398" t="n">
        <v>5966</v>
      </c>
      <c r="J101" s="398" t="n"/>
      <c r="K101" s="398" t="n"/>
      <c r="L101" s="398" t="n"/>
      <c r="M101" s="398" t="n">
        <v>5966</v>
      </c>
      <c r="N101" s="398" t="n">
        <v>5966</v>
      </c>
      <c r="O101" s="398" t="n">
        <v>5966</v>
      </c>
      <c r="P101" s="292" t="n"/>
      <c r="Q101" s="292" t="inlineStr">
        <is>
          <t>原九部位资源库已登记</t>
        </is>
      </c>
      <c r="R101" s="292" t="str"/>
      <c r="S101" s="292" t="inlineStr">
        <is>
          <t>装备素材套装代码表.xlsx（原九部位）</t>
        </is>
      </c>
      <c r="T101" s="292" t="inlineStr">
        <is>
          <t>同一代码用于 Items / StateItem / DnItems；属性与掉落另表定义。</t>
        </is>
      </c>
      <c r="U101">
        <f>IF(COUNTIF($B$2:$B$1076,B101)&gt;1,"重复","")</f>
        <v/>
      </c>
      <c r="V101">
        <f>IF(AND(OR(M101="",M101=B101),OR(N101="",N101=B101),OR(O101="",O101=B101)),"通过","不一致")</f>
        <v/>
      </c>
    </row>
    <row r="102" ht="22" customHeight="1">
      <c r="A102" s="398" t="n">
        <v>101</v>
      </c>
      <c r="B102" s="398" t="n">
        <v>5967</v>
      </c>
      <c r="C102" s="399" t="inlineStr">
        <is>
          <t>血月荆棘·血棘</t>
        </is>
      </c>
      <c r="D102" s="399" t="inlineStr">
        <is>
          <t>血月荆棘</t>
        </is>
      </c>
      <c r="E102" s="399" t="n">
        <v>2</v>
      </c>
      <c r="F102" s="399" t="inlineStr">
        <is>
          <t>项链</t>
        </is>
      </c>
      <c r="G102" s="398" t="n"/>
      <c r="H102" s="398" t="n"/>
      <c r="I102" s="398" t="n">
        <v>5967</v>
      </c>
      <c r="J102" s="398" t="n"/>
      <c r="K102" s="398" t="n"/>
      <c r="L102" s="398" t="n"/>
      <c r="M102" s="398" t="n">
        <v>5967</v>
      </c>
      <c r="N102" s="398" t="n">
        <v>5967</v>
      </c>
      <c r="O102" s="398" t="n">
        <v>5967</v>
      </c>
      <c r="P102" s="292" t="n"/>
      <c r="Q102" s="292" t="inlineStr">
        <is>
          <t>原九部位资源库已登记</t>
        </is>
      </c>
      <c r="R102" s="324" t="inlineStr">
        <is>
          <t>C3-C10规划锁定：寒翼听风坠</t>
        </is>
      </c>
      <c r="S102" s="292" t="inlineStr">
        <is>
          <t>装备素材套装代码表.xlsx（原九部位）</t>
        </is>
      </c>
      <c r="T102" s="292" t="inlineStr">
        <is>
          <t>同一代码用于 Items / StateItem / DnItems；属性与掉落另表定义。</t>
        </is>
      </c>
      <c r="U102">
        <f>IF(COUNTIF($B$2:$B$1076,B102)&gt;1,"重复","")</f>
        <v/>
      </c>
      <c r="V102">
        <f>IF(AND(OR(M102="",M102=B102),OR(N102="",N102=B102),OR(O102="",O102=B102)),"通过","不一致")</f>
        <v/>
      </c>
    </row>
    <row r="103" ht="22" customHeight="1">
      <c r="A103" s="398" t="n">
        <v>102</v>
      </c>
      <c r="B103" s="398" t="n">
        <v>5968</v>
      </c>
      <c r="C103" s="399" t="inlineStr">
        <is>
          <t>血月荆棘·血棘</t>
        </is>
      </c>
      <c r="D103" s="399" t="inlineStr">
        <is>
          <t>血月荆棘</t>
        </is>
      </c>
      <c r="E103" s="399" t="n">
        <v>2</v>
      </c>
      <c r="F103" s="399" t="inlineStr">
        <is>
          <t>头盔</t>
        </is>
      </c>
      <c r="G103" s="398" t="n"/>
      <c r="H103" s="398" t="n"/>
      <c r="I103" s="398" t="n">
        <v>5968</v>
      </c>
      <c r="J103" s="398" t="n"/>
      <c r="K103" s="398" t="n"/>
      <c r="L103" s="398" t="n"/>
      <c r="M103" s="398" t="n">
        <v>5968</v>
      </c>
      <c r="N103" s="398" t="n">
        <v>5968</v>
      </c>
      <c r="O103" s="398" t="n">
        <v>5968</v>
      </c>
      <c r="P103" s="292" t="n"/>
      <c r="Q103" s="292" t="inlineStr">
        <is>
          <t>原九部位资源库已登记</t>
        </is>
      </c>
      <c r="R103" s="322" t="inlineStr">
        <is>
          <t>C1/C2现用：刀翼王盔</t>
        </is>
      </c>
      <c r="S103" s="292" t="inlineStr">
        <is>
          <t>装备素材套装代码表.xlsx（原九部位）</t>
        </is>
      </c>
      <c r="T103" s="292" t="inlineStr">
        <is>
          <t>同一代码用于 Items / StateItem / DnItems；属性与掉落另表定义。</t>
        </is>
      </c>
      <c r="U103">
        <f>IF(COUNTIF($B$2:$B$1076,B103)&gt;1,"重复","")</f>
        <v/>
      </c>
      <c r="V103">
        <f>IF(AND(OR(M103="",M103=B103),OR(N103="",N103=B103),OR(O103="",O103=B103)),"通过","不一致")</f>
        <v/>
      </c>
    </row>
    <row r="104" ht="22" customHeight="1">
      <c r="A104" s="398" t="n">
        <v>103</v>
      </c>
      <c r="B104" s="398" t="n">
        <v>5969</v>
      </c>
      <c r="C104" s="399" t="inlineStr">
        <is>
          <t>血月荆棘·血棘</t>
        </is>
      </c>
      <c r="D104" s="399" t="inlineStr">
        <is>
          <t>血月荆棘</t>
        </is>
      </c>
      <c r="E104" s="399" t="n">
        <v>2</v>
      </c>
      <c r="F104" s="399" t="inlineStr">
        <is>
          <t>手镯</t>
        </is>
      </c>
      <c r="G104" s="398" t="n"/>
      <c r="H104" s="398" t="n"/>
      <c r="I104" s="398" t="n">
        <v>5969</v>
      </c>
      <c r="J104" s="398" t="n"/>
      <c r="K104" s="398" t="n"/>
      <c r="L104" s="398" t="n"/>
      <c r="M104" s="398" t="n">
        <v>5969</v>
      </c>
      <c r="N104" s="398" t="n">
        <v>5969</v>
      </c>
      <c r="O104" s="398" t="n">
        <v>5969</v>
      </c>
      <c r="P104" s="292" t="n"/>
      <c r="Q104" s="292" t="inlineStr">
        <is>
          <t>原九部位资源库已登记</t>
        </is>
      </c>
      <c r="R104" s="324" t="inlineStr">
        <is>
          <t>C3-C10规划锁定：熔勺婆铜镯</t>
        </is>
      </c>
      <c r="S104" s="292" t="inlineStr">
        <is>
          <t>装备素材套装代码表.xlsx（原九部位）</t>
        </is>
      </c>
      <c r="T104" s="292" t="inlineStr">
        <is>
          <t>同一代码用于 Items / StateItem / DnItems；属性与掉落另表定义。</t>
        </is>
      </c>
      <c r="U104">
        <f>IF(COUNTIF($B$2:$B$1076,B104)&gt;1,"重复","")</f>
        <v/>
      </c>
      <c r="V104">
        <f>IF(AND(OR(M104="",M104=B104),OR(N104="",N104=B104),OR(O104="",O104=B104)),"通过","不一致")</f>
        <v/>
      </c>
    </row>
    <row r="105" ht="22" customHeight="1">
      <c r="A105" s="398" t="n">
        <v>104</v>
      </c>
      <c r="B105" s="398" t="n">
        <v>5970</v>
      </c>
      <c r="C105" s="399" t="inlineStr">
        <is>
          <t>血月荆棘·血棘</t>
        </is>
      </c>
      <c r="D105" s="399" t="inlineStr">
        <is>
          <t>血月荆棘</t>
        </is>
      </c>
      <c r="E105" s="399" t="n">
        <v>2</v>
      </c>
      <c r="F105" s="399" t="inlineStr">
        <is>
          <t>戒指</t>
        </is>
      </c>
      <c r="G105" s="398" t="n"/>
      <c r="H105" s="398" t="n"/>
      <c r="I105" s="398" t="n">
        <v>5970</v>
      </c>
      <c r="J105" s="398" t="n"/>
      <c r="K105" s="398" t="n"/>
      <c r="L105" s="398" t="n"/>
      <c r="M105" s="398" t="n">
        <v>5970</v>
      </c>
      <c r="N105" s="398" t="n">
        <v>5970</v>
      </c>
      <c r="O105" s="398" t="n">
        <v>5970</v>
      </c>
      <c r="P105" s="292" t="n"/>
      <c r="Q105" s="292" t="inlineStr">
        <is>
          <t>原九部位资源库已登记</t>
        </is>
      </c>
      <c r="R105" s="324" t="inlineStr">
        <is>
          <t>C3-C10规划锁定：霜冠司礼戒</t>
        </is>
      </c>
      <c r="S105" s="292" t="inlineStr">
        <is>
          <t>装备素材套装代码表.xlsx（原九部位）</t>
        </is>
      </c>
      <c r="T105" s="292" t="inlineStr">
        <is>
          <t>同一代码用于 Items / StateItem / DnItems；属性与掉落另表定义。</t>
        </is>
      </c>
      <c r="U105">
        <f>IF(COUNTIF($B$2:$B$1076,B105)&gt;1,"重复","")</f>
        <v/>
      </c>
      <c r="V105">
        <f>IF(AND(OR(M105="",M105=B105),OR(N105="",N105=B105),OR(O105="",O105=B105)),"通过","不一致")</f>
        <v/>
      </c>
    </row>
    <row r="106" ht="22" customHeight="1">
      <c r="A106" s="398" t="n">
        <v>105</v>
      </c>
      <c r="B106" s="398" t="n">
        <v>5971</v>
      </c>
      <c r="C106" s="399" t="inlineStr">
        <is>
          <t>血月荆棘·血棘</t>
        </is>
      </c>
      <c r="D106" s="399" t="inlineStr">
        <is>
          <t>血月荆棘</t>
        </is>
      </c>
      <c r="E106" s="399" t="n">
        <v>2</v>
      </c>
      <c r="F106" s="399" t="inlineStr">
        <is>
          <t>盾牌</t>
        </is>
      </c>
      <c r="G106" s="398" t="n"/>
      <c r="H106" s="398" t="n"/>
      <c r="I106" s="398" t="n">
        <v>5971</v>
      </c>
      <c r="J106" s="398" t="n"/>
      <c r="K106" s="398" t="n"/>
      <c r="L106" s="398" t="n"/>
      <c r="M106" s="398" t="n">
        <v>5971</v>
      </c>
      <c r="N106" s="398" t="n">
        <v>5971</v>
      </c>
      <c r="O106" s="398" t="n">
        <v>5971</v>
      </c>
      <c r="P106" s="292" t="n"/>
      <c r="Q106" s="292" t="inlineStr">
        <is>
          <t>原九部位资源库已登记</t>
        </is>
      </c>
      <c r="R106" s="324" t="inlineStr">
        <is>
          <t>C3-C10规划锁定：晶背层岩盾</t>
        </is>
      </c>
      <c r="S106" s="292" t="inlineStr">
        <is>
          <t>装备素材套装代码表.xlsx（原九部位）</t>
        </is>
      </c>
      <c r="T106" s="292" t="inlineStr">
        <is>
          <t>同一代码用于 Items / StateItem / DnItems；属性与掉落另表定义。</t>
        </is>
      </c>
      <c r="U106">
        <f>IF(COUNTIF($B$2:$B$1076,B106)&gt;1,"重复","")</f>
        <v/>
      </c>
      <c r="V106">
        <f>IF(AND(OR(M106="",M106=B106),OR(N106="",N106=B106),OR(O106="",O106=B106)),"通过","不一致")</f>
        <v/>
      </c>
    </row>
    <row r="107" ht="22" customHeight="1">
      <c r="A107" s="398" t="n">
        <v>106</v>
      </c>
      <c r="B107" s="398" t="n">
        <v>5972</v>
      </c>
      <c r="C107" s="399" t="inlineStr">
        <is>
          <t>血月荆棘·血棘</t>
        </is>
      </c>
      <c r="D107" s="399" t="inlineStr">
        <is>
          <t>血月荆棘</t>
        </is>
      </c>
      <c r="E107" s="399" t="n">
        <v>2</v>
      </c>
      <c r="F107" s="399" t="inlineStr">
        <is>
          <t>灵玉</t>
        </is>
      </c>
      <c r="G107" s="398" t="n"/>
      <c r="H107" s="398" t="n"/>
      <c r="I107" s="398" t="n">
        <v>5972</v>
      </c>
      <c r="J107" s="398" t="n"/>
      <c r="K107" s="398" t="n"/>
      <c r="L107" s="398" t="n"/>
      <c r="M107" s="398" t="n">
        <v>5972</v>
      </c>
      <c r="N107" s="398" t="n">
        <v>5972</v>
      </c>
      <c r="O107" s="398" t="n">
        <v>5972</v>
      </c>
      <c r="P107" s="292" t="n"/>
      <c r="Q107" s="292" t="inlineStr">
        <is>
          <t>原九部位资源库已登记</t>
        </is>
      </c>
      <c r="R107" s="292" t="str"/>
      <c r="S107" s="292" t="inlineStr">
        <is>
          <t>装备素材套装代码表.xlsx（原九部位）</t>
        </is>
      </c>
      <c r="T107" s="292" t="inlineStr">
        <is>
          <t>同一代码用于 Items / StateItem / DnItems；属性与掉落另表定义。</t>
        </is>
      </c>
      <c r="U107">
        <f>IF(COUNTIF($B$2:$B$1076,B107)&gt;1,"重复","")</f>
        <v/>
      </c>
      <c r="V107">
        <f>IF(AND(OR(M107="",M107=B107),OR(N107="",N107=B107),OR(O107="",O107=B107)),"通过","不一致")</f>
        <v/>
      </c>
    </row>
    <row r="108" ht="22" customHeight="1">
      <c r="A108" s="398" t="n">
        <v>107</v>
      </c>
      <c r="B108" s="398" t="n">
        <v>5973</v>
      </c>
      <c r="C108" s="399" t="inlineStr">
        <is>
          <t>血月荆棘·血棘</t>
        </is>
      </c>
      <c r="D108" s="399" t="inlineStr">
        <is>
          <t>血月荆棘</t>
        </is>
      </c>
      <c r="E108" s="399" t="n">
        <v>2</v>
      </c>
      <c r="F108" s="399" t="inlineStr">
        <is>
          <t>鞋子</t>
        </is>
      </c>
      <c r="G108" s="398" t="n"/>
      <c r="H108" s="398" t="n"/>
      <c r="I108" s="398" t="n">
        <v>5973</v>
      </c>
      <c r="J108" s="398" t="n"/>
      <c r="K108" s="398" t="n"/>
      <c r="L108" s="398" t="n"/>
      <c r="M108" s="398" t="n">
        <v>5973</v>
      </c>
      <c r="N108" s="398" t="n">
        <v>5973</v>
      </c>
      <c r="O108" s="398" t="n">
        <v>5973</v>
      </c>
      <c r="P108" s="292" t="n"/>
      <c r="Q108" s="292" t="inlineStr">
        <is>
          <t>原九部位资源库已登记</t>
        </is>
      </c>
      <c r="R108" s="324" t="inlineStr">
        <is>
          <t>C3-C10规划锁定：扫金仆软履</t>
        </is>
      </c>
      <c r="S108" s="292" t="inlineStr">
        <is>
          <t>装备素材套装代码表.xlsx（原九部位）</t>
        </is>
      </c>
      <c r="T108" s="292" t="inlineStr">
        <is>
          <t>同一代码用于 Items / StateItem / DnItems；属性与掉落另表定义。</t>
        </is>
      </c>
      <c r="U108">
        <f>IF(COUNTIF($B$2:$B$1076,B108)&gt;1,"重复","")</f>
        <v/>
      </c>
      <c r="V108">
        <f>IF(AND(OR(M108="",M108=B108),OR(N108="",N108=B108),OR(O108="",O108=B108)),"通过","不一致")</f>
        <v/>
      </c>
    </row>
    <row r="109" ht="22" customHeight="1">
      <c r="A109" s="398" t="n">
        <v>108</v>
      </c>
      <c r="B109" s="398" t="n">
        <v>5974</v>
      </c>
      <c r="C109" s="399" t="inlineStr">
        <is>
          <t>血月荆棘·血棘</t>
        </is>
      </c>
      <c r="D109" s="399" t="inlineStr">
        <is>
          <t>血月荆棘</t>
        </is>
      </c>
      <c r="E109" s="399" t="n">
        <v>2</v>
      </c>
      <c r="F109" s="399" t="inlineStr">
        <is>
          <t>腰带</t>
        </is>
      </c>
      <c r="G109" s="398" t="n"/>
      <c r="H109" s="398" t="n"/>
      <c r="I109" s="398" t="n">
        <v>5974</v>
      </c>
      <c r="J109" s="398" t="n"/>
      <c r="K109" s="398" t="n"/>
      <c r="L109" s="398" t="n"/>
      <c r="M109" s="398" t="n">
        <v>5974</v>
      </c>
      <c r="N109" s="398" t="n">
        <v>5974</v>
      </c>
      <c r="O109" s="398" t="n">
        <v>5974</v>
      </c>
      <c r="P109" s="292" t="n"/>
      <c r="Q109" s="292" t="inlineStr">
        <is>
          <t>原九部位资源库已登记</t>
        </is>
      </c>
      <c r="R109" s="324" t="inlineStr">
        <is>
          <t>C3-C10规划锁定：裁罪使荆腰带</t>
        </is>
      </c>
      <c r="S109" s="292" t="inlineStr">
        <is>
          <t>装备素材套装代码表.xlsx（原九部位）</t>
        </is>
      </c>
      <c r="T109" s="292" t="inlineStr">
        <is>
          <t>同一代码用于 Items / StateItem / DnItems；属性与掉落另表定义。</t>
        </is>
      </c>
      <c r="U109">
        <f>IF(COUNTIF($B$2:$B$1076,B109)&gt;1,"重复","")</f>
        <v/>
      </c>
      <c r="V109">
        <f>IF(AND(OR(M109="",M109=B109),OR(N109="",N109=B109),OR(O109="",O109=B109)),"通过","不一致")</f>
        <v/>
      </c>
    </row>
    <row r="110" ht="22" customHeight="1">
      <c r="A110" s="398" t="n">
        <v>109</v>
      </c>
      <c r="B110" s="398" t="n">
        <v>5975</v>
      </c>
      <c r="C110" s="399" t="inlineStr">
        <is>
          <t>血月荆棘·猩痕</t>
        </is>
      </c>
      <c r="D110" s="399" t="inlineStr">
        <is>
          <t>血月荆棘</t>
        </is>
      </c>
      <c r="E110" s="399" t="n">
        <v>3</v>
      </c>
      <c r="F110" s="399" t="inlineStr">
        <is>
          <t>勋章</t>
        </is>
      </c>
      <c r="G110" s="398" t="n"/>
      <c r="H110" s="398" t="n"/>
      <c r="I110" s="398" t="n">
        <v>5975</v>
      </c>
      <c r="J110" s="398" t="n"/>
      <c r="K110" s="398" t="n"/>
      <c r="L110" s="398" t="n"/>
      <c r="M110" s="398" t="n">
        <v>5975</v>
      </c>
      <c r="N110" s="398" t="n">
        <v>5975</v>
      </c>
      <c r="O110" s="398" t="n">
        <v>5975</v>
      </c>
      <c r="P110" s="292" t="n"/>
      <c r="Q110" s="292" t="inlineStr">
        <is>
          <t>原九部位资源库已登记</t>
        </is>
      </c>
      <c r="R110" s="292" t="str"/>
      <c r="S110" s="292" t="inlineStr">
        <is>
          <t>装备素材套装代码表.xlsx（原九部位）</t>
        </is>
      </c>
      <c r="T110" s="292" t="inlineStr">
        <is>
          <t>同一代码用于 Items / StateItem / DnItems；属性与掉落另表定义。</t>
        </is>
      </c>
      <c r="U110">
        <f>IF(COUNTIF($B$2:$B$1076,B110)&gt;1,"重复","")</f>
        <v/>
      </c>
      <c r="V110">
        <f>IF(AND(OR(M110="",M110=B110),OR(N110="",N110=B110),OR(O110="",O110=B110)),"通过","不一致")</f>
        <v/>
      </c>
    </row>
    <row r="111" ht="22" customHeight="1">
      <c r="A111" s="398" t="n">
        <v>110</v>
      </c>
      <c r="B111" s="398" t="n">
        <v>5976</v>
      </c>
      <c r="C111" s="399" t="inlineStr">
        <is>
          <t>血月荆棘·猩痕</t>
        </is>
      </c>
      <c r="D111" s="399" t="inlineStr">
        <is>
          <t>血月荆棘</t>
        </is>
      </c>
      <c r="E111" s="399" t="n">
        <v>3</v>
      </c>
      <c r="F111" s="399" t="inlineStr">
        <is>
          <t>项链</t>
        </is>
      </c>
      <c r="G111" s="398" t="n"/>
      <c r="H111" s="398" t="n"/>
      <c r="I111" s="398" t="n">
        <v>5976</v>
      </c>
      <c r="J111" s="398" t="n"/>
      <c r="K111" s="398" t="n"/>
      <c r="L111" s="398" t="n"/>
      <c r="M111" s="398" t="n">
        <v>5976</v>
      </c>
      <c r="N111" s="398" t="n">
        <v>5976</v>
      </c>
      <c r="O111" s="398" t="n">
        <v>5976</v>
      </c>
      <c r="P111" s="292" t="n"/>
      <c r="Q111" s="292" t="inlineStr">
        <is>
          <t>原九部位资源库已登记</t>
        </is>
      </c>
      <c r="R111" s="322" t="inlineStr">
        <is>
          <t>C1/C2现用：破垒鹰链</t>
        </is>
      </c>
      <c r="S111" s="292" t="inlineStr">
        <is>
          <t>装备素材套装代码表.xlsx（原九部位）</t>
        </is>
      </c>
      <c r="T111" s="292" t="inlineStr">
        <is>
          <t>同一代码用于 Items / StateItem / DnItems；属性与掉落另表定义。</t>
        </is>
      </c>
      <c r="U111">
        <f>IF(COUNTIF($B$2:$B$1076,B111)&gt;1,"重复","")</f>
        <v/>
      </c>
      <c r="V111">
        <f>IF(AND(OR(M111="",M111=B111),OR(N111="",N111=B111),OR(O111="",O111=B111)),"通过","不一致")</f>
        <v/>
      </c>
    </row>
    <row r="112" ht="22" customHeight="1">
      <c r="A112" s="398" t="n">
        <v>111</v>
      </c>
      <c r="B112" s="398" t="n">
        <v>5977</v>
      </c>
      <c r="C112" s="399" t="inlineStr">
        <is>
          <t>血月荆棘·猩痕</t>
        </is>
      </c>
      <c r="D112" s="399" t="inlineStr">
        <is>
          <t>血月荆棘</t>
        </is>
      </c>
      <c r="E112" s="399" t="n">
        <v>3</v>
      </c>
      <c r="F112" s="399" t="inlineStr">
        <is>
          <t>头盔</t>
        </is>
      </c>
      <c r="G112" s="398" t="n"/>
      <c r="H112" s="398" t="n"/>
      <c r="I112" s="398" t="n">
        <v>5977</v>
      </c>
      <c r="J112" s="398" t="n"/>
      <c r="K112" s="398" t="n"/>
      <c r="L112" s="398" t="n"/>
      <c r="M112" s="398" t="n">
        <v>5977</v>
      </c>
      <c r="N112" s="398" t="n">
        <v>5977</v>
      </c>
      <c r="O112" s="398" t="n">
        <v>5977</v>
      </c>
      <c r="P112" s="292" t="n"/>
      <c r="Q112" s="292" t="inlineStr">
        <is>
          <t>原九部位资源库已登记</t>
        </is>
      </c>
      <c r="R112" s="324" t="inlineStr">
        <is>
          <t>C3-C10规划锁定：雪嚎裂角盔</t>
        </is>
      </c>
      <c r="S112" s="292" t="inlineStr">
        <is>
          <t>装备素材套装代码表.xlsx（原九部位）</t>
        </is>
      </c>
      <c r="T112" s="292" t="inlineStr">
        <is>
          <t>同一代码用于 Items / StateItem / DnItems；属性与掉落另表定义。</t>
        </is>
      </c>
      <c r="U112">
        <f>IF(COUNTIF($B$2:$B$1076,B112)&gt;1,"重复","")</f>
        <v/>
      </c>
      <c r="V112">
        <f>IF(AND(OR(M112="",M112=B112),OR(N112="",N112=B112),OR(O112="",O112=B112)),"通过","不一致")</f>
        <v/>
      </c>
    </row>
    <row r="113" ht="22" customHeight="1">
      <c r="A113" s="398" t="n">
        <v>112</v>
      </c>
      <c r="B113" s="398" t="n">
        <v>5978</v>
      </c>
      <c r="C113" s="399" t="inlineStr">
        <is>
          <t>血月荆棘·猩痕</t>
        </is>
      </c>
      <c r="D113" s="399" t="inlineStr">
        <is>
          <t>血月荆棘</t>
        </is>
      </c>
      <c r="E113" s="399" t="n">
        <v>3</v>
      </c>
      <c r="F113" s="399" t="inlineStr">
        <is>
          <t>手镯</t>
        </is>
      </c>
      <c r="G113" s="398" t="n"/>
      <c r="H113" s="398" t="n"/>
      <c r="I113" s="398" t="n">
        <v>5978</v>
      </c>
      <c r="J113" s="398" t="n"/>
      <c r="K113" s="398" t="n"/>
      <c r="L113" s="398" t="n"/>
      <c r="M113" s="398" t="n">
        <v>5978</v>
      </c>
      <c r="N113" s="398" t="n">
        <v>5978</v>
      </c>
      <c r="O113" s="398" t="n">
        <v>5978</v>
      </c>
      <c r="P113" s="292" t="n"/>
      <c r="Q113" s="292" t="inlineStr">
        <is>
          <t>原九部位资源库已登记</t>
        </is>
      </c>
      <c r="R113" s="324" t="inlineStr">
        <is>
          <t>C3-C10规划锁定：葬犬衔骨镯</t>
        </is>
      </c>
      <c r="S113" s="292" t="inlineStr">
        <is>
          <t>装备素材套装代码表.xlsx（原九部位）</t>
        </is>
      </c>
      <c r="T113" s="292" t="inlineStr">
        <is>
          <t>同一代码用于 Items / StateItem / DnItems；属性与掉落另表定义。</t>
        </is>
      </c>
      <c r="U113">
        <f>IF(COUNTIF($B$2:$B$1076,B113)&gt;1,"重复","")</f>
        <v/>
      </c>
      <c r="V113">
        <f>IF(AND(OR(M113="",M113=B113),OR(N113="",N113=B113),OR(O113="",O113=B113)),"通过","不一致")</f>
        <v/>
      </c>
    </row>
    <row r="114" ht="22" customHeight="1">
      <c r="A114" s="398" t="n">
        <v>113</v>
      </c>
      <c r="B114" s="398" t="n">
        <v>5979</v>
      </c>
      <c r="C114" s="399" t="inlineStr">
        <is>
          <t>血月荆棘·猩痕</t>
        </is>
      </c>
      <c r="D114" s="399" t="inlineStr">
        <is>
          <t>血月荆棘</t>
        </is>
      </c>
      <c r="E114" s="399" t="n">
        <v>3</v>
      </c>
      <c r="F114" s="399" t="inlineStr">
        <is>
          <t>戒指</t>
        </is>
      </c>
      <c r="G114" s="398" t="n"/>
      <c r="H114" s="398" t="n"/>
      <c r="I114" s="398" t="n">
        <v>5979</v>
      </c>
      <c r="J114" s="398" t="n"/>
      <c r="K114" s="398" t="n"/>
      <c r="L114" s="398" t="n"/>
      <c r="M114" s="398" t="n">
        <v>5979</v>
      </c>
      <c r="N114" s="398" t="n">
        <v>5979</v>
      </c>
      <c r="O114" s="398" t="n">
        <v>5979</v>
      </c>
      <c r="P114" s="292" t="n"/>
      <c r="Q114" s="292" t="inlineStr">
        <is>
          <t>原九部位资源库已登记</t>
        </is>
      </c>
      <c r="R114" s="324" t="inlineStr">
        <is>
          <t>C3-C10规划锁定：守梦霜瞳戒</t>
        </is>
      </c>
      <c r="S114" s="292" t="inlineStr">
        <is>
          <t>装备素材套装代码表.xlsx（原九部位）</t>
        </is>
      </c>
      <c r="T114" s="292" t="inlineStr">
        <is>
          <t>同一代码用于 Items / StateItem / DnItems；属性与掉落另表定义。</t>
        </is>
      </c>
      <c r="U114">
        <f>IF(COUNTIF($B$2:$B$1076,B114)&gt;1,"重复","")</f>
        <v/>
      </c>
      <c r="V114">
        <f>IF(AND(OR(M114="",M114=B114),OR(N114="",N114=B114),OR(O114="",O114=B114)),"通过","不一致")</f>
        <v/>
      </c>
    </row>
    <row r="115" ht="22" customHeight="1">
      <c r="A115" s="398" t="n">
        <v>114</v>
      </c>
      <c r="B115" s="398" t="n">
        <v>5980</v>
      </c>
      <c r="C115" s="399" t="inlineStr">
        <is>
          <t>血月荆棘·猩痕</t>
        </is>
      </c>
      <c r="D115" s="399" t="inlineStr">
        <is>
          <t>血月荆棘</t>
        </is>
      </c>
      <c r="E115" s="399" t="n">
        <v>3</v>
      </c>
      <c r="F115" s="399" t="inlineStr">
        <is>
          <t>盾牌</t>
        </is>
      </c>
      <c r="G115" s="398" t="n"/>
      <c r="H115" s="398" t="n"/>
      <c r="I115" s="398" t="n">
        <v>5980</v>
      </c>
      <c r="J115" s="398" t="n"/>
      <c r="K115" s="398" t="n"/>
      <c r="L115" s="398" t="n"/>
      <c r="M115" s="398" t="n">
        <v>5980</v>
      </c>
      <c r="N115" s="398" t="n">
        <v>5980</v>
      </c>
      <c r="O115" s="398" t="n">
        <v>5980</v>
      </c>
      <c r="P115" s="292" t="n"/>
      <c r="Q115" s="292" t="inlineStr">
        <is>
          <t>原九部位资源库已登记</t>
        </is>
      </c>
      <c r="R115" s="324" t="inlineStr">
        <is>
          <t>C3-C10规划锁定：扶棺铜纹盾</t>
        </is>
      </c>
      <c r="S115" s="292" t="inlineStr">
        <is>
          <t>装备素材套装代码表.xlsx（原九部位）</t>
        </is>
      </c>
      <c r="T115" s="292" t="inlineStr">
        <is>
          <t>同一代码用于 Items / StateItem / DnItems；属性与掉落另表定义。</t>
        </is>
      </c>
      <c r="U115">
        <f>IF(COUNTIF($B$2:$B$1076,B115)&gt;1,"重复","")</f>
        <v/>
      </c>
      <c r="V115">
        <f>IF(AND(OR(M115="",M115=B115),OR(N115="",N115=B115),OR(O115="",O115=B115)),"通过","不一致")</f>
        <v/>
      </c>
    </row>
    <row r="116" ht="22" customHeight="1">
      <c r="A116" s="398" t="n">
        <v>115</v>
      </c>
      <c r="B116" s="398" t="n">
        <v>5981</v>
      </c>
      <c r="C116" s="399" t="inlineStr">
        <is>
          <t>血月荆棘·猩痕</t>
        </is>
      </c>
      <c r="D116" s="399" t="inlineStr">
        <is>
          <t>血月荆棘</t>
        </is>
      </c>
      <c r="E116" s="399" t="n">
        <v>3</v>
      </c>
      <c r="F116" s="399" t="inlineStr">
        <is>
          <t>灵玉</t>
        </is>
      </c>
      <c r="G116" s="398" t="n"/>
      <c r="H116" s="398" t="n"/>
      <c r="I116" s="398" t="n">
        <v>5981</v>
      </c>
      <c r="J116" s="398" t="n"/>
      <c r="K116" s="398" t="n"/>
      <c r="L116" s="398" t="n"/>
      <c r="M116" s="398" t="n">
        <v>5981</v>
      </c>
      <c r="N116" s="398" t="n">
        <v>5981</v>
      </c>
      <c r="O116" s="398" t="n">
        <v>5981</v>
      </c>
      <c r="P116" s="292" t="n"/>
      <c r="Q116" s="292" t="inlineStr">
        <is>
          <t>原九部位资源库已登记</t>
        </is>
      </c>
      <c r="R116" s="292" t="str"/>
      <c r="S116" s="292" t="inlineStr">
        <is>
          <t>装备素材套装代码表.xlsx（原九部位）</t>
        </is>
      </c>
      <c r="T116" s="292" t="inlineStr">
        <is>
          <t>同一代码用于 Items / StateItem / DnItems；属性与掉落另表定义。</t>
        </is>
      </c>
      <c r="U116">
        <f>IF(COUNTIF($B$2:$B$1076,B116)&gt;1,"重复","")</f>
        <v/>
      </c>
      <c r="V116">
        <f>IF(AND(OR(M116="",M116=B116),OR(N116="",N116=B116),OR(O116="",O116=B116)),"通过","不一致")</f>
        <v/>
      </c>
    </row>
    <row r="117" ht="22" customHeight="1">
      <c r="A117" s="398" t="n">
        <v>116</v>
      </c>
      <c r="B117" s="398" t="n">
        <v>5982</v>
      </c>
      <c r="C117" s="399" t="inlineStr">
        <is>
          <t>血月荆棘·猩痕</t>
        </is>
      </c>
      <c r="D117" s="399" t="inlineStr">
        <is>
          <t>血月荆棘</t>
        </is>
      </c>
      <c r="E117" s="399" t="n">
        <v>3</v>
      </c>
      <c r="F117" s="399" t="inlineStr">
        <is>
          <t>鞋子</t>
        </is>
      </c>
      <c r="G117" s="398" t="n"/>
      <c r="H117" s="398" t="n"/>
      <c r="I117" s="398" t="n">
        <v>5982</v>
      </c>
      <c r="J117" s="398" t="n"/>
      <c r="K117" s="398" t="n"/>
      <c r="L117" s="398" t="n"/>
      <c r="M117" s="398" t="n">
        <v>5982</v>
      </c>
      <c r="N117" s="398" t="n">
        <v>5982</v>
      </c>
      <c r="O117" s="398" t="n">
        <v>5982</v>
      </c>
      <c r="P117" s="292" t="n"/>
      <c r="Q117" s="292" t="inlineStr">
        <is>
          <t>原九部位资源库已登记</t>
        </is>
      </c>
      <c r="R117" s="324" t="inlineStr">
        <is>
          <t>C3-C10规划锁定：拾箭童疾履</t>
        </is>
      </c>
      <c r="S117" s="292" t="inlineStr">
        <is>
          <t>装备素材套装代码表.xlsx（原九部位）</t>
        </is>
      </c>
      <c r="T117" s="292" t="inlineStr">
        <is>
          <t>同一代码用于 Items / StateItem / DnItems；属性与掉落另表定义。</t>
        </is>
      </c>
      <c r="U117">
        <f>IF(COUNTIF($B$2:$B$1076,B117)&gt;1,"重复","")</f>
        <v/>
      </c>
      <c r="V117">
        <f>IF(AND(OR(M117="",M117=B117),OR(N117="",N117=B117),OR(O117="",O117=B117)),"通过","不一致")</f>
        <v/>
      </c>
    </row>
    <row r="118" ht="22" customHeight="1">
      <c r="A118" s="398" t="n">
        <v>117</v>
      </c>
      <c r="B118" s="398" t="n">
        <v>5983</v>
      </c>
      <c r="C118" s="399" t="inlineStr">
        <is>
          <t>血月荆棘·猩痕</t>
        </is>
      </c>
      <c r="D118" s="399" t="inlineStr">
        <is>
          <t>血月荆棘</t>
        </is>
      </c>
      <c r="E118" s="399" t="n">
        <v>3</v>
      </c>
      <c r="F118" s="399" t="inlineStr">
        <is>
          <t>腰带</t>
        </is>
      </c>
      <c r="G118" s="398" t="n"/>
      <c r="H118" s="398" t="n"/>
      <c r="I118" s="398" t="n">
        <v>5983</v>
      </c>
      <c r="J118" s="398" t="n"/>
      <c r="K118" s="398" t="n"/>
      <c r="L118" s="398" t="n"/>
      <c r="M118" s="398" t="n">
        <v>5983</v>
      </c>
      <c r="N118" s="398" t="n">
        <v>5983</v>
      </c>
      <c r="O118" s="398" t="n">
        <v>5983</v>
      </c>
      <c r="P118" s="292" t="n"/>
      <c r="Q118" s="292" t="inlineStr">
        <is>
          <t>原九部位资源库已登记</t>
        </is>
      </c>
      <c r="R118" s="324" t="inlineStr">
        <is>
          <t>C3-C10规划锁定：百战旗官带</t>
        </is>
      </c>
      <c r="S118" s="292" t="inlineStr">
        <is>
          <t>装备素材套装代码表.xlsx（原九部位）</t>
        </is>
      </c>
      <c r="T118" s="292" t="inlineStr">
        <is>
          <t>同一代码用于 Items / StateItem / DnItems；属性与掉落另表定义。</t>
        </is>
      </c>
      <c r="U118">
        <f>IF(COUNTIF($B$2:$B$1076,B118)&gt;1,"重复","")</f>
        <v/>
      </c>
      <c r="V118">
        <f>IF(AND(OR(M118="",M118=B118),OR(N118="",N118=B118),OR(O118="",O118=B118)),"通过","不一致")</f>
        <v/>
      </c>
    </row>
    <row r="119" ht="22" customHeight="1">
      <c r="A119" s="398" t="n">
        <v>118</v>
      </c>
      <c r="B119" s="398" t="n">
        <v>5984</v>
      </c>
      <c r="C119" s="399" t="inlineStr">
        <is>
          <t>血月荆棘·夜蔷</t>
        </is>
      </c>
      <c r="D119" s="399" t="inlineStr">
        <is>
          <t>血月荆棘</t>
        </is>
      </c>
      <c r="E119" s="399" t="n">
        <v>4</v>
      </c>
      <c r="F119" s="399" t="inlineStr">
        <is>
          <t>勋章</t>
        </is>
      </c>
      <c r="G119" s="398" t="n"/>
      <c r="H119" s="398" t="n"/>
      <c r="I119" s="398" t="n">
        <v>5984</v>
      </c>
      <c r="J119" s="398" t="n"/>
      <c r="K119" s="398" t="n"/>
      <c r="L119" s="398" t="n"/>
      <c r="M119" s="398" t="n">
        <v>5984</v>
      </c>
      <c r="N119" s="398" t="n">
        <v>5984</v>
      </c>
      <c r="O119" s="398" t="n">
        <v>5984</v>
      </c>
      <c r="P119" s="292" t="n"/>
      <c r="Q119" s="292" t="inlineStr">
        <is>
          <t>原九部位资源库已登记</t>
        </is>
      </c>
      <c r="R119" s="292" t="str"/>
      <c r="S119" s="292" t="inlineStr">
        <is>
          <t>装备素材套装代码表.xlsx（原九部位）</t>
        </is>
      </c>
      <c r="T119" s="292" t="inlineStr">
        <is>
          <t>同一代码用于 Items / StateItem / DnItems；属性与掉落另表定义。</t>
        </is>
      </c>
      <c r="U119">
        <f>IF(COUNTIF($B$2:$B$1076,B119)&gt;1,"重复","")</f>
        <v/>
      </c>
      <c r="V119">
        <f>IF(AND(OR(M119="",M119=B119),OR(N119="",N119=B119),OR(O119="",O119=B119)),"通过","不一致")</f>
        <v/>
      </c>
    </row>
    <row r="120" ht="22" customHeight="1">
      <c r="A120" s="398" t="n">
        <v>119</v>
      </c>
      <c r="B120" s="398" t="n">
        <v>5985</v>
      </c>
      <c r="C120" s="399" t="inlineStr">
        <is>
          <t>血月荆棘·夜蔷</t>
        </is>
      </c>
      <c r="D120" s="399" t="inlineStr">
        <is>
          <t>血月荆棘</t>
        </is>
      </c>
      <c r="E120" s="399" t="n">
        <v>4</v>
      </c>
      <c r="F120" s="399" t="inlineStr">
        <is>
          <t>项链</t>
        </is>
      </c>
      <c r="G120" s="398" t="n"/>
      <c r="H120" s="398" t="n"/>
      <c r="I120" s="398" t="n">
        <v>5985</v>
      </c>
      <c r="J120" s="398" t="n"/>
      <c r="K120" s="398" t="n"/>
      <c r="L120" s="398" t="n"/>
      <c r="M120" s="398" t="n">
        <v>5985</v>
      </c>
      <c r="N120" s="398" t="n">
        <v>5985</v>
      </c>
      <c r="O120" s="398" t="n">
        <v>5985</v>
      </c>
      <c r="P120" s="292" t="n"/>
      <c r="Q120" s="292" t="inlineStr">
        <is>
          <t>原九部位资源库已登记</t>
        </is>
      </c>
      <c r="R120" s="324" t="inlineStr">
        <is>
          <t>C3-C10规划锁定：雪鸦冰喙坠</t>
        </is>
      </c>
      <c r="S120" s="292" t="inlineStr">
        <is>
          <t>装备素材套装代码表.xlsx（原九部位）</t>
        </is>
      </c>
      <c r="T120" s="292" t="inlineStr">
        <is>
          <t>同一代码用于 Items / StateItem / DnItems；属性与掉落另表定义。</t>
        </is>
      </c>
      <c r="U120">
        <f>IF(COUNTIF($B$2:$B$1076,B120)&gt;1,"重复","")</f>
        <v/>
      </c>
      <c r="V120">
        <f>IF(AND(OR(M120="",M120=B120),OR(N120="",N120=B120),OR(O120="",O120=B120)),"通过","不一致")</f>
        <v/>
      </c>
    </row>
    <row r="121" ht="22" customHeight="1">
      <c r="A121" s="398" t="n">
        <v>120</v>
      </c>
      <c r="B121" s="398" t="n">
        <v>5986</v>
      </c>
      <c r="C121" s="399" t="inlineStr">
        <is>
          <t>血月荆棘·夜蔷</t>
        </is>
      </c>
      <c r="D121" s="399" t="inlineStr">
        <is>
          <t>血月荆棘</t>
        </is>
      </c>
      <c r="E121" s="399" t="n">
        <v>4</v>
      </c>
      <c r="F121" s="399" t="inlineStr">
        <is>
          <t>头盔</t>
        </is>
      </c>
      <c r="G121" s="398" t="n"/>
      <c r="H121" s="398" t="n"/>
      <c r="I121" s="398" t="n">
        <v>5986</v>
      </c>
      <c r="J121" s="398" t="n"/>
      <c r="K121" s="398" t="n"/>
      <c r="L121" s="398" t="n"/>
      <c r="M121" s="398" t="n">
        <v>5986</v>
      </c>
      <c r="N121" s="398" t="n">
        <v>5986</v>
      </c>
      <c r="O121" s="398" t="n">
        <v>5986</v>
      </c>
      <c r="P121" s="292" t="n"/>
      <c r="Q121" s="292" t="inlineStr">
        <is>
          <t>原九部位资源库已登记</t>
        </is>
      </c>
      <c r="R121" s="324" t="inlineStr">
        <is>
          <t>C3-C10规划锁定：镜甲将军盔</t>
        </is>
      </c>
      <c r="S121" s="292" t="inlineStr">
        <is>
          <t>装备素材套装代码表.xlsx（原九部位）</t>
        </is>
      </c>
      <c r="T121" s="292" t="inlineStr">
        <is>
          <t>同一代码用于 Items / StateItem / DnItems；属性与掉落另表定义。</t>
        </is>
      </c>
      <c r="U121">
        <f>IF(COUNTIF($B$2:$B$1076,B121)&gt;1,"重复","")</f>
        <v/>
      </c>
      <c r="V121">
        <f>IF(AND(OR(M121="",M121=B121),OR(N121="",N121=B121),OR(O121="",O121=B121)),"通过","不一致")</f>
        <v/>
      </c>
    </row>
    <row r="122" ht="22" customHeight="1">
      <c r="A122" s="398" t="n">
        <v>121</v>
      </c>
      <c r="B122" s="398" t="n">
        <v>5987</v>
      </c>
      <c r="C122" s="399" t="inlineStr">
        <is>
          <t>血月荆棘·夜蔷</t>
        </is>
      </c>
      <c r="D122" s="399" t="inlineStr">
        <is>
          <t>血月荆棘</t>
        </is>
      </c>
      <c r="E122" s="399" t="n">
        <v>4</v>
      </c>
      <c r="F122" s="399" t="inlineStr">
        <is>
          <t>手镯</t>
        </is>
      </c>
      <c r="G122" s="398" t="n"/>
      <c r="H122" s="398" t="n"/>
      <c r="I122" s="398" t="n">
        <v>5987</v>
      </c>
      <c r="J122" s="398" t="n"/>
      <c r="K122" s="398" t="n"/>
      <c r="L122" s="398" t="n"/>
      <c r="M122" s="398" t="n">
        <v>5987</v>
      </c>
      <c r="N122" s="398" t="n">
        <v>5987</v>
      </c>
      <c r="O122" s="398" t="n">
        <v>5987</v>
      </c>
      <c r="P122" s="292" t="n"/>
      <c r="Q122" s="292" t="inlineStr">
        <is>
          <t>原九部位资源库已登记</t>
        </is>
      </c>
      <c r="R122" s="324" t="inlineStr">
        <is>
          <t>C3-C10规划锁定：焚香奴腕镯</t>
        </is>
      </c>
      <c r="S122" s="292" t="inlineStr">
        <is>
          <t>装备素材套装代码表.xlsx（原九部位）</t>
        </is>
      </c>
      <c r="T122" s="292" t="inlineStr">
        <is>
          <t>同一代码用于 Items / StateItem / DnItems；属性与掉落另表定义。</t>
        </is>
      </c>
      <c r="U122">
        <f>IF(COUNTIF($B$2:$B$1076,B122)&gt;1,"重复","")</f>
        <v/>
      </c>
      <c r="V122">
        <f>IF(AND(OR(M122="",M122=B122),OR(N122="",N122=B122),OR(O122="",O122=B122)),"通过","不一致")</f>
        <v/>
      </c>
    </row>
    <row r="123" ht="22" customHeight="1">
      <c r="A123" s="398" t="n">
        <v>122</v>
      </c>
      <c r="B123" s="398" t="n">
        <v>5988</v>
      </c>
      <c r="C123" s="399" t="inlineStr">
        <is>
          <t>血月荆棘·夜蔷</t>
        </is>
      </c>
      <c r="D123" s="399" t="inlineStr">
        <is>
          <t>血月荆棘</t>
        </is>
      </c>
      <c r="E123" s="399" t="n">
        <v>4</v>
      </c>
      <c r="F123" s="399" t="inlineStr">
        <is>
          <t>戒指</t>
        </is>
      </c>
      <c r="G123" s="398" t="n"/>
      <c r="H123" s="398" t="n"/>
      <c r="I123" s="398" t="n">
        <v>5988</v>
      </c>
      <c r="J123" s="398" t="n"/>
      <c r="K123" s="398" t="n"/>
      <c r="L123" s="398" t="n"/>
      <c r="M123" s="398" t="n">
        <v>5988</v>
      </c>
      <c r="N123" s="398" t="n">
        <v>5988</v>
      </c>
      <c r="O123" s="398" t="n">
        <v>5988</v>
      </c>
      <c r="P123" s="292" t="n"/>
      <c r="Q123" s="292" t="inlineStr">
        <is>
          <t>原九部位资源库已登记</t>
        </is>
      </c>
      <c r="R123" s="324" t="inlineStr">
        <is>
          <t>C3-C10规划锁定：献梦琥金戒</t>
        </is>
      </c>
      <c r="S123" s="292" t="inlineStr">
        <is>
          <t>装备素材套装代码表.xlsx（原九部位）</t>
        </is>
      </c>
      <c r="T123" s="292" t="inlineStr">
        <is>
          <t>同一代码用于 Items / StateItem / DnItems；属性与掉落另表定义。</t>
        </is>
      </c>
      <c r="U123">
        <f>IF(COUNTIF($B$2:$B$1076,B123)&gt;1,"重复","")</f>
        <v/>
      </c>
      <c r="V123">
        <f>IF(AND(OR(M123="",M123=B123),OR(N123="",N123=B123),OR(O123="",O123=B123)),"通过","不一致")</f>
        <v/>
      </c>
    </row>
    <row r="124" ht="22" customHeight="1">
      <c r="A124" s="398" t="n">
        <v>123</v>
      </c>
      <c r="B124" s="398" t="n">
        <v>5989</v>
      </c>
      <c r="C124" s="399" t="inlineStr">
        <is>
          <t>血月荆棘·夜蔷</t>
        </is>
      </c>
      <c r="D124" s="399" t="inlineStr">
        <is>
          <t>血月荆棘</t>
        </is>
      </c>
      <c r="E124" s="399" t="n">
        <v>4</v>
      </c>
      <c r="F124" s="399" t="inlineStr">
        <is>
          <t>盾牌</t>
        </is>
      </c>
      <c r="G124" s="398" t="n"/>
      <c r="H124" s="398" t="n"/>
      <c r="I124" s="398" t="n">
        <v>5989</v>
      </c>
      <c r="J124" s="398" t="n"/>
      <c r="K124" s="398" t="n"/>
      <c r="L124" s="398" t="n"/>
      <c r="M124" s="398" t="n">
        <v>5989</v>
      </c>
      <c r="N124" s="398" t="n">
        <v>5989</v>
      </c>
      <c r="O124" s="398" t="n">
        <v>5989</v>
      </c>
      <c r="P124" s="292" t="n"/>
      <c r="Q124" s="292" t="inlineStr">
        <is>
          <t>原九部位资源库已登记</t>
        </is>
      </c>
      <c r="R124" s="324" t="inlineStr">
        <is>
          <t>C3-C10规划锁定：鎏檐拱门盾</t>
        </is>
      </c>
      <c r="S124" s="292" t="inlineStr">
        <is>
          <t>装备素材套装代码表.xlsx（原九部位）</t>
        </is>
      </c>
      <c r="T124" s="292" t="inlineStr">
        <is>
          <t>同一代码用于 Items / StateItem / DnItems；属性与掉落另表定义。</t>
        </is>
      </c>
      <c r="U124">
        <f>IF(COUNTIF($B$2:$B$1076,B124)&gt;1,"重复","")</f>
        <v/>
      </c>
      <c r="V124">
        <f>IF(AND(OR(M124="",M124=B124),OR(N124="",N124=B124),OR(O124="",O124=B124)),"通过","不一致")</f>
        <v/>
      </c>
    </row>
    <row r="125" ht="22" customHeight="1">
      <c r="A125" s="398" t="n">
        <v>124</v>
      </c>
      <c r="B125" s="398" t="n">
        <v>5990</v>
      </c>
      <c r="C125" s="399" t="inlineStr">
        <is>
          <t>血月荆棘·夜蔷</t>
        </is>
      </c>
      <c r="D125" s="399" t="inlineStr">
        <is>
          <t>血月荆棘</t>
        </is>
      </c>
      <c r="E125" s="399" t="n">
        <v>4</v>
      </c>
      <c r="F125" s="399" t="inlineStr">
        <is>
          <t>灵玉</t>
        </is>
      </c>
      <c r="G125" s="398" t="n"/>
      <c r="H125" s="398" t="n"/>
      <c r="I125" s="398" t="n">
        <v>5990</v>
      </c>
      <c r="J125" s="398" t="n"/>
      <c r="K125" s="398" t="n"/>
      <c r="L125" s="398" t="n"/>
      <c r="M125" s="398" t="n">
        <v>5990</v>
      </c>
      <c r="N125" s="398" t="n">
        <v>5990</v>
      </c>
      <c r="O125" s="398" t="n">
        <v>5990</v>
      </c>
      <c r="P125" s="292" t="n"/>
      <c r="Q125" s="292" t="inlineStr">
        <is>
          <t>原九部位资源库已登记</t>
        </is>
      </c>
      <c r="R125" s="292" t="str"/>
      <c r="S125" s="292" t="inlineStr">
        <is>
          <t>装备素材套装代码表.xlsx（原九部位）</t>
        </is>
      </c>
      <c r="T125" s="292" t="inlineStr">
        <is>
          <t>同一代码用于 Items / StateItem / DnItems；属性与掉落另表定义。</t>
        </is>
      </c>
      <c r="U125">
        <f>IF(COUNTIF($B$2:$B$1076,B125)&gt;1,"重复","")</f>
        <v/>
      </c>
      <c r="V125">
        <f>IF(AND(OR(M125="",M125=B125),OR(N125="",N125=B125),OR(O125="",O125=B125)),"通过","不一致")</f>
        <v/>
      </c>
    </row>
    <row r="126" ht="22" customHeight="1">
      <c r="A126" s="398" t="n">
        <v>125</v>
      </c>
      <c r="B126" s="398" t="n">
        <v>5991</v>
      </c>
      <c r="C126" s="399" t="inlineStr">
        <is>
          <t>血月荆棘·夜蔷</t>
        </is>
      </c>
      <c r="D126" s="399" t="inlineStr">
        <is>
          <t>血月荆棘</t>
        </is>
      </c>
      <c r="E126" s="399" t="n">
        <v>4</v>
      </c>
      <c r="F126" s="399" t="inlineStr">
        <is>
          <t>鞋子</t>
        </is>
      </c>
      <c r="G126" s="398" t="n"/>
      <c r="H126" s="398" t="n"/>
      <c r="I126" s="398" t="n">
        <v>5991</v>
      </c>
      <c r="J126" s="398" t="n"/>
      <c r="K126" s="398" t="n"/>
      <c r="L126" s="398" t="n"/>
      <c r="M126" s="398" t="n">
        <v>5991</v>
      </c>
      <c r="N126" s="398" t="n">
        <v>5991</v>
      </c>
      <c r="O126" s="398" t="n">
        <v>5991</v>
      </c>
      <c r="P126" s="292" t="n"/>
      <c r="Q126" s="292" t="inlineStr">
        <is>
          <t>原九部位资源库已登记</t>
        </is>
      </c>
      <c r="R126" s="324" t="inlineStr">
        <is>
          <t>C3-C10规划锁定：伏砖旧革靴</t>
        </is>
      </c>
      <c r="S126" s="292" t="inlineStr">
        <is>
          <t>装备素材套装代码表.xlsx（原九部位）</t>
        </is>
      </c>
      <c r="T126" s="292" t="inlineStr">
        <is>
          <t>同一代码用于 Items / StateItem / DnItems；属性与掉落另表定义。</t>
        </is>
      </c>
      <c r="U126">
        <f>IF(COUNTIF($B$2:$B$1076,B126)&gt;1,"重复","")</f>
        <v/>
      </c>
      <c r="V126">
        <f>IF(AND(OR(M126="",M126=B126),OR(N126="",N126=B126),OR(O126="",O126=B126)),"通过","不一致")</f>
        <v/>
      </c>
    </row>
    <row r="127" ht="22" customHeight="1">
      <c r="A127" s="398" t="n">
        <v>126</v>
      </c>
      <c r="B127" s="398" t="n">
        <v>5992</v>
      </c>
      <c r="C127" s="399" t="inlineStr">
        <is>
          <t>血月荆棘·夜蔷</t>
        </is>
      </c>
      <c r="D127" s="399" t="inlineStr">
        <is>
          <t>血月荆棘</t>
        </is>
      </c>
      <c r="E127" s="399" t="n">
        <v>4</v>
      </c>
      <c r="F127" s="399" t="inlineStr">
        <is>
          <t>腰带</t>
        </is>
      </c>
      <c r="G127" s="398" t="n"/>
      <c r="H127" s="398" t="n"/>
      <c r="I127" s="398" t="n">
        <v>5992</v>
      </c>
      <c r="J127" s="398" t="n"/>
      <c r="K127" s="398" t="n"/>
      <c r="L127" s="398" t="n"/>
      <c r="M127" s="398" t="n">
        <v>5992</v>
      </c>
      <c r="N127" s="398" t="n">
        <v>5992</v>
      </c>
      <c r="O127" s="398" t="n">
        <v>5992</v>
      </c>
      <c r="P127" s="292" t="n"/>
      <c r="Q127" s="292" t="inlineStr">
        <is>
          <t>原九部位资源库已登记</t>
        </is>
      </c>
      <c r="R127" s="322" t="inlineStr">
        <is>
          <t>C1/C2现用：流寇束带</t>
        </is>
      </c>
      <c r="S127" s="292" t="inlineStr">
        <is>
          <t>装备素材套装代码表.xlsx（原九部位）</t>
        </is>
      </c>
      <c r="T127" s="292" t="inlineStr">
        <is>
          <t>同一代码用于 Items / StateItem / DnItems；属性与掉落另表定义。</t>
        </is>
      </c>
      <c r="U127">
        <f>IF(COUNTIF($B$2:$B$1076,B127)&gt;1,"重复","")</f>
        <v/>
      </c>
      <c r="V127">
        <f>IF(AND(OR(M127="",M127=B127),OR(N127="",N127=B127),OR(O127="",O127=B127)),"通过","不一致")</f>
        <v/>
      </c>
    </row>
    <row r="128" ht="22" customHeight="1">
      <c r="A128" s="398" t="n">
        <v>127</v>
      </c>
      <c r="B128" s="398" t="n">
        <v>5993</v>
      </c>
      <c r="C128" s="399" t="inlineStr">
        <is>
          <t>血月荆棘·赤冠</t>
        </is>
      </c>
      <c r="D128" s="399" t="inlineStr">
        <is>
          <t>血月荆棘</t>
        </is>
      </c>
      <c r="E128" s="399" t="n">
        <v>5</v>
      </c>
      <c r="F128" s="399" t="inlineStr">
        <is>
          <t>勋章</t>
        </is>
      </c>
      <c r="G128" s="398" t="n"/>
      <c r="H128" s="398" t="n"/>
      <c r="I128" s="398" t="n">
        <v>5993</v>
      </c>
      <c r="J128" s="398" t="n"/>
      <c r="K128" s="398" t="n"/>
      <c r="L128" s="398" t="n"/>
      <c r="M128" s="398" t="n">
        <v>5993</v>
      </c>
      <c r="N128" s="398" t="n">
        <v>5993</v>
      </c>
      <c r="O128" s="398" t="n">
        <v>5993</v>
      </c>
      <c r="P128" s="292" t="n"/>
      <c r="Q128" s="292" t="inlineStr">
        <is>
          <t>原九部位资源库已登记</t>
        </is>
      </c>
      <c r="R128" s="292" t="str"/>
      <c r="S128" s="292" t="inlineStr">
        <is>
          <t>装备素材套装代码表.xlsx（原九部位）</t>
        </is>
      </c>
      <c r="T128" s="292" t="inlineStr">
        <is>
          <t>同一代码用于 Items / StateItem / DnItems；属性与掉落另表定义。</t>
        </is>
      </c>
      <c r="U128">
        <f>IF(COUNTIF($B$2:$B$1076,B128)&gt;1,"重复","")</f>
        <v/>
      </c>
      <c r="V128">
        <f>IF(AND(OR(M128="",M128=B128),OR(N128="",N128=B128),OR(O128="",O128=B128)),"通过","不一致")</f>
        <v/>
      </c>
    </row>
    <row r="129" ht="22" customHeight="1">
      <c r="A129" s="398" t="n">
        <v>128</v>
      </c>
      <c r="B129" s="398" t="n">
        <v>5994</v>
      </c>
      <c r="C129" s="399" t="inlineStr">
        <is>
          <t>血月荆棘·赤冠</t>
        </is>
      </c>
      <c r="D129" s="399" t="inlineStr">
        <is>
          <t>血月荆棘</t>
        </is>
      </c>
      <c r="E129" s="399" t="n">
        <v>5</v>
      </c>
      <c r="F129" s="399" t="inlineStr">
        <is>
          <t>项链</t>
        </is>
      </c>
      <c r="G129" s="398" t="n"/>
      <c r="H129" s="398" t="n"/>
      <c r="I129" s="398" t="n">
        <v>5994</v>
      </c>
      <c r="J129" s="398" t="n"/>
      <c r="K129" s="398" t="n"/>
      <c r="L129" s="398" t="n"/>
      <c r="M129" s="398" t="n">
        <v>5994</v>
      </c>
      <c r="N129" s="398" t="n">
        <v>5994</v>
      </c>
      <c r="O129" s="398" t="n">
        <v>5994</v>
      </c>
      <c r="P129" s="292" t="n"/>
      <c r="Q129" s="292" t="inlineStr">
        <is>
          <t>原九部位资源库已登记</t>
        </is>
      </c>
      <c r="R129" s="324" t="inlineStr">
        <is>
          <t>C3-C10规划锁定：巡烛官灯坠</t>
        </is>
      </c>
      <c r="S129" s="292" t="inlineStr">
        <is>
          <t>装备素材套装代码表.xlsx（原九部位）</t>
        </is>
      </c>
      <c r="T129" s="292" t="inlineStr">
        <is>
          <t>同一代码用于 Items / StateItem / DnItems；属性与掉落另表定义。</t>
        </is>
      </c>
      <c r="U129">
        <f>IF(COUNTIF($B$2:$B$1076,B129)&gt;1,"重复","")</f>
        <v/>
      </c>
      <c r="V129">
        <f>IF(AND(OR(M129="",M129=B129),OR(N129="",N129=B129),OR(O129="",O129=B129)),"通过","不一致")</f>
        <v/>
      </c>
    </row>
    <row r="130" ht="22" customHeight="1">
      <c r="A130" s="398" t="n">
        <v>129</v>
      </c>
      <c r="B130" s="398" t="n">
        <v>5995</v>
      </c>
      <c r="C130" s="399" t="inlineStr">
        <is>
          <t>血月荆棘·赤冠</t>
        </is>
      </c>
      <c r="D130" s="399" t="inlineStr">
        <is>
          <t>血月荆棘</t>
        </is>
      </c>
      <c r="E130" s="399" t="n">
        <v>5</v>
      </c>
      <c r="F130" s="399" t="inlineStr">
        <is>
          <t>头盔</t>
        </is>
      </c>
      <c r="G130" s="398" t="n"/>
      <c r="H130" s="398" t="n"/>
      <c r="I130" s="398" t="n">
        <v>5995</v>
      </c>
      <c r="J130" s="398" t="n"/>
      <c r="K130" s="398" t="n"/>
      <c r="L130" s="398" t="n"/>
      <c r="M130" s="398" t="n">
        <v>5995</v>
      </c>
      <c r="N130" s="398" t="n">
        <v>5995</v>
      </c>
      <c r="O130" s="398" t="n">
        <v>5995</v>
      </c>
      <c r="P130" s="292" t="n"/>
      <c r="Q130" s="292" t="inlineStr">
        <is>
          <t>原九部位资源库已登记</t>
        </is>
      </c>
      <c r="R130" s="324" t="inlineStr">
        <is>
          <t>C3-C10规划锁定：觐庭裂纹盔</t>
        </is>
      </c>
      <c r="S130" s="292" t="inlineStr">
        <is>
          <t>装备素材套装代码表.xlsx（原九部位）</t>
        </is>
      </c>
      <c r="T130" s="292" t="inlineStr">
        <is>
          <t>同一代码用于 Items / StateItem / DnItems；属性与掉落另表定义。</t>
        </is>
      </c>
      <c r="U130">
        <f>IF(COUNTIF($B$2:$B$1076,B130)&gt;1,"重复","")</f>
        <v/>
      </c>
      <c r="V130">
        <f>IF(AND(OR(M130="",M130=B130),OR(N130="",N130=B130),OR(O130="",O130=B130)),"通过","不一致")</f>
        <v/>
      </c>
    </row>
    <row r="131" ht="22" customHeight="1">
      <c r="A131" s="398" t="n">
        <v>130</v>
      </c>
      <c r="B131" s="398" t="n">
        <v>5996</v>
      </c>
      <c r="C131" s="399" t="inlineStr">
        <is>
          <t>血月荆棘·赤冠</t>
        </is>
      </c>
      <c r="D131" s="399" t="inlineStr">
        <is>
          <t>血月荆棘</t>
        </is>
      </c>
      <c r="E131" s="399" t="n">
        <v>5</v>
      </c>
      <c r="F131" s="399" t="inlineStr">
        <is>
          <t>手镯</t>
        </is>
      </c>
      <c r="G131" s="398" t="n"/>
      <c r="H131" s="398" t="n"/>
      <c r="I131" s="398" t="n">
        <v>5996</v>
      </c>
      <c r="J131" s="398" t="n"/>
      <c r="K131" s="398" t="n"/>
      <c r="L131" s="398" t="n"/>
      <c r="M131" s="398" t="n">
        <v>5996</v>
      </c>
      <c r="N131" s="398" t="n">
        <v>5996</v>
      </c>
      <c r="O131" s="398" t="n">
        <v>5996</v>
      </c>
      <c r="P131" s="292" t="n"/>
      <c r="Q131" s="292" t="inlineStr">
        <is>
          <t>原九部位资源库已登记</t>
        </is>
      </c>
      <c r="R131" s="324" t="inlineStr">
        <is>
          <t>C3-C10规划锁定：炊兵铁勺镯</t>
        </is>
      </c>
      <c r="S131" s="292" t="inlineStr">
        <is>
          <t>装备素材套装代码表.xlsx（原九部位）</t>
        </is>
      </c>
      <c r="T131" s="292" t="inlineStr">
        <is>
          <t>同一代码用于 Items / StateItem / DnItems；属性与掉落另表定义。</t>
        </is>
      </c>
      <c r="U131">
        <f>IF(COUNTIF($B$2:$B$1076,B131)&gt;1,"重复","")</f>
        <v/>
      </c>
      <c r="V131">
        <f>IF(AND(OR(M131="",M131=B131),OR(N131="",N131=B131),OR(O131="",O131=B131)),"通过","不一致")</f>
        <v/>
      </c>
    </row>
    <row r="132" ht="22" customHeight="1">
      <c r="A132" s="398" t="n">
        <v>131</v>
      </c>
      <c r="B132" s="398" t="n">
        <v>5997</v>
      </c>
      <c r="C132" s="399" t="inlineStr">
        <is>
          <t>血月荆棘·赤冠</t>
        </is>
      </c>
      <c r="D132" s="399" t="inlineStr">
        <is>
          <t>血月荆棘</t>
        </is>
      </c>
      <c r="E132" s="399" t="n">
        <v>5</v>
      </c>
      <c r="F132" s="399" t="inlineStr">
        <is>
          <t>戒指</t>
        </is>
      </c>
      <c r="G132" s="398" t="n"/>
      <c r="H132" s="398" t="n"/>
      <c r="I132" s="398" t="n">
        <v>5997</v>
      </c>
      <c r="J132" s="398" t="n"/>
      <c r="K132" s="398" t="n"/>
      <c r="L132" s="398" t="n"/>
      <c r="M132" s="398" t="n">
        <v>5997</v>
      </c>
      <c r="N132" s="398" t="n">
        <v>5997</v>
      </c>
      <c r="O132" s="398" t="n">
        <v>5997</v>
      </c>
      <c r="P132" s="292" t="n"/>
      <c r="Q132" s="292" t="inlineStr">
        <is>
          <t>原九部位资源库已登记</t>
        </is>
      </c>
      <c r="R132" s="322" t="inlineStr">
        <is>
          <t>C1/C2现用：归乡弩戒</t>
        </is>
      </c>
      <c r="S132" s="292" t="inlineStr">
        <is>
          <t>装备素材套装代码表.xlsx（原九部位）</t>
        </is>
      </c>
      <c r="T132" s="292" t="inlineStr">
        <is>
          <t>同一代码用于 Items / StateItem / DnItems；属性与掉落另表定义。</t>
        </is>
      </c>
      <c r="U132">
        <f>IF(COUNTIF($B$2:$B$1076,B132)&gt;1,"重复","")</f>
        <v/>
      </c>
      <c r="V132">
        <f>IF(AND(OR(M132="",M132=B132),OR(N132="",N132=B132),OR(O132="",O132=B132)),"通过","不一致")</f>
        <v/>
      </c>
    </row>
    <row r="133" ht="22" customHeight="1">
      <c r="A133" s="398" t="n">
        <v>132</v>
      </c>
      <c r="B133" s="398" t="n">
        <v>5998</v>
      </c>
      <c r="C133" s="399" t="inlineStr">
        <is>
          <t>血月荆棘·赤冠</t>
        </is>
      </c>
      <c r="D133" s="399" t="inlineStr">
        <is>
          <t>血月荆棘</t>
        </is>
      </c>
      <c r="E133" s="399" t="n">
        <v>5</v>
      </c>
      <c r="F133" s="399" t="inlineStr">
        <is>
          <t>盾牌</t>
        </is>
      </c>
      <c r="G133" s="398" t="n"/>
      <c r="H133" s="398" t="n"/>
      <c r="I133" s="398" t="n">
        <v>5998</v>
      </c>
      <c r="J133" s="398" t="n"/>
      <c r="K133" s="398" t="n"/>
      <c r="L133" s="398" t="n"/>
      <c r="M133" s="398" t="n">
        <v>5998</v>
      </c>
      <c r="N133" s="398" t="n">
        <v>5998</v>
      </c>
      <c r="O133" s="398" t="n">
        <v>5998</v>
      </c>
      <c r="P133" s="292" t="n"/>
      <c r="Q133" s="292" t="inlineStr">
        <is>
          <t>原九部位资源库已登记</t>
        </is>
      </c>
      <c r="R133" s="324" t="inlineStr">
        <is>
          <t>C3-C10规划锁定：铆甲兵垒盾</t>
        </is>
      </c>
      <c r="S133" s="292" t="inlineStr">
        <is>
          <t>装备素材套装代码表.xlsx（原九部位）</t>
        </is>
      </c>
      <c r="T133" s="292" t="inlineStr">
        <is>
          <t>同一代码用于 Items / StateItem / DnItems；属性与掉落另表定义。</t>
        </is>
      </c>
      <c r="U133">
        <f>IF(COUNTIF($B$2:$B$1076,B133)&gt;1,"重复","")</f>
        <v/>
      </c>
      <c r="V133">
        <f>IF(AND(OR(M133="",M133=B133),OR(N133="",N133=B133),OR(O133="",O133=B133)),"通过","不一致")</f>
        <v/>
      </c>
    </row>
    <row r="134" ht="22" customHeight="1">
      <c r="A134" s="398" t="n">
        <v>133</v>
      </c>
      <c r="B134" s="398" t="n">
        <v>5999</v>
      </c>
      <c r="C134" s="399" t="inlineStr">
        <is>
          <t>血月荆棘·赤冠</t>
        </is>
      </c>
      <c r="D134" s="399" t="inlineStr">
        <is>
          <t>血月荆棘</t>
        </is>
      </c>
      <c r="E134" s="399" t="n">
        <v>5</v>
      </c>
      <c r="F134" s="399" t="inlineStr">
        <is>
          <t>灵玉</t>
        </is>
      </c>
      <c r="G134" s="398" t="n"/>
      <c r="H134" s="398" t="n"/>
      <c r="I134" s="398" t="n">
        <v>5999</v>
      </c>
      <c r="J134" s="398" t="n"/>
      <c r="K134" s="398" t="n"/>
      <c r="L134" s="398" t="n"/>
      <c r="M134" s="398" t="n">
        <v>5999</v>
      </c>
      <c r="N134" s="398" t="n">
        <v>5999</v>
      </c>
      <c r="O134" s="398" t="n">
        <v>5999</v>
      </c>
      <c r="P134" s="292" t="n"/>
      <c r="Q134" s="292" t="inlineStr">
        <is>
          <t>原九部位资源库已登记</t>
        </is>
      </c>
      <c r="R134" s="322" t="inlineStr">
        <is>
          <t>C1/C2现用：蒙葛特的大卢恩</t>
        </is>
      </c>
      <c r="S134" s="292" t="inlineStr">
        <is>
          <t>装备素材套装代码表.xlsx（原九部位）</t>
        </is>
      </c>
      <c r="T134" s="292" t="inlineStr">
        <is>
          <t>同一代码用于 Items / StateItem / DnItems；属性与掉落另表定义。</t>
        </is>
      </c>
      <c r="U134">
        <f>IF(COUNTIF($B$2:$B$1076,B134)&gt;1,"重复","")</f>
        <v/>
      </c>
      <c r="V134">
        <f>IF(AND(OR(M134="",M134=B134),OR(N134="",N134=B134),OR(O134="",O134=B134)),"通过","不一致")</f>
        <v/>
      </c>
    </row>
    <row r="135" ht="22" customHeight="1">
      <c r="A135" s="398" t="n">
        <v>134</v>
      </c>
      <c r="B135" s="398" t="n">
        <v>6000</v>
      </c>
      <c r="C135" s="399" t="inlineStr">
        <is>
          <t>血月荆棘·赤冠</t>
        </is>
      </c>
      <c r="D135" s="399" t="inlineStr">
        <is>
          <t>血月荆棘</t>
        </is>
      </c>
      <c r="E135" s="399" t="n">
        <v>5</v>
      </c>
      <c r="F135" s="399" t="inlineStr">
        <is>
          <t>鞋子</t>
        </is>
      </c>
      <c r="G135" s="398" t="n"/>
      <c r="H135" s="398" t="n"/>
      <c r="I135" s="398" t="n">
        <v>6000</v>
      </c>
      <c r="J135" s="398" t="n"/>
      <c r="K135" s="398" t="n"/>
      <c r="L135" s="398" t="n"/>
      <c r="M135" s="398" t="n">
        <v>6000</v>
      </c>
      <c r="N135" s="398" t="n">
        <v>6000</v>
      </c>
      <c r="O135" s="398" t="n">
        <v>6000</v>
      </c>
      <c r="P135" s="292" t="n"/>
      <c r="Q135" s="292" t="inlineStr">
        <is>
          <t>原九部位资源库已登记</t>
        </is>
      </c>
      <c r="R135" s="324" t="inlineStr">
        <is>
          <t>C3-C10规划锁定：锈槽踏污靴</t>
        </is>
      </c>
      <c r="S135" s="292" t="inlineStr">
        <is>
          <t>装备素材套装代码表.xlsx（原九部位）</t>
        </is>
      </c>
      <c r="T135" s="292" t="inlineStr">
        <is>
          <t>同一代码用于 Items / StateItem / DnItems；属性与掉落另表定义。</t>
        </is>
      </c>
      <c r="U135">
        <f>IF(COUNTIF($B$2:$B$1076,B135)&gt;1,"重复","")</f>
        <v/>
      </c>
      <c r="V135">
        <f>IF(AND(OR(M135="",M135=B135),OR(N135="",N135=B135),OR(O135="",O135=B135)),"通过","不一致")</f>
        <v/>
      </c>
    </row>
    <row r="136" ht="22" customHeight="1">
      <c r="A136" s="398" t="n">
        <v>135</v>
      </c>
      <c r="B136" s="398" t="n">
        <v>6001</v>
      </c>
      <c r="C136" s="399" t="inlineStr">
        <is>
          <t>血月荆棘·赤冠</t>
        </is>
      </c>
      <c r="D136" s="399" t="inlineStr">
        <is>
          <t>血月荆棘</t>
        </is>
      </c>
      <c r="E136" s="399" t="n">
        <v>5</v>
      </c>
      <c r="F136" s="399" t="inlineStr">
        <is>
          <t>腰带</t>
        </is>
      </c>
      <c r="G136" s="398" t="n"/>
      <c r="H136" s="398" t="n"/>
      <c r="I136" s="398" t="n">
        <v>6001</v>
      </c>
      <c r="J136" s="398" t="n"/>
      <c r="K136" s="398" t="n"/>
      <c r="L136" s="398" t="n"/>
      <c r="M136" s="398" t="n">
        <v>6001</v>
      </c>
      <c r="N136" s="398" t="n">
        <v>6001</v>
      </c>
      <c r="O136" s="398" t="n">
        <v>6001</v>
      </c>
      <c r="P136" s="292" t="n"/>
      <c r="Q136" s="292" t="inlineStr">
        <is>
          <t>原九部位资源库已登记</t>
        </is>
      </c>
      <c r="R136" s="324" t="inlineStr">
        <is>
          <t>C3-C10规划锁定：链轮束腰</t>
        </is>
      </c>
      <c r="S136" s="292" t="inlineStr">
        <is>
          <t>装备素材套装代码表.xlsx（原九部位）</t>
        </is>
      </c>
      <c r="T136" s="292" t="inlineStr">
        <is>
          <t>同一代码用于 Items / StateItem / DnItems；属性与掉落另表定义。</t>
        </is>
      </c>
      <c r="U136">
        <f>IF(COUNTIF($B$2:$B$1076,B136)&gt;1,"重复","")</f>
        <v/>
      </c>
      <c r="V136">
        <f>IF(AND(OR(M136="",M136=B136),OR(N136="",N136=B136),OR(O136="",O136=B136)),"通过","不一致")</f>
        <v/>
      </c>
    </row>
    <row r="137" ht="22" customHeight="1">
      <c r="A137" s="398" t="n">
        <v>136</v>
      </c>
      <c r="B137" s="398" t="n">
        <v>6002</v>
      </c>
      <c r="C137" s="399" t="inlineStr">
        <is>
          <t>血月荆棘·月蚀</t>
        </is>
      </c>
      <c r="D137" s="399" t="inlineStr">
        <is>
          <t>血月荆棘</t>
        </is>
      </c>
      <c r="E137" s="399" t="n">
        <v>6</v>
      </c>
      <c r="F137" s="399" t="inlineStr">
        <is>
          <t>勋章</t>
        </is>
      </c>
      <c r="G137" s="398" t="n"/>
      <c r="H137" s="398" t="n"/>
      <c r="I137" s="398" t="n">
        <v>6002</v>
      </c>
      <c r="J137" s="398" t="n"/>
      <c r="K137" s="398" t="n"/>
      <c r="L137" s="398" t="n"/>
      <c r="M137" s="398" t="n">
        <v>6002</v>
      </c>
      <c r="N137" s="398" t="n">
        <v>6002</v>
      </c>
      <c r="O137" s="398" t="n">
        <v>6002</v>
      </c>
      <c r="P137" s="292" t="n"/>
      <c r="Q137" s="292" t="inlineStr">
        <is>
          <t>原九部位资源库已登记</t>
        </is>
      </c>
      <c r="R137" s="292" t="str"/>
      <c r="S137" s="292" t="inlineStr">
        <is>
          <t>装备素材套装代码表.xlsx（原九部位）</t>
        </is>
      </c>
      <c r="T137" s="292" t="inlineStr">
        <is>
          <t>同一代码用于 Items / StateItem / DnItems；属性与掉落另表定义。</t>
        </is>
      </c>
      <c r="U137">
        <f>IF(COUNTIF($B$2:$B$1076,B137)&gt;1,"重复","")</f>
        <v/>
      </c>
      <c r="V137">
        <f>IF(AND(OR(M137="",M137=B137),OR(N137="",N137=B137),OR(O137="",O137=B137)),"通过","不一致")</f>
        <v/>
      </c>
    </row>
    <row r="138" ht="22" customHeight="1">
      <c r="A138" s="398" t="n">
        <v>137</v>
      </c>
      <c r="B138" s="398" t="n">
        <v>6003</v>
      </c>
      <c r="C138" s="399" t="inlineStr">
        <is>
          <t>血月荆棘·月蚀</t>
        </is>
      </c>
      <c r="D138" s="399" t="inlineStr">
        <is>
          <t>血月荆棘</t>
        </is>
      </c>
      <c r="E138" s="399" t="n">
        <v>6</v>
      </c>
      <c r="F138" s="399" t="inlineStr">
        <is>
          <t>项链</t>
        </is>
      </c>
      <c r="G138" s="398" t="n"/>
      <c r="H138" s="398" t="n"/>
      <c r="I138" s="398" t="n">
        <v>6003</v>
      </c>
      <c r="J138" s="398" t="n"/>
      <c r="K138" s="398" t="n"/>
      <c r="L138" s="398" t="n"/>
      <c r="M138" s="398" t="n">
        <v>6003</v>
      </c>
      <c r="N138" s="398" t="n">
        <v>6003</v>
      </c>
      <c r="O138" s="398" t="n">
        <v>6003</v>
      </c>
      <c r="P138" s="292" t="n"/>
      <c r="Q138" s="292" t="inlineStr">
        <is>
          <t>原九部位资源库已登记</t>
        </is>
      </c>
      <c r="R138" s="324" t="inlineStr">
        <is>
          <t>C3-C10规划锁定：衔烛鸦羽坠</t>
        </is>
      </c>
      <c r="S138" s="292" t="inlineStr">
        <is>
          <t>装备素材套装代码表.xlsx（原九部位）</t>
        </is>
      </c>
      <c r="T138" s="292" t="inlineStr">
        <is>
          <t>同一代码用于 Items / StateItem / DnItems；属性与掉落另表定义。</t>
        </is>
      </c>
      <c r="U138">
        <f>IF(COUNTIF($B$2:$B$1076,B138)&gt;1,"重复","")</f>
        <v/>
      </c>
      <c r="V138">
        <f>IF(AND(OR(M138="",M138=B138),OR(N138="",N138=B138),OR(O138="",O138=B138)),"通过","不一致")</f>
        <v/>
      </c>
    </row>
    <row r="139" ht="22" customHeight="1">
      <c r="A139" s="398" t="n">
        <v>138</v>
      </c>
      <c r="B139" s="398" t="n">
        <v>6004</v>
      </c>
      <c r="C139" s="399" t="inlineStr">
        <is>
          <t>血月荆棘·月蚀</t>
        </is>
      </c>
      <c r="D139" s="399" t="inlineStr">
        <is>
          <t>血月荆棘</t>
        </is>
      </c>
      <c r="E139" s="399" t="n">
        <v>6</v>
      </c>
      <c r="F139" s="399" t="inlineStr">
        <is>
          <t>头盔</t>
        </is>
      </c>
      <c r="G139" s="398" t="n"/>
      <c r="H139" s="398" t="n"/>
      <c r="I139" s="398" t="n">
        <v>6004</v>
      </c>
      <c r="J139" s="398" t="n"/>
      <c r="K139" s="398" t="n"/>
      <c r="L139" s="398" t="n"/>
      <c r="M139" s="398" t="n">
        <v>6004</v>
      </c>
      <c r="N139" s="398" t="n">
        <v>6004</v>
      </c>
      <c r="O139" s="398" t="n">
        <v>6004</v>
      </c>
      <c r="P139" s="292" t="n"/>
      <c r="Q139" s="292" t="inlineStr">
        <is>
          <t>原九部位资源库已登记</t>
        </is>
      </c>
      <c r="R139" s="324" t="inlineStr">
        <is>
          <t>C3-C10规划锁定：驿卒挡风盔</t>
        </is>
      </c>
      <c r="S139" s="292" t="inlineStr">
        <is>
          <t>装备素材套装代码表.xlsx（原九部位）</t>
        </is>
      </c>
      <c r="T139" s="292" t="inlineStr">
        <is>
          <t>同一代码用于 Items / StateItem / DnItems；属性与掉落另表定义。</t>
        </is>
      </c>
      <c r="U139">
        <f>IF(COUNTIF($B$2:$B$1076,B139)&gt;1,"重复","")</f>
        <v/>
      </c>
      <c r="V139">
        <f>IF(AND(OR(M139="",M139=B139),OR(N139="",N139=B139),OR(O139="",O139=B139)),"通过","不一致")</f>
        <v/>
      </c>
    </row>
    <row r="140" ht="22" customHeight="1">
      <c r="A140" s="398" t="n">
        <v>139</v>
      </c>
      <c r="B140" s="398" t="n">
        <v>6005</v>
      </c>
      <c r="C140" s="399" t="inlineStr">
        <is>
          <t>血月荆棘·月蚀</t>
        </is>
      </c>
      <c r="D140" s="399" t="inlineStr">
        <is>
          <t>血月荆棘</t>
        </is>
      </c>
      <c r="E140" s="399" t="n">
        <v>6</v>
      </c>
      <c r="F140" s="399" t="inlineStr">
        <is>
          <t>手镯</t>
        </is>
      </c>
      <c r="G140" s="398" t="n"/>
      <c r="H140" s="398" t="n"/>
      <c r="I140" s="398" t="n">
        <v>6005</v>
      </c>
      <c r="J140" s="398" t="n"/>
      <c r="K140" s="398" t="n"/>
      <c r="L140" s="398" t="n"/>
      <c r="M140" s="398" t="n">
        <v>6005</v>
      </c>
      <c r="N140" s="398" t="n">
        <v>6005</v>
      </c>
      <c r="O140" s="398" t="n">
        <v>6005</v>
      </c>
      <c r="P140" s="292" t="n"/>
      <c r="Q140" s="292" t="inlineStr">
        <is>
          <t>原九部位资源库已登记</t>
        </is>
      </c>
      <c r="R140" s="324" t="inlineStr">
        <is>
          <t>C3-C10规划锁定：碎檐金羽镯</t>
        </is>
      </c>
      <c r="S140" s="292" t="inlineStr">
        <is>
          <t>装备素材套装代码表.xlsx（原九部位）</t>
        </is>
      </c>
      <c r="T140" s="292" t="inlineStr">
        <is>
          <t>同一代码用于 Items / StateItem / DnItems；属性与掉落另表定义。</t>
        </is>
      </c>
      <c r="U140">
        <f>IF(COUNTIF($B$2:$B$1076,B140)&gt;1,"重复","")</f>
        <v/>
      </c>
      <c r="V140">
        <f>IF(AND(OR(M140="",M140=B140),OR(N140="",N140=B140),OR(O140="",O140=B140)),"通过","不一致")</f>
        <v/>
      </c>
    </row>
    <row r="141" ht="22" customHeight="1">
      <c r="A141" s="398" t="n">
        <v>140</v>
      </c>
      <c r="B141" s="398" t="n">
        <v>6006</v>
      </c>
      <c r="C141" s="399" t="inlineStr">
        <is>
          <t>血月荆棘·月蚀</t>
        </is>
      </c>
      <c r="D141" s="399" t="inlineStr">
        <is>
          <t>血月荆棘</t>
        </is>
      </c>
      <c r="E141" s="399" t="n">
        <v>6</v>
      </c>
      <c r="F141" s="399" t="inlineStr">
        <is>
          <t>戒指</t>
        </is>
      </c>
      <c r="G141" s="398" t="n"/>
      <c r="H141" s="398" t="n"/>
      <c r="I141" s="398" t="n">
        <v>6006</v>
      </c>
      <c r="J141" s="398" t="n"/>
      <c r="K141" s="398" t="n"/>
      <c r="L141" s="398" t="n"/>
      <c r="M141" s="398" t="n">
        <v>6006</v>
      </c>
      <c r="N141" s="398" t="n">
        <v>6006</v>
      </c>
      <c r="O141" s="398" t="n">
        <v>6006</v>
      </c>
      <c r="P141" s="292" t="n"/>
      <c r="Q141" s="292" t="inlineStr">
        <is>
          <t>原九部位资源库已登记</t>
        </is>
      </c>
      <c r="R141" s="324" t="inlineStr">
        <is>
          <t>C3-C10规划锁定：听岩回声戒</t>
        </is>
      </c>
      <c r="S141" s="292" t="inlineStr">
        <is>
          <t>装备素材套装代码表.xlsx（原九部位）</t>
        </is>
      </c>
      <c r="T141" s="292" t="inlineStr">
        <is>
          <t>同一代码用于 Items / StateItem / DnItems；属性与掉落另表定义。</t>
        </is>
      </c>
      <c r="U141">
        <f>IF(COUNTIF($B$2:$B$1076,B141)&gt;1,"重复","")</f>
        <v/>
      </c>
      <c r="V141">
        <f>IF(AND(OR(M141="",M141=B141),OR(N141="",N141=B141),OR(O141="",O141=B141)),"通过","不一致")</f>
        <v/>
      </c>
    </row>
    <row r="142" ht="22" customHeight="1">
      <c r="A142" s="398" t="n">
        <v>141</v>
      </c>
      <c r="B142" s="398" t="n">
        <v>6007</v>
      </c>
      <c r="C142" s="399" t="inlineStr">
        <is>
          <t>血月荆棘·月蚀</t>
        </is>
      </c>
      <c r="D142" s="399" t="inlineStr">
        <is>
          <t>血月荆棘</t>
        </is>
      </c>
      <c r="E142" s="399" t="n">
        <v>6</v>
      </c>
      <c r="F142" s="399" t="inlineStr">
        <is>
          <t>盾牌</t>
        </is>
      </c>
      <c r="G142" s="398" t="n"/>
      <c r="H142" s="398" t="n"/>
      <c r="I142" s="398" t="n">
        <v>6007</v>
      </c>
      <c r="J142" s="398" t="n"/>
      <c r="K142" s="398" t="n"/>
      <c r="L142" s="398" t="n"/>
      <c r="M142" s="398" t="n">
        <v>6007</v>
      </c>
      <c r="N142" s="398" t="n">
        <v>6007</v>
      </c>
      <c r="O142" s="398" t="n">
        <v>6007</v>
      </c>
      <c r="P142" s="292" t="n"/>
      <c r="Q142" s="292" t="inlineStr">
        <is>
          <t>原九部位资源库已登记</t>
        </is>
      </c>
      <c r="R142" s="322" t="inlineStr">
        <is>
          <t>C1/C2现用：毒花巨盾</t>
        </is>
      </c>
      <c r="S142" s="292" t="inlineStr">
        <is>
          <t>装备素材套装代码表.xlsx（原九部位）</t>
        </is>
      </c>
      <c r="T142" s="292" t="inlineStr">
        <is>
          <t>同一代码用于 Items / StateItem / DnItems；属性与掉落另表定义。</t>
        </is>
      </c>
      <c r="U142">
        <f>IF(COUNTIF($B$2:$B$1076,B142)&gt;1,"重复","")</f>
        <v/>
      </c>
      <c r="V142">
        <f>IF(AND(OR(M142="",M142=B142),OR(N142="",N142=B142),OR(O142="",O142=B142)),"通过","不一致")</f>
        <v/>
      </c>
    </row>
    <row r="143" ht="22" customHeight="1">
      <c r="A143" s="398" t="n">
        <v>142</v>
      </c>
      <c r="B143" s="398" t="n">
        <v>6008</v>
      </c>
      <c r="C143" s="399" t="inlineStr">
        <is>
          <t>血月荆棘·月蚀</t>
        </is>
      </c>
      <c r="D143" s="399" t="inlineStr">
        <is>
          <t>血月荆棘</t>
        </is>
      </c>
      <c r="E143" s="399" t="n">
        <v>6</v>
      </c>
      <c r="F143" s="399" t="inlineStr">
        <is>
          <t>灵玉</t>
        </is>
      </c>
      <c r="G143" s="398" t="n"/>
      <c r="H143" s="398" t="n"/>
      <c r="I143" s="398" t="n">
        <v>6008</v>
      </c>
      <c r="J143" s="398" t="n"/>
      <c r="K143" s="398" t="n"/>
      <c r="L143" s="398" t="n"/>
      <c r="M143" s="398" t="n">
        <v>6008</v>
      </c>
      <c r="N143" s="398" t="n">
        <v>6008</v>
      </c>
      <c r="O143" s="398" t="n">
        <v>6008</v>
      </c>
      <c r="P143" s="292" t="n"/>
      <c r="Q143" s="292" t="inlineStr">
        <is>
          <t>原九部位资源库已登记</t>
        </is>
      </c>
      <c r="R143" s="292" t="str"/>
      <c r="S143" s="292" t="inlineStr">
        <is>
          <t>装备素材套装代码表.xlsx（原九部位）</t>
        </is>
      </c>
      <c r="T143" s="292" t="inlineStr">
        <is>
          <t>同一代码用于 Items / StateItem / DnItems；属性与掉落另表定义。</t>
        </is>
      </c>
      <c r="U143">
        <f>IF(COUNTIF($B$2:$B$1076,B143)&gt;1,"重复","")</f>
        <v/>
      </c>
      <c r="V143">
        <f>IF(AND(OR(M143="",M143=B143),OR(N143="",N143=B143),OR(O143="",O143=B143)),"通过","不一致")</f>
        <v/>
      </c>
    </row>
    <row r="144" ht="22" customHeight="1">
      <c r="A144" s="398" t="n">
        <v>143</v>
      </c>
      <c r="B144" s="398" t="n">
        <v>6009</v>
      </c>
      <c r="C144" s="399" t="inlineStr">
        <is>
          <t>血月荆棘·月蚀</t>
        </is>
      </c>
      <c r="D144" s="399" t="inlineStr">
        <is>
          <t>血月荆棘</t>
        </is>
      </c>
      <c r="E144" s="399" t="n">
        <v>6</v>
      </c>
      <c r="F144" s="399" t="inlineStr">
        <is>
          <t>鞋子</t>
        </is>
      </c>
      <c r="G144" s="398" t="n"/>
      <c r="H144" s="398" t="n"/>
      <c r="I144" s="398" t="n">
        <v>6009</v>
      </c>
      <c r="J144" s="398" t="n"/>
      <c r="K144" s="398" t="n"/>
      <c r="L144" s="398" t="n"/>
      <c r="M144" s="398" t="n">
        <v>6009</v>
      </c>
      <c r="N144" s="398" t="n">
        <v>6009</v>
      </c>
      <c r="O144" s="398" t="n">
        <v>6009</v>
      </c>
      <c r="P144" s="292" t="n"/>
      <c r="Q144" s="292" t="inlineStr">
        <is>
          <t>原九部位资源库已登记</t>
        </is>
      </c>
      <c r="R144" s="324" t="inlineStr">
        <is>
          <t>C3-C10规划锁定：负灯探脉靴</t>
        </is>
      </c>
      <c r="S144" s="292" t="inlineStr">
        <is>
          <t>装备素材套装代码表.xlsx（原九部位）</t>
        </is>
      </c>
      <c r="T144" s="292" t="inlineStr">
        <is>
          <t>同一代码用于 Items / StateItem / DnItems；属性与掉落另表定义。</t>
        </is>
      </c>
      <c r="U144">
        <f>IF(COUNTIF($B$2:$B$1076,B144)&gt;1,"重复","")</f>
        <v/>
      </c>
      <c r="V144">
        <f>IF(AND(OR(M144="",M144=B144),OR(N144="",N144=B144),OR(O144="",O144=B144)),"通过","不一致")</f>
        <v/>
      </c>
    </row>
    <row r="145" ht="22" customHeight="1">
      <c r="A145" s="398" t="n">
        <v>144</v>
      </c>
      <c r="B145" s="398" t="n">
        <v>6010</v>
      </c>
      <c r="C145" s="399" t="inlineStr">
        <is>
          <t>血月荆棘·月蚀</t>
        </is>
      </c>
      <c r="D145" s="399" t="inlineStr">
        <is>
          <t>血月荆棘</t>
        </is>
      </c>
      <c r="E145" s="399" t="n">
        <v>6</v>
      </c>
      <c r="F145" s="399" t="inlineStr">
        <is>
          <t>腰带</t>
        </is>
      </c>
      <c r="G145" s="398" t="n"/>
      <c r="H145" s="398" t="n"/>
      <c r="I145" s="398" t="n">
        <v>6010</v>
      </c>
      <c r="J145" s="398" t="n"/>
      <c r="K145" s="398" t="n"/>
      <c r="L145" s="398" t="n"/>
      <c r="M145" s="398" t="n">
        <v>6010</v>
      </c>
      <c r="N145" s="398" t="n">
        <v>6010</v>
      </c>
      <c r="O145" s="398" t="n">
        <v>6010</v>
      </c>
      <c r="P145" s="292" t="n"/>
      <c r="Q145" s="292" t="inlineStr">
        <is>
          <t>原九部位资源库已登记</t>
        </is>
      </c>
      <c r="R145" s="324" t="inlineStr">
        <is>
          <t>C3-C10规划锁定：盘阀锁流带</t>
        </is>
      </c>
      <c r="S145" s="292" t="inlineStr">
        <is>
          <t>装备素材套装代码表.xlsx（原九部位）</t>
        </is>
      </c>
      <c r="T145" s="292" t="inlineStr">
        <is>
          <t>同一代码用于 Items / StateItem / DnItems；属性与掉落另表定义。</t>
        </is>
      </c>
      <c r="U145">
        <f>IF(COUNTIF($B$2:$B$1076,B145)&gt;1,"重复","")</f>
        <v/>
      </c>
      <c r="V145">
        <f>IF(AND(OR(M145="",M145=B145),OR(N145="",N145=B145),OR(O145="",O145=B145)),"通过","不一致")</f>
        <v/>
      </c>
    </row>
    <row r="146" ht="22" customHeight="1">
      <c r="A146" s="398" t="n">
        <v>145</v>
      </c>
      <c r="B146" s="398" t="n">
        <v>6011</v>
      </c>
      <c r="C146" s="399" t="inlineStr">
        <is>
          <t>血月荆棘·王刺</t>
        </is>
      </c>
      <c r="D146" s="399" t="inlineStr">
        <is>
          <t>血月荆棘</t>
        </is>
      </c>
      <c r="E146" s="399" t="n">
        <v>7</v>
      </c>
      <c r="F146" s="399" t="inlineStr">
        <is>
          <t>勋章</t>
        </is>
      </c>
      <c r="G146" s="398" t="n"/>
      <c r="H146" s="398" t="n"/>
      <c r="I146" s="398" t="n">
        <v>6011</v>
      </c>
      <c r="J146" s="398" t="n"/>
      <c r="K146" s="398" t="n"/>
      <c r="L146" s="398" t="n"/>
      <c r="M146" s="398" t="n">
        <v>6011</v>
      </c>
      <c r="N146" s="398" t="n">
        <v>6011</v>
      </c>
      <c r="O146" s="398" t="n">
        <v>6011</v>
      </c>
      <c r="P146" s="292" t="n"/>
      <c r="Q146" s="292" t="inlineStr">
        <is>
          <t>原九部位资源库已登记</t>
        </is>
      </c>
      <c r="R146" s="292" t="str"/>
      <c r="S146" s="292" t="inlineStr">
        <is>
          <t>装备素材套装代码表.xlsx（原九部位）</t>
        </is>
      </c>
      <c r="T146" s="292" t="inlineStr">
        <is>
          <t>同一代码用于 Items / StateItem / DnItems；属性与掉落另表定义。</t>
        </is>
      </c>
      <c r="U146">
        <f>IF(COUNTIF($B$2:$B$1076,B146)&gt;1,"重复","")</f>
        <v/>
      </c>
      <c r="V146">
        <f>IF(AND(OR(M146="",M146=B146),OR(N146="",N146=B146),OR(O146="",O146=B146)),"通过","不一致")</f>
        <v/>
      </c>
    </row>
    <row r="147" ht="22" customHeight="1">
      <c r="A147" s="398" t="n">
        <v>146</v>
      </c>
      <c r="B147" s="398" t="n">
        <v>6012</v>
      </c>
      <c r="C147" s="399" t="inlineStr">
        <is>
          <t>血月荆棘·王刺</t>
        </is>
      </c>
      <c r="D147" s="399" t="inlineStr">
        <is>
          <t>血月荆棘</t>
        </is>
      </c>
      <c r="E147" s="399" t="n">
        <v>7</v>
      </c>
      <c r="F147" s="399" t="inlineStr">
        <is>
          <t>项链</t>
        </is>
      </c>
      <c r="G147" s="398" t="n"/>
      <c r="H147" s="398" t="n"/>
      <c r="I147" s="398" t="n">
        <v>6012</v>
      </c>
      <c r="J147" s="398" t="n"/>
      <c r="K147" s="398" t="n"/>
      <c r="L147" s="398" t="n"/>
      <c r="M147" s="398" t="n">
        <v>6012</v>
      </c>
      <c r="N147" s="398" t="n">
        <v>6012</v>
      </c>
      <c r="O147" s="398" t="n">
        <v>6012</v>
      </c>
      <c r="P147" s="292" t="n"/>
      <c r="Q147" s="292" t="inlineStr">
        <is>
          <t>原九部位资源库已登记</t>
        </is>
      </c>
      <c r="R147" s="324" t="inlineStr">
        <is>
          <t>C3-C10规划锁定：探脉听石坠</t>
        </is>
      </c>
      <c r="S147" s="292" t="inlineStr">
        <is>
          <t>装备素材套装代码表.xlsx（原九部位）</t>
        </is>
      </c>
      <c r="T147" s="292" t="inlineStr">
        <is>
          <t>同一代码用于 Items / StateItem / DnItems；属性与掉落另表定义。</t>
        </is>
      </c>
      <c r="U147">
        <f>IF(COUNTIF($B$2:$B$1076,B147)&gt;1,"重复","")</f>
        <v/>
      </c>
      <c r="V147">
        <f>IF(AND(OR(M147="",M147=B147),OR(N147="",N147=B147),OR(O147="",O147=B147)),"通过","不一致")</f>
        <v/>
      </c>
    </row>
    <row r="148" ht="22" customHeight="1">
      <c r="A148" s="398" t="n">
        <v>147</v>
      </c>
      <c r="B148" s="398" t="n">
        <v>6013</v>
      </c>
      <c r="C148" s="399" t="inlineStr">
        <is>
          <t>血月荆棘·王刺</t>
        </is>
      </c>
      <c r="D148" s="399" t="inlineStr">
        <is>
          <t>血月荆棘</t>
        </is>
      </c>
      <c r="E148" s="399" t="n">
        <v>7</v>
      </c>
      <c r="F148" s="399" t="inlineStr">
        <is>
          <t>头盔</t>
        </is>
      </c>
      <c r="G148" s="398" t="n"/>
      <c r="H148" s="398" t="n"/>
      <c r="I148" s="398" t="n">
        <v>6013</v>
      </c>
      <c r="J148" s="398" t="n"/>
      <c r="K148" s="398" t="n"/>
      <c r="L148" s="398" t="n"/>
      <c r="M148" s="398" t="n">
        <v>6013</v>
      </c>
      <c r="N148" s="398" t="n">
        <v>6013</v>
      </c>
      <c r="O148" s="398" t="n">
        <v>6013</v>
      </c>
      <c r="P148" s="292" t="n"/>
      <c r="Q148" s="292" t="inlineStr">
        <is>
          <t>原九部位资源库已登记</t>
        </is>
      </c>
      <c r="R148" s="324" t="inlineStr">
        <is>
          <t>C3-C10规划锁定：哑钟监工盔</t>
        </is>
      </c>
      <c r="S148" s="292" t="inlineStr">
        <is>
          <t>装备素材套装代码表.xlsx（原九部位）</t>
        </is>
      </c>
      <c r="T148" s="292" t="inlineStr">
        <is>
          <t>同一代码用于 Items / StateItem / DnItems；属性与掉落另表定义。</t>
        </is>
      </c>
      <c r="U148">
        <f>IF(COUNTIF($B$2:$B$1076,B148)&gt;1,"重复","")</f>
        <v/>
      </c>
      <c r="V148">
        <f>IF(AND(OR(M148="",M148=B148),OR(N148="",N148=B148),OR(O148="",O148=B148)),"通过","不一致")</f>
        <v/>
      </c>
    </row>
    <row r="149" ht="22" customHeight="1">
      <c r="A149" s="398" t="n">
        <v>148</v>
      </c>
      <c r="B149" s="398" t="n">
        <v>6014</v>
      </c>
      <c r="C149" s="399" t="inlineStr">
        <is>
          <t>血月荆棘·王刺</t>
        </is>
      </c>
      <c r="D149" s="399" t="inlineStr">
        <is>
          <t>血月荆棘</t>
        </is>
      </c>
      <c r="E149" s="399" t="n">
        <v>7</v>
      </c>
      <c r="F149" s="399" t="inlineStr">
        <is>
          <t>手镯</t>
        </is>
      </c>
      <c r="G149" s="398" t="n"/>
      <c r="H149" s="398" t="n"/>
      <c r="I149" s="398" t="n">
        <v>6014</v>
      </c>
      <c r="J149" s="398" t="n"/>
      <c r="K149" s="398" t="n"/>
      <c r="L149" s="398" t="n"/>
      <c r="M149" s="398" t="n">
        <v>6014</v>
      </c>
      <c r="N149" s="398" t="n">
        <v>6014</v>
      </c>
      <c r="O149" s="398" t="n">
        <v>6014</v>
      </c>
      <c r="P149" s="292" t="n"/>
      <c r="Q149" s="292" t="inlineStr">
        <is>
          <t>原九部位资源库已登记</t>
        </is>
      </c>
      <c r="R149" s="324" t="inlineStr">
        <is>
          <t>C3-C10规划锁定：脓潮镀金腕</t>
        </is>
      </c>
      <c r="S149" s="292" t="inlineStr">
        <is>
          <t>装备素材套装代码表.xlsx（原九部位）</t>
        </is>
      </c>
      <c r="T149" s="292" t="inlineStr">
        <is>
          <t>同一代码用于 Items / StateItem / DnItems；属性与掉落另表定义。</t>
        </is>
      </c>
      <c r="U149">
        <f>IF(COUNTIF($B$2:$B$1076,B149)&gt;1,"重复","")</f>
        <v/>
      </c>
      <c r="V149">
        <f>IF(AND(OR(M149="",M149=B149),OR(N149="",N149=B149),OR(O149="",O149=B149)),"通过","不一致")</f>
        <v/>
      </c>
    </row>
    <row r="150" ht="22" customHeight="1">
      <c r="A150" s="398" t="n">
        <v>149</v>
      </c>
      <c r="B150" s="398" t="n">
        <v>6015</v>
      </c>
      <c r="C150" s="399" t="inlineStr">
        <is>
          <t>血月荆棘·王刺</t>
        </is>
      </c>
      <c r="D150" s="399" t="inlineStr">
        <is>
          <t>血月荆棘</t>
        </is>
      </c>
      <c r="E150" s="399" t="n">
        <v>7</v>
      </c>
      <c r="F150" s="399" t="inlineStr">
        <is>
          <t>戒指</t>
        </is>
      </c>
      <c r="G150" s="398" t="n"/>
      <c r="H150" s="398" t="n"/>
      <c r="I150" s="398" t="n">
        <v>6015</v>
      </c>
      <c r="J150" s="398" t="n"/>
      <c r="K150" s="398" t="n"/>
      <c r="L150" s="398" t="n"/>
      <c r="M150" s="398" t="n">
        <v>6015</v>
      </c>
      <c r="N150" s="398" t="n">
        <v>6015</v>
      </c>
      <c r="O150" s="398" t="n">
        <v>6015</v>
      </c>
      <c r="P150" s="292" t="n"/>
      <c r="Q150" s="292" t="inlineStr">
        <is>
          <t>原九部位资源库已登记</t>
        </is>
      </c>
      <c r="R150" s="324" t="inlineStr">
        <is>
          <t>C3-C10规划锁定：守印妃金戒</t>
        </is>
      </c>
      <c r="S150" s="292" t="inlineStr">
        <is>
          <t>装备素材套装代码表.xlsx（原九部位）</t>
        </is>
      </c>
      <c r="T150" s="292" t="inlineStr">
        <is>
          <t>同一代码用于 Items / StateItem / DnItems；属性与掉落另表定义。</t>
        </is>
      </c>
      <c r="U150">
        <f>IF(COUNTIF($B$2:$B$1076,B150)&gt;1,"重复","")</f>
        <v/>
      </c>
      <c r="V150">
        <f>IF(AND(OR(M150="",M150=B150),OR(N150="",N150=B150),OR(O150="",O150=B150)),"通过","不一致")</f>
        <v/>
      </c>
    </row>
    <row r="151" ht="22" customHeight="1">
      <c r="A151" s="398" t="n">
        <v>150</v>
      </c>
      <c r="B151" s="398" t="n">
        <v>6016</v>
      </c>
      <c r="C151" s="399" t="inlineStr">
        <is>
          <t>血月荆棘·王刺</t>
        </is>
      </c>
      <c r="D151" s="399" t="inlineStr">
        <is>
          <t>血月荆棘</t>
        </is>
      </c>
      <c r="E151" s="399" t="n">
        <v>7</v>
      </c>
      <c r="F151" s="399" t="inlineStr">
        <is>
          <t>盾牌</t>
        </is>
      </c>
      <c r="G151" s="398" t="n"/>
      <c r="H151" s="398" t="n"/>
      <c r="I151" s="398" t="n">
        <v>6016</v>
      </c>
      <c r="J151" s="398" t="n"/>
      <c r="K151" s="398" t="n"/>
      <c r="L151" s="398" t="n"/>
      <c r="M151" s="398" t="n">
        <v>6016</v>
      </c>
      <c r="N151" s="398" t="n">
        <v>6016</v>
      </c>
      <c r="O151" s="398" t="n">
        <v>6016</v>
      </c>
      <c r="P151" s="292" t="n"/>
      <c r="Q151" s="292" t="inlineStr">
        <is>
          <t>原九部位资源库已登记</t>
        </is>
      </c>
      <c r="R151" s="324" t="inlineStr">
        <is>
          <t>C3-C10规划锁定：沉闸铜面盾</t>
        </is>
      </c>
      <c r="S151" s="292" t="inlineStr">
        <is>
          <t>装备素材套装代码表.xlsx（原九部位）</t>
        </is>
      </c>
      <c r="T151" s="292" t="inlineStr">
        <is>
          <t>同一代码用于 Items / StateItem / DnItems；属性与掉落另表定义。</t>
        </is>
      </c>
      <c r="U151">
        <f>IF(COUNTIF($B$2:$B$1076,B151)&gt;1,"重复","")</f>
        <v/>
      </c>
      <c r="V151">
        <f>IF(AND(OR(M151="",M151=B151),OR(N151="",N151=B151),OR(O151="",O151=B151)),"通过","不一致")</f>
        <v/>
      </c>
    </row>
    <row r="152" ht="22" customHeight="1">
      <c r="A152" s="398" t="n">
        <v>151</v>
      </c>
      <c r="B152" s="398" t="n">
        <v>6017</v>
      </c>
      <c r="C152" s="399" t="inlineStr">
        <is>
          <t>血月荆棘·王刺</t>
        </is>
      </c>
      <c r="D152" s="399" t="inlineStr">
        <is>
          <t>血月荆棘</t>
        </is>
      </c>
      <c r="E152" s="399" t="n">
        <v>7</v>
      </c>
      <c r="F152" s="399" t="inlineStr">
        <is>
          <t>灵玉</t>
        </is>
      </c>
      <c r="G152" s="398" t="n"/>
      <c r="H152" s="398" t="n"/>
      <c r="I152" s="398" t="n">
        <v>6017</v>
      </c>
      <c r="J152" s="398" t="n"/>
      <c r="K152" s="398" t="n"/>
      <c r="L152" s="398" t="n"/>
      <c r="M152" s="398" t="n">
        <v>6017</v>
      </c>
      <c r="N152" s="398" t="n">
        <v>6017</v>
      </c>
      <c r="O152" s="398" t="n">
        <v>6017</v>
      </c>
      <c r="P152" s="292" t="n"/>
      <c r="Q152" s="292" t="inlineStr">
        <is>
          <t>原九部位资源库已登记</t>
        </is>
      </c>
      <c r="R152" s="322" t="inlineStr">
        <is>
          <t>C1/C2现用：黑焰王玉</t>
        </is>
      </c>
      <c r="S152" s="292" t="inlineStr">
        <is>
          <t>装备素材套装代码表.xlsx（原九部位）</t>
        </is>
      </c>
      <c r="T152" s="292" t="inlineStr">
        <is>
          <t>同一代码用于 Items / StateItem / DnItems；属性与掉落另表定义。</t>
        </is>
      </c>
      <c r="U152">
        <f>IF(COUNTIF($B$2:$B$1076,B152)&gt;1,"重复","")</f>
        <v/>
      </c>
      <c r="V152">
        <f>IF(AND(OR(M152="",M152=B152),OR(N152="",N152=B152),OR(O152="",O152=B152)),"通过","不一致")</f>
        <v/>
      </c>
    </row>
    <row r="153" ht="22" customHeight="1">
      <c r="A153" s="398" t="n">
        <v>152</v>
      </c>
      <c r="B153" s="398" t="n">
        <v>6018</v>
      </c>
      <c r="C153" s="399" t="inlineStr">
        <is>
          <t>血月荆棘·王刺</t>
        </is>
      </c>
      <c r="D153" s="399" t="inlineStr">
        <is>
          <t>血月荆棘</t>
        </is>
      </c>
      <c r="E153" s="399" t="n">
        <v>7</v>
      </c>
      <c r="F153" s="399" t="inlineStr">
        <is>
          <t>鞋子</t>
        </is>
      </c>
      <c r="G153" s="398" t="n"/>
      <c r="H153" s="398" t="n"/>
      <c r="I153" s="398" t="n">
        <v>6018</v>
      </c>
      <c r="J153" s="398" t="n"/>
      <c r="K153" s="398" t="n"/>
      <c r="L153" s="398" t="n"/>
      <c r="M153" s="398" t="n">
        <v>6018</v>
      </c>
      <c r="N153" s="398" t="n">
        <v>6018</v>
      </c>
      <c r="O153" s="398" t="n">
        <v>6018</v>
      </c>
      <c r="P153" s="292" t="n"/>
      <c r="Q153" s="292" t="inlineStr">
        <is>
          <t>原九部位资源库已登记</t>
        </is>
      </c>
      <c r="R153" s="324" t="inlineStr">
        <is>
          <t>C3-C10规划锁定：枕陵掘痕靴</t>
        </is>
      </c>
      <c r="S153" s="292" t="inlineStr">
        <is>
          <t>装备素材套装代码表.xlsx（原九部位）</t>
        </is>
      </c>
      <c r="T153" s="292" t="inlineStr">
        <is>
          <t>同一代码用于 Items / StateItem / DnItems；属性与掉落另表定义。</t>
        </is>
      </c>
      <c r="U153">
        <f>IF(COUNTIF($B$2:$B$1076,B153)&gt;1,"重复","")</f>
        <v/>
      </c>
      <c r="V153">
        <f>IF(AND(OR(M153="",M153=B153),OR(N153="",N153=B153),OR(O153="",O153=B153)),"通过","不一致")</f>
        <v/>
      </c>
    </row>
    <row r="154" ht="22" customHeight="1">
      <c r="A154" s="398" t="n">
        <v>153</v>
      </c>
      <c r="B154" s="398" t="n">
        <v>6019</v>
      </c>
      <c r="C154" s="399" t="inlineStr">
        <is>
          <t>血月荆棘·王刺</t>
        </is>
      </c>
      <c r="D154" s="399" t="inlineStr">
        <is>
          <t>血月荆棘</t>
        </is>
      </c>
      <c r="E154" s="399" t="n">
        <v>7</v>
      </c>
      <c r="F154" s="399" t="inlineStr">
        <is>
          <t>腰带</t>
        </is>
      </c>
      <c r="G154" s="398" t="n"/>
      <c r="H154" s="398" t="n"/>
      <c r="I154" s="398" t="n">
        <v>6019</v>
      </c>
      <c r="J154" s="398" t="n"/>
      <c r="K154" s="398" t="n"/>
      <c r="L154" s="398" t="n"/>
      <c r="M154" s="398" t="n">
        <v>6019</v>
      </c>
      <c r="N154" s="398" t="n">
        <v>6019</v>
      </c>
      <c r="O154" s="398" t="n">
        <v>6019</v>
      </c>
      <c r="P154" s="292" t="n"/>
      <c r="Q154" s="292" t="inlineStr">
        <is>
          <t>原九部位资源库已登记</t>
        </is>
      </c>
      <c r="R154" s="324" t="inlineStr">
        <is>
          <t>C3-C10规划锁定：鎏面监坑腰封</t>
        </is>
      </c>
      <c r="S154" s="292" t="inlineStr">
        <is>
          <t>装备素材套装代码表.xlsx（原九部位）</t>
        </is>
      </c>
      <c r="T154" s="292" t="inlineStr">
        <is>
          <t>同一代码用于 Items / StateItem / DnItems；属性与掉落另表定义。</t>
        </is>
      </c>
      <c r="U154">
        <f>IF(COUNTIF($B$2:$B$1076,B154)&gt;1,"重复","")</f>
        <v/>
      </c>
      <c r="V154">
        <f>IF(AND(OR(M154="",M154=B154),OR(N154="",N154=B154),OR(O154="",O154=B154)),"通过","不一致")</f>
        <v/>
      </c>
    </row>
    <row r="155" ht="22" customHeight="1">
      <c r="A155" s="398" t="n">
        <v>154</v>
      </c>
      <c r="B155" s="398" t="n">
        <v>6020</v>
      </c>
      <c r="C155" s="399" t="inlineStr">
        <is>
          <t>血月荆棘·灾焰</t>
        </is>
      </c>
      <c r="D155" s="399" t="inlineStr">
        <is>
          <t>血月荆棘</t>
        </is>
      </c>
      <c r="E155" s="399" t="n">
        <v>8</v>
      </c>
      <c r="F155" s="399" t="inlineStr">
        <is>
          <t>勋章</t>
        </is>
      </c>
      <c r="G155" s="398" t="n"/>
      <c r="H155" s="398" t="n"/>
      <c r="I155" s="398" t="n">
        <v>6020</v>
      </c>
      <c r="J155" s="398" t="n"/>
      <c r="K155" s="398" t="n"/>
      <c r="L155" s="398" t="n"/>
      <c r="M155" s="398" t="n">
        <v>6020</v>
      </c>
      <c r="N155" s="398" t="n">
        <v>6020</v>
      </c>
      <c r="O155" s="398" t="n">
        <v>6020</v>
      </c>
      <c r="P155" s="292" t="n"/>
      <c r="Q155" s="292" t="inlineStr">
        <is>
          <t>原九部位资源库已登记</t>
        </is>
      </c>
      <c r="R155" s="292" t="str"/>
      <c r="S155" s="292" t="inlineStr">
        <is>
          <t>装备素材套装代码表.xlsx（原九部位）</t>
        </is>
      </c>
      <c r="T155" s="292" t="inlineStr">
        <is>
          <t>同一代码用于 Items / StateItem / DnItems；属性与掉落另表定义。</t>
        </is>
      </c>
      <c r="U155">
        <f>IF(COUNTIF($B$2:$B$1076,B155)&gt;1,"重复","")</f>
        <v/>
      </c>
      <c r="V155">
        <f>IF(AND(OR(M155="",M155=B155),OR(N155="",N155=B155),OR(O155="",O155=B155)),"通过","不一致")</f>
        <v/>
      </c>
    </row>
    <row r="156" ht="22" customHeight="1">
      <c r="A156" s="398" t="n">
        <v>155</v>
      </c>
      <c r="B156" s="398" t="n">
        <v>6021</v>
      </c>
      <c r="C156" s="399" t="inlineStr">
        <is>
          <t>血月荆棘·灾焰</t>
        </is>
      </c>
      <c r="D156" s="399" t="inlineStr">
        <is>
          <t>血月荆棘</t>
        </is>
      </c>
      <c r="E156" s="399" t="n">
        <v>8</v>
      </c>
      <c r="F156" s="399" t="inlineStr">
        <is>
          <t>项链</t>
        </is>
      </c>
      <c r="G156" s="398" t="n"/>
      <c r="H156" s="398" t="n"/>
      <c r="I156" s="398" t="n">
        <v>6021</v>
      </c>
      <c r="J156" s="398" t="n"/>
      <c r="K156" s="398" t="n"/>
      <c r="L156" s="398" t="n"/>
      <c r="M156" s="398" t="n">
        <v>6021</v>
      </c>
      <c r="N156" s="398" t="n">
        <v>6021</v>
      </c>
      <c r="O156" s="398" t="n">
        <v>6021</v>
      </c>
      <c r="P156" s="292" t="n"/>
      <c r="Q156" s="292" t="inlineStr">
        <is>
          <t>原九部位资源库已登记</t>
        </is>
      </c>
      <c r="R156" s="324" t="inlineStr">
        <is>
          <t>C3-C10规划锁定：壁龛守烛坠</t>
        </is>
      </c>
      <c r="S156" s="292" t="inlineStr">
        <is>
          <t>装备素材套装代码表.xlsx（原九部位）</t>
        </is>
      </c>
      <c r="T156" s="292" t="inlineStr">
        <is>
          <t>同一代码用于 Items / StateItem / DnItems；属性与掉落另表定义。</t>
        </is>
      </c>
      <c r="U156">
        <f>IF(COUNTIF($B$2:$B$1076,B156)&gt;1,"重复","")</f>
        <v/>
      </c>
      <c r="V156">
        <f>IF(AND(OR(M156="",M156=B156),OR(N156="",N156=B156),OR(O156="",O156=B156)),"通过","不一致")</f>
        <v/>
      </c>
    </row>
    <row r="157" ht="22" customHeight="1">
      <c r="A157" s="398" t="n">
        <v>156</v>
      </c>
      <c r="B157" s="398" t="n">
        <v>6022</v>
      </c>
      <c r="C157" s="399" t="inlineStr">
        <is>
          <t>血月荆棘·灾焰</t>
        </is>
      </c>
      <c r="D157" s="399" t="inlineStr">
        <is>
          <t>血月荆棘</t>
        </is>
      </c>
      <c r="E157" s="399" t="n">
        <v>8</v>
      </c>
      <c r="F157" s="399" t="inlineStr">
        <is>
          <t>头盔</t>
        </is>
      </c>
      <c r="G157" s="398" t="n"/>
      <c r="H157" s="398" t="n"/>
      <c r="I157" s="398" t="n">
        <v>6022</v>
      </c>
      <c r="J157" s="398" t="n"/>
      <c r="K157" s="398" t="n"/>
      <c r="L157" s="398" t="n"/>
      <c r="M157" s="398" t="n">
        <v>6022</v>
      </c>
      <c r="N157" s="398" t="n">
        <v>6022</v>
      </c>
      <c r="O157" s="398" t="n">
        <v>6022</v>
      </c>
      <c r="P157" s="292" t="n"/>
      <c r="Q157" s="292" t="inlineStr">
        <is>
          <t>原九部位资源库已登记</t>
        </is>
      </c>
      <c r="R157" s="324" t="inlineStr">
        <is>
          <t>C3-C10规划锁定：无面近卫盔</t>
        </is>
      </c>
      <c r="S157" s="292" t="inlineStr">
        <is>
          <t>装备素材套装代码表.xlsx（原九部位）</t>
        </is>
      </c>
      <c r="T157" s="292" t="inlineStr">
        <is>
          <t>同一代码用于 Items / StateItem / DnItems；属性与掉落另表定义。</t>
        </is>
      </c>
      <c r="U157">
        <f>IF(COUNTIF($B$2:$B$1076,B157)&gt;1,"重复","")</f>
        <v/>
      </c>
      <c r="V157">
        <f>IF(AND(OR(M157="",M157=B157),OR(N157="",N157=B157),OR(O157="",O157=B157)),"通过","不一致")</f>
        <v/>
      </c>
    </row>
    <row r="158" ht="22" customHeight="1">
      <c r="A158" s="398" t="n">
        <v>157</v>
      </c>
      <c r="B158" s="398" t="n">
        <v>6023</v>
      </c>
      <c r="C158" s="399" t="inlineStr">
        <is>
          <t>血月荆棘·灾焰</t>
        </is>
      </c>
      <c r="D158" s="399" t="inlineStr">
        <is>
          <t>血月荆棘</t>
        </is>
      </c>
      <c r="E158" s="399" t="n">
        <v>8</v>
      </c>
      <c r="F158" s="399" t="inlineStr">
        <is>
          <t>手镯</t>
        </is>
      </c>
      <c r="G158" s="398" t="n"/>
      <c r="H158" s="398" t="n"/>
      <c r="I158" s="398" t="n">
        <v>6023</v>
      </c>
      <c r="J158" s="398" t="n"/>
      <c r="K158" s="398" t="n"/>
      <c r="L158" s="398" t="n"/>
      <c r="M158" s="398" t="n">
        <v>6023</v>
      </c>
      <c r="N158" s="398" t="n">
        <v>6023</v>
      </c>
      <c r="O158" s="398" t="n">
        <v>6023</v>
      </c>
      <c r="P158" s="292" t="n"/>
      <c r="Q158" s="292" t="inlineStr">
        <is>
          <t>原九部位资源库已登记</t>
        </is>
      </c>
      <c r="R158" s="324" t="inlineStr">
        <is>
          <t>C3-C10规划锁定：空炉渣火镯</t>
        </is>
      </c>
      <c r="S158" s="292" t="inlineStr">
        <is>
          <t>装备素材套装代码表.xlsx（原九部位）</t>
        </is>
      </c>
      <c r="T158" s="292" t="inlineStr">
        <is>
          <t>同一代码用于 Items / StateItem / DnItems；属性与掉落另表定义。</t>
        </is>
      </c>
      <c r="U158">
        <f>IF(COUNTIF($B$2:$B$1076,B158)&gt;1,"重复","")</f>
        <v/>
      </c>
      <c r="V158">
        <f>IF(AND(OR(M158="",M158=B158),OR(N158="",N158=B158),OR(O158="",O158=B158)),"通过","不一致")</f>
        <v/>
      </c>
    </row>
    <row r="159" ht="22" customHeight="1">
      <c r="A159" s="398" t="n">
        <v>158</v>
      </c>
      <c r="B159" s="398" t="n">
        <v>6024</v>
      </c>
      <c r="C159" s="399" t="inlineStr">
        <is>
          <t>血月荆棘·灾焰</t>
        </is>
      </c>
      <c r="D159" s="399" t="inlineStr">
        <is>
          <t>血月荆棘</t>
        </is>
      </c>
      <c r="E159" s="399" t="n">
        <v>8</v>
      </c>
      <c r="F159" s="399" t="inlineStr">
        <is>
          <t>戒指</t>
        </is>
      </c>
      <c r="G159" s="398" t="n"/>
      <c r="H159" s="398" t="n"/>
      <c r="I159" s="398" t="n">
        <v>6024</v>
      </c>
      <c r="J159" s="398" t="n"/>
      <c r="K159" s="398" t="n"/>
      <c r="L159" s="398" t="n"/>
      <c r="M159" s="398" t="n">
        <v>6024</v>
      </c>
      <c r="N159" s="398" t="n">
        <v>6024</v>
      </c>
      <c r="O159" s="398" t="n">
        <v>6024</v>
      </c>
      <c r="P159" s="292" t="n"/>
      <c r="Q159" s="292" t="inlineStr">
        <is>
          <t>原九部位资源库已登记</t>
        </is>
      </c>
      <c r="R159" s="324" t="inlineStr">
        <is>
          <t>C3-C10规划锁定：逐光姬曜戒</t>
        </is>
      </c>
      <c r="S159" s="292" t="inlineStr">
        <is>
          <t>装备素材套装代码表.xlsx（原九部位）</t>
        </is>
      </c>
      <c r="T159" s="292" t="inlineStr">
        <is>
          <t>同一代码用于 Items / StateItem / DnItems；属性与掉落另表定义。</t>
        </is>
      </c>
      <c r="U159">
        <f>IF(COUNTIF($B$2:$B$1076,B159)&gt;1,"重复","")</f>
        <v/>
      </c>
      <c r="V159">
        <f>IF(AND(OR(M159="",M159=B159),OR(N159="",N159=B159),OR(O159="",O159=B159)),"通过","不一致")</f>
        <v/>
      </c>
    </row>
    <row r="160" ht="22" customHeight="1">
      <c r="A160" s="398" t="n">
        <v>159</v>
      </c>
      <c r="B160" s="398" t="n">
        <v>6025</v>
      </c>
      <c r="C160" s="399" t="inlineStr">
        <is>
          <t>血月荆棘·灾焰</t>
        </is>
      </c>
      <c r="D160" s="399" t="inlineStr">
        <is>
          <t>血月荆棘</t>
        </is>
      </c>
      <c r="E160" s="399" t="n">
        <v>8</v>
      </c>
      <c r="F160" s="399" t="inlineStr">
        <is>
          <t>盾牌</t>
        </is>
      </c>
      <c r="G160" s="398" t="n"/>
      <c r="H160" s="398" t="n"/>
      <c r="I160" s="398" t="n">
        <v>6025</v>
      </c>
      <c r="J160" s="398" t="n"/>
      <c r="K160" s="398" t="n"/>
      <c r="L160" s="398" t="n"/>
      <c r="M160" s="398" t="n">
        <v>6025</v>
      </c>
      <c r="N160" s="398" t="n">
        <v>6025</v>
      </c>
      <c r="O160" s="398" t="n">
        <v>6025</v>
      </c>
      <c r="P160" s="292" t="n"/>
      <c r="Q160" s="292" t="inlineStr">
        <is>
          <t>原九部位资源库已登记</t>
        </is>
      </c>
      <c r="R160" s="324" t="inlineStr">
        <is>
          <t>C3-C10规划锁定：逆流剥甲盾</t>
        </is>
      </c>
      <c r="S160" s="292" t="inlineStr">
        <is>
          <t>装备素材套装代码表.xlsx（原九部位）</t>
        </is>
      </c>
      <c r="T160" s="292" t="inlineStr">
        <is>
          <t>同一代码用于 Items / StateItem / DnItems；属性与掉落另表定义。</t>
        </is>
      </c>
      <c r="U160">
        <f>IF(COUNTIF($B$2:$B$1076,B160)&gt;1,"重复","")</f>
        <v/>
      </c>
      <c r="V160">
        <f>IF(AND(OR(M160="",M160=B160),OR(N160="",N160=B160),OR(O160="",O160=B160)),"通过","不一致")</f>
        <v/>
      </c>
    </row>
    <row r="161" ht="22" customHeight="1">
      <c r="A161" s="398" t="n">
        <v>160</v>
      </c>
      <c r="B161" s="398" t="n">
        <v>6026</v>
      </c>
      <c r="C161" s="399" t="inlineStr">
        <is>
          <t>血月荆棘·灾焰</t>
        </is>
      </c>
      <c r="D161" s="399" t="inlineStr">
        <is>
          <t>血月荆棘</t>
        </is>
      </c>
      <c r="E161" s="399" t="n">
        <v>8</v>
      </c>
      <c r="F161" s="399" t="inlineStr">
        <is>
          <t>灵玉</t>
        </is>
      </c>
      <c r="G161" s="398" t="n"/>
      <c r="H161" s="398" t="n"/>
      <c r="I161" s="398" t="n">
        <v>6026</v>
      </c>
      <c r="J161" s="398" t="n"/>
      <c r="K161" s="398" t="n"/>
      <c r="L161" s="398" t="n"/>
      <c r="M161" s="398" t="n">
        <v>6026</v>
      </c>
      <c r="N161" s="398" t="n">
        <v>6026</v>
      </c>
      <c r="O161" s="398" t="n">
        <v>6026</v>
      </c>
      <c r="P161" s="292" t="n"/>
      <c r="Q161" s="292" t="inlineStr">
        <is>
          <t>原九部位资源库已登记</t>
        </is>
      </c>
      <c r="R161" s="292" t="str"/>
      <c r="S161" s="292" t="inlineStr">
        <is>
          <t>装备素材套装代码表.xlsx（原九部位）</t>
        </is>
      </c>
      <c r="T161" s="292" t="inlineStr">
        <is>
          <t>同一代码用于 Items / StateItem / DnItems；属性与掉落另表定义。</t>
        </is>
      </c>
      <c r="U161">
        <f>IF(COUNTIF($B$2:$B$1076,B161)&gt;1,"重复","")</f>
        <v/>
      </c>
      <c r="V161">
        <f>IF(AND(OR(M161="",M161=B161),OR(N161="",N161=B161),OR(O161="",O161=B161)),"通过","不一致")</f>
        <v/>
      </c>
    </row>
    <row r="162" ht="22" customHeight="1">
      <c r="A162" s="398" t="n">
        <v>161</v>
      </c>
      <c r="B162" s="398" t="n">
        <v>6027</v>
      </c>
      <c r="C162" s="399" t="inlineStr">
        <is>
          <t>血月荆棘·灾焰</t>
        </is>
      </c>
      <c r="D162" s="399" t="inlineStr">
        <is>
          <t>血月荆棘</t>
        </is>
      </c>
      <c r="E162" s="399" t="n">
        <v>8</v>
      </c>
      <c r="F162" s="399" t="inlineStr">
        <is>
          <t>鞋子</t>
        </is>
      </c>
      <c r="G162" s="398" t="n"/>
      <c r="H162" s="398" t="n"/>
      <c r="I162" s="398" t="n">
        <v>6027</v>
      </c>
      <c r="J162" s="398" t="n"/>
      <c r="K162" s="398" t="n"/>
      <c r="L162" s="398" t="n"/>
      <c r="M162" s="398" t="n">
        <v>6027</v>
      </c>
      <c r="N162" s="398" t="n">
        <v>6027</v>
      </c>
      <c r="O162" s="398" t="n">
        <v>6027</v>
      </c>
      <c r="P162" s="292" t="n"/>
      <c r="Q162" s="292" t="inlineStr">
        <is>
          <t>原九部位资源库已登记</t>
        </is>
      </c>
      <c r="R162" s="322" t="inlineStr">
        <is>
          <t>C1/C2现用：失乡战靴</t>
        </is>
      </c>
      <c r="S162" s="292" t="inlineStr">
        <is>
          <t>装备素材套装代码表.xlsx（原九部位）</t>
        </is>
      </c>
      <c r="T162" s="292" t="inlineStr">
        <is>
          <t>同一代码用于 Items / StateItem / DnItems；属性与掉落另表定义。</t>
        </is>
      </c>
      <c r="U162">
        <f>IF(COUNTIF($B$2:$B$1076,B162)&gt;1,"重复","")</f>
        <v/>
      </c>
      <c r="V162">
        <f>IF(AND(OR(M162="",M162=B162),OR(N162="",N162=B162),OR(O162="",O162=B162)),"通过","不一致")</f>
        <v/>
      </c>
    </row>
    <row r="163" ht="22" customHeight="1">
      <c r="A163" s="398" t="n">
        <v>162</v>
      </c>
      <c r="B163" s="398" t="n">
        <v>6028</v>
      </c>
      <c r="C163" s="399" t="inlineStr">
        <is>
          <t>血月荆棘·灾焰</t>
        </is>
      </c>
      <c r="D163" s="399" t="inlineStr">
        <is>
          <t>血月荆棘</t>
        </is>
      </c>
      <c r="E163" s="399" t="n">
        <v>8</v>
      </c>
      <c r="F163" s="399" t="inlineStr">
        <is>
          <t>腰带</t>
        </is>
      </c>
      <c r="G163" s="398" t="n"/>
      <c r="H163" s="398" t="n"/>
      <c r="I163" s="398" t="n">
        <v>6028</v>
      </c>
      <c r="J163" s="398" t="n"/>
      <c r="K163" s="398" t="n"/>
      <c r="L163" s="398" t="n"/>
      <c r="M163" s="398" t="n">
        <v>6028</v>
      </c>
      <c r="N163" s="398" t="n">
        <v>6028</v>
      </c>
      <c r="O163" s="398" t="n">
        <v>6028</v>
      </c>
      <c r="P163" s="292" t="n"/>
      <c r="Q163" s="292" t="inlineStr">
        <is>
          <t>原九部位资源库已登记</t>
        </is>
      </c>
      <c r="R163" s="324" t="inlineStr">
        <is>
          <t>C3-C10规划锁定：断碑驮棺带</t>
        </is>
      </c>
      <c r="S163" s="292" t="inlineStr">
        <is>
          <t>装备素材套装代码表.xlsx（原九部位）</t>
        </is>
      </c>
      <c r="T163" s="292" t="inlineStr">
        <is>
          <t>同一代码用于 Items / StateItem / DnItems；属性与掉落另表定义。</t>
        </is>
      </c>
      <c r="U163">
        <f>IF(COUNTIF($B$2:$B$1076,B163)&gt;1,"重复","")</f>
        <v/>
      </c>
      <c r="V163">
        <f>IF(AND(OR(M163="",M163=B163),OR(N163="",N163=B163),OR(O163="",O163=B163)),"通过","不一致")</f>
        <v/>
      </c>
    </row>
    <row r="164" ht="22" customHeight="1">
      <c r="A164" s="398" t="n">
        <v>163</v>
      </c>
      <c r="B164" s="398" t="n">
        <v>6029</v>
      </c>
      <c r="C164" s="399" t="inlineStr">
        <is>
          <t>血月荆棘·弑神</t>
        </is>
      </c>
      <c r="D164" s="399" t="inlineStr">
        <is>
          <t>血月荆棘</t>
        </is>
      </c>
      <c r="E164" s="399" t="n">
        <v>9</v>
      </c>
      <c r="F164" s="399" t="inlineStr">
        <is>
          <t>勋章</t>
        </is>
      </c>
      <c r="G164" s="398" t="n"/>
      <c r="H164" s="398" t="n"/>
      <c r="I164" s="398" t="n">
        <v>6029</v>
      </c>
      <c r="J164" s="398" t="n"/>
      <c r="K164" s="398" t="n"/>
      <c r="L164" s="398" t="n"/>
      <c r="M164" s="398" t="n">
        <v>6029</v>
      </c>
      <c r="N164" s="398" t="n">
        <v>6029</v>
      </c>
      <c r="O164" s="398" t="n">
        <v>6029</v>
      </c>
      <c r="P164" s="292" t="n"/>
      <c r="Q164" s="292" t="inlineStr">
        <is>
          <t>原九部位资源库已登记</t>
        </is>
      </c>
      <c r="R164" s="292" t="str"/>
      <c r="S164" s="292" t="inlineStr">
        <is>
          <t>装备素材套装代码表.xlsx（原九部位）</t>
        </is>
      </c>
      <c r="T164" s="292" t="inlineStr">
        <is>
          <t>同一代码用于 Items / StateItem / DnItems；属性与掉落另表定义。</t>
        </is>
      </c>
      <c r="U164">
        <f>IF(COUNTIF($B$2:$B$1076,B164)&gt;1,"重复","")</f>
        <v/>
      </c>
      <c r="V164">
        <f>IF(AND(OR(M164="",M164=B164),OR(N164="",N164=B164),OR(O164="",O164=B164)),"通过","不一致")</f>
        <v/>
      </c>
    </row>
    <row r="165" ht="22" customHeight="1">
      <c r="A165" s="398" t="n">
        <v>164</v>
      </c>
      <c r="B165" s="398" t="n">
        <v>6030</v>
      </c>
      <c r="C165" s="399" t="inlineStr">
        <is>
          <t>血月荆棘·弑神</t>
        </is>
      </c>
      <c r="D165" s="399" t="inlineStr">
        <is>
          <t>血月荆棘</t>
        </is>
      </c>
      <c r="E165" s="399" t="n">
        <v>9</v>
      </c>
      <c r="F165" s="399" t="inlineStr">
        <is>
          <t>项链</t>
        </is>
      </c>
      <c r="G165" s="398" t="n"/>
      <c r="H165" s="398" t="n"/>
      <c r="I165" s="398" t="n">
        <v>6030</v>
      </c>
      <c r="J165" s="398" t="n"/>
      <c r="K165" s="398" t="n"/>
      <c r="L165" s="398" t="n"/>
      <c r="M165" s="398" t="n">
        <v>6030</v>
      </c>
      <c r="N165" s="398" t="n">
        <v>6030</v>
      </c>
      <c r="O165" s="398" t="n">
        <v>6030</v>
      </c>
      <c r="P165" s="292" t="n"/>
      <c r="Q165" s="292" t="inlineStr">
        <is>
          <t>原九部位资源库已登记</t>
        </is>
      </c>
      <c r="R165" s="324" t="inlineStr">
        <is>
          <t>C3-C10规划锁定：食香兽烟坠</t>
        </is>
      </c>
      <c r="S165" s="292" t="inlineStr">
        <is>
          <t>装备素材套装代码表.xlsx（原九部位）</t>
        </is>
      </c>
      <c r="T165" s="292" t="inlineStr">
        <is>
          <t>同一代码用于 Items / StateItem / DnItems；属性与掉落另表定义。</t>
        </is>
      </c>
      <c r="U165">
        <f>IF(COUNTIF($B$2:$B$1076,B165)&gt;1,"重复","")</f>
        <v/>
      </c>
      <c r="V165">
        <f>IF(AND(OR(M165="",M165=B165),OR(N165="",N165=B165),OR(O165="",O165=B165)),"通过","不一致")</f>
        <v/>
      </c>
    </row>
    <row r="166" ht="22" customHeight="1">
      <c r="A166" s="398" t="n">
        <v>165</v>
      </c>
      <c r="B166" s="398" t="n">
        <v>6031</v>
      </c>
      <c r="C166" s="399" t="inlineStr">
        <is>
          <t>血月荆棘·弑神</t>
        </is>
      </c>
      <c r="D166" s="399" t="inlineStr">
        <is>
          <t>血月荆棘</t>
        </is>
      </c>
      <c r="E166" s="399" t="n">
        <v>9</v>
      </c>
      <c r="F166" s="399" t="inlineStr">
        <is>
          <t>头盔</t>
        </is>
      </c>
      <c r="G166" s="398" t="n"/>
      <c r="H166" s="398" t="n"/>
      <c r="I166" s="398" t="n">
        <v>6031</v>
      </c>
      <c r="J166" s="398" t="n"/>
      <c r="K166" s="398" t="n"/>
      <c r="L166" s="398" t="n"/>
      <c r="M166" s="398" t="n">
        <v>6031</v>
      </c>
      <c r="N166" s="398" t="n">
        <v>6031</v>
      </c>
      <c r="O166" s="398" t="n">
        <v>6031</v>
      </c>
      <c r="P166" s="292" t="n"/>
      <c r="Q166" s="292" t="inlineStr">
        <is>
          <t>原九部位资源库已登记</t>
        </is>
      </c>
      <c r="R166" s="324" t="inlineStr">
        <is>
          <t>C3-C10规划锁定：金面僧宝盔</t>
        </is>
      </c>
      <c r="S166" s="292" t="inlineStr">
        <is>
          <t>装备素材套装代码表.xlsx（原九部位）</t>
        </is>
      </c>
      <c r="T166" s="292" t="inlineStr">
        <is>
          <t>同一代码用于 Items / StateItem / DnItems；属性与掉落另表定义。</t>
        </is>
      </c>
      <c r="U166">
        <f>IF(COUNTIF($B$2:$B$1076,B166)&gt;1,"重复","")</f>
        <v/>
      </c>
      <c r="V166">
        <f>IF(AND(OR(M166="",M166=B166),OR(N166="",N166=B166),OR(O166="",O166=B166)),"通过","不一致")</f>
        <v/>
      </c>
    </row>
    <row r="167" ht="22" customHeight="1">
      <c r="A167" s="398" t="n">
        <v>166</v>
      </c>
      <c r="B167" s="398" t="n">
        <v>6032</v>
      </c>
      <c r="C167" s="399" t="inlineStr">
        <is>
          <t>血月荆棘·弑神</t>
        </is>
      </c>
      <c r="D167" s="399" t="inlineStr">
        <is>
          <t>血月荆棘</t>
        </is>
      </c>
      <c r="E167" s="399" t="n">
        <v>9</v>
      </c>
      <c r="F167" s="399" t="inlineStr">
        <is>
          <t>手镯</t>
        </is>
      </c>
      <c r="G167" s="398" t="n"/>
      <c r="H167" s="398" t="n"/>
      <c r="I167" s="398" t="n">
        <v>6032</v>
      </c>
      <c r="J167" s="398" t="n"/>
      <c r="K167" s="398" t="n"/>
      <c r="L167" s="398" t="n"/>
      <c r="M167" s="398" t="n">
        <v>6032</v>
      </c>
      <c r="N167" s="398" t="n">
        <v>6032</v>
      </c>
      <c r="O167" s="398" t="n">
        <v>6032</v>
      </c>
      <c r="P167" s="292" t="n"/>
      <c r="Q167" s="292" t="inlineStr">
        <is>
          <t>原九部位资源库已登记</t>
        </is>
      </c>
      <c r="R167" s="322" t="inlineStr">
        <is>
          <t>C1/C2现用：百指腕甲</t>
        </is>
      </c>
      <c r="S167" s="292" t="inlineStr">
        <is>
          <t>装备素材套装代码表.xlsx（原九部位）</t>
        </is>
      </c>
      <c r="T167" s="292" t="inlineStr">
        <is>
          <t>同一代码用于 Items / StateItem / DnItems；属性与掉落另表定义。</t>
        </is>
      </c>
      <c r="U167">
        <f>IF(COUNTIF($B$2:$B$1076,B167)&gt;1,"重复","")</f>
        <v/>
      </c>
      <c r="V167">
        <f>IF(AND(OR(M167="",M167=B167),OR(N167="",N167=B167),OR(O167="",O167=B167)),"通过","不一致")</f>
        <v/>
      </c>
    </row>
    <row r="168" ht="22" customHeight="1">
      <c r="A168" s="398" t="n">
        <v>167</v>
      </c>
      <c r="B168" s="398" t="n">
        <v>6033</v>
      </c>
      <c r="C168" s="399" t="inlineStr">
        <is>
          <t>血月荆棘·弑神</t>
        </is>
      </c>
      <c r="D168" s="399" t="inlineStr">
        <is>
          <t>血月荆棘</t>
        </is>
      </c>
      <c r="E168" s="399" t="n">
        <v>9</v>
      </c>
      <c r="F168" s="399" t="inlineStr">
        <is>
          <t>戒指</t>
        </is>
      </c>
      <c r="G168" s="398" t="n"/>
      <c r="H168" s="398" t="n"/>
      <c r="I168" s="398" t="n">
        <v>6033</v>
      </c>
      <c r="J168" s="398" t="n"/>
      <c r="K168" s="398" t="n"/>
      <c r="L168" s="398" t="n"/>
      <c r="M168" s="398" t="n">
        <v>6033</v>
      </c>
      <c r="N168" s="398" t="n">
        <v>6033</v>
      </c>
      <c r="O168" s="398" t="n">
        <v>6033</v>
      </c>
      <c r="P168" s="292" t="n"/>
      <c r="Q168" s="292" t="inlineStr">
        <is>
          <t>原九部位资源库已登记</t>
        </is>
      </c>
      <c r="R168" s="324" t="inlineStr">
        <is>
          <t>C3-C10规划锁定：守门卜者戒</t>
        </is>
      </c>
      <c r="S168" s="292" t="inlineStr">
        <is>
          <t>装备素材套装代码表.xlsx（原九部位）</t>
        </is>
      </c>
      <c r="T168" s="292" t="inlineStr">
        <is>
          <t>同一代码用于 Items / StateItem / DnItems；属性与掉落另表定义。</t>
        </is>
      </c>
      <c r="U168">
        <f>IF(COUNTIF($B$2:$B$1076,B168)&gt;1,"重复","")</f>
        <v/>
      </c>
      <c r="V168">
        <f>IF(AND(OR(M168="",M168=B168),OR(N168="",N168=B168),OR(O168="",O168=B168)),"通过","不一致")</f>
        <v/>
      </c>
    </row>
    <row r="169" ht="22" customHeight="1">
      <c r="A169" s="398" t="n">
        <v>168</v>
      </c>
      <c r="B169" s="398" t="n">
        <v>6034</v>
      </c>
      <c r="C169" s="399" t="inlineStr">
        <is>
          <t>血月荆棘·弑神</t>
        </is>
      </c>
      <c r="D169" s="399" t="inlineStr">
        <is>
          <t>血月荆棘</t>
        </is>
      </c>
      <c r="E169" s="399" t="n">
        <v>9</v>
      </c>
      <c r="F169" s="399" t="inlineStr">
        <is>
          <t>盾牌</t>
        </is>
      </c>
      <c r="G169" s="398" t="n"/>
      <c r="H169" s="398" t="n"/>
      <c r="I169" s="398" t="n">
        <v>6034</v>
      </c>
      <c r="J169" s="398" t="n"/>
      <c r="K169" s="398" t="n"/>
      <c r="L169" s="398" t="n"/>
      <c r="M169" s="398" t="n">
        <v>6034</v>
      </c>
      <c r="N169" s="398" t="n">
        <v>6034</v>
      </c>
      <c r="O169" s="398" t="n">
        <v>6034</v>
      </c>
      <c r="P169" s="292" t="n"/>
      <c r="Q169" s="292" t="inlineStr">
        <is>
          <t>原九部位资源库已登记</t>
        </is>
      </c>
      <c r="R169" s="324" t="inlineStr">
        <is>
          <t>C3-C10规划锁定：崩轨拖链盾</t>
        </is>
      </c>
      <c r="S169" s="292" t="inlineStr">
        <is>
          <t>装备素材套装代码表.xlsx（原九部位）</t>
        </is>
      </c>
      <c r="T169" s="292" t="inlineStr">
        <is>
          <t>同一代码用于 Items / StateItem / DnItems；属性与掉落另表定义。</t>
        </is>
      </c>
      <c r="U169">
        <f>IF(COUNTIF($B$2:$B$1076,B169)&gt;1,"重复","")</f>
        <v/>
      </c>
      <c r="V169">
        <f>IF(AND(OR(M169="",M169=B169),OR(N169="",N169=B169),OR(O169="",O169=B169)),"通过","不一致")</f>
        <v/>
      </c>
    </row>
    <row r="170" ht="22" customHeight="1">
      <c r="A170" s="398" t="n">
        <v>169</v>
      </c>
      <c r="B170" s="398" t="n">
        <v>6035</v>
      </c>
      <c r="C170" s="399" t="inlineStr">
        <is>
          <t>血月荆棘·弑神</t>
        </is>
      </c>
      <c r="D170" s="399" t="inlineStr">
        <is>
          <t>血月荆棘</t>
        </is>
      </c>
      <c r="E170" s="399" t="n">
        <v>9</v>
      </c>
      <c r="F170" s="399" t="inlineStr">
        <is>
          <t>灵玉</t>
        </is>
      </c>
      <c r="G170" s="398" t="n"/>
      <c r="H170" s="398" t="n"/>
      <c r="I170" s="398" t="n">
        <v>6035</v>
      </c>
      <c r="J170" s="398" t="n"/>
      <c r="K170" s="398" t="n"/>
      <c r="L170" s="398" t="n"/>
      <c r="M170" s="398" t="n">
        <v>6035</v>
      </c>
      <c r="N170" s="398" t="n">
        <v>6035</v>
      </c>
      <c r="O170" s="398" t="n">
        <v>6035</v>
      </c>
      <c r="P170" s="292" t="n"/>
      <c r="Q170" s="292" t="inlineStr">
        <is>
          <t>原九部位资源库已登记</t>
        </is>
      </c>
      <c r="R170" s="292" t="str"/>
      <c r="S170" s="292" t="inlineStr">
        <is>
          <t>装备素材套装代码表.xlsx（原九部位）</t>
        </is>
      </c>
      <c r="T170" s="292" t="inlineStr">
        <is>
          <t>同一代码用于 Items / StateItem / DnItems；属性与掉落另表定义。</t>
        </is>
      </c>
      <c r="U170">
        <f>IF(COUNTIF($B$2:$B$1076,B170)&gt;1,"重复","")</f>
        <v/>
      </c>
      <c r="V170">
        <f>IF(AND(OR(M170="",M170=B170),OR(N170="",N170=B170),OR(O170="",O170=B170)),"通过","不一致")</f>
        <v/>
      </c>
    </row>
    <row r="171" ht="22" customHeight="1">
      <c r="A171" s="398" t="n">
        <v>170</v>
      </c>
      <c r="B171" s="398" t="n">
        <v>6036</v>
      </c>
      <c r="C171" s="399" t="inlineStr">
        <is>
          <t>血月荆棘·弑神</t>
        </is>
      </c>
      <c r="D171" s="399" t="inlineStr">
        <is>
          <t>血月荆棘</t>
        </is>
      </c>
      <c r="E171" s="399" t="n">
        <v>9</v>
      </c>
      <c r="F171" s="399" t="inlineStr">
        <is>
          <t>鞋子</t>
        </is>
      </c>
      <c r="G171" s="398" t="n"/>
      <c r="H171" s="398" t="n"/>
      <c r="I171" s="398" t="n">
        <v>6036</v>
      </c>
      <c r="J171" s="398" t="n"/>
      <c r="K171" s="398" t="n"/>
      <c r="L171" s="398" t="n"/>
      <c r="M171" s="398" t="n">
        <v>6036</v>
      </c>
      <c r="N171" s="398" t="n">
        <v>6036</v>
      </c>
      <c r="O171" s="398" t="n">
        <v>6036</v>
      </c>
      <c r="P171" s="292" t="n"/>
      <c r="Q171" s="292" t="inlineStr">
        <is>
          <t>原九部位资源库已登记</t>
        </is>
      </c>
      <c r="R171" s="324" t="inlineStr">
        <is>
          <t>C3-C10规划锁定：拾辉登阶靴</t>
        </is>
      </c>
      <c r="S171" s="292" t="inlineStr">
        <is>
          <t>装备素材套装代码表.xlsx（原九部位）</t>
        </is>
      </c>
      <c r="T171" s="292" t="inlineStr">
        <is>
          <t>同一代码用于 Items / StateItem / DnItems；属性与掉落另表定义。</t>
        </is>
      </c>
      <c r="U171">
        <f>IF(COUNTIF($B$2:$B$1076,B171)&gt;1,"重复","")</f>
        <v/>
      </c>
      <c r="V171">
        <f>IF(AND(OR(M171="",M171=B171),OR(N171="",N171=B171),OR(O171="",O171=B171)),"通过","不一致")</f>
        <v/>
      </c>
    </row>
    <row r="172" ht="22" customHeight="1">
      <c r="A172" s="398" t="n">
        <v>171</v>
      </c>
      <c r="B172" s="398" t="n">
        <v>6037</v>
      </c>
      <c r="C172" s="399" t="inlineStr">
        <is>
          <t>血月荆棘·弑神</t>
        </is>
      </c>
      <c r="D172" s="399" t="inlineStr">
        <is>
          <t>血月荆棘</t>
        </is>
      </c>
      <c r="E172" s="399" t="n">
        <v>9</v>
      </c>
      <c r="F172" s="399" t="inlineStr">
        <is>
          <t>腰带</t>
        </is>
      </c>
      <c r="G172" s="398" t="n"/>
      <c r="H172" s="398" t="n"/>
      <c r="I172" s="398" t="n">
        <v>6037</v>
      </c>
      <c r="J172" s="398" t="n"/>
      <c r="K172" s="398" t="n"/>
      <c r="L172" s="398" t="n"/>
      <c r="M172" s="398" t="n">
        <v>6037</v>
      </c>
      <c r="N172" s="398" t="n">
        <v>6037</v>
      </c>
      <c r="O172" s="398" t="n">
        <v>6037</v>
      </c>
      <c r="P172" s="292" t="n"/>
      <c r="Q172" s="292" t="inlineStr">
        <is>
          <t>原九部位资源库已登记</t>
        </is>
      </c>
      <c r="R172" s="324" t="inlineStr">
        <is>
          <t>C3-C10规划锁定：七帷掌仪腰封</t>
        </is>
      </c>
      <c r="S172" s="292" t="inlineStr">
        <is>
          <t>装备素材套装代码表.xlsx（原九部位）</t>
        </is>
      </c>
      <c r="T172" s="292" t="inlineStr">
        <is>
          <t>同一代码用于 Items / StateItem / DnItems；属性与掉落另表定义。</t>
        </is>
      </c>
      <c r="U172">
        <f>IF(COUNTIF($B$2:$B$1076,B172)&gt;1,"重复","")</f>
        <v/>
      </c>
      <c r="V172">
        <f>IF(AND(OR(M172="",M172=B172),OR(N172="",N172=B172),OR(O172="",O172=B172)),"通过","不一致")</f>
        <v/>
      </c>
    </row>
    <row r="173" ht="22" customHeight="1">
      <c r="A173" s="398" t="n">
        <v>172</v>
      </c>
      <c r="B173" s="398" t="n">
        <v>6038</v>
      </c>
      <c r="C173" s="399" t="inlineStr">
        <is>
          <t>血月荆棘·终夜</t>
        </is>
      </c>
      <c r="D173" s="399" t="inlineStr">
        <is>
          <t>血月荆棘</t>
        </is>
      </c>
      <c r="E173" s="399" t="n">
        <v>10</v>
      </c>
      <c r="F173" s="399" t="inlineStr">
        <is>
          <t>勋章</t>
        </is>
      </c>
      <c r="G173" s="398" t="n"/>
      <c r="H173" s="398" t="n"/>
      <c r="I173" s="398" t="n">
        <v>6038</v>
      </c>
      <c r="J173" s="398" t="n"/>
      <c r="K173" s="398" t="n"/>
      <c r="L173" s="398" t="n"/>
      <c r="M173" s="398" t="n">
        <v>6038</v>
      </c>
      <c r="N173" s="398" t="n">
        <v>6038</v>
      </c>
      <c r="O173" s="398" t="n">
        <v>6038</v>
      </c>
      <c r="P173" s="292" t="n"/>
      <c r="Q173" s="292" t="inlineStr">
        <is>
          <t>原九部位资源库已登记</t>
        </is>
      </c>
      <c r="R173" s="292" t="str"/>
      <c r="S173" s="292" t="inlineStr">
        <is>
          <t>装备素材套装代码表.xlsx（原九部位）</t>
        </is>
      </c>
      <c r="T173" s="292" t="inlineStr">
        <is>
          <t>同一代码用于 Items / StateItem / DnItems；属性与掉落另表定义。</t>
        </is>
      </c>
      <c r="U173">
        <f>IF(COUNTIF($B$2:$B$1076,B173)&gt;1,"重复","")</f>
        <v/>
      </c>
      <c r="V173">
        <f>IF(AND(OR(M173="",M173=B173),OR(N173="",N173=B173),OR(O173="",O173=B173)),"通过","不一致")</f>
        <v/>
      </c>
    </row>
    <row r="174" ht="22" customHeight="1">
      <c r="A174" s="398" t="n">
        <v>173</v>
      </c>
      <c r="B174" s="398" t="n">
        <v>6039</v>
      </c>
      <c r="C174" s="399" t="inlineStr">
        <is>
          <t>血月荆棘·终夜</t>
        </is>
      </c>
      <c r="D174" s="399" t="inlineStr">
        <is>
          <t>血月荆棘</t>
        </is>
      </c>
      <c r="E174" s="399" t="n">
        <v>10</v>
      </c>
      <c r="F174" s="399" t="inlineStr">
        <is>
          <t>项链</t>
        </is>
      </c>
      <c r="G174" s="398" t="n"/>
      <c r="H174" s="398" t="n"/>
      <c r="I174" s="398" t="n">
        <v>6039</v>
      </c>
      <c r="J174" s="398" t="n"/>
      <c r="K174" s="398" t="n"/>
      <c r="L174" s="398" t="n"/>
      <c r="M174" s="398" t="n">
        <v>6039</v>
      </c>
      <c r="N174" s="398" t="n">
        <v>6039</v>
      </c>
      <c r="O174" s="398" t="n">
        <v>6039</v>
      </c>
      <c r="P174" s="292" t="n"/>
      <c r="Q174" s="292" t="inlineStr">
        <is>
          <t>原九部位资源库已登记</t>
        </is>
      </c>
      <c r="R174" s="324" t="inlineStr">
        <is>
          <t>C3-C10规划锁定：鎏甲骑士坠</t>
        </is>
      </c>
      <c r="S174" s="292" t="inlineStr">
        <is>
          <t>装备素材套装代码表.xlsx（原九部位）</t>
        </is>
      </c>
      <c r="T174" s="292" t="inlineStr">
        <is>
          <t>同一代码用于 Items / StateItem / DnItems；属性与掉落另表定义。</t>
        </is>
      </c>
      <c r="U174">
        <f>IF(COUNTIF($B$2:$B$1076,B174)&gt;1,"重复","")</f>
        <v/>
      </c>
      <c r="V174">
        <f>IF(AND(OR(M174="",M174=B174),OR(N174="",N174=B174),OR(O174="",O174=B174)),"通过","不一致")</f>
        <v/>
      </c>
    </row>
    <row r="175" ht="22" customHeight="1">
      <c r="A175" s="398" t="n">
        <v>174</v>
      </c>
      <c r="B175" s="398" t="n">
        <v>6040</v>
      </c>
      <c r="C175" s="399" t="inlineStr">
        <is>
          <t>血月荆棘·终夜</t>
        </is>
      </c>
      <c r="D175" s="399" t="inlineStr">
        <is>
          <t>血月荆棘</t>
        </is>
      </c>
      <c r="E175" s="399" t="n">
        <v>10</v>
      </c>
      <c r="F175" s="399" t="inlineStr">
        <is>
          <t>头盔</t>
        </is>
      </c>
      <c r="G175" s="398" t="n"/>
      <c r="H175" s="398" t="n"/>
      <c r="I175" s="398" t="n">
        <v>6040</v>
      </c>
      <c r="J175" s="398" t="n"/>
      <c r="K175" s="398" t="n"/>
      <c r="L175" s="398" t="n"/>
      <c r="M175" s="398" t="n">
        <v>6040</v>
      </c>
      <c r="N175" s="398" t="n">
        <v>6040</v>
      </c>
      <c r="O175" s="398" t="n">
        <v>6040</v>
      </c>
      <c r="P175" s="292" t="n"/>
      <c r="Q175" s="292" t="inlineStr">
        <is>
          <t>原九部位资源库已登记</t>
        </is>
      </c>
      <c r="R175" s="322" t="inlineStr">
        <is>
          <t>C1/C2现用：战狼铁盔</t>
        </is>
      </c>
      <c r="S175" s="292" t="inlineStr">
        <is>
          <t>装备素材套装代码表.xlsx（原九部位）</t>
        </is>
      </c>
      <c r="T175" s="292" t="inlineStr">
        <is>
          <t>同一代码用于 Items / StateItem / DnItems；属性与掉落另表定义。</t>
        </is>
      </c>
      <c r="U175">
        <f>IF(COUNTIF($B$2:$B$1076,B175)&gt;1,"重复","")</f>
        <v/>
      </c>
      <c r="V175">
        <f>IF(AND(OR(M175="",M175=B175),OR(N175="",N175=B175),OR(O175="",O175=B175)),"通过","不一致")</f>
        <v/>
      </c>
    </row>
    <row r="176" ht="22" customHeight="1">
      <c r="A176" s="398" t="n">
        <v>175</v>
      </c>
      <c r="B176" s="398" t="n">
        <v>6041</v>
      </c>
      <c r="C176" s="399" t="inlineStr">
        <is>
          <t>血月荆棘·终夜</t>
        </is>
      </c>
      <c r="D176" s="399" t="inlineStr">
        <is>
          <t>血月荆棘</t>
        </is>
      </c>
      <c r="E176" s="399" t="n">
        <v>10</v>
      </c>
      <c r="F176" s="399" t="inlineStr">
        <is>
          <t>手镯</t>
        </is>
      </c>
      <c r="G176" s="398" t="n"/>
      <c r="H176" s="398" t="n"/>
      <c r="I176" s="398" t="n">
        <v>6041</v>
      </c>
      <c r="J176" s="398" t="n"/>
      <c r="K176" s="398" t="n"/>
      <c r="L176" s="398" t="n"/>
      <c r="M176" s="398" t="n">
        <v>6041</v>
      </c>
      <c r="N176" s="398" t="n">
        <v>6041</v>
      </c>
      <c r="O176" s="398" t="n">
        <v>6041</v>
      </c>
      <c r="P176" s="292" t="n"/>
      <c r="Q176" s="292" t="inlineStr">
        <is>
          <t>原九部位资源库已登记</t>
        </is>
      </c>
      <c r="R176" s="324" t="inlineStr">
        <is>
          <t>C3-C10规划锁定：抱瓮缚灵镯</t>
        </is>
      </c>
      <c r="S176" s="292" t="inlineStr">
        <is>
          <t>装备素材套装代码表.xlsx（原九部位）</t>
        </is>
      </c>
      <c r="T176" s="292" t="inlineStr">
        <is>
          <t>同一代码用于 Items / StateItem / DnItems；属性与掉落另表定义。</t>
        </is>
      </c>
      <c r="U176">
        <f>IF(COUNTIF($B$2:$B$1076,B176)&gt;1,"重复","")</f>
        <v/>
      </c>
      <c r="V176">
        <f>IF(AND(OR(M176="",M176=B176),OR(N176="",N176=B176),OR(O176="",O176=B176)),"通过","不一致")</f>
        <v/>
      </c>
    </row>
    <row r="177" ht="22" customHeight="1">
      <c r="A177" s="398" t="n">
        <v>176</v>
      </c>
      <c r="B177" s="398" t="n">
        <v>6042</v>
      </c>
      <c r="C177" s="399" t="inlineStr">
        <is>
          <t>血月荆棘·终夜</t>
        </is>
      </c>
      <c r="D177" s="399" t="inlineStr">
        <is>
          <t>血月荆棘</t>
        </is>
      </c>
      <c r="E177" s="399" t="n">
        <v>10</v>
      </c>
      <c r="F177" s="399" t="inlineStr">
        <is>
          <t>戒指</t>
        </is>
      </c>
      <c r="G177" s="398" t="n"/>
      <c r="H177" s="398" t="n"/>
      <c r="I177" s="398" t="n">
        <v>6042</v>
      </c>
      <c r="J177" s="398" t="n"/>
      <c r="K177" s="398" t="n"/>
      <c r="L177" s="398" t="n"/>
      <c r="M177" s="398" t="n">
        <v>6042</v>
      </c>
      <c r="N177" s="398" t="n">
        <v>6042</v>
      </c>
      <c r="O177" s="398" t="n">
        <v>6042</v>
      </c>
      <c r="P177" s="292" t="n"/>
      <c r="Q177" s="292" t="inlineStr">
        <is>
          <t>原九部位资源库已登记</t>
        </is>
      </c>
      <c r="R177" s="324" t="inlineStr">
        <is>
          <t>C3-C10规划锁定：缄契铅印戒</t>
        </is>
      </c>
      <c r="S177" s="292" t="inlineStr">
        <is>
          <t>装备素材套装代码表.xlsx（原九部位）</t>
        </is>
      </c>
      <c r="T177" s="292" t="inlineStr">
        <is>
          <t>同一代码用于 Items / StateItem / DnItems；属性与掉落另表定义。</t>
        </is>
      </c>
      <c r="U177">
        <f>IF(COUNTIF($B$2:$B$1076,B177)&gt;1,"重复","")</f>
        <v/>
      </c>
      <c r="V177">
        <f>IF(AND(OR(M177="",M177=B177),OR(N177="",N177=B177),OR(O177="",O177=B177)),"通过","不一致")</f>
        <v/>
      </c>
    </row>
    <row r="178" ht="22" customHeight="1">
      <c r="A178" s="398" t="n">
        <v>177</v>
      </c>
      <c r="B178" s="398" t="n">
        <v>6043</v>
      </c>
      <c r="C178" s="399" t="inlineStr">
        <is>
          <t>血月荆棘·终夜</t>
        </is>
      </c>
      <c r="D178" s="399" t="inlineStr">
        <is>
          <t>血月荆棘</t>
        </is>
      </c>
      <c r="E178" s="399" t="n">
        <v>10</v>
      </c>
      <c r="F178" s="399" t="inlineStr">
        <is>
          <t>盾牌</t>
        </is>
      </c>
      <c r="G178" s="398" t="n"/>
      <c r="H178" s="398" t="n"/>
      <c r="I178" s="398" t="n">
        <v>6043</v>
      </c>
      <c r="J178" s="398" t="n"/>
      <c r="K178" s="398" t="n"/>
      <c r="L178" s="398" t="n"/>
      <c r="M178" s="398" t="n">
        <v>6043</v>
      </c>
      <c r="N178" s="398" t="n">
        <v>6043</v>
      </c>
      <c r="O178" s="398" t="n">
        <v>6043</v>
      </c>
      <c r="P178" s="292" t="n"/>
      <c r="Q178" s="292" t="inlineStr">
        <is>
          <t>原九部位资源库已登记</t>
        </is>
      </c>
      <c r="R178" s="324" t="inlineStr">
        <is>
          <t>C3-C10规划锁定：返魂寝门盾</t>
        </is>
      </c>
      <c r="S178" s="292" t="inlineStr">
        <is>
          <t>装备素材套装代码表.xlsx（原九部位）</t>
        </is>
      </c>
      <c r="T178" s="292" t="inlineStr">
        <is>
          <t>同一代码用于 Items / StateItem / DnItems；属性与掉落另表定义。</t>
        </is>
      </c>
      <c r="U178">
        <f>IF(COUNTIF($B$2:$B$1076,B178)&gt;1,"重复","")</f>
        <v/>
      </c>
      <c r="V178">
        <f>IF(AND(OR(M178="",M178=B178),OR(N178="",N178=B178),OR(O178="",O178=B178)),"通过","不一致")</f>
        <v/>
      </c>
    </row>
    <row r="179" ht="22" customHeight="1">
      <c r="A179" s="398" t="n">
        <v>178</v>
      </c>
      <c r="B179" s="398" t="n">
        <v>6044</v>
      </c>
      <c r="C179" s="399" t="inlineStr">
        <is>
          <t>血月荆棘·终夜</t>
        </is>
      </c>
      <c r="D179" s="399" t="inlineStr">
        <is>
          <t>血月荆棘</t>
        </is>
      </c>
      <c r="E179" s="399" t="n">
        <v>10</v>
      </c>
      <c r="F179" s="399" t="inlineStr">
        <is>
          <t>灵玉</t>
        </is>
      </c>
      <c r="G179" s="398" t="n"/>
      <c r="H179" s="398" t="n"/>
      <c r="I179" s="398" t="n">
        <v>6044</v>
      </c>
      <c r="J179" s="398" t="n"/>
      <c r="K179" s="398" t="n"/>
      <c r="L179" s="398" t="n"/>
      <c r="M179" s="398" t="n">
        <v>6044</v>
      </c>
      <c r="N179" s="398" t="n">
        <v>6044</v>
      </c>
      <c r="O179" s="398" t="n">
        <v>6044</v>
      </c>
      <c r="P179" s="292" t="n"/>
      <c r="Q179" s="292" t="inlineStr">
        <is>
          <t>原九部位资源库已登记</t>
        </is>
      </c>
      <c r="R179" s="322" t="inlineStr">
        <is>
          <t>C1/C2现用：蒙格的大卢恩</t>
        </is>
      </c>
      <c r="S179" s="292" t="inlineStr">
        <is>
          <t>装备素材套装代码表.xlsx（原九部位）</t>
        </is>
      </c>
      <c r="T179" s="292" t="inlineStr">
        <is>
          <t>同一代码用于 Items / StateItem / DnItems；属性与掉落另表定义。</t>
        </is>
      </c>
      <c r="U179">
        <f>IF(COUNTIF($B$2:$B$1076,B179)&gt;1,"重复","")</f>
        <v/>
      </c>
      <c r="V179">
        <f>IF(AND(OR(M179="",M179=B179),OR(N179="",N179=B179),OR(O179="",O179=B179)),"通过","不一致")</f>
        <v/>
      </c>
    </row>
    <row r="180" ht="22" customHeight="1">
      <c r="A180" s="398" t="n">
        <v>179</v>
      </c>
      <c r="B180" s="398" t="n">
        <v>6045</v>
      </c>
      <c r="C180" s="399" t="inlineStr">
        <is>
          <t>血月荆棘·终夜</t>
        </is>
      </c>
      <c r="D180" s="399" t="inlineStr">
        <is>
          <t>血月荆棘</t>
        </is>
      </c>
      <c r="E180" s="399" t="n">
        <v>10</v>
      </c>
      <c r="F180" s="399" t="inlineStr">
        <is>
          <t>鞋子</t>
        </is>
      </c>
      <c r="G180" s="398" t="n"/>
      <c r="H180" s="398" t="n"/>
      <c r="I180" s="398" t="n">
        <v>6045</v>
      </c>
      <c r="J180" s="398" t="n"/>
      <c r="K180" s="398" t="n"/>
      <c r="L180" s="398" t="n"/>
      <c r="M180" s="398" t="n">
        <v>6045</v>
      </c>
      <c r="N180" s="398" t="n">
        <v>6045</v>
      </c>
      <c r="O180" s="398" t="n">
        <v>6045</v>
      </c>
      <c r="P180" s="292" t="n"/>
      <c r="Q180" s="292" t="inlineStr">
        <is>
          <t>原九部位资源库已登记</t>
        </is>
      </c>
      <c r="R180" s="292" t="str"/>
      <c r="S180" s="292" t="inlineStr">
        <is>
          <t>装备素材套装代码表.xlsx（原九部位）</t>
        </is>
      </c>
      <c r="T180" s="292" t="inlineStr">
        <is>
          <t>同一代码用于 Items / StateItem / DnItems；属性与掉落另表定义。</t>
        </is>
      </c>
      <c r="U180">
        <f>IF(COUNTIF($B$2:$B$1076,B180)&gt;1,"重复","")</f>
        <v/>
      </c>
      <c r="V180">
        <f>IF(AND(OR(M180="",M180=B180),OR(N180="",N180=B180),OR(O180="",O180=B180)),"通过","不一致")</f>
        <v/>
      </c>
    </row>
    <row r="181" ht="22" customHeight="1">
      <c r="A181" s="398" t="n">
        <v>180</v>
      </c>
      <c r="B181" s="398" t="n">
        <v>6046</v>
      </c>
      <c r="C181" s="399" t="inlineStr">
        <is>
          <t>血月荆棘·终夜</t>
        </is>
      </c>
      <c r="D181" s="399" t="inlineStr">
        <is>
          <t>血月荆棘</t>
        </is>
      </c>
      <c r="E181" s="399" t="n">
        <v>10</v>
      </c>
      <c r="F181" s="399" t="inlineStr">
        <is>
          <t>腰带</t>
        </is>
      </c>
      <c r="G181" s="398" t="n"/>
      <c r="H181" s="398" t="n"/>
      <c r="I181" s="398" t="n">
        <v>6046</v>
      </c>
      <c r="J181" s="398" t="n"/>
      <c r="K181" s="398" t="n"/>
      <c r="L181" s="398" t="n"/>
      <c r="M181" s="398" t="n">
        <v>6046</v>
      </c>
      <c r="N181" s="398" t="n">
        <v>6046</v>
      </c>
      <c r="O181" s="398" t="n">
        <v>6046</v>
      </c>
      <c r="P181" s="292" t="n"/>
      <c r="Q181" s="292" t="inlineStr">
        <is>
          <t>原九部位资源库已登记</t>
        </is>
      </c>
      <c r="R181" s="292" t="str"/>
      <c r="S181" s="292" t="inlineStr">
        <is>
          <t>装备素材套装代码表.xlsx（原九部位）</t>
        </is>
      </c>
      <c r="T181" s="292" t="inlineStr">
        <is>
          <t>同一代码用于 Items / StateItem / DnItems；属性与掉落另表定义。</t>
        </is>
      </c>
      <c r="U181">
        <f>IF(COUNTIF($B$2:$B$1076,B181)&gt;1,"重复","")</f>
        <v/>
      </c>
      <c r="V181">
        <f>IF(AND(OR(M181="",M181=B181),OR(N181="",N181=B181),OR(O181="",O181=B181)),"通过","不一致")</f>
        <v/>
      </c>
    </row>
    <row r="182" ht="22" customHeight="1">
      <c r="A182" s="398" t="n">
        <v>181</v>
      </c>
      <c r="B182" s="398" t="n">
        <v>6047</v>
      </c>
      <c r="C182" s="399" t="inlineStr">
        <is>
          <t>星渊龙息·寒鳞</t>
        </is>
      </c>
      <c r="D182" s="399" t="inlineStr">
        <is>
          <t>星渊龙息</t>
        </is>
      </c>
      <c r="E182" s="399" t="n">
        <v>1</v>
      </c>
      <c r="F182" s="399" t="inlineStr">
        <is>
          <t>勋章</t>
        </is>
      </c>
      <c r="G182" s="398" t="n"/>
      <c r="H182" s="398" t="n"/>
      <c r="I182" s="398" t="n">
        <v>6047</v>
      </c>
      <c r="J182" s="398" t="n"/>
      <c r="K182" s="398" t="n"/>
      <c r="L182" s="398" t="n"/>
      <c r="M182" s="398" t="n">
        <v>6047</v>
      </c>
      <c r="N182" s="398" t="n">
        <v>6047</v>
      </c>
      <c r="O182" s="398" t="n">
        <v>6047</v>
      </c>
      <c r="P182" s="292" t="n"/>
      <c r="Q182" s="292" t="inlineStr">
        <is>
          <t>原九部位资源库已登记</t>
        </is>
      </c>
      <c r="R182" s="322" t="inlineStr">
        <is>
          <t>C1/C2现用：唤潮旧勋</t>
        </is>
      </c>
      <c r="S182" s="292" t="inlineStr">
        <is>
          <t>装备素材套装代码表.xlsx（原九部位）</t>
        </is>
      </c>
      <c r="T182" s="292" t="inlineStr">
        <is>
          <t>同一代码用于 Items / StateItem / DnItems；属性与掉落另表定义。</t>
        </is>
      </c>
      <c r="U182">
        <f>IF(COUNTIF($B$2:$B$1076,B182)&gt;1,"重复","")</f>
        <v/>
      </c>
      <c r="V182">
        <f>IF(AND(OR(M182="",M182=B182),OR(N182="",N182=B182),OR(O182="",O182=B182)),"通过","不一致")</f>
        <v/>
      </c>
    </row>
    <row r="183" ht="22" customHeight="1">
      <c r="A183" s="398" t="n">
        <v>182</v>
      </c>
      <c r="B183" s="398" t="n">
        <v>6048</v>
      </c>
      <c r="C183" s="399" t="inlineStr">
        <is>
          <t>星渊龙息·寒鳞</t>
        </is>
      </c>
      <c r="D183" s="399" t="inlineStr">
        <is>
          <t>星渊龙息</t>
        </is>
      </c>
      <c r="E183" s="399" t="n">
        <v>1</v>
      </c>
      <c r="F183" s="399" t="inlineStr">
        <is>
          <t>项链</t>
        </is>
      </c>
      <c r="G183" s="398" t="n"/>
      <c r="H183" s="398" t="n"/>
      <c r="I183" s="398" t="n">
        <v>6048</v>
      </c>
      <c r="J183" s="398" t="n"/>
      <c r="K183" s="398" t="n"/>
      <c r="L183" s="398" t="n"/>
      <c r="M183" s="398" t="n">
        <v>6048</v>
      </c>
      <c r="N183" s="398" t="n">
        <v>6048</v>
      </c>
      <c r="O183" s="398" t="n">
        <v>6048</v>
      </c>
      <c r="P183" s="292" t="n"/>
      <c r="Q183" s="292" t="inlineStr">
        <is>
          <t>原九部位资源库已登记</t>
        </is>
      </c>
      <c r="R183" s="322" t="inlineStr">
        <is>
          <t>C1/C2现用：断桨骨链</t>
        </is>
      </c>
      <c r="S183" s="292" t="inlineStr">
        <is>
          <t>装备素材套装代码表.xlsx（原九部位）</t>
        </is>
      </c>
      <c r="T183" s="292" t="inlineStr">
        <is>
          <t>同一代码用于 Items / StateItem / DnItems；属性与掉落另表定义。</t>
        </is>
      </c>
      <c r="U183">
        <f>IF(COUNTIF($B$2:$B$1076,B183)&gt;1,"重复","")</f>
        <v/>
      </c>
      <c r="V183">
        <f>IF(AND(OR(M183="",M183=B183),OR(N183="",N183=B183),OR(O183="",O183=B183)),"通过","不一致")</f>
        <v/>
      </c>
    </row>
    <row r="184" ht="22" customHeight="1">
      <c r="A184" s="398" t="n">
        <v>183</v>
      </c>
      <c r="B184" s="398" t="n">
        <v>6049</v>
      </c>
      <c r="C184" s="399" t="inlineStr">
        <is>
          <t>星渊龙息·寒鳞</t>
        </is>
      </c>
      <c r="D184" s="399" t="inlineStr">
        <is>
          <t>星渊龙息</t>
        </is>
      </c>
      <c r="E184" s="399" t="n">
        <v>1</v>
      </c>
      <c r="F184" s="399" t="inlineStr">
        <is>
          <t>头盔</t>
        </is>
      </c>
      <c r="G184" s="398" t="n"/>
      <c r="H184" s="398" t="n"/>
      <c r="I184" s="398" t="n">
        <v>6049</v>
      </c>
      <c r="J184" s="398" t="n"/>
      <c r="K184" s="398" t="n"/>
      <c r="L184" s="398" t="n"/>
      <c r="M184" s="398" t="n">
        <v>6049</v>
      </c>
      <c r="N184" s="398" t="n">
        <v>6049</v>
      </c>
      <c r="O184" s="398" t="n">
        <v>6049</v>
      </c>
      <c r="P184" s="292" t="n"/>
      <c r="Q184" s="292" t="inlineStr">
        <is>
          <t>原九部位资源库已登记</t>
        </is>
      </c>
      <c r="R184" s="322" t="inlineStr">
        <is>
          <t>C1/C2现用：沉金铁盔</t>
        </is>
      </c>
      <c r="S184" s="292" t="inlineStr">
        <is>
          <t>装备素材套装代码表.xlsx（原九部位）</t>
        </is>
      </c>
      <c r="T184" s="292" t="inlineStr">
        <is>
          <t>同一代码用于 Items / StateItem / DnItems；属性与掉落另表定义。</t>
        </is>
      </c>
      <c r="U184">
        <f>IF(COUNTIF($B$2:$B$1076,B184)&gt;1,"重复","")</f>
        <v/>
      </c>
      <c r="V184">
        <f>IF(AND(OR(M184="",M184=B184),OR(N184="",N184=B184),OR(O184="",O184=B184)),"通过","不一致")</f>
        <v/>
      </c>
    </row>
    <row r="185" ht="22" customHeight="1">
      <c r="A185" s="398" t="n">
        <v>184</v>
      </c>
      <c r="B185" s="398" t="n">
        <v>6050</v>
      </c>
      <c r="C185" s="399" t="inlineStr">
        <is>
          <t>星渊龙息·寒鳞</t>
        </is>
      </c>
      <c r="D185" s="399" t="inlineStr">
        <is>
          <t>星渊龙息</t>
        </is>
      </c>
      <c r="E185" s="399" t="n">
        <v>1</v>
      </c>
      <c r="F185" s="399" t="inlineStr">
        <is>
          <t>手镯</t>
        </is>
      </c>
      <c r="G185" s="398" t="n"/>
      <c r="H185" s="398" t="n"/>
      <c r="I185" s="398" t="n">
        <v>6050</v>
      </c>
      <c r="J185" s="398" t="n"/>
      <c r="K185" s="398" t="n"/>
      <c r="L185" s="398" t="n"/>
      <c r="M185" s="398" t="n">
        <v>6050</v>
      </c>
      <c r="N185" s="398" t="n">
        <v>6050</v>
      </c>
      <c r="O185" s="398" t="n">
        <v>6050</v>
      </c>
      <c r="P185" s="292" t="n"/>
      <c r="Q185" s="292" t="inlineStr">
        <is>
          <t>原九部位资源库已登记</t>
        </is>
      </c>
      <c r="R185" s="322" t="inlineStr">
        <is>
          <t>C1/C2现用：腐潮钳镯</t>
        </is>
      </c>
      <c r="S185" s="292" t="inlineStr">
        <is>
          <t>装备素材套装代码表.xlsx（原九部位）</t>
        </is>
      </c>
      <c r="T185" s="292" t="inlineStr">
        <is>
          <t>同一代码用于 Items / StateItem / DnItems；属性与掉落另表定义。</t>
        </is>
      </c>
      <c r="U185">
        <f>IF(COUNTIF($B$2:$B$1076,B185)&gt;1,"重复","")</f>
        <v/>
      </c>
      <c r="V185">
        <f>IF(AND(OR(M185="",M185=B185),OR(N185="",N185=B185),OR(O185="",O185=B185)),"通过","不一致")</f>
        <v/>
      </c>
    </row>
    <row r="186" ht="22" customHeight="1">
      <c r="A186" s="398" t="n">
        <v>185</v>
      </c>
      <c r="B186" s="398" t="n">
        <v>6051</v>
      </c>
      <c r="C186" s="399" t="inlineStr">
        <is>
          <t>星渊龙息·寒鳞</t>
        </is>
      </c>
      <c r="D186" s="399" t="inlineStr">
        <is>
          <t>星渊龙息</t>
        </is>
      </c>
      <c r="E186" s="399" t="n">
        <v>1</v>
      </c>
      <c r="F186" s="399" t="inlineStr">
        <is>
          <t>戒指</t>
        </is>
      </c>
      <c r="G186" s="398" t="n"/>
      <c r="H186" s="398" t="n"/>
      <c r="I186" s="398" t="n">
        <v>6051</v>
      </c>
      <c r="J186" s="398" t="n"/>
      <c r="K186" s="398" t="n"/>
      <c r="L186" s="398" t="n"/>
      <c r="M186" s="398" t="n">
        <v>6051</v>
      </c>
      <c r="N186" s="398" t="n">
        <v>6051</v>
      </c>
      <c r="O186" s="398" t="n">
        <v>6051</v>
      </c>
      <c r="P186" s="292" t="n"/>
      <c r="Q186" s="292" t="inlineStr">
        <is>
          <t>原九部位资源库已登记</t>
        </is>
      </c>
      <c r="R186" s="322" t="inlineStr">
        <is>
          <t>C1/C2现用：猎犬骨戒</t>
        </is>
      </c>
      <c r="S186" s="292" t="inlineStr">
        <is>
          <t>装备素材套装代码表.xlsx（原九部位）</t>
        </is>
      </c>
      <c r="T186" s="292" t="inlineStr">
        <is>
          <t>同一代码用于 Items / StateItem / DnItems；属性与掉落另表定义。</t>
        </is>
      </c>
      <c r="U186">
        <f>IF(COUNTIF($B$2:$B$1076,B186)&gt;1,"重复","")</f>
        <v/>
      </c>
      <c r="V186">
        <f>IF(AND(OR(M186="",M186=B186),OR(N186="",N186=B186),OR(O186="",O186=B186)),"通过","不一致")</f>
        <v/>
      </c>
    </row>
    <row r="187" ht="22" customHeight="1">
      <c r="A187" s="398" t="n">
        <v>186</v>
      </c>
      <c r="B187" s="398" t="n">
        <v>6052</v>
      </c>
      <c r="C187" s="399" t="inlineStr">
        <is>
          <t>星渊龙息·寒鳞</t>
        </is>
      </c>
      <c r="D187" s="399" t="inlineStr">
        <is>
          <t>星渊龙息</t>
        </is>
      </c>
      <c r="E187" s="399" t="n">
        <v>1</v>
      </c>
      <c r="F187" s="399" t="inlineStr">
        <is>
          <t>盾牌</t>
        </is>
      </c>
      <c r="G187" s="398" t="n"/>
      <c r="H187" s="398" t="n"/>
      <c r="I187" s="398" t="n">
        <v>6052</v>
      </c>
      <c r="J187" s="398" t="n"/>
      <c r="K187" s="398" t="n"/>
      <c r="L187" s="398" t="n"/>
      <c r="M187" s="398" t="n">
        <v>6052</v>
      </c>
      <c r="N187" s="398" t="n">
        <v>6052</v>
      </c>
      <c r="O187" s="398" t="n">
        <v>6052</v>
      </c>
      <c r="P187" s="292" t="n"/>
      <c r="Q187" s="292" t="inlineStr">
        <is>
          <t>原九部位资源库已登记</t>
        </is>
      </c>
      <c r="R187" s="322" t="inlineStr">
        <is>
          <t>C1/C2现用：海雾塔盾</t>
        </is>
      </c>
      <c r="S187" s="292" t="inlineStr">
        <is>
          <t>装备素材套装代码表.xlsx（原九部位）</t>
        </is>
      </c>
      <c r="T187" s="292" t="inlineStr">
        <is>
          <t>同一代码用于 Items / StateItem / DnItems；属性与掉落另表定义。</t>
        </is>
      </c>
      <c r="U187">
        <f>IF(COUNTIF($B$2:$B$1076,B187)&gt;1,"重复","")</f>
        <v/>
      </c>
      <c r="V187">
        <f>IF(AND(OR(M187="",M187=B187),OR(N187="",N187=B187),OR(O187="",O187=B187)),"通过","不一致")</f>
        <v/>
      </c>
    </row>
    <row r="188" ht="22" customHeight="1">
      <c r="A188" s="398" t="n">
        <v>187</v>
      </c>
      <c r="B188" s="398" t="n">
        <v>6053</v>
      </c>
      <c r="C188" s="399" t="inlineStr">
        <is>
          <t>星渊龙息·寒鳞</t>
        </is>
      </c>
      <c r="D188" s="399" t="inlineStr">
        <is>
          <t>星渊龙息</t>
        </is>
      </c>
      <c r="E188" s="399" t="n">
        <v>1</v>
      </c>
      <c r="F188" s="399" t="inlineStr">
        <is>
          <t>灵玉</t>
        </is>
      </c>
      <c r="G188" s="398" t="n"/>
      <c r="H188" s="398" t="n"/>
      <c r="I188" s="398" t="n">
        <v>6053</v>
      </c>
      <c r="J188" s="398" t="n"/>
      <c r="K188" s="398" t="n"/>
      <c r="L188" s="398" t="n"/>
      <c r="M188" s="398" t="n">
        <v>6053</v>
      </c>
      <c r="N188" s="398" t="n">
        <v>6053</v>
      </c>
      <c r="O188" s="398" t="n">
        <v>6053</v>
      </c>
      <c r="P188" s="292" t="n"/>
      <c r="Q188" s="292" t="inlineStr">
        <is>
          <t>原九部位资源库已登记</t>
        </is>
      </c>
      <c r="R188" s="292" t="str"/>
      <c r="S188" s="292" t="inlineStr">
        <is>
          <t>装备素材套装代码表.xlsx（原九部位）</t>
        </is>
      </c>
      <c r="T188" s="292" t="inlineStr">
        <is>
          <t>同一代码用于 Items / StateItem / DnItems；属性与掉落另表定义。</t>
        </is>
      </c>
      <c r="U188">
        <f>IF(COUNTIF($B$2:$B$1076,B188)&gt;1,"重复","")</f>
        <v/>
      </c>
      <c r="V188">
        <f>IF(AND(OR(M188="",M188=B188),OR(N188="",N188=B188),OR(O188="",O188=B188)),"通过","不一致")</f>
        <v/>
      </c>
    </row>
    <row r="189" ht="22" customHeight="1">
      <c r="A189" s="398" t="n">
        <v>188</v>
      </c>
      <c r="B189" s="398" t="n">
        <v>6054</v>
      </c>
      <c r="C189" s="399" t="inlineStr">
        <is>
          <t>星渊龙息·寒鳞</t>
        </is>
      </c>
      <c r="D189" s="399" t="inlineStr">
        <is>
          <t>星渊龙息</t>
        </is>
      </c>
      <c r="E189" s="399" t="n">
        <v>1</v>
      </c>
      <c r="F189" s="399" t="inlineStr">
        <is>
          <t>鞋子</t>
        </is>
      </c>
      <c r="G189" s="398" t="n"/>
      <c r="H189" s="398" t="n"/>
      <c r="I189" s="398" t="n">
        <v>6054</v>
      </c>
      <c r="J189" s="398" t="n"/>
      <c r="K189" s="398" t="n"/>
      <c r="L189" s="398" t="n"/>
      <c r="M189" s="398" t="n">
        <v>6054</v>
      </c>
      <c r="N189" s="398" t="n">
        <v>6054</v>
      </c>
      <c r="O189" s="398" t="n">
        <v>6054</v>
      </c>
      <c r="P189" s="292" t="n"/>
      <c r="Q189" s="292" t="inlineStr">
        <is>
          <t>原九部位资源库已登记</t>
        </is>
      </c>
      <c r="R189" s="292" t="str"/>
      <c r="S189" s="292" t="inlineStr">
        <is>
          <t>装备素材套装代码表.xlsx（原九部位）</t>
        </is>
      </c>
      <c r="T189" s="292" t="inlineStr">
        <is>
          <t>同一代码用于 Items / StateItem / DnItems；属性与掉落另表定义。</t>
        </is>
      </c>
      <c r="U189">
        <f>IF(COUNTIF($B$2:$B$1076,B189)&gt;1,"重复","")</f>
        <v/>
      </c>
      <c r="V189">
        <f>IF(AND(OR(M189="",M189=B189),OR(N189="",N189=B189),OR(O189="",O189=B189)),"通过","不一致")</f>
        <v/>
      </c>
    </row>
    <row r="190" ht="22" customHeight="1">
      <c r="A190" s="398" t="n">
        <v>189</v>
      </c>
      <c r="B190" s="398" t="n">
        <v>6055</v>
      </c>
      <c r="C190" s="399" t="inlineStr">
        <is>
          <t>星渊龙息·寒鳞</t>
        </is>
      </c>
      <c r="D190" s="399" t="inlineStr">
        <is>
          <t>星渊龙息</t>
        </is>
      </c>
      <c r="E190" s="399" t="n">
        <v>1</v>
      </c>
      <c r="F190" s="399" t="inlineStr">
        <is>
          <t>腰带</t>
        </is>
      </c>
      <c r="G190" s="398" t="n"/>
      <c r="H190" s="398" t="n"/>
      <c r="I190" s="398" t="n">
        <v>6055</v>
      </c>
      <c r="J190" s="398" t="n"/>
      <c r="K190" s="398" t="n"/>
      <c r="L190" s="398" t="n"/>
      <c r="M190" s="398" t="n">
        <v>6055</v>
      </c>
      <c r="N190" s="398" t="n">
        <v>6055</v>
      </c>
      <c r="O190" s="398" t="n">
        <v>6055</v>
      </c>
      <c r="P190" s="292" t="n"/>
      <c r="Q190" s="292" t="inlineStr">
        <is>
          <t>原九部位资源库已登记</t>
        </is>
      </c>
      <c r="R190" s="292" t="str"/>
      <c r="S190" s="292" t="inlineStr">
        <is>
          <t>装备素材套装代码表.xlsx（原九部位）</t>
        </is>
      </c>
      <c r="T190" s="292" t="inlineStr">
        <is>
          <t>同一代码用于 Items / StateItem / DnItems；属性与掉落另表定义。</t>
        </is>
      </c>
      <c r="U190">
        <f>IF(COUNTIF($B$2:$B$1076,B190)&gt;1,"重复","")</f>
        <v/>
      </c>
      <c r="V190">
        <f>IF(AND(OR(M190="",M190=B190),OR(N190="",N190=B190),OR(O190="",O190=B190)),"通过","不一致")</f>
        <v/>
      </c>
    </row>
    <row r="191" ht="22" customHeight="1">
      <c r="A191" s="398" t="n">
        <v>190</v>
      </c>
      <c r="B191" s="398" t="n">
        <v>6056</v>
      </c>
      <c r="C191" s="399" t="inlineStr">
        <is>
          <t>星渊龙息·龙痕</t>
        </is>
      </c>
      <c r="D191" s="399" t="inlineStr">
        <is>
          <t>星渊龙息</t>
        </is>
      </c>
      <c r="E191" s="399" t="n">
        <v>2</v>
      </c>
      <c r="F191" s="399" t="inlineStr">
        <is>
          <t>勋章</t>
        </is>
      </c>
      <c r="G191" s="398" t="n"/>
      <c r="H191" s="398" t="n"/>
      <c r="I191" s="398" t="n">
        <v>6056</v>
      </c>
      <c r="J191" s="398" t="n"/>
      <c r="K191" s="398" t="n"/>
      <c r="L191" s="398" t="n"/>
      <c r="M191" s="398" t="n">
        <v>6056</v>
      </c>
      <c r="N191" s="398" t="n">
        <v>6056</v>
      </c>
      <c r="O191" s="398" t="n">
        <v>6056</v>
      </c>
      <c r="P191" s="292" t="n"/>
      <c r="Q191" s="292" t="inlineStr">
        <is>
          <t>原九部位资源库已登记</t>
        </is>
      </c>
      <c r="R191" s="292" t="str"/>
      <c r="S191" s="292" t="inlineStr">
        <is>
          <t>装备素材套装代码表.xlsx（原九部位）</t>
        </is>
      </c>
      <c r="T191" s="292" t="inlineStr">
        <is>
          <t>同一代码用于 Items / StateItem / DnItems；属性与掉落另表定义。</t>
        </is>
      </c>
      <c r="U191">
        <f>IF(COUNTIF($B$2:$B$1076,B191)&gt;1,"重复","")</f>
        <v/>
      </c>
      <c r="V191">
        <f>IF(AND(OR(M191="",M191=B191),OR(N191="",N191=B191),OR(O191="",O191=B191)),"通过","不一致")</f>
        <v/>
      </c>
    </row>
    <row r="192" ht="22" customHeight="1">
      <c r="A192" s="398" t="n">
        <v>191</v>
      </c>
      <c r="B192" s="398" t="n">
        <v>6057</v>
      </c>
      <c r="C192" s="399" t="inlineStr">
        <is>
          <t>星渊龙息·龙痕</t>
        </is>
      </c>
      <c r="D192" s="399" t="inlineStr">
        <is>
          <t>星渊龙息</t>
        </is>
      </c>
      <c r="E192" s="399" t="n">
        <v>2</v>
      </c>
      <c r="F192" s="399" t="inlineStr">
        <is>
          <t>项链</t>
        </is>
      </c>
      <c r="G192" s="398" t="n"/>
      <c r="H192" s="398" t="n"/>
      <c r="I192" s="398" t="n">
        <v>6057</v>
      </c>
      <c r="J192" s="398" t="n"/>
      <c r="K192" s="398" t="n"/>
      <c r="L192" s="398" t="n"/>
      <c r="M192" s="398" t="n">
        <v>6057</v>
      </c>
      <c r="N192" s="398" t="n">
        <v>6057</v>
      </c>
      <c r="O192" s="398" t="n">
        <v>6057</v>
      </c>
      <c r="P192" s="292" t="n"/>
      <c r="Q192" s="292" t="inlineStr">
        <is>
          <t>原九部位资源库已登记</t>
        </is>
      </c>
      <c r="R192" s="324" t="inlineStr">
        <is>
          <t>C3-C10规划锁定：缚铃窄项圈</t>
        </is>
      </c>
      <c r="S192" s="292" t="inlineStr">
        <is>
          <t>装备素材套装代码表.xlsx（原九部位）</t>
        </is>
      </c>
      <c r="T192" s="292" t="inlineStr">
        <is>
          <t>同一代码用于 Items / StateItem / DnItems；属性与掉落另表定义。</t>
        </is>
      </c>
      <c r="U192">
        <f>IF(COUNTIF($B$2:$B$1076,B192)&gt;1,"重复","")</f>
        <v/>
      </c>
      <c r="V192">
        <f>IF(AND(OR(M192="",M192=B192),OR(N192="",N192=B192),OR(O192="",O192=B192)),"通过","不一致")</f>
        <v/>
      </c>
    </row>
    <row r="193" ht="22" customHeight="1">
      <c r="A193" s="398" t="n">
        <v>192</v>
      </c>
      <c r="B193" s="398" t="n">
        <v>6058</v>
      </c>
      <c r="C193" s="399" t="inlineStr">
        <is>
          <t>星渊龙息·龙痕</t>
        </is>
      </c>
      <c r="D193" s="399" t="inlineStr">
        <is>
          <t>星渊龙息</t>
        </is>
      </c>
      <c r="E193" s="399" t="n">
        <v>2</v>
      </c>
      <c r="F193" s="399" t="inlineStr">
        <is>
          <t>头盔</t>
        </is>
      </c>
      <c r="G193" s="398" t="n"/>
      <c r="H193" s="398" t="n"/>
      <c r="I193" s="398" t="n">
        <v>6058</v>
      </c>
      <c r="J193" s="398" t="n"/>
      <c r="K193" s="398" t="n"/>
      <c r="L193" s="398" t="n"/>
      <c r="M193" s="398" t="n">
        <v>6058</v>
      </c>
      <c r="N193" s="398" t="n">
        <v>6058</v>
      </c>
      <c r="O193" s="398" t="n">
        <v>6058</v>
      </c>
      <c r="P193" s="292" t="n"/>
      <c r="Q193" s="292" t="inlineStr">
        <is>
          <t>原九部位资源库已登记</t>
        </is>
      </c>
      <c r="R193" s="324" t="inlineStr">
        <is>
          <t>C3-C10规划锁定：壁垒号手盔</t>
        </is>
      </c>
      <c r="S193" s="292" t="inlineStr">
        <is>
          <t>装备素材套装代码表.xlsx（原九部位）</t>
        </is>
      </c>
      <c r="T193" s="292" t="inlineStr">
        <is>
          <t>同一代码用于 Items / StateItem / DnItems；属性与掉落另表定义。</t>
        </is>
      </c>
      <c r="U193">
        <f>IF(COUNTIF($B$2:$B$1076,B193)&gt;1,"重复","")</f>
        <v/>
      </c>
      <c r="V193">
        <f>IF(AND(OR(M193="",M193=B193),OR(N193="",N193=B193),OR(O193="",O193=B193)),"通过","不一致")</f>
        <v/>
      </c>
    </row>
    <row r="194" ht="22" customHeight="1">
      <c r="A194" s="398" t="n">
        <v>193</v>
      </c>
      <c r="B194" s="398" t="n">
        <v>6059</v>
      </c>
      <c r="C194" s="399" t="inlineStr">
        <is>
          <t>星渊龙息·龙痕</t>
        </is>
      </c>
      <c r="D194" s="399" t="inlineStr">
        <is>
          <t>星渊龙息</t>
        </is>
      </c>
      <c r="E194" s="399" t="n">
        <v>2</v>
      </c>
      <c r="F194" s="399" t="inlineStr">
        <is>
          <t>手镯</t>
        </is>
      </c>
      <c r="G194" s="398" t="n"/>
      <c r="H194" s="398" t="n"/>
      <c r="I194" s="398" t="n">
        <v>6059</v>
      </c>
      <c r="J194" s="398" t="n"/>
      <c r="K194" s="398" t="n"/>
      <c r="L194" s="398" t="n"/>
      <c r="M194" s="398" t="n">
        <v>6059</v>
      </c>
      <c r="N194" s="398" t="n">
        <v>6059</v>
      </c>
      <c r="O194" s="398" t="n">
        <v>6059</v>
      </c>
      <c r="P194" s="292" t="n"/>
      <c r="Q194" s="292" t="inlineStr">
        <is>
          <t>原九部位资源库已登记</t>
        </is>
      </c>
      <c r="R194" s="322" t="inlineStr">
        <is>
          <t>C1/C2现用：幽火鳞镯</t>
        </is>
      </c>
      <c r="S194" s="292" t="inlineStr">
        <is>
          <t>装备素材套装代码表.xlsx（原九部位）</t>
        </is>
      </c>
      <c r="T194" s="292" t="inlineStr">
        <is>
          <t>同一代码用于 Items / StateItem / DnItems；属性与掉落另表定义。</t>
        </is>
      </c>
      <c r="U194">
        <f>IF(COUNTIF($B$2:$B$1076,B194)&gt;1,"重复","")</f>
        <v/>
      </c>
      <c r="V194">
        <f>IF(AND(OR(M194="",M194=B194),OR(N194="",N194=B194),OR(O194="",O194=B194)),"通过","不一致")</f>
        <v/>
      </c>
    </row>
    <row r="195" ht="22" customHeight="1">
      <c r="A195" s="398" t="n">
        <v>194</v>
      </c>
      <c r="B195" s="398" t="n">
        <v>6060</v>
      </c>
      <c r="C195" s="399" t="inlineStr">
        <is>
          <t>星渊龙息·龙痕</t>
        </is>
      </c>
      <c r="D195" s="399" t="inlineStr">
        <is>
          <t>星渊龙息</t>
        </is>
      </c>
      <c r="E195" s="399" t="n">
        <v>2</v>
      </c>
      <c r="F195" s="399" t="inlineStr">
        <is>
          <t>戒指</t>
        </is>
      </c>
      <c r="G195" s="398" t="n"/>
      <c r="H195" s="398" t="n"/>
      <c r="I195" s="398" t="n">
        <v>6060</v>
      </c>
      <c r="J195" s="398" t="n"/>
      <c r="K195" s="398" t="n"/>
      <c r="L195" s="398" t="n"/>
      <c r="M195" s="398" t="n">
        <v>6060</v>
      </c>
      <c r="N195" s="398" t="n">
        <v>6060</v>
      </c>
      <c r="O195" s="398" t="n">
        <v>6060</v>
      </c>
      <c r="P195" s="292" t="n"/>
      <c r="Q195" s="292" t="inlineStr">
        <is>
          <t>原九部位资源库已登记</t>
        </is>
      </c>
      <c r="R195" s="324" t="inlineStr">
        <is>
          <t>C3-C10规划锁定：七孔哀笛戒</t>
        </is>
      </c>
      <c r="S195" s="292" t="inlineStr">
        <is>
          <t>装备素材套装代码表.xlsx（原九部位）</t>
        </is>
      </c>
      <c r="T195" s="292" t="inlineStr">
        <is>
          <t>同一代码用于 Items / StateItem / DnItems；属性与掉落另表定义。</t>
        </is>
      </c>
      <c r="U195">
        <f>IF(COUNTIF($B$2:$B$1076,B195)&gt;1,"重复","")</f>
        <v/>
      </c>
      <c r="V195">
        <f>IF(AND(OR(M195="",M195=B195),OR(N195="",N195=B195),OR(O195="",O195=B195)),"通过","不一致")</f>
        <v/>
      </c>
    </row>
    <row r="196" ht="22" customHeight="1">
      <c r="A196" s="398" t="n">
        <v>195</v>
      </c>
      <c r="B196" s="398" t="n">
        <v>6061</v>
      </c>
      <c r="C196" s="399" t="inlineStr">
        <is>
          <t>星渊龙息·龙痕</t>
        </is>
      </c>
      <c r="D196" s="399" t="inlineStr">
        <is>
          <t>星渊龙息</t>
        </is>
      </c>
      <c r="E196" s="399" t="n">
        <v>2</v>
      </c>
      <c r="F196" s="399" t="inlineStr">
        <is>
          <t>盾牌</t>
        </is>
      </c>
      <c r="G196" s="398" t="n"/>
      <c r="H196" s="398" t="n"/>
      <c r="I196" s="398" t="n">
        <v>6061</v>
      </c>
      <c r="J196" s="398" t="n"/>
      <c r="K196" s="398" t="n"/>
      <c r="L196" s="398" t="n"/>
      <c r="M196" s="398" t="n">
        <v>6061</v>
      </c>
      <c r="N196" s="398" t="n">
        <v>6061</v>
      </c>
      <c r="O196" s="398" t="n">
        <v>6061</v>
      </c>
      <c r="P196" s="292" t="n"/>
      <c r="Q196" s="292" t="inlineStr">
        <is>
          <t>原九部位资源库已登记</t>
        </is>
      </c>
      <c r="R196" s="322" t="inlineStr">
        <is>
          <t>C1/C2现用：雷痕石盾</t>
        </is>
      </c>
      <c r="S196" s="292" t="inlineStr">
        <is>
          <t>装备素材套装代码表.xlsx（原九部位）</t>
        </is>
      </c>
      <c r="T196" s="292" t="inlineStr">
        <is>
          <t>同一代码用于 Items / StateItem / DnItems；属性与掉落另表定义。</t>
        </is>
      </c>
      <c r="U196">
        <f>IF(COUNTIF($B$2:$B$1076,B196)&gt;1,"重复","")</f>
        <v/>
      </c>
      <c r="V196">
        <f>IF(AND(OR(M196="",M196=B196),OR(N196="",N196=B196),OR(O196="",O196=B196)),"通过","不一致")</f>
        <v/>
      </c>
    </row>
    <row r="197" ht="22" customHeight="1">
      <c r="A197" s="398" t="n">
        <v>196</v>
      </c>
      <c r="B197" s="398" t="n">
        <v>6062</v>
      </c>
      <c r="C197" s="399" t="inlineStr">
        <is>
          <t>星渊龙息·龙痕</t>
        </is>
      </c>
      <c r="D197" s="399" t="inlineStr">
        <is>
          <t>星渊龙息</t>
        </is>
      </c>
      <c r="E197" s="399" t="n">
        <v>2</v>
      </c>
      <c r="F197" s="399" t="inlineStr">
        <is>
          <t>灵玉</t>
        </is>
      </c>
      <c r="G197" s="398" t="n"/>
      <c r="H197" s="398" t="n"/>
      <c r="I197" s="398" t="n">
        <v>6062</v>
      </c>
      <c r="J197" s="398" t="n"/>
      <c r="K197" s="398" t="n"/>
      <c r="L197" s="398" t="n"/>
      <c r="M197" s="398" t="n">
        <v>6062</v>
      </c>
      <c r="N197" s="398" t="n">
        <v>6062</v>
      </c>
      <c r="O197" s="398" t="n">
        <v>6062</v>
      </c>
      <c r="P197" s="292" t="n"/>
      <c r="Q197" s="292" t="inlineStr">
        <is>
          <t>原九部位资源库已登记</t>
        </is>
      </c>
      <c r="R197" s="292" t="str"/>
      <c r="S197" s="292" t="inlineStr">
        <is>
          <t>装备素材套装代码表.xlsx（原九部位）</t>
        </is>
      </c>
      <c r="T197" s="292" t="inlineStr">
        <is>
          <t>同一代码用于 Items / StateItem / DnItems；属性与掉落另表定义。</t>
        </is>
      </c>
      <c r="U197">
        <f>IF(COUNTIF($B$2:$B$1076,B197)&gt;1,"重复","")</f>
        <v/>
      </c>
      <c r="V197">
        <f>IF(AND(OR(M197="",M197=B197),OR(N197="",N197=B197),OR(O197="",O197=B197)),"通过","不一致")</f>
        <v/>
      </c>
    </row>
    <row r="198" ht="22" customHeight="1">
      <c r="A198" s="398" t="n">
        <v>197</v>
      </c>
      <c r="B198" s="398" t="n">
        <v>6063</v>
      </c>
      <c r="C198" s="399" t="inlineStr">
        <is>
          <t>星渊龙息·龙痕</t>
        </is>
      </c>
      <c r="D198" s="399" t="inlineStr">
        <is>
          <t>星渊龙息</t>
        </is>
      </c>
      <c r="E198" s="399" t="n">
        <v>2</v>
      </c>
      <c r="F198" s="399" t="inlineStr">
        <is>
          <t>鞋子</t>
        </is>
      </c>
      <c r="G198" s="398" t="n"/>
      <c r="H198" s="398" t="n"/>
      <c r="I198" s="398" t="n">
        <v>6063</v>
      </c>
      <c r="J198" s="398" t="n"/>
      <c r="K198" s="398" t="n"/>
      <c r="L198" s="398" t="n"/>
      <c r="M198" s="398" t="n">
        <v>6063</v>
      </c>
      <c r="N198" s="398" t="n">
        <v>6063</v>
      </c>
      <c r="O198" s="398" t="n">
        <v>6063</v>
      </c>
      <c r="P198" s="292" t="n"/>
      <c r="Q198" s="292" t="inlineStr">
        <is>
          <t>原九部位资源库已登记</t>
        </is>
      </c>
      <c r="R198" s="292" t="str"/>
      <c r="S198" s="292" t="inlineStr">
        <is>
          <t>装备素材套装代码表.xlsx（原九部位）</t>
        </is>
      </c>
      <c r="T198" s="292" t="inlineStr">
        <is>
          <t>同一代码用于 Items / StateItem / DnItems；属性与掉落另表定义。</t>
        </is>
      </c>
      <c r="U198">
        <f>IF(COUNTIF($B$2:$B$1076,B198)&gt;1,"重复","")</f>
        <v/>
      </c>
      <c r="V198">
        <f>IF(AND(OR(M198="",M198=B198),OR(N198="",N198=B198),OR(O198="",O198=B198)),"通过","不一致")</f>
        <v/>
      </c>
    </row>
    <row r="199" ht="22" customHeight="1">
      <c r="A199" s="398" t="n">
        <v>198</v>
      </c>
      <c r="B199" s="398" t="n">
        <v>6064</v>
      </c>
      <c r="C199" s="399" t="inlineStr">
        <is>
          <t>星渊龙息·龙痕</t>
        </is>
      </c>
      <c r="D199" s="399" t="inlineStr">
        <is>
          <t>星渊龙息</t>
        </is>
      </c>
      <c r="E199" s="399" t="n">
        <v>2</v>
      </c>
      <c r="F199" s="399" t="inlineStr">
        <is>
          <t>腰带</t>
        </is>
      </c>
      <c r="G199" s="398" t="n"/>
      <c r="H199" s="398" t="n"/>
      <c r="I199" s="398" t="n">
        <v>6064</v>
      </c>
      <c r="J199" s="398" t="n"/>
      <c r="K199" s="398" t="n"/>
      <c r="L199" s="398" t="n"/>
      <c r="M199" s="398" t="n">
        <v>6064</v>
      </c>
      <c r="N199" s="398" t="n">
        <v>6064</v>
      </c>
      <c r="O199" s="398" t="n">
        <v>6064</v>
      </c>
      <c r="P199" s="292" t="n"/>
      <c r="Q199" s="292" t="inlineStr">
        <is>
          <t>原九部位资源库已登记</t>
        </is>
      </c>
      <c r="R199" s="292" t="str"/>
      <c r="S199" s="292" t="inlineStr">
        <is>
          <t>装备素材套装代码表.xlsx（原九部位）</t>
        </is>
      </c>
      <c r="T199" s="292" t="inlineStr">
        <is>
          <t>同一代码用于 Items / StateItem / DnItems；属性与掉落另表定义。</t>
        </is>
      </c>
      <c r="U199">
        <f>IF(COUNTIF($B$2:$B$1076,B199)&gt;1,"重复","")</f>
        <v/>
      </c>
      <c r="V199">
        <f>IF(AND(OR(M199="",M199=B199),OR(N199="",N199=B199),OR(O199="",O199=B199)),"通过","不一致")</f>
        <v/>
      </c>
    </row>
    <row r="200" ht="22" customHeight="1">
      <c r="A200" s="398" t="n">
        <v>199</v>
      </c>
      <c r="B200" s="398" t="n">
        <v>6065</v>
      </c>
      <c r="C200" s="399" t="inlineStr">
        <is>
          <t>星渊龙息·星晶</t>
        </is>
      </c>
      <c r="D200" s="399" t="inlineStr">
        <is>
          <t>星渊龙息</t>
        </is>
      </c>
      <c r="E200" s="399" t="n">
        <v>3</v>
      </c>
      <c r="F200" s="399" t="inlineStr">
        <is>
          <t>勋章</t>
        </is>
      </c>
      <c r="G200" s="398" t="n"/>
      <c r="H200" s="398" t="n"/>
      <c r="I200" s="398" t="n">
        <v>6065</v>
      </c>
      <c r="J200" s="398" t="n"/>
      <c r="K200" s="398" t="n"/>
      <c r="L200" s="398" t="n"/>
      <c r="M200" s="398" t="n">
        <v>6065</v>
      </c>
      <c r="N200" s="398" t="n">
        <v>6065</v>
      </c>
      <c r="O200" s="398" t="n">
        <v>6065</v>
      </c>
      <c r="P200" s="292" t="n"/>
      <c r="Q200" s="292" t="inlineStr">
        <is>
          <t>原九部位资源库已登记</t>
        </is>
      </c>
      <c r="R200" s="292" t="str"/>
      <c r="S200" s="292" t="inlineStr">
        <is>
          <t>装备素材套装代码表.xlsx（原九部位）</t>
        </is>
      </c>
      <c r="T200" s="292" t="inlineStr">
        <is>
          <t>同一代码用于 Items / StateItem / DnItems；属性与掉落另表定义。</t>
        </is>
      </c>
      <c r="U200">
        <f>IF(COUNTIF($B$2:$B$1076,B200)&gt;1,"重复","")</f>
        <v/>
      </c>
      <c r="V200">
        <f>IF(AND(OR(M200="",M200=B200),OR(N200="",N200=B200),OR(O200="",O200=B200)),"通过","不一致")</f>
        <v/>
      </c>
    </row>
    <row r="201" ht="22" customHeight="1">
      <c r="A201" s="398" t="n">
        <v>200</v>
      </c>
      <c r="B201" s="398" t="n">
        <v>6066</v>
      </c>
      <c r="C201" s="399" t="inlineStr">
        <is>
          <t>星渊龙息·星晶</t>
        </is>
      </c>
      <c r="D201" s="399" t="inlineStr">
        <is>
          <t>星渊龙息</t>
        </is>
      </c>
      <c r="E201" s="399" t="n">
        <v>3</v>
      </c>
      <c r="F201" s="399" t="inlineStr">
        <is>
          <t>项链</t>
        </is>
      </c>
      <c r="G201" s="398" t="n"/>
      <c r="H201" s="398" t="n"/>
      <c r="I201" s="398" t="n">
        <v>6066</v>
      </c>
      <c r="J201" s="398" t="n"/>
      <c r="K201" s="398" t="n"/>
      <c r="L201" s="398" t="n"/>
      <c r="M201" s="398" t="n">
        <v>6066</v>
      </c>
      <c r="N201" s="398" t="n">
        <v>6066</v>
      </c>
      <c r="O201" s="398" t="n">
        <v>6066</v>
      </c>
      <c r="P201" s="292" t="n"/>
      <c r="Q201" s="292" t="inlineStr">
        <is>
          <t>原九部位资源库已登记</t>
        </is>
      </c>
      <c r="R201" s="324" t="inlineStr">
        <is>
          <t>C3-C10规划锁定：窥灯浊辉坠</t>
        </is>
      </c>
      <c r="S201" s="292" t="inlineStr">
        <is>
          <t>装备素材套装代码表.xlsx（原九部位）</t>
        </is>
      </c>
      <c r="T201" s="292" t="inlineStr">
        <is>
          <t>同一代码用于 Items / StateItem / DnItems；属性与掉落另表定义。</t>
        </is>
      </c>
      <c r="U201">
        <f>IF(COUNTIF($B$2:$B$1076,B201)&gt;1,"重复","")</f>
        <v/>
      </c>
      <c r="V201">
        <f>IF(AND(OR(M201="",M201=B201),OR(N201="",N201=B201),OR(O201="",O201=B201)),"通过","不一致")</f>
        <v/>
      </c>
    </row>
    <row r="202" ht="22" customHeight="1">
      <c r="A202" s="398" t="n">
        <v>201</v>
      </c>
      <c r="B202" s="398" t="n">
        <v>6067</v>
      </c>
      <c r="C202" s="399" t="inlineStr">
        <is>
          <t>星渊龙息·星晶</t>
        </is>
      </c>
      <c r="D202" s="399" t="inlineStr">
        <is>
          <t>星渊龙息</t>
        </is>
      </c>
      <c r="E202" s="399" t="n">
        <v>3</v>
      </c>
      <c r="F202" s="399" t="inlineStr">
        <is>
          <t>头盔</t>
        </is>
      </c>
      <c r="G202" s="398" t="n"/>
      <c r="H202" s="398" t="n"/>
      <c r="I202" s="398" t="n">
        <v>6067</v>
      </c>
      <c r="J202" s="398" t="n"/>
      <c r="K202" s="398" t="n"/>
      <c r="L202" s="398" t="n"/>
      <c r="M202" s="398" t="n">
        <v>6067</v>
      </c>
      <c r="N202" s="398" t="n">
        <v>6067</v>
      </c>
      <c r="O202" s="398" t="n">
        <v>6067</v>
      </c>
      <c r="P202" s="292" t="n"/>
      <c r="Q202" s="292" t="inlineStr">
        <is>
          <t>原九部位资源库已登记</t>
        </is>
      </c>
      <c r="R202" s="324" t="inlineStr">
        <is>
          <t>C3-C10规划锁定：斑墙巡灯盔</t>
        </is>
      </c>
      <c r="S202" s="292" t="inlineStr">
        <is>
          <t>装备素材套装代码表.xlsx（原九部位）</t>
        </is>
      </c>
      <c r="T202" s="292" t="inlineStr">
        <is>
          <t>同一代码用于 Items / StateItem / DnItems；属性与掉落另表定义。</t>
        </is>
      </c>
      <c r="U202">
        <f>IF(COUNTIF($B$2:$B$1076,B202)&gt;1,"重复","")</f>
        <v/>
      </c>
      <c r="V202">
        <f>IF(AND(OR(M202="",M202=B202),OR(N202="",N202=B202),OR(O202="",O202=B202)),"通过","不一致")</f>
        <v/>
      </c>
    </row>
    <row r="203" ht="22" customHeight="1">
      <c r="A203" s="398" t="n">
        <v>202</v>
      </c>
      <c r="B203" s="398" t="n">
        <v>6068</v>
      </c>
      <c r="C203" s="399" t="inlineStr">
        <is>
          <t>星渊龙息·星晶</t>
        </is>
      </c>
      <c r="D203" s="399" t="inlineStr">
        <is>
          <t>星渊龙息</t>
        </is>
      </c>
      <c r="E203" s="399" t="n">
        <v>3</v>
      </c>
      <c r="F203" s="399" t="inlineStr">
        <is>
          <t>手镯</t>
        </is>
      </c>
      <c r="G203" s="398" t="n"/>
      <c r="H203" s="398" t="n"/>
      <c r="I203" s="398" t="n">
        <v>6068</v>
      </c>
      <c r="J203" s="398" t="n"/>
      <c r="K203" s="398" t="n"/>
      <c r="L203" s="398" t="n"/>
      <c r="M203" s="398" t="n">
        <v>6068</v>
      </c>
      <c r="N203" s="398" t="n">
        <v>6068</v>
      </c>
      <c r="O203" s="398" t="n">
        <v>6068</v>
      </c>
      <c r="P203" s="292" t="n"/>
      <c r="Q203" s="292" t="inlineStr">
        <is>
          <t>原九部位资源库已登记</t>
        </is>
      </c>
      <c r="R203" s="324" t="inlineStr">
        <is>
          <t>C3-C10规划锁定：金桂驯狮腕</t>
        </is>
      </c>
      <c r="S203" s="292" t="inlineStr">
        <is>
          <t>装备素材套装代码表.xlsx（原九部位）</t>
        </is>
      </c>
      <c r="T203" s="292" t="inlineStr">
        <is>
          <t>同一代码用于 Items / StateItem / DnItems；属性与掉落另表定义。</t>
        </is>
      </c>
      <c r="U203">
        <f>IF(COUNTIF($B$2:$B$1076,B203)&gt;1,"重复","")</f>
        <v/>
      </c>
      <c r="V203">
        <f>IF(AND(OR(M203="",M203=B203),OR(N203="",N203=B203),OR(O203="",O203=B203)),"通过","不一致")</f>
        <v/>
      </c>
    </row>
    <row r="204" ht="22" customHeight="1">
      <c r="A204" s="398" t="n">
        <v>203</v>
      </c>
      <c r="B204" s="398" t="n">
        <v>6069</v>
      </c>
      <c r="C204" s="399" t="inlineStr">
        <is>
          <t>星渊龙息·星晶</t>
        </is>
      </c>
      <c r="D204" s="399" t="inlineStr">
        <is>
          <t>星渊龙息</t>
        </is>
      </c>
      <c r="E204" s="399" t="n">
        <v>3</v>
      </c>
      <c r="F204" s="399" t="inlineStr">
        <is>
          <t>戒指</t>
        </is>
      </c>
      <c r="G204" s="398" t="n"/>
      <c r="H204" s="398" t="n"/>
      <c r="I204" s="398" t="n">
        <v>6069</v>
      </c>
      <c r="J204" s="398" t="n"/>
      <c r="K204" s="398" t="n"/>
      <c r="L204" s="398" t="n"/>
      <c r="M204" s="398" t="n">
        <v>6069</v>
      </c>
      <c r="N204" s="398" t="n">
        <v>6069</v>
      </c>
      <c r="O204" s="398" t="n">
        <v>6069</v>
      </c>
      <c r="P204" s="292" t="n"/>
      <c r="Q204" s="292" t="inlineStr">
        <is>
          <t>原九部位资源库已登记</t>
        </is>
      </c>
      <c r="R204" s="324" t="inlineStr">
        <is>
          <t>C3-C10规划锁定：黑晶凿梦戒</t>
        </is>
      </c>
      <c r="S204" s="292" t="inlineStr">
        <is>
          <t>装备素材套装代码表.xlsx（原九部位）</t>
        </is>
      </c>
      <c r="T204" s="292" t="inlineStr">
        <is>
          <t>同一代码用于 Items / StateItem / DnItems；属性与掉落另表定义。</t>
        </is>
      </c>
      <c r="U204">
        <f>IF(COUNTIF($B$2:$B$1076,B204)&gt;1,"重复","")</f>
        <v/>
      </c>
      <c r="V204">
        <f>IF(AND(OR(M204="",M204=B204),OR(N204="",N204=B204),OR(O204="",O204=B204)),"通过","不一致")</f>
        <v/>
      </c>
    </row>
    <row r="205" ht="22" customHeight="1">
      <c r="A205" s="398" t="n">
        <v>204</v>
      </c>
      <c r="B205" s="398" t="n">
        <v>6070</v>
      </c>
      <c r="C205" s="399" t="inlineStr">
        <is>
          <t>星渊龙息·星晶</t>
        </is>
      </c>
      <c r="D205" s="399" t="inlineStr">
        <is>
          <t>星渊龙息</t>
        </is>
      </c>
      <c r="E205" s="399" t="n">
        <v>3</v>
      </c>
      <c r="F205" s="399" t="inlineStr">
        <is>
          <t>盾牌</t>
        </is>
      </c>
      <c r="G205" s="398" t="n"/>
      <c r="H205" s="398" t="n"/>
      <c r="I205" s="398" t="n">
        <v>6070</v>
      </c>
      <c r="J205" s="398" t="n"/>
      <c r="K205" s="398" t="n"/>
      <c r="L205" s="398" t="n"/>
      <c r="M205" s="398" t="n">
        <v>6070</v>
      </c>
      <c r="N205" s="398" t="n">
        <v>6070</v>
      </c>
      <c r="O205" s="398" t="n">
        <v>6070</v>
      </c>
      <c r="P205" s="292" t="n"/>
      <c r="Q205" s="292" t="inlineStr">
        <is>
          <t>原九部位资源库已登记</t>
        </is>
      </c>
      <c r="R205" s="324" t="inlineStr">
        <is>
          <t>C3-C10规划锁定：捧剑护座盾</t>
        </is>
      </c>
      <c r="S205" s="292" t="inlineStr">
        <is>
          <t>装备素材套装代码表.xlsx（原九部位）</t>
        </is>
      </c>
      <c r="T205" s="292" t="inlineStr">
        <is>
          <t>同一代码用于 Items / StateItem / DnItems；属性与掉落另表定义。</t>
        </is>
      </c>
      <c r="U205">
        <f>IF(COUNTIF($B$2:$B$1076,B205)&gt;1,"重复","")</f>
        <v/>
      </c>
      <c r="V205">
        <f>IF(AND(OR(M205="",M205=B205),OR(N205="",N205=B205),OR(O205="",O205=B205)),"通过","不一致")</f>
        <v/>
      </c>
    </row>
    <row r="206" ht="22" customHeight="1">
      <c r="A206" s="398" t="n">
        <v>205</v>
      </c>
      <c r="B206" s="398" t="n">
        <v>6071</v>
      </c>
      <c r="C206" s="399" t="inlineStr">
        <is>
          <t>星渊龙息·星晶</t>
        </is>
      </c>
      <c r="D206" s="399" t="inlineStr">
        <is>
          <t>星渊龙息</t>
        </is>
      </c>
      <c r="E206" s="399" t="n">
        <v>3</v>
      </c>
      <c r="F206" s="399" t="inlineStr">
        <is>
          <t>灵玉</t>
        </is>
      </c>
      <c r="G206" s="398" t="n"/>
      <c r="H206" s="398" t="n"/>
      <c r="I206" s="398" t="n">
        <v>6071</v>
      </c>
      <c r="J206" s="398" t="n"/>
      <c r="K206" s="398" t="n"/>
      <c r="L206" s="398" t="n"/>
      <c r="M206" s="398" t="n">
        <v>6071</v>
      </c>
      <c r="N206" s="398" t="n">
        <v>6071</v>
      </c>
      <c r="O206" s="398" t="n">
        <v>6071</v>
      </c>
      <c r="P206" s="292" t="n"/>
      <c r="Q206" s="292" t="inlineStr">
        <is>
          <t>原九部位资源库已登记</t>
        </is>
      </c>
      <c r="R206" s="322" t="inlineStr">
        <is>
          <t>C1/C2现用：熔炉古玉</t>
        </is>
      </c>
      <c r="S206" s="292" t="inlineStr">
        <is>
          <t>装备素材套装代码表.xlsx（原九部位）</t>
        </is>
      </c>
      <c r="T206" s="292" t="inlineStr">
        <is>
          <t>同一代码用于 Items / StateItem / DnItems；属性与掉落另表定义。</t>
        </is>
      </c>
      <c r="U206">
        <f>IF(COUNTIF($B$2:$B$1076,B206)&gt;1,"重复","")</f>
        <v/>
      </c>
      <c r="V206">
        <f>IF(AND(OR(M206="",M206=B206),OR(N206="",N206=B206),OR(O206="",O206=B206)),"通过","不一致")</f>
        <v/>
      </c>
    </row>
    <row r="207" ht="22" customHeight="1">
      <c r="A207" s="398" t="n">
        <v>206</v>
      </c>
      <c r="B207" s="398" t="n">
        <v>6072</v>
      </c>
      <c r="C207" s="399" t="inlineStr">
        <is>
          <t>星渊龙息·星晶</t>
        </is>
      </c>
      <c r="D207" s="399" t="inlineStr">
        <is>
          <t>星渊龙息</t>
        </is>
      </c>
      <c r="E207" s="399" t="n">
        <v>3</v>
      </c>
      <c r="F207" s="399" t="inlineStr">
        <is>
          <t>鞋子</t>
        </is>
      </c>
      <c r="G207" s="398" t="n"/>
      <c r="H207" s="398" t="n"/>
      <c r="I207" s="398" t="n">
        <v>6072</v>
      </c>
      <c r="J207" s="398" t="n"/>
      <c r="K207" s="398" t="n"/>
      <c r="L207" s="398" t="n"/>
      <c r="M207" s="398" t="n">
        <v>6072</v>
      </c>
      <c r="N207" s="398" t="n">
        <v>6072</v>
      </c>
      <c r="O207" s="398" t="n">
        <v>6072</v>
      </c>
      <c r="P207" s="292" t="n"/>
      <c r="Q207" s="292" t="inlineStr">
        <is>
          <t>原九部位资源库已登记</t>
        </is>
      </c>
      <c r="R207" s="292" t="str"/>
      <c r="S207" s="292" t="inlineStr">
        <is>
          <t>装备素材套装代码表.xlsx（原九部位）</t>
        </is>
      </c>
      <c r="T207" s="292" t="inlineStr">
        <is>
          <t>同一代码用于 Items / StateItem / DnItems；属性与掉落另表定义。</t>
        </is>
      </c>
      <c r="U207">
        <f>IF(COUNTIF($B$2:$B$1076,B207)&gt;1,"重复","")</f>
        <v/>
      </c>
      <c r="V207">
        <f>IF(AND(OR(M207="",M207=B207),OR(N207="",N207=B207),OR(O207="",O207=B207)),"通过","不一致")</f>
        <v/>
      </c>
    </row>
    <row r="208" ht="22" customHeight="1">
      <c r="A208" s="398" t="n">
        <v>207</v>
      </c>
      <c r="B208" s="398" t="n">
        <v>6073</v>
      </c>
      <c r="C208" s="399" t="inlineStr">
        <is>
          <t>星渊龙息·星晶</t>
        </is>
      </c>
      <c r="D208" s="399" t="inlineStr">
        <is>
          <t>星渊龙息</t>
        </is>
      </c>
      <c r="E208" s="399" t="n">
        <v>3</v>
      </c>
      <c r="F208" s="399" t="inlineStr">
        <is>
          <t>腰带</t>
        </is>
      </c>
      <c r="G208" s="398" t="n"/>
      <c r="H208" s="398" t="n"/>
      <c r="I208" s="398" t="n">
        <v>6073</v>
      </c>
      <c r="J208" s="398" t="n"/>
      <c r="K208" s="398" t="n"/>
      <c r="L208" s="398" t="n"/>
      <c r="M208" s="398" t="n">
        <v>6073</v>
      </c>
      <c r="N208" s="398" t="n">
        <v>6073</v>
      </c>
      <c r="O208" s="398" t="n">
        <v>6073</v>
      </c>
      <c r="P208" s="292" t="n"/>
      <c r="Q208" s="292" t="inlineStr">
        <is>
          <t>原九部位资源库已登记</t>
        </is>
      </c>
      <c r="R208" s="292" t="str"/>
      <c r="S208" s="292" t="inlineStr">
        <is>
          <t>装备素材套装代码表.xlsx（原九部位）</t>
        </is>
      </c>
      <c r="T208" s="292" t="inlineStr">
        <is>
          <t>同一代码用于 Items / StateItem / DnItems；属性与掉落另表定义。</t>
        </is>
      </c>
      <c r="U208">
        <f>IF(COUNTIF($B$2:$B$1076,B208)&gt;1,"重复","")</f>
        <v/>
      </c>
      <c r="V208">
        <f>IF(AND(OR(M208="",M208=B208),OR(N208="",N208=B208),OR(O208="",O208=B208)),"通过","不一致")</f>
        <v/>
      </c>
    </row>
    <row r="209" ht="22" customHeight="1">
      <c r="A209" s="398" t="n">
        <v>208</v>
      </c>
      <c r="B209" s="398" t="n">
        <v>6074</v>
      </c>
      <c r="C209" s="399" t="inlineStr">
        <is>
          <t>星渊龙息·霜翼</t>
        </is>
      </c>
      <c r="D209" s="399" t="inlineStr">
        <is>
          <t>星渊龙息</t>
        </is>
      </c>
      <c r="E209" s="399" t="n">
        <v>4</v>
      </c>
      <c r="F209" s="399" t="inlineStr">
        <is>
          <t>勋章</t>
        </is>
      </c>
      <c r="G209" s="398" t="n"/>
      <c r="H209" s="398" t="n"/>
      <c r="I209" s="398" t="n">
        <v>6074</v>
      </c>
      <c r="J209" s="398" t="n"/>
      <c r="K209" s="398" t="n"/>
      <c r="L209" s="398" t="n"/>
      <c r="M209" s="398" t="n">
        <v>6074</v>
      </c>
      <c r="N209" s="398" t="n">
        <v>6074</v>
      </c>
      <c r="O209" s="398" t="n">
        <v>6074</v>
      </c>
      <c r="P209" s="292" t="n"/>
      <c r="Q209" s="292" t="inlineStr">
        <is>
          <t>原九部位资源库已登记</t>
        </is>
      </c>
      <c r="R209" s="292" t="str"/>
      <c r="S209" s="292" t="inlineStr">
        <is>
          <t>装备素材套装代码表.xlsx（原九部位）</t>
        </is>
      </c>
      <c r="T209" s="292" t="inlineStr">
        <is>
          <t>同一代码用于 Items / StateItem / DnItems；属性与掉落另表定义。</t>
        </is>
      </c>
      <c r="U209">
        <f>IF(COUNTIF($B$2:$B$1076,B209)&gt;1,"重复","")</f>
        <v/>
      </c>
      <c r="V209">
        <f>IF(AND(OR(M209="",M209=B209),OR(N209="",N209=B209),OR(O209="",O209=B209)),"通过","不一致")</f>
        <v/>
      </c>
    </row>
    <row r="210" ht="22" customHeight="1">
      <c r="A210" s="398" t="n">
        <v>209</v>
      </c>
      <c r="B210" s="398" t="n">
        <v>6075</v>
      </c>
      <c r="C210" s="399" t="inlineStr">
        <is>
          <t>星渊龙息·霜翼</t>
        </is>
      </c>
      <c r="D210" s="399" t="inlineStr">
        <is>
          <t>星渊龙息</t>
        </is>
      </c>
      <c r="E210" s="399" t="n">
        <v>4</v>
      </c>
      <c r="F210" s="399" t="inlineStr">
        <is>
          <t>项链</t>
        </is>
      </c>
      <c r="G210" s="398" t="n"/>
      <c r="H210" s="398" t="n"/>
      <c r="I210" s="398" t="n">
        <v>6075</v>
      </c>
      <c r="J210" s="398" t="n"/>
      <c r="K210" s="398" t="n"/>
      <c r="L210" s="398" t="n"/>
      <c r="M210" s="398" t="n">
        <v>6075</v>
      </c>
      <c r="N210" s="398" t="n">
        <v>6075</v>
      </c>
      <c r="O210" s="398" t="n">
        <v>6075</v>
      </c>
      <c r="P210" s="292" t="n"/>
      <c r="Q210" s="292" t="inlineStr">
        <is>
          <t>原九部位资源库已登记</t>
        </is>
      </c>
      <c r="R210" s="324" t="inlineStr">
        <is>
          <t>C3-C10规划锁定：听金矿纹坠</t>
        </is>
      </c>
      <c r="S210" s="292" t="inlineStr">
        <is>
          <t>装备素材套装代码表.xlsx（原九部位）</t>
        </is>
      </c>
      <c r="T210" s="292" t="inlineStr">
        <is>
          <t>同一代码用于 Items / StateItem / DnItems；属性与掉落另表定义。</t>
        </is>
      </c>
      <c r="U210">
        <f>IF(COUNTIF($B$2:$B$1076,B210)&gt;1,"重复","")</f>
        <v/>
      </c>
      <c r="V210">
        <f>IF(AND(OR(M210="",M210=B210),OR(N210="",N210=B210),OR(O210="",O210=B210)),"通过","不一致")</f>
        <v/>
      </c>
    </row>
    <row r="211" ht="22" customHeight="1">
      <c r="A211" s="398" t="n">
        <v>210</v>
      </c>
      <c r="B211" s="398" t="n">
        <v>6076</v>
      </c>
      <c r="C211" s="399" t="inlineStr">
        <is>
          <t>星渊龙息·霜翼</t>
        </is>
      </c>
      <c r="D211" s="399" t="inlineStr">
        <is>
          <t>星渊龙息</t>
        </is>
      </c>
      <c r="E211" s="399" t="n">
        <v>4</v>
      </c>
      <c r="F211" s="399" t="inlineStr">
        <is>
          <t>头盔</t>
        </is>
      </c>
      <c r="G211" s="398" t="n"/>
      <c r="H211" s="398" t="n"/>
      <c r="I211" s="398" t="n">
        <v>6076</v>
      </c>
      <c r="J211" s="398" t="n"/>
      <c r="K211" s="398" t="n"/>
      <c r="L211" s="398" t="n"/>
      <c r="M211" s="398" t="n">
        <v>6076</v>
      </c>
      <c r="N211" s="398" t="n">
        <v>6076</v>
      </c>
      <c r="O211" s="398" t="n">
        <v>6076</v>
      </c>
      <c r="P211" s="292" t="n"/>
      <c r="Q211" s="292" t="inlineStr">
        <is>
          <t>原九部位资源库已登记</t>
        </is>
      </c>
      <c r="R211" s="324" t="inlineStr">
        <is>
          <t>C3-C10规划锁定：鸣管鳞盔</t>
        </is>
      </c>
      <c r="S211" s="292" t="inlineStr">
        <is>
          <t>装备素材套装代码表.xlsx（原九部位）</t>
        </is>
      </c>
      <c r="T211" s="292" t="inlineStr">
        <is>
          <t>同一代码用于 Items / StateItem / DnItems；属性与掉落另表定义。</t>
        </is>
      </c>
      <c r="U211">
        <f>IF(COUNTIF($B$2:$B$1076,B211)&gt;1,"重复","")</f>
        <v/>
      </c>
      <c r="V211">
        <f>IF(AND(OR(M211="",M211=B211),OR(N211="",N211=B211),OR(O211="",O211=B211)),"通过","不一致")</f>
        <v/>
      </c>
    </row>
    <row r="212" ht="22" customHeight="1">
      <c r="A212" s="398" t="n">
        <v>211</v>
      </c>
      <c r="B212" s="398" t="n">
        <v>6077</v>
      </c>
      <c r="C212" s="399" t="inlineStr">
        <is>
          <t>星渊龙息·霜翼</t>
        </is>
      </c>
      <c r="D212" s="399" t="inlineStr">
        <is>
          <t>星渊龙息</t>
        </is>
      </c>
      <c r="E212" s="399" t="n">
        <v>4</v>
      </c>
      <c r="F212" s="399" t="inlineStr">
        <is>
          <t>手镯</t>
        </is>
      </c>
      <c r="G212" s="398" t="n"/>
      <c r="H212" s="398" t="n"/>
      <c r="I212" s="398" t="n">
        <v>6077</v>
      </c>
      <c r="J212" s="398" t="n"/>
      <c r="K212" s="398" t="n"/>
      <c r="L212" s="398" t="n"/>
      <c r="M212" s="398" t="n">
        <v>6077</v>
      </c>
      <c r="N212" s="398" t="n">
        <v>6077</v>
      </c>
      <c r="O212" s="398" t="n">
        <v>6077</v>
      </c>
      <c r="P212" s="292" t="n"/>
      <c r="Q212" s="292" t="inlineStr">
        <is>
          <t>原九部位资源库已登记</t>
        </is>
      </c>
      <c r="R212" s="292" t="str"/>
      <c r="S212" s="292" t="inlineStr">
        <is>
          <t>装备素材套装代码表.xlsx（原九部位）</t>
        </is>
      </c>
      <c r="T212" s="292" t="inlineStr">
        <is>
          <t>同一代码用于 Items / StateItem / DnItems；属性与掉落另表定义。</t>
        </is>
      </c>
      <c r="U212">
        <f>IF(COUNTIF($B$2:$B$1076,B212)&gt;1,"重复","")</f>
        <v/>
      </c>
      <c r="V212">
        <f>IF(AND(OR(M212="",M212=B212),OR(N212="",N212=B212),OR(O212="",O212=B212)),"通过","不一致")</f>
        <v/>
      </c>
    </row>
    <row r="213" ht="22" customHeight="1">
      <c r="A213" s="398" t="n">
        <v>212</v>
      </c>
      <c r="B213" s="398" t="n">
        <v>6078</v>
      </c>
      <c r="C213" s="399" t="inlineStr">
        <is>
          <t>星渊龙息·霜翼</t>
        </is>
      </c>
      <c r="D213" s="399" t="inlineStr">
        <is>
          <t>星渊龙息</t>
        </is>
      </c>
      <c r="E213" s="399" t="n">
        <v>4</v>
      </c>
      <c r="F213" s="399" t="inlineStr">
        <is>
          <t>戒指</t>
        </is>
      </c>
      <c r="G213" s="398" t="n"/>
      <c r="H213" s="398" t="n"/>
      <c r="I213" s="398" t="n">
        <v>6078</v>
      </c>
      <c r="J213" s="398" t="n"/>
      <c r="K213" s="398" t="n"/>
      <c r="L213" s="398" t="n"/>
      <c r="M213" s="398" t="n">
        <v>6078</v>
      </c>
      <c r="N213" s="398" t="n">
        <v>6078</v>
      </c>
      <c r="O213" s="398" t="n">
        <v>6078</v>
      </c>
      <c r="P213" s="292" t="n"/>
      <c r="Q213" s="292" t="inlineStr">
        <is>
          <t>原九部位资源库已登记</t>
        </is>
      </c>
      <c r="R213" s="324" t="inlineStr">
        <is>
          <t>C3-C10规划锁定：无烛哀誓戒</t>
        </is>
      </c>
      <c r="S213" s="292" t="inlineStr">
        <is>
          <t>装备素材套装代码表.xlsx（原九部位）</t>
        </is>
      </c>
      <c r="T213" s="292" t="inlineStr">
        <is>
          <t>同一代码用于 Items / StateItem / DnItems；属性与掉落另表定义。</t>
        </is>
      </c>
      <c r="U213">
        <f>IF(COUNTIF($B$2:$B$1076,B213)&gt;1,"重复","")</f>
        <v/>
      </c>
      <c r="V213">
        <f>IF(AND(OR(M213="",M213=B213),OR(N213="",N213=B213),OR(O213="",O213=B213)),"通过","不一致")</f>
        <v/>
      </c>
    </row>
    <row r="214" ht="22" customHeight="1">
      <c r="A214" s="398" t="n">
        <v>213</v>
      </c>
      <c r="B214" s="398" t="n">
        <v>6079</v>
      </c>
      <c r="C214" s="399" t="inlineStr">
        <is>
          <t>星渊龙息·霜翼</t>
        </is>
      </c>
      <c r="D214" s="399" t="inlineStr">
        <is>
          <t>星渊龙息</t>
        </is>
      </c>
      <c r="E214" s="399" t="n">
        <v>4</v>
      </c>
      <c r="F214" s="399" t="inlineStr">
        <is>
          <t>盾牌</t>
        </is>
      </c>
      <c r="G214" s="398" t="n"/>
      <c r="H214" s="398" t="n"/>
      <c r="I214" s="398" t="n">
        <v>6079</v>
      </c>
      <c r="J214" s="398" t="n"/>
      <c r="K214" s="398" t="n"/>
      <c r="L214" s="398" t="n"/>
      <c r="M214" s="398" t="n">
        <v>6079</v>
      </c>
      <c r="N214" s="398" t="n">
        <v>6079</v>
      </c>
      <c r="O214" s="398" t="n">
        <v>6079</v>
      </c>
      <c r="P214" s="292" t="n"/>
      <c r="Q214" s="292" t="inlineStr">
        <is>
          <t>原九部位资源库已登记</t>
        </is>
      </c>
      <c r="R214" s="292" t="str"/>
      <c r="S214" s="292" t="inlineStr">
        <is>
          <t>装备素材套装代码表.xlsx（原九部位）</t>
        </is>
      </c>
      <c r="T214" s="292" t="inlineStr">
        <is>
          <t>同一代码用于 Items / StateItem / DnItems；属性与掉落另表定义。</t>
        </is>
      </c>
      <c r="U214">
        <f>IF(COUNTIF($B$2:$B$1076,B214)&gt;1,"重复","")</f>
        <v/>
      </c>
      <c r="V214">
        <f>IF(AND(OR(M214="",M214=B214),OR(N214="",N214=B214),OR(O214="",O214=B214)),"通过","不一致")</f>
        <v/>
      </c>
    </row>
    <row r="215" ht="22" customHeight="1">
      <c r="A215" s="398" t="n">
        <v>214</v>
      </c>
      <c r="B215" s="398" t="n">
        <v>6080</v>
      </c>
      <c r="C215" s="399" t="inlineStr">
        <is>
          <t>星渊龙息·霜翼</t>
        </is>
      </c>
      <c r="D215" s="399" t="inlineStr">
        <is>
          <t>星渊龙息</t>
        </is>
      </c>
      <c r="E215" s="399" t="n">
        <v>4</v>
      </c>
      <c r="F215" s="399" t="inlineStr">
        <is>
          <t>灵玉</t>
        </is>
      </c>
      <c r="G215" s="398" t="n"/>
      <c r="H215" s="398" t="n"/>
      <c r="I215" s="398" t="n">
        <v>6080</v>
      </c>
      <c r="J215" s="398" t="n"/>
      <c r="K215" s="398" t="n"/>
      <c r="L215" s="398" t="n"/>
      <c r="M215" s="398" t="n">
        <v>6080</v>
      </c>
      <c r="N215" s="398" t="n">
        <v>6080</v>
      </c>
      <c r="O215" s="398" t="n">
        <v>6080</v>
      </c>
      <c r="P215" s="292" t="n"/>
      <c r="Q215" s="292" t="inlineStr">
        <is>
          <t>原九部位资源库已登记</t>
        </is>
      </c>
      <c r="R215" s="292" t="str"/>
      <c r="S215" s="292" t="inlineStr">
        <is>
          <t>装备素材套装代码表.xlsx（原九部位）</t>
        </is>
      </c>
      <c r="T215" s="292" t="inlineStr">
        <is>
          <t>同一代码用于 Items / StateItem / DnItems；属性与掉落另表定义。</t>
        </is>
      </c>
      <c r="U215">
        <f>IF(COUNTIF($B$2:$B$1076,B215)&gt;1,"重复","")</f>
        <v/>
      </c>
      <c r="V215">
        <f>IF(AND(OR(M215="",M215=B215),OR(N215="",N215=B215),OR(O215="",O215=B215)),"通过","不一致")</f>
        <v/>
      </c>
    </row>
    <row r="216" ht="22" customHeight="1">
      <c r="A216" s="398" t="n">
        <v>215</v>
      </c>
      <c r="B216" s="398" t="n">
        <v>6081</v>
      </c>
      <c r="C216" s="399" t="inlineStr">
        <is>
          <t>星渊龙息·霜翼</t>
        </is>
      </c>
      <c r="D216" s="399" t="inlineStr">
        <is>
          <t>星渊龙息</t>
        </is>
      </c>
      <c r="E216" s="399" t="n">
        <v>4</v>
      </c>
      <c r="F216" s="399" t="inlineStr">
        <is>
          <t>鞋子</t>
        </is>
      </c>
      <c r="G216" s="398" t="n"/>
      <c r="H216" s="398" t="n"/>
      <c r="I216" s="398" t="n">
        <v>6081</v>
      </c>
      <c r="J216" s="398" t="n"/>
      <c r="K216" s="398" t="n"/>
      <c r="L216" s="398" t="n"/>
      <c r="M216" s="398" t="n">
        <v>6081</v>
      </c>
      <c r="N216" s="398" t="n">
        <v>6081</v>
      </c>
      <c r="O216" s="398" t="n">
        <v>6081</v>
      </c>
      <c r="P216" s="292" t="n"/>
      <c r="Q216" s="292" t="inlineStr">
        <is>
          <t>原九部位资源库已登记</t>
        </is>
      </c>
      <c r="R216" s="292" t="str"/>
      <c r="S216" s="292" t="inlineStr">
        <is>
          <t>装备素材套装代码表.xlsx（原九部位）</t>
        </is>
      </c>
      <c r="T216" s="292" t="inlineStr">
        <is>
          <t>同一代码用于 Items / StateItem / DnItems；属性与掉落另表定义。</t>
        </is>
      </c>
      <c r="U216">
        <f>IF(COUNTIF($B$2:$B$1076,B216)&gt;1,"重复","")</f>
        <v/>
      </c>
      <c r="V216">
        <f>IF(AND(OR(M216="",M216=B216),OR(N216="",N216=B216),OR(O216="",O216=B216)),"通过","不一致")</f>
        <v/>
      </c>
    </row>
    <row r="217" ht="22" customHeight="1">
      <c r="A217" s="398" t="n">
        <v>216</v>
      </c>
      <c r="B217" s="398" t="n">
        <v>6082</v>
      </c>
      <c r="C217" s="399" t="inlineStr">
        <is>
          <t>星渊龙息·霜翼</t>
        </is>
      </c>
      <c r="D217" s="399" t="inlineStr">
        <is>
          <t>星渊龙息</t>
        </is>
      </c>
      <c r="E217" s="399" t="n">
        <v>4</v>
      </c>
      <c r="F217" s="399" t="inlineStr">
        <is>
          <t>腰带</t>
        </is>
      </c>
      <c r="G217" s="398" t="n"/>
      <c r="H217" s="398" t="n"/>
      <c r="I217" s="398" t="n">
        <v>6082</v>
      </c>
      <c r="J217" s="398" t="n"/>
      <c r="K217" s="398" t="n"/>
      <c r="L217" s="398" t="n"/>
      <c r="M217" s="398" t="n">
        <v>6082</v>
      </c>
      <c r="N217" s="398" t="n">
        <v>6082</v>
      </c>
      <c r="O217" s="398" t="n">
        <v>6082</v>
      </c>
      <c r="P217" s="292" t="n"/>
      <c r="Q217" s="292" t="inlineStr">
        <is>
          <t>原九部位资源库已登记</t>
        </is>
      </c>
      <c r="R217" s="292" t="str"/>
      <c r="S217" s="292" t="inlineStr">
        <is>
          <t>装备素材套装代码表.xlsx（原九部位）</t>
        </is>
      </c>
      <c r="T217" s="292" t="inlineStr">
        <is>
          <t>同一代码用于 Items / StateItem / DnItems；属性与掉落另表定义。</t>
        </is>
      </c>
      <c r="U217">
        <f>IF(COUNTIF($B$2:$B$1076,B217)&gt;1,"重复","")</f>
        <v/>
      </c>
      <c r="V217">
        <f>IF(AND(OR(M217="",M217=B217),OR(N217="",N217=B217),OR(O217="",O217=B217)),"通过","不一致")</f>
        <v/>
      </c>
    </row>
    <row r="218" ht="22" customHeight="1">
      <c r="A218" s="398" t="n">
        <v>217</v>
      </c>
      <c r="B218" s="398" t="n">
        <v>6083</v>
      </c>
      <c r="C218" s="399" t="inlineStr">
        <is>
          <t>星渊龙息·渊潮</t>
        </is>
      </c>
      <c r="D218" s="399" t="inlineStr">
        <is>
          <t>星渊龙息</t>
        </is>
      </c>
      <c r="E218" s="399" t="n">
        <v>5</v>
      </c>
      <c r="F218" s="399" t="inlineStr">
        <is>
          <t>勋章</t>
        </is>
      </c>
      <c r="G218" s="398" t="n"/>
      <c r="H218" s="398" t="n"/>
      <c r="I218" s="398" t="n">
        <v>6083</v>
      </c>
      <c r="J218" s="398" t="n"/>
      <c r="K218" s="398" t="n"/>
      <c r="L218" s="398" t="n"/>
      <c r="M218" s="398" t="n">
        <v>6083</v>
      </c>
      <c r="N218" s="398" t="n">
        <v>6083</v>
      </c>
      <c r="O218" s="398" t="n">
        <v>6083</v>
      </c>
      <c r="P218" s="292" t="n"/>
      <c r="Q218" s="292" t="inlineStr">
        <is>
          <t>原九部位资源库已登记</t>
        </is>
      </c>
      <c r="R218" s="292" t="str"/>
      <c r="S218" s="292" t="inlineStr">
        <is>
          <t>装备素材套装代码表.xlsx（原九部位）</t>
        </is>
      </c>
      <c r="T218" s="292" t="inlineStr">
        <is>
          <t>同一代码用于 Items / StateItem / DnItems；属性与掉落另表定义。</t>
        </is>
      </c>
      <c r="U218">
        <f>IF(COUNTIF($B$2:$B$1076,B218)&gt;1,"重复","")</f>
        <v/>
      </c>
      <c r="V218">
        <f>IF(AND(OR(M218="",M218=B218),OR(N218="",N218=B218),OR(O218="",O218=B218)),"通过","不一致")</f>
        <v/>
      </c>
    </row>
    <row r="219" ht="22" customHeight="1">
      <c r="A219" s="398" t="n">
        <v>218</v>
      </c>
      <c r="B219" s="398" t="n">
        <v>6084</v>
      </c>
      <c r="C219" s="399" t="inlineStr">
        <is>
          <t>星渊龙息·渊潮</t>
        </is>
      </c>
      <c r="D219" s="399" t="inlineStr">
        <is>
          <t>星渊龙息</t>
        </is>
      </c>
      <c r="E219" s="399" t="n">
        <v>5</v>
      </c>
      <c r="F219" s="399" t="inlineStr">
        <is>
          <t>项链</t>
        </is>
      </c>
      <c r="G219" s="398" t="n"/>
      <c r="H219" s="398" t="n"/>
      <c r="I219" s="398" t="n">
        <v>6084</v>
      </c>
      <c r="J219" s="398" t="n"/>
      <c r="K219" s="398" t="n"/>
      <c r="L219" s="398" t="n"/>
      <c r="M219" s="398" t="n">
        <v>6084</v>
      </c>
      <c r="N219" s="398" t="n">
        <v>6084</v>
      </c>
      <c r="O219" s="398" t="n">
        <v>6084</v>
      </c>
      <c r="P219" s="292" t="n"/>
      <c r="Q219" s="292" t="inlineStr">
        <is>
          <t>原九部位资源库已登记</t>
        </is>
      </c>
      <c r="R219" s="324" t="inlineStr">
        <is>
          <t>C3-C10规划锁定：噤歌幽绡坠</t>
        </is>
      </c>
      <c r="S219" s="292" t="inlineStr">
        <is>
          <t>装备素材套装代码表.xlsx（原九部位）</t>
        </is>
      </c>
      <c r="T219" s="292" t="inlineStr">
        <is>
          <t>同一代码用于 Items / StateItem / DnItems；属性与掉落另表定义。</t>
        </is>
      </c>
      <c r="U219">
        <f>IF(COUNTIF($B$2:$B$1076,B219)&gt;1,"重复","")</f>
        <v/>
      </c>
      <c r="V219">
        <f>IF(AND(OR(M219="",M219=B219),OR(N219="",N219=B219),OR(O219="",O219=B219)),"通过","不一致")</f>
        <v/>
      </c>
    </row>
    <row r="220" ht="22" customHeight="1">
      <c r="A220" s="398" t="n">
        <v>219</v>
      </c>
      <c r="B220" s="398" t="n">
        <v>6085</v>
      </c>
      <c r="C220" s="399" t="inlineStr">
        <is>
          <t>星渊龙息·渊潮</t>
        </is>
      </c>
      <c r="D220" s="399" t="inlineStr">
        <is>
          <t>星渊龙息</t>
        </is>
      </c>
      <c r="E220" s="399" t="n">
        <v>5</v>
      </c>
      <c r="F220" s="399" t="inlineStr">
        <is>
          <t>头盔</t>
        </is>
      </c>
      <c r="G220" s="398" t="n"/>
      <c r="H220" s="398" t="n"/>
      <c r="I220" s="398" t="n">
        <v>6085</v>
      </c>
      <c r="J220" s="398" t="n"/>
      <c r="K220" s="398" t="n"/>
      <c r="L220" s="398" t="n"/>
      <c r="M220" s="398" t="n">
        <v>6085</v>
      </c>
      <c r="N220" s="398" t="n">
        <v>6085</v>
      </c>
      <c r="O220" s="398" t="n">
        <v>6085</v>
      </c>
      <c r="P220" s="292" t="n"/>
      <c r="Q220" s="292" t="inlineStr">
        <is>
          <t>原九部位资源库已登记</t>
        </is>
      </c>
      <c r="R220" s="324" t="inlineStr">
        <is>
          <t>C3-C10规划锁定：铲痕护矿盔</t>
        </is>
      </c>
      <c r="S220" s="292" t="inlineStr">
        <is>
          <t>装备素材套装代码表.xlsx（原九部位）</t>
        </is>
      </c>
      <c r="T220" s="292" t="inlineStr">
        <is>
          <t>同一代码用于 Items / StateItem / DnItems；属性与掉落另表定义。</t>
        </is>
      </c>
      <c r="U220">
        <f>IF(COUNTIF($B$2:$B$1076,B220)&gt;1,"重复","")</f>
        <v/>
      </c>
      <c r="V220">
        <f>IF(AND(OR(M220="",M220=B220),OR(N220="",N220=B220),OR(O220="",O220=B220)),"通过","不一致")</f>
        <v/>
      </c>
    </row>
    <row r="221" ht="22" customHeight="1">
      <c r="A221" s="398" t="n">
        <v>220</v>
      </c>
      <c r="B221" s="398" t="n">
        <v>6086</v>
      </c>
      <c r="C221" s="399" t="inlineStr">
        <is>
          <t>星渊龙息·渊潮</t>
        </is>
      </c>
      <c r="D221" s="399" t="inlineStr">
        <is>
          <t>星渊龙息</t>
        </is>
      </c>
      <c r="E221" s="399" t="n">
        <v>5</v>
      </c>
      <c r="F221" s="399" t="inlineStr">
        <is>
          <t>手镯</t>
        </is>
      </c>
      <c r="G221" s="398" t="n"/>
      <c r="H221" s="398" t="n"/>
      <c r="I221" s="398" t="n">
        <v>6086</v>
      </c>
      <c r="J221" s="398" t="n"/>
      <c r="K221" s="398" t="n"/>
      <c r="L221" s="398" t="n"/>
      <c r="M221" s="398" t="n">
        <v>6086</v>
      </c>
      <c r="N221" s="398" t="n">
        <v>6086</v>
      </c>
      <c r="O221" s="398" t="n">
        <v>6086</v>
      </c>
      <c r="P221" s="292" t="n"/>
      <c r="Q221" s="292" t="inlineStr">
        <is>
          <t>原九部位资源库已登记</t>
        </is>
      </c>
      <c r="R221" s="292" t="str"/>
      <c r="S221" s="292" t="inlineStr">
        <is>
          <t>装备素材套装代码表.xlsx（原九部位）</t>
        </is>
      </c>
      <c r="T221" s="292" t="inlineStr">
        <is>
          <t>同一代码用于 Items / StateItem / DnItems；属性与掉落另表定义。</t>
        </is>
      </c>
      <c r="U221">
        <f>IF(COUNTIF($B$2:$B$1076,B221)&gt;1,"重复","")</f>
        <v/>
      </c>
      <c r="V221">
        <f>IF(AND(OR(M221="",M221=B221),OR(N221="",N221=B221),OR(O221="",O221=B221)),"通过","不一致")</f>
        <v/>
      </c>
    </row>
    <row r="222" ht="22" customHeight="1">
      <c r="A222" s="398" t="n">
        <v>221</v>
      </c>
      <c r="B222" s="398" t="n">
        <v>6087</v>
      </c>
      <c r="C222" s="399" t="inlineStr">
        <is>
          <t>星渊龙息·渊潮</t>
        </is>
      </c>
      <c r="D222" s="399" t="inlineStr">
        <is>
          <t>星渊龙息</t>
        </is>
      </c>
      <c r="E222" s="399" t="n">
        <v>5</v>
      </c>
      <c r="F222" s="399" t="inlineStr">
        <is>
          <t>戒指</t>
        </is>
      </c>
      <c r="G222" s="398" t="n"/>
      <c r="H222" s="398" t="n"/>
      <c r="I222" s="398" t="n">
        <v>6087</v>
      </c>
      <c r="J222" s="398" t="n"/>
      <c r="K222" s="398" t="n"/>
      <c r="L222" s="398" t="n"/>
      <c r="M222" s="398" t="n">
        <v>6087</v>
      </c>
      <c r="N222" s="398" t="n">
        <v>6087</v>
      </c>
      <c r="O222" s="398" t="n">
        <v>6087</v>
      </c>
      <c r="P222" s="292" t="n"/>
      <c r="Q222" s="292" t="inlineStr">
        <is>
          <t>原九部位资源库已登记</t>
        </is>
      </c>
      <c r="R222" s="324" t="inlineStr">
        <is>
          <t>C3-C10规划锁定：缄律书记戒</t>
        </is>
      </c>
      <c r="S222" s="292" t="inlineStr">
        <is>
          <t>装备素材套装代码表.xlsx（原九部位）</t>
        </is>
      </c>
      <c r="T222" s="292" t="inlineStr">
        <is>
          <t>同一代码用于 Items / StateItem / DnItems；属性与掉落另表定义。</t>
        </is>
      </c>
      <c r="U222">
        <f>IF(COUNTIF($B$2:$B$1076,B222)&gt;1,"重复","")</f>
        <v/>
      </c>
      <c r="V222">
        <f>IF(AND(OR(M222="",M222=B222),OR(N222="",N222=B222),OR(O222="",O222=B222)),"通过","不一致")</f>
        <v/>
      </c>
    </row>
    <row r="223" ht="22" customHeight="1">
      <c r="A223" s="398" t="n">
        <v>222</v>
      </c>
      <c r="B223" s="398" t="n">
        <v>6088</v>
      </c>
      <c r="C223" s="399" t="inlineStr">
        <is>
          <t>星渊龙息·渊潮</t>
        </is>
      </c>
      <c r="D223" s="399" t="inlineStr">
        <is>
          <t>星渊龙息</t>
        </is>
      </c>
      <c r="E223" s="399" t="n">
        <v>5</v>
      </c>
      <c r="F223" s="399" t="inlineStr">
        <is>
          <t>盾牌</t>
        </is>
      </c>
      <c r="G223" s="398" t="n"/>
      <c r="H223" s="398" t="n"/>
      <c r="I223" s="398" t="n">
        <v>6088</v>
      </c>
      <c r="J223" s="398" t="n"/>
      <c r="K223" s="398" t="n"/>
      <c r="L223" s="398" t="n"/>
      <c r="M223" s="398" t="n">
        <v>6088</v>
      </c>
      <c r="N223" s="398" t="n">
        <v>6088</v>
      </c>
      <c r="O223" s="398" t="n">
        <v>6088</v>
      </c>
      <c r="P223" s="292" t="n"/>
      <c r="Q223" s="292" t="inlineStr">
        <is>
          <t>原九部位资源库已登记</t>
        </is>
      </c>
      <c r="R223" s="292" t="str"/>
      <c r="S223" s="292" t="inlineStr">
        <is>
          <t>装备素材套装代码表.xlsx（原九部位）</t>
        </is>
      </c>
      <c r="T223" s="292" t="inlineStr">
        <is>
          <t>同一代码用于 Items / StateItem / DnItems；属性与掉落另表定义。</t>
        </is>
      </c>
      <c r="U223">
        <f>IF(COUNTIF($B$2:$B$1076,B223)&gt;1,"重复","")</f>
        <v/>
      </c>
      <c r="V223">
        <f>IF(AND(OR(M223="",M223=B223),OR(N223="",N223=B223),OR(O223="",O223=B223)),"通过","不一致")</f>
        <v/>
      </c>
    </row>
    <row r="224" ht="22" customHeight="1">
      <c r="A224" s="398" t="n">
        <v>223</v>
      </c>
      <c r="B224" s="398" t="n">
        <v>6089</v>
      </c>
      <c r="C224" s="399" t="inlineStr">
        <is>
          <t>星渊龙息·渊潮</t>
        </is>
      </c>
      <c r="D224" s="399" t="inlineStr">
        <is>
          <t>星渊龙息</t>
        </is>
      </c>
      <c r="E224" s="399" t="n">
        <v>5</v>
      </c>
      <c r="F224" s="399" t="inlineStr">
        <is>
          <t>灵玉</t>
        </is>
      </c>
      <c r="G224" s="398" t="n"/>
      <c r="H224" s="398" t="n"/>
      <c r="I224" s="398" t="n">
        <v>6089</v>
      </c>
      <c r="J224" s="398" t="n"/>
      <c r="K224" s="398" t="n"/>
      <c r="L224" s="398" t="n"/>
      <c r="M224" s="398" t="n">
        <v>6089</v>
      </c>
      <c r="N224" s="398" t="n">
        <v>6089</v>
      </c>
      <c r="O224" s="398" t="n">
        <v>6089</v>
      </c>
      <c r="P224" s="292" t="n"/>
      <c r="Q224" s="292" t="inlineStr">
        <is>
          <t>原九部位资源库已登记</t>
        </is>
      </c>
      <c r="R224" s="322" t="inlineStr">
        <is>
          <t>C1/C2现用：拉卡德的大卢恩</t>
        </is>
      </c>
      <c r="S224" s="292" t="inlineStr">
        <is>
          <t>装备素材套装代码表.xlsx（原九部位）</t>
        </is>
      </c>
      <c r="T224" s="292" t="inlineStr">
        <is>
          <t>同一代码用于 Items / StateItem / DnItems；属性与掉落另表定义。</t>
        </is>
      </c>
      <c r="U224">
        <f>IF(COUNTIF($B$2:$B$1076,B224)&gt;1,"重复","")</f>
        <v/>
      </c>
      <c r="V224">
        <f>IF(AND(OR(M224="",M224=B224),OR(N224="",N224=B224),OR(O224="",O224=B224)),"通过","不一致")</f>
        <v/>
      </c>
    </row>
    <row r="225" ht="22" customHeight="1">
      <c r="A225" s="398" t="n">
        <v>224</v>
      </c>
      <c r="B225" s="398" t="n">
        <v>6090</v>
      </c>
      <c r="C225" s="399" t="inlineStr">
        <is>
          <t>星渊龙息·渊潮</t>
        </is>
      </c>
      <c r="D225" s="399" t="inlineStr">
        <is>
          <t>星渊龙息</t>
        </is>
      </c>
      <c r="E225" s="399" t="n">
        <v>5</v>
      </c>
      <c r="F225" s="399" t="inlineStr">
        <is>
          <t>鞋子</t>
        </is>
      </c>
      <c r="G225" s="398" t="n"/>
      <c r="H225" s="398" t="n"/>
      <c r="I225" s="398" t="n">
        <v>6090</v>
      </c>
      <c r="J225" s="398" t="n"/>
      <c r="K225" s="398" t="n"/>
      <c r="L225" s="398" t="n"/>
      <c r="M225" s="398" t="n">
        <v>6090</v>
      </c>
      <c r="N225" s="398" t="n">
        <v>6090</v>
      </c>
      <c r="O225" s="398" t="n">
        <v>6090</v>
      </c>
      <c r="P225" s="292" t="n"/>
      <c r="Q225" s="292" t="inlineStr">
        <is>
          <t>原九部位资源库已登记</t>
        </is>
      </c>
      <c r="R225" s="322" t="inlineStr">
        <is>
          <t>C1/C2现用：熊王战靴</t>
        </is>
      </c>
      <c r="S225" s="292" t="inlineStr">
        <is>
          <t>装备素材套装代码表.xlsx（原九部位）</t>
        </is>
      </c>
      <c r="T225" s="292" t="inlineStr">
        <is>
          <t>同一代码用于 Items / StateItem / DnItems；属性与掉落另表定义。</t>
        </is>
      </c>
      <c r="U225">
        <f>IF(COUNTIF($B$2:$B$1076,B225)&gt;1,"重复","")</f>
        <v/>
      </c>
      <c r="V225">
        <f>IF(AND(OR(M225="",M225=B225),OR(N225="",N225=B225),OR(O225="",O225=B225)),"通过","不一致")</f>
        <v/>
      </c>
    </row>
    <row r="226" ht="22" customHeight="1">
      <c r="A226" s="398" t="n">
        <v>225</v>
      </c>
      <c r="B226" s="398" t="n">
        <v>6091</v>
      </c>
      <c r="C226" s="399" t="inlineStr">
        <is>
          <t>星渊龙息·渊潮</t>
        </is>
      </c>
      <c r="D226" s="399" t="inlineStr">
        <is>
          <t>星渊龙息</t>
        </is>
      </c>
      <c r="E226" s="399" t="n">
        <v>5</v>
      </c>
      <c r="F226" s="399" t="inlineStr">
        <is>
          <t>腰带</t>
        </is>
      </c>
      <c r="G226" s="398" t="n"/>
      <c r="H226" s="398" t="n"/>
      <c r="I226" s="398" t="n">
        <v>6091</v>
      </c>
      <c r="J226" s="398" t="n"/>
      <c r="K226" s="398" t="n"/>
      <c r="L226" s="398" t="n"/>
      <c r="M226" s="398" t="n">
        <v>6091</v>
      </c>
      <c r="N226" s="398" t="n">
        <v>6091</v>
      </c>
      <c r="O226" s="398" t="n">
        <v>6091</v>
      </c>
      <c r="P226" s="292" t="n"/>
      <c r="Q226" s="292" t="inlineStr">
        <is>
          <t>原九部位资源库已登记</t>
        </is>
      </c>
      <c r="R226" s="292" t="str"/>
      <c r="S226" s="292" t="inlineStr">
        <is>
          <t>装备素材套装代码表.xlsx（原九部位）</t>
        </is>
      </c>
      <c r="T226" s="292" t="inlineStr">
        <is>
          <t>同一代码用于 Items / StateItem / DnItems；属性与掉落另表定义。</t>
        </is>
      </c>
      <c r="U226">
        <f>IF(COUNTIF($B$2:$B$1076,B226)&gt;1,"重复","")</f>
        <v/>
      </c>
      <c r="V226">
        <f>IF(AND(OR(M226="",M226=B226),OR(N226="",N226=B226),OR(O226="",O226=B226)),"通过","不一致")</f>
        <v/>
      </c>
    </row>
    <row r="227" ht="22" customHeight="1">
      <c r="A227" s="398" t="n">
        <v>226</v>
      </c>
      <c r="B227" s="398" t="n">
        <v>6092</v>
      </c>
      <c r="C227" s="399" t="inlineStr">
        <is>
          <t>星渊龙息·苍穹</t>
        </is>
      </c>
      <c r="D227" s="399" t="inlineStr">
        <is>
          <t>星渊龙息</t>
        </is>
      </c>
      <c r="E227" s="399" t="n">
        <v>6</v>
      </c>
      <c r="F227" s="399" t="inlineStr">
        <is>
          <t>勋章</t>
        </is>
      </c>
      <c r="G227" s="398" t="n"/>
      <c r="H227" s="398" t="n"/>
      <c r="I227" s="398" t="n">
        <v>6092</v>
      </c>
      <c r="J227" s="398" t="n"/>
      <c r="K227" s="398" t="n"/>
      <c r="L227" s="398" t="n"/>
      <c r="M227" s="398" t="n">
        <v>6092</v>
      </c>
      <c r="N227" s="398" t="n">
        <v>6092</v>
      </c>
      <c r="O227" s="398" t="n">
        <v>6092</v>
      </c>
      <c r="P227" s="292" t="n"/>
      <c r="Q227" s="292" t="inlineStr">
        <is>
          <t>原九部位资源库已登记</t>
        </is>
      </c>
      <c r="R227" s="322" t="inlineStr">
        <is>
          <t>C1/C2现用：风暴勋章</t>
        </is>
      </c>
      <c r="S227" s="292" t="inlineStr">
        <is>
          <t>装备素材套装代码表.xlsx（原九部位）</t>
        </is>
      </c>
      <c r="T227" s="292" t="inlineStr">
        <is>
          <t>同一代码用于 Items / StateItem / DnItems；属性与掉落另表定义。</t>
        </is>
      </c>
      <c r="U227">
        <f>IF(COUNTIF($B$2:$B$1076,B227)&gt;1,"重复","")</f>
        <v/>
      </c>
      <c r="V227">
        <f>IF(AND(OR(M227="",M227=B227),OR(N227="",N227=B227),OR(O227="",O227=B227)),"通过","不一致")</f>
        <v/>
      </c>
    </row>
    <row r="228" ht="22" customHeight="1">
      <c r="A228" s="398" t="n">
        <v>227</v>
      </c>
      <c r="B228" s="398" t="n">
        <v>6093</v>
      </c>
      <c r="C228" s="399" t="inlineStr">
        <is>
          <t>星渊龙息·苍穹</t>
        </is>
      </c>
      <c r="D228" s="399" t="inlineStr">
        <is>
          <t>星渊龙息</t>
        </is>
      </c>
      <c r="E228" s="399" t="n">
        <v>6</v>
      </c>
      <c r="F228" s="399" t="inlineStr">
        <is>
          <t>项链</t>
        </is>
      </c>
      <c r="G228" s="398" t="n"/>
      <c r="H228" s="398" t="n"/>
      <c r="I228" s="398" t="n">
        <v>6093</v>
      </c>
      <c r="J228" s="398" t="n"/>
      <c r="K228" s="398" t="n"/>
      <c r="L228" s="398" t="n"/>
      <c r="M228" s="398" t="n">
        <v>6093</v>
      </c>
      <c r="N228" s="398" t="n">
        <v>6093</v>
      </c>
      <c r="O228" s="398" t="n">
        <v>6093</v>
      </c>
      <c r="P228" s="292" t="n"/>
      <c r="Q228" s="292" t="inlineStr">
        <is>
          <t>原九部位资源库已登记</t>
        </is>
      </c>
      <c r="R228" s="322" t="inlineStr">
        <is>
          <t>C1/C2现用：鹰眼链</t>
        </is>
      </c>
      <c r="S228" s="292" t="inlineStr">
        <is>
          <t>装备素材套装代码表.xlsx（原九部位）</t>
        </is>
      </c>
      <c r="T228" s="292" t="inlineStr">
        <is>
          <t>同一代码用于 Items / StateItem / DnItems；属性与掉落另表定义。</t>
        </is>
      </c>
      <c r="U228">
        <f>IF(COUNTIF($B$2:$B$1076,B228)&gt;1,"重复","")</f>
        <v/>
      </c>
      <c r="V228">
        <f>IF(AND(OR(M228="",M228=B228),OR(N228="",N228=B228),OR(O228="",O228=B228)),"通过","不一致")</f>
        <v/>
      </c>
    </row>
    <row r="229" ht="22" customHeight="1">
      <c r="A229" s="398" t="n">
        <v>228</v>
      </c>
      <c r="B229" s="398" t="n">
        <v>6094</v>
      </c>
      <c r="C229" s="399" t="inlineStr">
        <is>
          <t>星渊龙息·苍穹</t>
        </is>
      </c>
      <c r="D229" s="399" t="inlineStr">
        <is>
          <t>星渊龙息</t>
        </is>
      </c>
      <c r="E229" s="399" t="n">
        <v>6</v>
      </c>
      <c r="F229" s="399" t="inlineStr">
        <is>
          <t>头盔</t>
        </is>
      </c>
      <c r="G229" s="398" t="n"/>
      <c r="H229" s="398" t="n"/>
      <c r="I229" s="398" t="n">
        <v>6094</v>
      </c>
      <c r="J229" s="398" t="n"/>
      <c r="K229" s="398" t="n"/>
      <c r="L229" s="398" t="n"/>
      <c r="M229" s="398" t="n">
        <v>6094</v>
      </c>
      <c r="N229" s="398" t="n">
        <v>6094</v>
      </c>
      <c r="O229" s="398" t="n">
        <v>6094</v>
      </c>
      <c r="P229" s="292" t="n"/>
      <c r="Q229" s="292" t="inlineStr">
        <is>
          <t>原九部位资源库已登记</t>
        </is>
      </c>
      <c r="R229" s="322" t="inlineStr">
        <is>
          <t>C1/C2现用：风蚀盔</t>
        </is>
      </c>
      <c r="S229" s="292" t="inlineStr">
        <is>
          <t>装备素材套装代码表.xlsx（原九部位）</t>
        </is>
      </c>
      <c r="T229" s="292" t="inlineStr">
        <is>
          <t>同一代码用于 Items / StateItem / DnItems；属性与掉落另表定义。</t>
        </is>
      </c>
      <c r="U229">
        <f>IF(COUNTIF($B$2:$B$1076,B229)&gt;1,"重复","")</f>
        <v/>
      </c>
      <c r="V229">
        <f>IF(AND(OR(M229="",M229=B229),OR(N229="",N229=B229),OR(O229="",O229=B229)),"通过","不一致")</f>
        <v/>
      </c>
    </row>
    <row r="230" ht="22" customHeight="1">
      <c r="A230" s="398" t="n">
        <v>229</v>
      </c>
      <c r="B230" s="398" t="n">
        <v>6095</v>
      </c>
      <c r="C230" s="399" t="inlineStr">
        <is>
          <t>星渊龙息·苍穹</t>
        </is>
      </c>
      <c r="D230" s="399" t="inlineStr">
        <is>
          <t>星渊龙息</t>
        </is>
      </c>
      <c r="E230" s="399" t="n">
        <v>6</v>
      </c>
      <c r="F230" s="399" t="inlineStr">
        <is>
          <t>手镯</t>
        </is>
      </c>
      <c r="G230" s="398" t="n"/>
      <c r="H230" s="398" t="n"/>
      <c r="I230" s="398" t="n">
        <v>6095</v>
      </c>
      <c r="J230" s="398" t="n"/>
      <c r="K230" s="398" t="n"/>
      <c r="L230" s="398" t="n"/>
      <c r="M230" s="398" t="n">
        <v>6095</v>
      </c>
      <c r="N230" s="398" t="n">
        <v>6095</v>
      </c>
      <c r="O230" s="398" t="n">
        <v>6095</v>
      </c>
      <c r="P230" s="292" t="n"/>
      <c r="Q230" s="292" t="inlineStr">
        <is>
          <t>原九部位资源库已登记</t>
        </is>
      </c>
      <c r="R230" s="322" t="inlineStr">
        <is>
          <t>C1/C2现用：雷羽护腕</t>
        </is>
      </c>
      <c r="S230" s="292" t="inlineStr">
        <is>
          <t>装备素材套装代码表.xlsx（原九部位）</t>
        </is>
      </c>
      <c r="T230" s="292" t="inlineStr">
        <is>
          <t>同一代码用于 Items / StateItem / DnItems；属性与掉落另表定义。</t>
        </is>
      </c>
      <c r="U230">
        <f>IF(COUNTIF($B$2:$B$1076,B230)&gt;1,"重复","")</f>
        <v/>
      </c>
      <c r="V230">
        <f>IF(AND(OR(M230="",M230=B230),OR(N230="",N230=B230),OR(O230="",O230=B230)),"通过","不一致")</f>
        <v/>
      </c>
    </row>
    <row r="231" ht="22" customHeight="1">
      <c r="A231" s="398" t="n">
        <v>230</v>
      </c>
      <c r="B231" s="398" t="n">
        <v>6096</v>
      </c>
      <c r="C231" s="399" t="inlineStr">
        <is>
          <t>星渊龙息·苍穹</t>
        </is>
      </c>
      <c r="D231" s="399" t="inlineStr">
        <is>
          <t>星渊龙息</t>
        </is>
      </c>
      <c r="E231" s="399" t="n">
        <v>6</v>
      </c>
      <c r="F231" s="399" t="inlineStr">
        <is>
          <t>戒指</t>
        </is>
      </c>
      <c r="G231" s="398" t="n"/>
      <c r="H231" s="398" t="n"/>
      <c r="I231" s="398" t="n">
        <v>6096</v>
      </c>
      <c r="J231" s="398" t="n"/>
      <c r="K231" s="398" t="n"/>
      <c r="L231" s="398" t="n"/>
      <c r="M231" s="398" t="n">
        <v>6096</v>
      </c>
      <c r="N231" s="398" t="n">
        <v>6096</v>
      </c>
      <c r="O231" s="398" t="n">
        <v>6096</v>
      </c>
      <c r="P231" s="292" t="n"/>
      <c r="Q231" s="292" t="inlineStr">
        <is>
          <t>原九部位资源库已登记</t>
        </is>
      </c>
      <c r="R231" s="322" t="inlineStr">
        <is>
          <t>C1/C2现用：狂风骨戒</t>
        </is>
      </c>
      <c r="S231" s="292" t="inlineStr">
        <is>
          <t>装备素材套装代码表.xlsx（原九部位）</t>
        </is>
      </c>
      <c r="T231" s="292" t="inlineStr">
        <is>
          <t>同一代码用于 Items / StateItem / DnItems；属性与掉落另表定义。</t>
        </is>
      </c>
      <c r="U231">
        <f>IF(COUNTIF($B$2:$B$1076,B231)&gt;1,"重复","")</f>
        <v/>
      </c>
      <c r="V231">
        <f>IF(AND(OR(M231="",M231=B231),OR(N231="",N231=B231),OR(O231="",O231=B231)),"通过","不一致")</f>
        <v/>
      </c>
    </row>
    <row r="232" ht="22" customHeight="1">
      <c r="A232" s="398" t="n">
        <v>231</v>
      </c>
      <c r="B232" s="398" t="n">
        <v>6097</v>
      </c>
      <c r="C232" s="399" t="inlineStr">
        <is>
          <t>星渊龙息·苍穹</t>
        </is>
      </c>
      <c r="D232" s="399" t="inlineStr">
        <is>
          <t>星渊龙息</t>
        </is>
      </c>
      <c r="E232" s="399" t="n">
        <v>6</v>
      </c>
      <c r="F232" s="399" t="inlineStr">
        <is>
          <t>盾牌</t>
        </is>
      </c>
      <c r="G232" s="398" t="n"/>
      <c r="H232" s="398" t="n"/>
      <c r="I232" s="398" t="n">
        <v>6097</v>
      </c>
      <c r="J232" s="398" t="n"/>
      <c r="K232" s="398" t="n"/>
      <c r="L232" s="398" t="n"/>
      <c r="M232" s="398" t="n">
        <v>6097</v>
      </c>
      <c r="N232" s="398" t="n">
        <v>6097</v>
      </c>
      <c r="O232" s="398" t="n">
        <v>6097</v>
      </c>
      <c r="P232" s="292" t="n"/>
      <c r="Q232" s="292" t="inlineStr">
        <is>
          <t>原九部位资源库已登记</t>
        </is>
      </c>
      <c r="R232" s="322" t="inlineStr">
        <is>
          <t>C1/C2现用：裂岩巨盾</t>
        </is>
      </c>
      <c r="S232" s="292" t="inlineStr">
        <is>
          <t>装备素材套装代码表.xlsx（原九部位）</t>
        </is>
      </c>
      <c r="T232" s="292" t="inlineStr">
        <is>
          <t>同一代码用于 Items / StateItem / DnItems；属性与掉落另表定义。</t>
        </is>
      </c>
      <c r="U232">
        <f>IF(COUNTIF($B$2:$B$1076,B232)&gt;1,"重复","")</f>
        <v/>
      </c>
      <c r="V232">
        <f>IF(AND(OR(M232="",M232=B232),OR(N232="",N232=B232),OR(O232="",O232=B232)),"通过","不一致")</f>
        <v/>
      </c>
    </row>
    <row r="233" ht="22" customHeight="1">
      <c r="A233" s="398" t="n">
        <v>232</v>
      </c>
      <c r="B233" s="398" t="n">
        <v>6098</v>
      </c>
      <c r="C233" s="399" t="inlineStr">
        <is>
          <t>星渊龙息·苍穹</t>
        </is>
      </c>
      <c r="D233" s="399" t="inlineStr">
        <is>
          <t>星渊龙息</t>
        </is>
      </c>
      <c r="E233" s="399" t="n">
        <v>6</v>
      </c>
      <c r="F233" s="399" t="inlineStr">
        <is>
          <t>灵玉</t>
        </is>
      </c>
      <c r="G233" s="398" t="n"/>
      <c r="H233" s="398" t="n"/>
      <c r="I233" s="398" t="n">
        <v>6098</v>
      </c>
      <c r="J233" s="398" t="n"/>
      <c r="K233" s="398" t="n"/>
      <c r="L233" s="398" t="n"/>
      <c r="M233" s="398" t="n">
        <v>6098</v>
      </c>
      <c r="N233" s="398" t="n">
        <v>6098</v>
      </c>
      <c r="O233" s="398" t="n">
        <v>6098</v>
      </c>
      <c r="P233" s="292" t="n"/>
      <c r="Q233" s="292" t="inlineStr">
        <is>
          <t>原九部位资源库已登记</t>
        </is>
      </c>
      <c r="R233" s="322" t="inlineStr">
        <is>
          <t>C1/C2现用：黑翼灵玉</t>
        </is>
      </c>
      <c r="S233" s="292" t="inlineStr">
        <is>
          <t>装备素材套装代码表.xlsx（原九部位）</t>
        </is>
      </c>
      <c r="T233" s="292" t="inlineStr">
        <is>
          <t>同一代码用于 Items / StateItem / DnItems；属性与掉落另表定义。</t>
        </is>
      </c>
      <c r="U233">
        <f>IF(COUNTIF($B$2:$B$1076,B233)&gt;1,"重复","")</f>
        <v/>
      </c>
      <c r="V233">
        <f>IF(AND(OR(M233="",M233=B233),OR(N233="",N233=B233),OR(O233="",O233=B233)),"通过","不一致")</f>
        <v/>
      </c>
    </row>
    <row r="234" ht="22" customHeight="1">
      <c r="A234" s="398" t="n">
        <v>233</v>
      </c>
      <c r="B234" s="398" t="n">
        <v>6099</v>
      </c>
      <c r="C234" s="399" t="inlineStr">
        <is>
          <t>星渊龙息·苍穹</t>
        </is>
      </c>
      <c r="D234" s="399" t="inlineStr">
        <is>
          <t>星渊龙息</t>
        </is>
      </c>
      <c r="E234" s="399" t="n">
        <v>6</v>
      </c>
      <c r="F234" s="399" t="inlineStr">
        <is>
          <t>鞋子</t>
        </is>
      </c>
      <c r="G234" s="398" t="n"/>
      <c r="H234" s="398" t="n"/>
      <c r="I234" s="398" t="n">
        <v>6099</v>
      </c>
      <c r="J234" s="398" t="n"/>
      <c r="K234" s="398" t="n"/>
      <c r="L234" s="398" t="n"/>
      <c r="M234" s="398" t="n">
        <v>6099</v>
      </c>
      <c r="N234" s="398" t="n">
        <v>6099</v>
      </c>
      <c r="O234" s="398" t="n">
        <v>6099</v>
      </c>
      <c r="P234" s="292" t="n"/>
      <c r="Q234" s="292" t="inlineStr">
        <is>
          <t>原九部位资源库已登记</t>
        </is>
      </c>
      <c r="R234" s="322" t="inlineStr">
        <is>
          <t>C1/C2现用：逐雷战靴</t>
        </is>
      </c>
      <c r="S234" s="292" t="inlineStr">
        <is>
          <t>装备素材套装代码表.xlsx（原九部位）</t>
        </is>
      </c>
      <c r="T234" s="292" t="inlineStr">
        <is>
          <t>同一代码用于 Items / StateItem / DnItems；属性与掉落另表定义。</t>
        </is>
      </c>
      <c r="U234">
        <f>IF(COUNTIF($B$2:$B$1076,B234)&gt;1,"重复","")</f>
        <v/>
      </c>
      <c r="V234">
        <f>IF(AND(OR(M234="",M234=B234),OR(N234="",N234=B234),OR(O234="",O234=B234)),"通过","不一致")</f>
        <v/>
      </c>
    </row>
    <row r="235" ht="22" customHeight="1">
      <c r="A235" s="398" t="n">
        <v>234</v>
      </c>
      <c r="B235" s="398" t="n">
        <v>6100</v>
      </c>
      <c r="C235" s="399" t="inlineStr">
        <is>
          <t>星渊龙息·苍穹</t>
        </is>
      </c>
      <c r="D235" s="399" t="inlineStr">
        <is>
          <t>星渊龙息</t>
        </is>
      </c>
      <c r="E235" s="399" t="n">
        <v>6</v>
      </c>
      <c r="F235" s="399" t="inlineStr">
        <is>
          <t>腰带</t>
        </is>
      </c>
      <c r="G235" s="398" t="n"/>
      <c r="H235" s="398" t="n"/>
      <c r="I235" s="398" t="n">
        <v>6100</v>
      </c>
      <c r="J235" s="398" t="n"/>
      <c r="K235" s="398" t="n"/>
      <c r="L235" s="398" t="n"/>
      <c r="M235" s="398" t="n">
        <v>6100</v>
      </c>
      <c r="N235" s="398" t="n">
        <v>6100</v>
      </c>
      <c r="O235" s="398" t="n">
        <v>6100</v>
      </c>
      <c r="P235" s="292" t="n"/>
      <c r="Q235" s="292" t="inlineStr">
        <is>
          <t>原九部位资源库已登记</t>
        </is>
      </c>
      <c r="R235" s="322" t="inlineStr">
        <is>
          <t>C1/C2现用：断崖束带</t>
        </is>
      </c>
      <c r="S235" s="292" t="inlineStr">
        <is>
          <t>装备素材套装代码表.xlsx（原九部位）</t>
        </is>
      </c>
      <c r="T235" s="292" t="inlineStr">
        <is>
          <t>同一代码用于 Items / StateItem / DnItems；属性与掉落另表定义。</t>
        </is>
      </c>
      <c r="U235">
        <f>IF(COUNTIF($B$2:$B$1076,B235)&gt;1,"重复","")</f>
        <v/>
      </c>
      <c r="V235">
        <f>IF(AND(OR(M235="",M235=B235),OR(N235="",N235=B235),OR(O235="",O235=B235)),"通过","不一致")</f>
        <v/>
      </c>
    </row>
    <row r="236" ht="22" customHeight="1">
      <c r="A236" s="398" t="n">
        <v>235</v>
      </c>
      <c r="B236" s="398" t="n">
        <v>6101</v>
      </c>
      <c r="C236" s="399" t="inlineStr">
        <is>
          <t>星渊龙息·龙皇</t>
        </is>
      </c>
      <c r="D236" s="399" t="inlineStr">
        <is>
          <t>星渊龙息</t>
        </is>
      </c>
      <c r="E236" s="399" t="n">
        <v>7</v>
      </c>
      <c r="F236" s="399" t="inlineStr">
        <is>
          <t>勋章</t>
        </is>
      </c>
      <c r="G236" s="398" t="n"/>
      <c r="H236" s="398" t="n"/>
      <c r="I236" s="398" t="n">
        <v>6101</v>
      </c>
      <c r="J236" s="398" t="n"/>
      <c r="K236" s="398" t="n"/>
      <c r="L236" s="398" t="n"/>
      <c r="M236" s="398" t="n">
        <v>6101</v>
      </c>
      <c r="N236" s="398" t="n">
        <v>6101</v>
      </c>
      <c r="O236" s="398" t="n">
        <v>6101</v>
      </c>
      <c r="P236" s="292" t="n"/>
      <c r="Q236" s="292" t="inlineStr">
        <is>
          <t>原九部位资源库已登记</t>
        </is>
      </c>
      <c r="R236" s="292" t="str"/>
      <c r="S236" s="292" t="inlineStr">
        <is>
          <t>装备素材套装代码表.xlsx（原九部位）</t>
        </is>
      </c>
      <c r="T236" s="292" t="inlineStr">
        <is>
          <t>同一代码用于 Items / StateItem / DnItems；属性与掉落另表定义。</t>
        </is>
      </c>
      <c r="U236">
        <f>IF(COUNTIF($B$2:$B$1076,B236)&gt;1,"重复","")</f>
        <v/>
      </c>
      <c r="V236">
        <f>IF(AND(OR(M236="",M236=B236),OR(N236="",N236=B236),OR(O236="",O236=B236)),"通过","不一致")</f>
        <v/>
      </c>
    </row>
    <row r="237" ht="22" customHeight="1">
      <c r="A237" s="398" t="n">
        <v>236</v>
      </c>
      <c r="B237" s="398" t="n">
        <v>6102</v>
      </c>
      <c r="C237" s="399" t="inlineStr">
        <is>
          <t>星渊龙息·龙皇</t>
        </is>
      </c>
      <c r="D237" s="399" t="inlineStr">
        <is>
          <t>星渊龙息</t>
        </is>
      </c>
      <c r="E237" s="399" t="n">
        <v>7</v>
      </c>
      <c r="F237" s="399" t="inlineStr">
        <is>
          <t>项链</t>
        </is>
      </c>
      <c r="G237" s="398" t="n"/>
      <c r="H237" s="398" t="n"/>
      <c r="I237" s="398" t="n">
        <v>6102</v>
      </c>
      <c r="J237" s="398" t="n"/>
      <c r="K237" s="398" t="n"/>
      <c r="L237" s="398" t="n"/>
      <c r="M237" s="398" t="n">
        <v>6102</v>
      </c>
      <c r="N237" s="398" t="n">
        <v>6102</v>
      </c>
      <c r="O237" s="398" t="n">
        <v>6102</v>
      </c>
      <c r="P237" s="292" t="n"/>
      <c r="Q237" s="292" t="inlineStr">
        <is>
          <t>原九部位资源库已登记</t>
        </is>
      </c>
      <c r="R237" s="324" t="inlineStr">
        <is>
          <t>C3-C10规划锁定：熔桂狮鬃坠</t>
        </is>
      </c>
      <c r="S237" s="292" t="inlineStr">
        <is>
          <t>装备素材套装代码表.xlsx（原九部位）</t>
        </is>
      </c>
      <c r="T237" s="292" t="inlineStr">
        <is>
          <t>同一代码用于 Items / StateItem / DnItems；属性与掉落另表定义。</t>
        </is>
      </c>
      <c r="U237">
        <f>IF(COUNTIF($B$2:$B$1076,B237)&gt;1,"重复","")</f>
        <v/>
      </c>
      <c r="V237">
        <f>IF(AND(OR(M237="",M237=B237),OR(N237="",N237=B237),OR(O237="",O237=B237)),"通过","不一致")</f>
        <v/>
      </c>
    </row>
    <row r="238" ht="22" customHeight="1">
      <c r="A238" s="398" t="n">
        <v>237</v>
      </c>
      <c r="B238" s="398" t="n">
        <v>6103</v>
      </c>
      <c r="C238" s="399" t="inlineStr">
        <is>
          <t>星渊龙息·龙皇</t>
        </is>
      </c>
      <c r="D238" s="399" t="inlineStr">
        <is>
          <t>星渊龙息</t>
        </is>
      </c>
      <c r="E238" s="399" t="n">
        <v>7</v>
      </c>
      <c r="F238" s="399" t="inlineStr">
        <is>
          <t>头盔</t>
        </is>
      </c>
      <c r="G238" s="398" t="n"/>
      <c r="H238" s="398" t="n"/>
      <c r="I238" s="398" t="n">
        <v>6103</v>
      </c>
      <c r="J238" s="398" t="n"/>
      <c r="K238" s="398" t="n"/>
      <c r="L238" s="398" t="n"/>
      <c r="M238" s="398" t="n">
        <v>6103</v>
      </c>
      <c r="N238" s="398" t="n">
        <v>6103</v>
      </c>
      <c r="O238" s="398" t="n">
        <v>6103</v>
      </c>
      <c r="P238" s="292" t="n"/>
      <c r="Q238" s="292" t="inlineStr">
        <is>
          <t>原九部位资源库已登记</t>
        </is>
      </c>
      <c r="R238" s="324" t="inlineStr">
        <is>
          <t>C3-C10规划锁定：执幡骨纹盔</t>
        </is>
      </c>
      <c r="S238" s="292" t="inlineStr">
        <is>
          <t>装备素材套装代码表.xlsx（原九部位）</t>
        </is>
      </c>
      <c r="T238" s="292" t="inlineStr">
        <is>
          <t>同一代码用于 Items / StateItem / DnItems；属性与掉落另表定义。</t>
        </is>
      </c>
      <c r="U238">
        <f>IF(COUNTIF($B$2:$B$1076,B238)&gt;1,"重复","")</f>
        <v/>
      </c>
      <c r="V238">
        <f>IF(AND(OR(M238="",M238=B238),OR(N238="",N238=B238),OR(O238="",O238=B238)),"通过","不一致")</f>
        <v/>
      </c>
    </row>
    <row r="239" ht="22" customHeight="1">
      <c r="A239" s="398" t="n">
        <v>238</v>
      </c>
      <c r="B239" s="398" t="n">
        <v>6104</v>
      </c>
      <c r="C239" s="399" t="inlineStr">
        <is>
          <t>星渊龙息·龙皇</t>
        </is>
      </c>
      <c r="D239" s="399" t="inlineStr">
        <is>
          <t>星渊龙息</t>
        </is>
      </c>
      <c r="E239" s="399" t="n">
        <v>7</v>
      </c>
      <c r="F239" s="399" t="inlineStr">
        <is>
          <t>手镯</t>
        </is>
      </c>
      <c r="G239" s="398" t="n"/>
      <c r="H239" s="398" t="n"/>
      <c r="I239" s="398" t="n">
        <v>6104</v>
      </c>
      <c r="J239" s="398" t="n"/>
      <c r="K239" s="398" t="n"/>
      <c r="L239" s="398" t="n"/>
      <c r="M239" s="398" t="n">
        <v>6104</v>
      </c>
      <c r="N239" s="398" t="n">
        <v>6104</v>
      </c>
      <c r="O239" s="398" t="n">
        <v>6104</v>
      </c>
      <c r="P239" s="292" t="n"/>
      <c r="Q239" s="292" t="inlineStr">
        <is>
          <t>原九部位资源库已登记</t>
        </is>
      </c>
      <c r="R239" s="322" t="inlineStr">
        <is>
          <t>C1/C2现用：流放腕铠</t>
        </is>
      </c>
      <c r="S239" s="292" t="inlineStr">
        <is>
          <t>装备素材套装代码表.xlsx（原九部位）</t>
        </is>
      </c>
      <c r="T239" s="292" t="inlineStr">
        <is>
          <t>同一代码用于 Items / StateItem / DnItems；属性与掉落另表定义。</t>
        </is>
      </c>
      <c r="U239">
        <f>IF(COUNTIF($B$2:$B$1076,B239)&gt;1,"重复","")</f>
        <v/>
      </c>
      <c r="V239">
        <f>IF(AND(OR(M239="",M239=B239),OR(N239="",N239=B239),OR(O239="",O239=B239)),"通过","不一致")</f>
        <v/>
      </c>
    </row>
    <row r="240" ht="22" customHeight="1">
      <c r="A240" s="398" t="n">
        <v>239</v>
      </c>
      <c r="B240" s="398" t="n">
        <v>6105</v>
      </c>
      <c r="C240" s="399" t="inlineStr">
        <is>
          <t>星渊龙息·龙皇</t>
        </is>
      </c>
      <c r="D240" s="399" t="inlineStr">
        <is>
          <t>星渊龙息</t>
        </is>
      </c>
      <c r="E240" s="399" t="n">
        <v>7</v>
      </c>
      <c r="F240" s="399" t="inlineStr">
        <is>
          <t>戒指</t>
        </is>
      </c>
      <c r="G240" s="398" t="n"/>
      <c r="H240" s="398" t="n"/>
      <c r="I240" s="398" t="n">
        <v>6105</v>
      </c>
      <c r="J240" s="398" t="n"/>
      <c r="K240" s="398" t="n"/>
      <c r="L240" s="398" t="n"/>
      <c r="M240" s="398" t="n">
        <v>6105</v>
      </c>
      <c r="N240" s="398" t="n">
        <v>6105</v>
      </c>
      <c r="O240" s="398" t="n">
        <v>6105</v>
      </c>
      <c r="P240" s="292" t="n"/>
      <c r="Q240" s="292" t="inlineStr">
        <is>
          <t>原九部位资源库已登记</t>
        </is>
      </c>
      <c r="R240" s="322" t="inlineStr">
        <is>
          <t>C1/C2现用：禁卫誓戒</t>
        </is>
      </c>
      <c r="S240" s="292" t="inlineStr">
        <is>
          <t>装备素材套装代码表.xlsx（原九部位）</t>
        </is>
      </c>
      <c r="T240" s="292" t="inlineStr">
        <is>
          <t>同一代码用于 Items / StateItem / DnItems；属性与掉落另表定义。</t>
        </is>
      </c>
      <c r="U240">
        <f>IF(COUNTIF($B$2:$B$1076,B240)&gt;1,"重复","")</f>
        <v/>
      </c>
      <c r="V240">
        <f>IF(AND(OR(M240="",M240=B240),OR(N240="",N240=B240),OR(O240="",O240=B240)),"通过","不一致")</f>
        <v/>
      </c>
    </row>
    <row r="241" ht="22" customHeight="1">
      <c r="A241" s="398" t="n">
        <v>240</v>
      </c>
      <c r="B241" s="398" t="n">
        <v>6106</v>
      </c>
      <c r="C241" s="399" t="inlineStr">
        <is>
          <t>星渊龙息·龙皇</t>
        </is>
      </c>
      <c r="D241" s="399" t="inlineStr">
        <is>
          <t>星渊龙息</t>
        </is>
      </c>
      <c r="E241" s="399" t="n">
        <v>7</v>
      </c>
      <c r="F241" s="399" t="inlineStr">
        <is>
          <t>盾牌</t>
        </is>
      </c>
      <c r="G241" s="398" t="n"/>
      <c r="H241" s="398" t="n"/>
      <c r="I241" s="398" t="n">
        <v>6106</v>
      </c>
      <c r="J241" s="398" t="n"/>
      <c r="K241" s="398" t="n"/>
      <c r="L241" s="398" t="n"/>
      <c r="M241" s="398" t="n">
        <v>6106</v>
      </c>
      <c r="N241" s="398" t="n">
        <v>6106</v>
      </c>
      <c r="O241" s="398" t="n">
        <v>6106</v>
      </c>
      <c r="P241" s="292" t="n"/>
      <c r="Q241" s="292" t="inlineStr">
        <is>
          <t>原九部位资源库已登记</t>
        </is>
      </c>
      <c r="R241" s="292" t="str"/>
      <c r="S241" s="292" t="inlineStr">
        <is>
          <t>装备素材套装代码表.xlsx（原九部位）</t>
        </is>
      </c>
      <c r="T241" s="292" t="inlineStr">
        <is>
          <t>同一代码用于 Items / StateItem / DnItems；属性与掉落另表定义。</t>
        </is>
      </c>
      <c r="U241">
        <f>IF(COUNTIF($B$2:$B$1076,B241)&gt;1,"重复","")</f>
        <v/>
      </c>
      <c r="V241">
        <f>IF(AND(OR(M241="",M241=B241),OR(N241="",N241=B241),OR(O241="",O241=B241)),"通过","不一致")</f>
        <v/>
      </c>
    </row>
    <row r="242" ht="22" customHeight="1">
      <c r="A242" s="398" t="n">
        <v>241</v>
      </c>
      <c r="B242" s="398" t="n">
        <v>6107</v>
      </c>
      <c r="C242" s="399" t="inlineStr">
        <is>
          <t>星渊龙息·龙皇</t>
        </is>
      </c>
      <c r="D242" s="399" t="inlineStr">
        <is>
          <t>星渊龙息</t>
        </is>
      </c>
      <c r="E242" s="399" t="n">
        <v>7</v>
      </c>
      <c r="F242" s="399" t="inlineStr">
        <is>
          <t>灵玉</t>
        </is>
      </c>
      <c r="G242" s="398" t="n"/>
      <c r="H242" s="398" t="n"/>
      <c r="I242" s="398" t="n">
        <v>6107</v>
      </c>
      <c r="J242" s="398" t="n"/>
      <c r="K242" s="398" t="n"/>
      <c r="L242" s="398" t="n"/>
      <c r="M242" s="398" t="n">
        <v>6107</v>
      </c>
      <c r="N242" s="398" t="n">
        <v>6107</v>
      </c>
      <c r="O242" s="398" t="n">
        <v>6107</v>
      </c>
      <c r="P242" s="292" t="n"/>
      <c r="Q242" s="292" t="inlineStr">
        <is>
          <t>原九部位资源库已登记</t>
        </is>
      </c>
      <c r="R242" s="292" t="str"/>
      <c r="S242" s="292" t="inlineStr">
        <is>
          <t>装备素材套装代码表.xlsx（原九部位）</t>
        </is>
      </c>
      <c r="T242" s="292" t="inlineStr">
        <is>
          <t>同一代码用于 Items / StateItem / DnItems；属性与掉落另表定义。</t>
        </is>
      </c>
      <c r="U242">
        <f>IF(COUNTIF($B$2:$B$1076,B242)&gt;1,"重复","")</f>
        <v/>
      </c>
      <c r="V242">
        <f>IF(AND(OR(M242="",M242=B242),OR(N242="",N242=B242),OR(O242="",O242=B242)),"通过","不一致")</f>
        <v/>
      </c>
    </row>
    <row r="243" ht="22" customHeight="1">
      <c r="A243" s="398" t="n">
        <v>242</v>
      </c>
      <c r="B243" s="398" t="n">
        <v>6108</v>
      </c>
      <c r="C243" s="399" t="inlineStr">
        <is>
          <t>星渊龙息·龙皇</t>
        </is>
      </c>
      <c r="D243" s="399" t="inlineStr">
        <is>
          <t>星渊龙息</t>
        </is>
      </c>
      <c r="E243" s="399" t="n">
        <v>7</v>
      </c>
      <c r="F243" s="399" t="inlineStr">
        <is>
          <t>鞋子</t>
        </is>
      </c>
      <c r="G243" s="398" t="n"/>
      <c r="H243" s="398" t="n"/>
      <c r="I243" s="398" t="n">
        <v>6108</v>
      </c>
      <c r="J243" s="398" t="n"/>
      <c r="K243" s="398" t="n"/>
      <c r="L243" s="398" t="n"/>
      <c r="M243" s="398" t="n">
        <v>6108</v>
      </c>
      <c r="N243" s="398" t="n">
        <v>6108</v>
      </c>
      <c r="O243" s="398" t="n">
        <v>6108</v>
      </c>
      <c r="P243" s="292" t="n"/>
      <c r="Q243" s="292" t="inlineStr">
        <is>
          <t>原九部位资源库已登记</t>
        </is>
      </c>
      <c r="R243" s="292" t="str"/>
      <c r="S243" s="292" t="inlineStr">
        <is>
          <t>装备素材套装代码表.xlsx（原九部位）</t>
        </is>
      </c>
      <c r="T243" s="292" t="inlineStr">
        <is>
          <t>同一代码用于 Items / StateItem / DnItems；属性与掉落另表定义。</t>
        </is>
      </c>
      <c r="U243">
        <f>IF(COUNTIF($B$2:$B$1076,B243)&gt;1,"重复","")</f>
        <v/>
      </c>
      <c r="V243">
        <f>IF(AND(OR(M243="",M243=B243),OR(N243="",N243=B243),OR(O243="",O243=B243)),"通过","不一致")</f>
        <v/>
      </c>
    </row>
    <row r="244" ht="22" customHeight="1">
      <c r="A244" s="398" t="n">
        <v>243</v>
      </c>
      <c r="B244" s="398" t="n">
        <v>6109</v>
      </c>
      <c r="C244" s="399" t="inlineStr">
        <is>
          <t>星渊龙息·龙皇</t>
        </is>
      </c>
      <c r="D244" s="399" t="inlineStr">
        <is>
          <t>星渊龙息</t>
        </is>
      </c>
      <c r="E244" s="399" t="n">
        <v>7</v>
      </c>
      <c r="F244" s="399" t="inlineStr">
        <is>
          <t>腰带</t>
        </is>
      </c>
      <c r="G244" s="398" t="n"/>
      <c r="H244" s="398" t="n"/>
      <c r="I244" s="398" t="n">
        <v>6109</v>
      </c>
      <c r="J244" s="398" t="n"/>
      <c r="K244" s="398" t="n"/>
      <c r="L244" s="398" t="n"/>
      <c r="M244" s="398" t="n">
        <v>6109</v>
      </c>
      <c r="N244" s="398" t="n">
        <v>6109</v>
      </c>
      <c r="O244" s="398" t="n">
        <v>6109</v>
      </c>
      <c r="P244" s="292" t="n"/>
      <c r="Q244" s="292" t="inlineStr">
        <is>
          <t>原九部位资源库已登记</t>
        </is>
      </c>
      <c r="R244" s="292" t="str"/>
      <c r="S244" s="292" t="inlineStr">
        <is>
          <t>装备素材套装代码表.xlsx（原九部位）</t>
        </is>
      </c>
      <c r="T244" s="292" t="inlineStr">
        <is>
          <t>同一代码用于 Items / StateItem / DnItems；属性与掉落另表定义。</t>
        </is>
      </c>
      <c r="U244">
        <f>IF(COUNTIF($B$2:$B$1076,B244)&gt;1,"重复","")</f>
        <v/>
      </c>
      <c r="V244">
        <f>IF(AND(OR(M244="",M244=B244),OR(N244="",N244=B244),OR(O244="",O244=B244)),"通过","不一致")</f>
        <v/>
      </c>
    </row>
    <row r="245" ht="22" customHeight="1">
      <c r="A245" s="398" t="n">
        <v>244</v>
      </c>
      <c r="B245" s="398" t="n">
        <v>6110</v>
      </c>
      <c r="C245" s="399" t="inlineStr">
        <is>
          <t>星渊龙息·天陨</t>
        </is>
      </c>
      <c r="D245" s="399" t="inlineStr">
        <is>
          <t>星渊龙息</t>
        </is>
      </c>
      <c r="E245" s="399" t="n">
        <v>8</v>
      </c>
      <c r="F245" s="399" t="inlineStr">
        <is>
          <t>勋章</t>
        </is>
      </c>
      <c r="G245" s="398" t="n"/>
      <c r="H245" s="398" t="n"/>
      <c r="I245" s="398" t="n">
        <v>6110</v>
      </c>
      <c r="J245" s="398" t="n"/>
      <c r="K245" s="398" t="n"/>
      <c r="L245" s="398" t="n"/>
      <c r="M245" s="398" t="n">
        <v>6110</v>
      </c>
      <c r="N245" s="398" t="n">
        <v>6110</v>
      </c>
      <c r="O245" s="398" t="n">
        <v>6110</v>
      </c>
      <c r="P245" s="292" t="n"/>
      <c r="Q245" s="292" t="inlineStr">
        <is>
          <t>原九部位资源库已登记</t>
        </is>
      </c>
      <c r="R245" s="292" t="str"/>
      <c r="S245" s="292" t="inlineStr">
        <is>
          <t>装备素材套装代码表.xlsx（原九部位）</t>
        </is>
      </c>
      <c r="T245" s="292" t="inlineStr">
        <is>
          <t>同一代码用于 Items / StateItem / DnItems；属性与掉落另表定义。</t>
        </is>
      </c>
      <c r="U245">
        <f>IF(COUNTIF($B$2:$B$1076,B245)&gt;1,"重复","")</f>
        <v/>
      </c>
      <c r="V245">
        <f>IF(AND(OR(M245="",M245=B245),OR(N245="",N245=B245),OR(O245="",O245=B245)),"通过","不一致")</f>
        <v/>
      </c>
    </row>
    <row r="246" ht="22" customHeight="1">
      <c r="A246" s="398" t="n">
        <v>245</v>
      </c>
      <c r="B246" s="398" t="n">
        <v>6111</v>
      </c>
      <c r="C246" s="399" t="inlineStr">
        <is>
          <t>星渊龙息·天陨</t>
        </is>
      </c>
      <c r="D246" s="399" t="inlineStr">
        <is>
          <t>星渊龙息</t>
        </is>
      </c>
      <c r="E246" s="399" t="n">
        <v>8</v>
      </c>
      <c r="F246" s="399" t="inlineStr">
        <is>
          <t>项链</t>
        </is>
      </c>
      <c r="G246" s="398" t="n"/>
      <c r="H246" s="398" t="n"/>
      <c r="I246" s="398" t="n">
        <v>6111</v>
      </c>
      <c r="J246" s="398" t="n"/>
      <c r="K246" s="398" t="n"/>
      <c r="L246" s="398" t="n"/>
      <c r="M246" s="398" t="n">
        <v>6111</v>
      </c>
      <c r="N246" s="398" t="n">
        <v>6111</v>
      </c>
      <c r="O246" s="398" t="n">
        <v>6111</v>
      </c>
      <c r="P246" s="292" t="n"/>
      <c r="Q246" s="292" t="inlineStr">
        <is>
          <t>原九部位资源库已登记</t>
        </is>
      </c>
      <c r="R246" s="292" t="str"/>
      <c r="S246" s="292" t="inlineStr">
        <is>
          <t>装备素材套装代码表.xlsx（原九部位）</t>
        </is>
      </c>
      <c r="T246" s="292" t="inlineStr">
        <is>
          <t>同一代码用于 Items / StateItem / DnItems；属性与掉落另表定义。</t>
        </is>
      </c>
      <c r="U246">
        <f>IF(COUNTIF($B$2:$B$1076,B246)&gt;1,"重复","")</f>
        <v/>
      </c>
      <c r="V246">
        <f>IF(AND(OR(M246="",M246=B246),OR(N246="",N246=B246),OR(O246="",O246=B246)),"通过","不一致")</f>
        <v/>
      </c>
    </row>
    <row r="247" ht="22" customHeight="1">
      <c r="A247" s="398" t="n">
        <v>246</v>
      </c>
      <c r="B247" s="398" t="n">
        <v>6112</v>
      </c>
      <c r="C247" s="399" t="inlineStr">
        <is>
          <t>星渊龙息·天陨</t>
        </is>
      </c>
      <c r="D247" s="399" t="inlineStr">
        <is>
          <t>星渊龙息</t>
        </is>
      </c>
      <c r="E247" s="399" t="n">
        <v>8</v>
      </c>
      <c r="F247" s="399" t="inlineStr">
        <is>
          <t>头盔</t>
        </is>
      </c>
      <c r="G247" s="398" t="n"/>
      <c r="H247" s="398" t="n"/>
      <c r="I247" s="398" t="n">
        <v>6112</v>
      </c>
      <c r="J247" s="398" t="n"/>
      <c r="K247" s="398" t="n"/>
      <c r="L247" s="398" t="n"/>
      <c r="M247" s="398" t="n">
        <v>6112</v>
      </c>
      <c r="N247" s="398" t="n">
        <v>6112</v>
      </c>
      <c r="O247" s="398" t="n">
        <v>6112</v>
      </c>
      <c r="P247" s="292" t="n"/>
      <c r="Q247" s="292" t="inlineStr">
        <is>
          <t>原九部位资源库已登记</t>
        </is>
      </c>
      <c r="R247" s="324" t="inlineStr">
        <is>
          <t>C3-C10规划锁定：律烛诵壁冠</t>
        </is>
      </c>
      <c r="S247" s="292" t="inlineStr">
        <is>
          <t>装备素材套装代码表.xlsx（原九部位）</t>
        </is>
      </c>
      <c r="T247" s="292" t="inlineStr">
        <is>
          <t>同一代码用于 Items / StateItem / DnItems；属性与掉落另表定义。</t>
        </is>
      </c>
      <c r="U247">
        <f>IF(COUNTIF($B$2:$B$1076,B247)&gt;1,"重复","")</f>
        <v/>
      </c>
      <c r="V247">
        <f>IF(AND(OR(M247="",M247=B247),OR(N247="",N247=B247),OR(O247="",O247=B247)),"通过","不一致")</f>
        <v/>
      </c>
    </row>
    <row r="248" ht="22" customHeight="1">
      <c r="A248" s="398" t="n">
        <v>247</v>
      </c>
      <c r="B248" s="398" t="n">
        <v>6113</v>
      </c>
      <c r="C248" s="399" t="inlineStr">
        <is>
          <t>星渊龙息·天陨</t>
        </is>
      </c>
      <c r="D248" s="399" t="inlineStr">
        <is>
          <t>星渊龙息</t>
        </is>
      </c>
      <c r="E248" s="399" t="n">
        <v>8</v>
      </c>
      <c r="F248" s="399" t="inlineStr">
        <is>
          <t>手镯</t>
        </is>
      </c>
      <c r="G248" s="398" t="n"/>
      <c r="H248" s="398" t="n"/>
      <c r="I248" s="398" t="n">
        <v>6113</v>
      </c>
      <c r="J248" s="398" t="n"/>
      <c r="K248" s="398" t="n"/>
      <c r="L248" s="398" t="n"/>
      <c r="M248" s="398" t="n">
        <v>6113</v>
      </c>
      <c r="N248" s="398" t="n">
        <v>6113</v>
      </c>
      <c r="O248" s="398" t="n">
        <v>6113</v>
      </c>
      <c r="P248" s="292" t="n"/>
      <c r="Q248" s="292" t="inlineStr">
        <is>
          <t>原九部位资源库已登记</t>
        </is>
      </c>
      <c r="R248" s="292" t="str"/>
      <c r="S248" s="292" t="inlineStr">
        <is>
          <t>装备素材套装代码表.xlsx（原九部位）</t>
        </is>
      </c>
      <c r="T248" s="292" t="inlineStr">
        <is>
          <t>同一代码用于 Items / StateItem / DnItems；属性与掉落另表定义。</t>
        </is>
      </c>
      <c r="U248">
        <f>IF(COUNTIF($B$2:$B$1076,B248)&gt;1,"重复","")</f>
        <v/>
      </c>
      <c r="V248">
        <f>IF(AND(OR(M248="",M248=B248),OR(N248="",N248=B248),OR(O248="",O248=B248)),"通过","不一致")</f>
        <v/>
      </c>
    </row>
    <row r="249" ht="22" customHeight="1">
      <c r="A249" s="398" t="n">
        <v>248</v>
      </c>
      <c r="B249" s="398" t="n">
        <v>6114</v>
      </c>
      <c r="C249" s="399" t="inlineStr">
        <is>
          <t>星渊龙息·天陨</t>
        </is>
      </c>
      <c r="D249" s="399" t="inlineStr">
        <is>
          <t>星渊龙息</t>
        </is>
      </c>
      <c r="E249" s="399" t="n">
        <v>8</v>
      </c>
      <c r="F249" s="399" t="inlineStr">
        <is>
          <t>戒指</t>
        </is>
      </c>
      <c r="G249" s="398" t="n"/>
      <c r="H249" s="398" t="n"/>
      <c r="I249" s="398" t="n">
        <v>6114</v>
      </c>
      <c r="J249" s="398" t="n"/>
      <c r="K249" s="398" t="n"/>
      <c r="L249" s="398" t="n"/>
      <c r="M249" s="398" t="n">
        <v>6114</v>
      </c>
      <c r="N249" s="398" t="n">
        <v>6114</v>
      </c>
      <c r="O249" s="398" t="n">
        <v>6114</v>
      </c>
      <c r="P249" s="292" t="n"/>
      <c r="Q249" s="292" t="inlineStr">
        <is>
          <t>原九部位资源库已登记</t>
        </is>
      </c>
      <c r="R249" s="292" t="str"/>
      <c r="S249" s="292" t="inlineStr">
        <is>
          <t>装备素材套装代码表.xlsx（原九部位）</t>
        </is>
      </c>
      <c r="T249" s="292" t="inlineStr">
        <is>
          <t>同一代码用于 Items / StateItem / DnItems；属性与掉落另表定义。</t>
        </is>
      </c>
      <c r="U249">
        <f>IF(COUNTIF($B$2:$B$1076,B249)&gt;1,"重复","")</f>
        <v/>
      </c>
      <c r="V249">
        <f>IF(AND(OR(M249="",M249=B249),OR(N249="",N249=B249),OR(O249="",O249=B249)),"通过","不一致")</f>
        <v/>
      </c>
    </row>
    <row r="250" ht="22" customHeight="1">
      <c r="A250" s="398" t="n">
        <v>249</v>
      </c>
      <c r="B250" s="398" t="n">
        <v>6115</v>
      </c>
      <c r="C250" s="399" t="inlineStr">
        <is>
          <t>星渊龙息·天陨</t>
        </is>
      </c>
      <c r="D250" s="399" t="inlineStr">
        <is>
          <t>星渊龙息</t>
        </is>
      </c>
      <c r="E250" s="399" t="n">
        <v>8</v>
      </c>
      <c r="F250" s="399" t="inlineStr">
        <is>
          <t>盾牌</t>
        </is>
      </c>
      <c r="G250" s="398" t="n"/>
      <c r="H250" s="398" t="n"/>
      <c r="I250" s="398" t="n">
        <v>6115</v>
      </c>
      <c r="J250" s="398" t="n"/>
      <c r="K250" s="398" t="n"/>
      <c r="L250" s="398" t="n"/>
      <c r="M250" s="398" t="n">
        <v>6115</v>
      </c>
      <c r="N250" s="398" t="n">
        <v>6115</v>
      </c>
      <c r="O250" s="398" t="n">
        <v>6115</v>
      </c>
      <c r="P250" s="292" t="n"/>
      <c r="Q250" s="292" t="inlineStr">
        <is>
          <t>原九部位资源库已登记</t>
        </is>
      </c>
      <c r="R250" s="292" t="str"/>
      <c r="S250" s="292" t="inlineStr">
        <is>
          <t>装备素材套装代码表.xlsx（原九部位）</t>
        </is>
      </c>
      <c r="T250" s="292" t="inlineStr">
        <is>
          <t>同一代码用于 Items / StateItem / DnItems；属性与掉落另表定义。</t>
        </is>
      </c>
      <c r="U250">
        <f>IF(COUNTIF($B$2:$B$1076,B250)&gt;1,"重复","")</f>
        <v/>
      </c>
      <c r="V250">
        <f>IF(AND(OR(M250="",M250=B250),OR(N250="",N250=B250),OR(O250="",O250=B250)),"通过","不一致")</f>
        <v/>
      </c>
    </row>
    <row r="251" ht="22" customHeight="1">
      <c r="A251" s="398" t="n">
        <v>250</v>
      </c>
      <c r="B251" s="398" t="n">
        <v>6116</v>
      </c>
      <c r="C251" s="399" t="inlineStr">
        <is>
          <t>星渊龙息·天陨</t>
        </is>
      </c>
      <c r="D251" s="399" t="inlineStr">
        <is>
          <t>星渊龙息</t>
        </is>
      </c>
      <c r="E251" s="399" t="n">
        <v>8</v>
      </c>
      <c r="F251" s="399" t="inlineStr">
        <is>
          <t>灵玉</t>
        </is>
      </c>
      <c r="G251" s="398" t="n"/>
      <c r="H251" s="398" t="n"/>
      <c r="I251" s="398" t="n">
        <v>6116</v>
      </c>
      <c r="J251" s="398" t="n"/>
      <c r="K251" s="398" t="n"/>
      <c r="L251" s="398" t="n"/>
      <c r="M251" s="398" t="n">
        <v>6116</v>
      </c>
      <c r="N251" s="398" t="n">
        <v>6116</v>
      </c>
      <c r="O251" s="398" t="n">
        <v>6116</v>
      </c>
      <c r="P251" s="292" t="n"/>
      <c r="Q251" s="292" t="inlineStr">
        <is>
          <t>原九部位资源库已登记</t>
        </is>
      </c>
      <c r="R251" s="322" t="inlineStr">
        <is>
          <t>C1/C2现用：山妖魂玉</t>
        </is>
      </c>
      <c r="S251" s="292" t="inlineStr">
        <is>
          <t>装备素材套装代码表.xlsx（原九部位）</t>
        </is>
      </c>
      <c r="T251" s="292" t="inlineStr">
        <is>
          <t>同一代码用于 Items / StateItem / DnItems；属性与掉落另表定义。</t>
        </is>
      </c>
      <c r="U251">
        <f>IF(COUNTIF($B$2:$B$1076,B251)&gt;1,"重复","")</f>
        <v/>
      </c>
      <c r="V251">
        <f>IF(AND(OR(M251="",M251=B251),OR(N251="",N251=B251),OR(O251="",O251=B251)),"通过","不一致")</f>
        <v/>
      </c>
    </row>
    <row r="252" ht="22" customHeight="1">
      <c r="A252" s="398" t="n">
        <v>251</v>
      </c>
      <c r="B252" s="398" t="n">
        <v>6117</v>
      </c>
      <c r="C252" s="399" t="inlineStr">
        <is>
          <t>星渊龙息·天陨</t>
        </is>
      </c>
      <c r="D252" s="399" t="inlineStr">
        <is>
          <t>星渊龙息</t>
        </is>
      </c>
      <c r="E252" s="399" t="n">
        <v>8</v>
      </c>
      <c r="F252" s="399" t="inlineStr">
        <is>
          <t>鞋子</t>
        </is>
      </c>
      <c r="G252" s="398" t="n"/>
      <c r="H252" s="398" t="n"/>
      <c r="I252" s="398" t="n">
        <v>6117</v>
      </c>
      <c r="J252" s="398" t="n"/>
      <c r="K252" s="398" t="n"/>
      <c r="L252" s="398" t="n"/>
      <c r="M252" s="398" t="n">
        <v>6117</v>
      </c>
      <c r="N252" s="398" t="n">
        <v>6117</v>
      </c>
      <c r="O252" s="398" t="n">
        <v>6117</v>
      </c>
      <c r="P252" s="292" t="n"/>
      <c r="Q252" s="292" t="inlineStr">
        <is>
          <t>原九部位资源库已登记</t>
        </is>
      </c>
      <c r="R252" s="292" t="str"/>
      <c r="S252" s="292" t="inlineStr">
        <is>
          <t>装备素材套装代码表.xlsx（原九部位）</t>
        </is>
      </c>
      <c r="T252" s="292" t="inlineStr">
        <is>
          <t>同一代码用于 Items / StateItem / DnItems；属性与掉落另表定义。</t>
        </is>
      </c>
      <c r="U252">
        <f>IF(COUNTIF($B$2:$B$1076,B252)&gt;1,"重复","")</f>
        <v/>
      </c>
      <c r="V252">
        <f>IF(AND(OR(M252="",M252=B252),OR(N252="",N252=B252),OR(O252="",O252=B252)),"通过","不一致")</f>
        <v/>
      </c>
    </row>
    <row r="253" ht="22" customHeight="1">
      <c r="A253" s="398" t="n">
        <v>252</v>
      </c>
      <c r="B253" s="398" t="n">
        <v>6118</v>
      </c>
      <c r="C253" s="399" t="inlineStr">
        <is>
          <t>星渊龙息·天陨</t>
        </is>
      </c>
      <c r="D253" s="399" t="inlineStr">
        <is>
          <t>星渊龙息</t>
        </is>
      </c>
      <c r="E253" s="399" t="n">
        <v>8</v>
      </c>
      <c r="F253" s="399" t="inlineStr">
        <is>
          <t>腰带</t>
        </is>
      </c>
      <c r="G253" s="398" t="n"/>
      <c r="H253" s="398" t="n"/>
      <c r="I253" s="398" t="n">
        <v>6118</v>
      </c>
      <c r="J253" s="398" t="n"/>
      <c r="K253" s="398" t="n"/>
      <c r="L253" s="398" t="n"/>
      <c r="M253" s="398" t="n">
        <v>6118</v>
      </c>
      <c r="N253" s="398" t="n">
        <v>6118</v>
      </c>
      <c r="O253" s="398" t="n">
        <v>6118</v>
      </c>
      <c r="P253" s="292" t="n"/>
      <c r="Q253" s="292" t="inlineStr">
        <is>
          <t>原九部位资源库已登记</t>
        </is>
      </c>
      <c r="R253" s="292" t="str"/>
      <c r="S253" s="292" t="inlineStr">
        <is>
          <t>装备素材套装代码表.xlsx（原九部位）</t>
        </is>
      </c>
      <c r="T253" s="292" t="inlineStr">
        <is>
          <t>同一代码用于 Items / StateItem / DnItems；属性与掉落另表定义。</t>
        </is>
      </c>
      <c r="U253">
        <f>IF(COUNTIF($B$2:$B$1076,B253)&gt;1,"重复","")</f>
        <v/>
      </c>
      <c r="V253">
        <f>IF(AND(OR(M253="",M253=B253),OR(N253="",N253=B253),OR(O253="",O253=B253)),"通过","不一致")</f>
        <v/>
      </c>
    </row>
    <row r="254" ht="22" customHeight="1">
      <c r="A254" s="398" t="n">
        <v>253</v>
      </c>
      <c r="B254" s="398" t="n">
        <v>6119</v>
      </c>
      <c r="C254" s="399" t="inlineStr">
        <is>
          <t>星渊龙息·极星</t>
        </is>
      </c>
      <c r="D254" s="399" t="inlineStr">
        <is>
          <t>星渊龙息</t>
        </is>
      </c>
      <c r="E254" s="399" t="n">
        <v>9</v>
      </c>
      <c r="F254" s="399" t="inlineStr">
        <is>
          <t>勋章</t>
        </is>
      </c>
      <c r="G254" s="398" t="n"/>
      <c r="H254" s="398" t="n"/>
      <c r="I254" s="398" t="n">
        <v>6119</v>
      </c>
      <c r="J254" s="398" t="n"/>
      <c r="K254" s="398" t="n"/>
      <c r="L254" s="398" t="n"/>
      <c r="M254" s="398" t="n">
        <v>6119</v>
      </c>
      <c r="N254" s="398" t="n">
        <v>6119</v>
      </c>
      <c r="O254" s="398" t="n">
        <v>6119</v>
      </c>
      <c r="P254" s="292" t="n"/>
      <c r="Q254" s="292" t="inlineStr">
        <is>
          <t>原九部位资源库已登记</t>
        </is>
      </c>
      <c r="R254" s="322" t="inlineStr">
        <is>
          <t>C1/C2现用：归树犬徽</t>
        </is>
      </c>
      <c r="S254" s="292" t="inlineStr">
        <is>
          <t>装备素材套装代码表.xlsx（原九部位）</t>
        </is>
      </c>
      <c r="T254" s="292" t="inlineStr">
        <is>
          <t>同一代码用于 Items / StateItem / DnItems；属性与掉落另表定义。</t>
        </is>
      </c>
      <c r="U254">
        <f>IF(COUNTIF($B$2:$B$1076,B254)&gt;1,"重复","")</f>
        <v/>
      </c>
      <c r="V254">
        <f>IF(AND(OR(M254="",M254=B254),OR(N254="",N254=B254),OR(O254="",O254=B254)),"通过","不一致")</f>
        <v/>
      </c>
    </row>
    <row r="255" ht="22" customHeight="1">
      <c r="A255" s="398" t="n">
        <v>254</v>
      </c>
      <c r="B255" s="398" t="n">
        <v>6120</v>
      </c>
      <c r="C255" s="399" t="inlineStr">
        <is>
          <t>星渊龙息·极星</t>
        </is>
      </c>
      <c r="D255" s="399" t="inlineStr">
        <is>
          <t>星渊龙息</t>
        </is>
      </c>
      <c r="E255" s="399" t="n">
        <v>9</v>
      </c>
      <c r="F255" s="399" t="inlineStr">
        <is>
          <t>项链</t>
        </is>
      </c>
      <c r="G255" s="398" t="n"/>
      <c r="H255" s="398" t="n"/>
      <c r="I255" s="398" t="n">
        <v>6120</v>
      </c>
      <c r="J255" s="398" t="n"/>
      <c r="K255" s="398" t="n"/>
      <c r="L255" s="398" t="n"/>
      <c r="M255" s="398" t="n">
        <v>6120</v>
      </c>
      <c r="N255" s="398" t="n">
        <v>6120</v>
      </c>
      <c r="O255" s="398" t="n">
        <v>6120</v>
      </c>
      <c r="P255" s="292" t="n"/>
      <c r="Q255" s="292" t="inlineStr">
        <is>
          <t>原九部位资源库已登记</t>
        </is>
      </c>
      <c r="R255" s="292" t="str"/>
      <c r="S255" s="292" t="inlineStr">
        <is>
          <t>装备素材套装代码表.xlsx（原九部位）</t>
        </is>
      </c>
      <c r="T255" s="292" t="inlineStr">
        <is>
          <t>同一代码用于 Items / StateItem / DnItems；属性与掉落另表定义。</t>
        </is>
      </c>
      <c r="U255">
        <f>IF(COUNTIF($B$2:$B$1076,B255)&gt;1,"重复","")</f>
        <v/>
      </c>
      <c r="V255">
        <f>IF(AND(OR(M255="",M255=B255),OR(N255="",N255=B255),OR(O255="",O255=B255)),"通过","不一致")</f>
        <v/>
      </c>
    </row>
    <row r="256" ht="22" customHeight="1">
      <c r="A256" s="398" t="n">
        <v>255</v>
      </c>
      <c r="B256" s="398" t="n">
        <v>6121</v>
      </c>
      <c r="C256" s="399" t="inlineStr">
        <is>
          <t>星渊龙息·极星</t>
        </is>
      </c>
      <c r="D256" s="399" t="inlineStr">
        <is>
          <t>星渊龙息</t>
        </is>
      </c>
      <c r="E256" s="399" t="n">
        <v>9</v>
      </c>
      <c r="F256" s="399" t="inlineStr">
        <is>
          <t>头盔</t>
        </is>
      </c>
      <c r="G256" s="398" t="n"/>
      <c r="H256" s="398" t="n"/>
      <c r="I256" s="398" t="n">
        <v>6121</v>
      </c>
      <c r="J256" s="398" t="n"/>
      <c r="K256" s="398" t="n"/>
      <c r="L256" s="398" t="n"/>
      <c r="M256" s="398" t="n">
        <v>6121</v>
      </c>
      <c r="N256" s="398" t="n">
        <v>6121</v>
      </c>
      <c r="O256" s="398" t="n">
        <v>6121</v>
      </c>
      <c r="P256" s="292" t="n"/>
      <c r="Q256" s="292" t="inlineStr">
        <is>
          <t>原九部位资源库已登记</t>
        </is>
      </c>
      <c r="R256" s="292" t="str"/>
      <c r="S256" s="292" t="inlineStr">
        <is>
          <t>装备素材套装代码表.xlsx（原九部位）</t>
        </is>
      </c>
      <c r="T256" s="292" t="inlineStr">
        <is>
          <t>同一代码用于 Items / StateItem / DnItems；属性与掉落另表定义。</t>
        </is>
      </c>
      <c r="U256">
        <f>IF(COUNTIF($B$2:$B$1076,B256)&gt;1,"重复","")</f>
        <v/>
      </c>
      <c r="V256">
        <f>IF(AND(OR(M256="",M256=B256),OR(N256="",N256=B256),OR(O256="",O256=B256)),"通过","不一致")</f>
        <v/>
      </c>
    </row>
    <row r="257" ht="22" customHeight="1">
      <c r="A257" s="398" t="n">
        <v>256</v>
      </c>
      <c r="B257" s="398" t="n">
        <v>6122</v>
      </c>
      <c r="C257" s="399" t="inlineStr">
        <is>
          <t>星渊龙息·极星</t>
        </is>
      </c>
      <c r="D257" s="399" t="inlineStr">
        <is>
          <t>星渊龙息</t>
        </is>
      </c>
      <c r="E257" s="399" t="n">
        <v>9</v>
      </c>
      <c r="F257" s="399" t="inlineStr">
        <is>
          <t>手镯</t>
        </is>
      </c>
      <c r="G257" s="398" t="n"/>
      <c r="H257" s="398" t="n"/>
      <c r="I257" s="398" t="n">
        <v>6122</v>
      </c>
      <c r="J257" s="398" t="n"/>
      <c r="K257" s="398" t="n"/>
      <c r="L257" s="398" t="n"/>
      <c r="M257" s="398" t="n">
        <v>6122</v>
      </c>
      <c r="N257" s="398" t="n">
        <v>6122</v>
      </c>
      <c r="O257" s="398" t="n">
        <v>6122</v>
      </c>
      <c r="P257" s="292" t="n"/>
      <c r="Q257" s="292" t="inlineStr">
        <is>
          <t>原九部位资源库已登记</t>
        </is>
      </c>
      <c r="R257" s="292" t="str"/>
      <c r="S257" s="292" t="inlineStr">
        <is>
          <t>装备素材套装代码表.xlsx（原九部位）</t>
        </is>
      </c>
      <c r="T257" s="292" t="inlineStr">
        <is>
          <t>同一代码用于 Items / StateItem / DnItems；属性与掉落另表定义。</t>
        </is>
      </c>
      <c r="U257">
        <f>IF(COUNTIF($B$2:$B$1076,B257)&gt;1,"重复","")</f>
        <v/>
      </c>
      <c r="V257">
        <f>IF(AND(OR(M257="",M257=B257),OR(N257="",N257=B257),OR(O257="",O257=B257)),"通过","不一致")</f>
        <v/>
      </c>
    </row>
    <row r="258" ht="22" customHeight="1">
      <c r="A258" s="398" t="n">
        <v>257</v>
      </c>
      <c r="B258" s="398" t="n">
        <v>6123</v>
      </c>
      <c r="C258" s="399" t="inlineStr">
        <is>
          <t>星渊龙息·极星</t>
        </is>
      </c>
      <c r="D258" s="399" t="inlineStr">
        <is>
          <t>星渊龙息</t>
        </is>
      </c>
      <c r="E258" s="399" t="n">
        <v>9</v>
      </c>
      <c r="F258" s="399" t="inlineStr">
        <is>
          <t>戒指</t>
        </is>
      </c>
      <c r="G258" s="398" t="n"/>
      <c r="H258" s="398" t="n"/>
      <c r="I258" s="398" t="n">
        <v>6123</v>
      </c>
      <c r="J258" s="398" t="n"/>
      <c r="K258" s="398" t="n"/>
      <c r="L258" s="398" t="n"/>
      <c r="M258" s="398" t="n">
        <v>6123</v>
      </c>
      <c r="N258" s="398" t="n">
        <v>6123</v>
      </c>
      <c r="O258" s="398" t="n">
        <v>6123</v>
      </c>
      <c r="P258" s="292" t="n"/>
      <c r="Q258" s="292" t="inlineStr">
        <is>
          <t>原九部位资源库已登记</t>
        </is>
      </c>
      <c r="R258" s="292" t="str"/>
      <c r="S258" s="292" t="inlineStr">
        <is>
          <t>装备素材套装代码表.xlsx（原九部位）</t>
        </is>
      </c>
      <c r="T258" s="292" t="inlineStr">
        <is>
          <t>同一代码用于 Items / StateItem / DnItems；属性与掉落另表定义。</t>
        </is>
      </c>
      <c r="U258">
        <f>IF(COUNTIF($B$2:$B$1076,B258)&gt;1,"重复","")</f>
        <v/>
      </c>
      <c r="V258">
        <f>IF(AND(OR(M258="",M258=B258),OR(N258="",N258=B258),OR(O258="",O258=B258)),"通过","不一致")</f>
        <v/>
      </c>
    </row>
    <row r="259" ht="22" customHeight="1">
      <c r="A259" s="398" t="n">
        <v>258</v>
      </c>
      <c r="B259" s="398" t="n">
        <v>6124</v>
      </c>
      <c r="C259" s="399" t="inlineStr">
        <is>
          <t>星渊龙息·极星</t>
        </is>
      </c>
      <c r="D259" s="399" t="inlineStr">
        <is>
          <t>星渊龙息</t>
        </is>
      </c>
      <c r="E259" s="399" t="n">
        <v>9</v>
      </c>
      <c r="F259" s="399" t="inlineStr">
        <is>
          <t>盾牌</t>
        </is>
      </c>
      <c r="G259" s="398" t="n"/>
      <c r="H259" s="398" t="n"/>
      <c r="I259" s="398" t="n">
        <v>6124</v>
      </c>
      <c r="J259" s="398" t="n"/>
      <c r="K259" s="398" t="n"/>
      <c r="L259" s="398" t="n"/>
      <c r="M259" s="398" t="n">
        <v>6124</v>
      </c>
      <c r="N259" s="398" t="n">
        <v>6124</v>
      </c>
      <c r="O259" s="398" t="n">
        <v>6124</v>
      </c>
      <c r="P259" s="292" t="n"/>
      <c r="Q259" s="292" t="inlineStr">
        <is>
          <t>原九部位资源库已登记</t>
        </is>
      </c>
      <c r="R259" s="292" t="str"/>
      <c r="S259" s="292" t="inlineStr">
        <is>
          <t>装备素材套装代码表.xlsx（原九部位）</t>
        </is>
      </c>
      <c r="T259" s="292" t="inlineStr">
        <is>
          <t>同一代码用于 Items / StateItem / DnItems；属性与掉落另表定义。</t>
        </is>
      </c>
      <c r="U259">
        <f>IF(COUNTIF($B$2:$B$1076,B259)&gt;1,"重复","")</f>
        <v/>
      </c>
      <c r="V259">
        <f>IF(AND(OR(M259="",M259=B259),OR(N259="",N259=B259),OR(O259="",O259=B259)),"通过","不一致")</f>
        <v/>
      </c>
    </row>
    <row r="260" ht="22" customHeight="1">
      <c r="A260" s="398" t="n">
        <v>259</v>
      </c>
      <c r="B260" s="398" t="n">
        <v>6125</v>
      </c>
      <c r="C260" s="399" t="inlineStr">
        <is>
          <t>星渊龙息·极星</t>
        </is>
      </c>
      <c r="D260" s="399" t="inlineStr">
        <is>
          <t>星渊龙息</t>
        </is>
      </c>
      <c r="E260" s="399" t="n">
        <v>9</v>
      </c>
      <c r="F260" s="399" t="inlineStr">
        <is>
          <t>灵玉</t>
        </is>
      </c>
      <c r="G260" s="398" t="n"/>
      <c r="H260" s="398" t="n"/>
      <c r="I260" s="398" t="n">
        <v>6125</v>
      </c>
      <c r="J260" s="398" t="n"/>
      <c r="K260" s="398" t="n"/>
      <c r="L260" s="398" t="n"/>
      <c r="M260" s="398" t="n">
        <v>6125</v>
      </c>
      <c r="N260" s="398" t="n">
        <v>6125</v>
      </c>
      <c r="O260" s="398" t="n">
        <v>6125</v>
      </c>
      <c r="P260" s="292" t="n"/>
      <c r="Q260" s="292" t="inlineStr">
        <is>
          <t>原九部位资源库已登记</t>
        </is>
      </c>
      <c r="R260" s="322" t="inlineStr">
        <is>
          <t>C1/C2现用：葛瑞克的大卢恩</t>
        </is>
      </c>
      <c r="S260" s="292" t="inlineStr">
        <is>
          <t>装备素材套装代码表.xlsx（原九部位）</t>
        </is>
      </c>
      <c r="T260" s="292" t="inlineStr">
        <is>
          <t>同一代码用于 Items / StateItem / DnItems；属性与掉落另表定义。</t>
        </is>
      </c>
      <c r="U260">
        <f>IF(COUNTIF($B$2:$B$1076,B260)&gt;1,"重复","")</f>
        <v/>
      </c>
      <c r="V260">
        <f>IF(AND(OR(M260="",M260=B260),OR(N260="",N260=B260),OR(O260="",O260=B260)),"通过","不一致")</f>
        <v/>
      </c>
    </row>
    <row r="261" ht="22" customHeight="1">
      <c r="A261" s="398" t="n">
        <v>260</v>
      </c>
      <c r="B261" s="398" t="n">
        <v>6126</v>
      </c>
      <c r="C261" s="399" t="inlineStr">
        <is>
          <t>星渊龙息·极星</t>
        </is>
      </c>
      <c r="D261" s="399" t="inlineStr">
        <is>
          <t>星渊龙息</t>
        </is>
      </c>
      <c r="E261" s="399" t="n">
        <v>9</v>
      </c>
      <c r="F261" s="399" t="inlineStr">
        <is>
          <t>鞋子</t>
        </is>
      </c>
      <c r="G261" s="398" t="n"/>
      <c r="H261" s="398" t="n"/>
      <c r="I261" s="398" t="n">
        <v>6126</v>
      </c>
      <c r="J261" s="398" t="n"/>
      <c r="K261" s="398" t="n"/>
      <c r="L261" s="398" t="n"/>
      <c r="M261" s="398" t="n">
        <v>6126</v>
      </c>
      <c r="N261" s="398" t="n">
        <v>6126</v>
      </c>
      <c r="O261" s="398" t="n">
        <v>6126</v>
      </c>
      <c r="P261" s="292" t="n"/>
      <c r="Q261" s="292" t="inlineStr">
        <is>
          <t>原九部位资源库已登记</t>
        </is>
      </c>
      <c r="R261" s="292" t="str"/>
      <c r="S261" s="292" t="inlineStr">
        <is>
          <t>装备素材套装代码表.xlsx（原九部位）</t>
        </is>
      </c>
      <c r="T261" s="292" t="inlineStr">
        <is>
          <t>同一代码用于 Items / StateItem / DnItems；属性与掉落另表定义。</t>
        </is>
      </c>
      <c r="U261">
        <f>IF(COUNTIF($B$2:$B$1076,B261)&gt;1,"重复","")</f>
        <v/>
      </c>
      <c r="V261">
        <f>IF(AND(OR(M261="",M261=B261),OR(N261="",N261=B261),OR(O261="",O261=B261)),"通过","不一致")</f>
        <v/>
      </c>
    </row>
    <row r="262" ht="22" customHeight="1">
      <c r="A262" s="398" t="n">
        <v>261</v>
      </c>
      <c r="B262" s="398" t="n">
        <v>6127</v>
      </c>
      <c r="C262" s="399" t="inlineStr">
        <is>
          <t>星渊龙息·极星</t>
        </is>
      </c>
      <c r="D262" s="399" t="inlineStr">
        <is>
          <t>星渊龙息</t>
        </is>
      </c>
      <c r="E262" s="399" t="n">
        <v>9</v>
      </c>
      <c r="F262" s="399" t="inlineStr">
        <is>
          <t>腰带</t>
        </is>
      </c>
      <c r="G262" s="398" t="n"/>
      <c r="H262" s="398" t="n"/>
      <c r="I262" s="398" t="n">
        <v>6127</v>
      </c>
      <c r="J262" s="398" t="n"/>
      <c r="K262" s="398" t="n"/>
      <c r="L262" s="398" t="n"/>
      <c r="M262" s="398" t="n">
        <v>6127</v>
      </c>
      <c r="N262" s="398" t="n">
        <v>6127</v>
      </c>
      <c r="O262" s="398" t="n">
        <v>6127</v>
      </c>
      <c r="P262" s="292" t="n"/>
      <c r="Q262" s="292" t="inlineStr">
        <is>
          <t>原九部位资源库已登记</t>
        </is>
      </c>
      <c r="R262" s="292" t="str"/>
      <c r="S262" s="292" t="inlineStr">
        <is>
          <t>装备素材套装代码表.xlsx（原九部位）</t>
        </is>
      </c>
      <c r="T262" s="292" t="inlineStr">
        <is>
          <t>同一代码用于 Items / StateItem / DnItems；属性与掉落另表定义。</t>
        </is>
      </c>
      <c r="U262">
        <f>IF(COUNTIF($B$2:$B$1076,B262)&gt;1,"重复","")</f>
        <v/>
      </c>
      <c r="V262">
        <f>IF(AND(OR(M262="",M262=B262),OR(N262="",N262=B262),OR(O262="",O262=B262)),"通过","不一致")</f>
        <v/>
      </c>
    </row>
    <row r="263" ht="22" customHeight="1">
      <c r="A263" s="398" t="n">
        <v>262</v>
      </c>
      <c r="B263" s="398" t="n">
        <v>6128</v>
      </c>
      <c r="C263" s="399" t="inlineStr">
        <is>
          <t>星渊龙息·无垠</t>
        </is>
      </c>
      <c r="D263" s="399" t="inlineStr">
        <is>
          <t>星渊龙息</t>
        </is>
      </c>
      <c r="E263" s="399" t="n">
        <v>10</v>
      </c>
      <c r="F263" s="399" t="inlineStr">
        <is>
          <t>勋章</t>
        </is>
      </c>
      <c r="G263" s="398" t="n"/>
      <c r="H263" s="398" t="n"/>
      <c r="I263" s="398" t="n">
        <v>6128</v>
      </c>
      <c r="J263" s="398" t="n"/>
      <c r="K263" s="398" t="n"/>
      <c r="L263" s="398" t="n"/>
      <c r="M263" s="398" t="n">
        <v>6128</v>
      </c>
      <c r="N263" s="398" t="n">
        <v>6128</v>
      </c>
      <c r="O263" s="398" t="n">
        <v>6128</v>
      </c>
      <c r="P263" s="292" t="n"/>
      <c r="Q263" s="292" t="inlineStr">
        <is>
          <t>原九部位资源库已登记</t>
        </is>
      </c>
      <c r="R263" s="322" t="inlineStr">
        <is>
          <t>C1/C2现用：深渊勋章</t>
        </is>
      </c>
      <c r="S263" s="292" t="inlineStr">
        <is>
          <t>装备素材套装代码表.xlsx（原九部位）</t>
        </is>
      </c>
      <c r="T263" s="292" t="inlineStr">
        <is>
          <t>同一代码用于 Items / StateItem / DnItems；属性与掉落另表定义。</t>
        </is>
      </c>
      <c r="U263">
        <f>IF(COUNTIF($B$2:$B$1076,B263)&gt;1,"重复","")</f>
        <v/>
      </c>
      <c r="V263">
        <f>IF(AND(OR(M263="",M263=B263),OR(N263="",N263=B263),OR(O263="",O263=B263)),"通过","不一致")</f>
        <v/>
      </c>
    </row>
    <row r="264" ht="22" customHeight="1">
      <c r="A264" s="398" t="n">
        <v>263</v>
      </c>
      <c r="B264" s="398" t="n">
        <v>6129</v>
      </c>
      <c r="C264" s="399" t="inlineStr">
        <is>
          <t>星渊龙息·无垠</t>
        </is>
      </c>
      <c r="D264" s="399" t="inlineStr">
        <is>
          <t>星渊龙息</t>
        </is>
      </c>
      <c r="E264" s="399" t="n">
        <v>10</v>
      </c>
      <c r="F264" s="399" t="inlineStr">
        <is>
          <t>项链</t>
        </is>
      </c>
      <c r="G264" s="398" t="n"/>
      <c r="H264" s="398" t="n"/>
      <c r="I264" s="398" t="n">
        <v>6129</v>
      </c>
      <c r="J264" s="398" t="n"/>
      <c r="K264" s="398" t="n"/>
      <c r="L264" s="398" t="n"/>
      <c r="M264" s="398" t="n">
        <v>6129</v>
      </c>
      <c r="N264" s="398" t="n">
        <v>6129</v>
      </c>
      <c r="O264" s="398" t="n">
        <v>6129</v>
      </c>
      <c r="P264" s="292" t="n"/>
      <c r="Q264" s="292" t="inlineStr">
        <is>
          <t>原九部位资源库已登记</t>
        </is>
      </c>
      <c r="R264" s="322" t="inlineStr">
        <is>
          <t>C1/C2现用：沉宫项链</t>
        </is>
      </c>
      <c r="S264" s="292" t="inlineStr">
        <is>
          <t>装备素材套装代码表.xlsx（原九部位）</t>
        </is>
      </c>
      <c r="T264" s="292" t="inlineStr">
        <is>
          <t>同一代码用于 Items / StateItem / DnItems；属性与掉落另表定义。</t>
        </is>
      </c>
      <c r="U264">
        <f>IF(COUNTIF($B$2:$B$1076,B264)&gt;1,"重复","")</f>
        <v/>
      </c>
      <c r="V264">
        <f>IF(AND(OR(M264="",M264=B264),OR(N264="",N264=B264),OR(O264="",O264=B264)),"通过","不一致")</f>
        <v/>
      </c>
    </row>
    <row r="265" ht="22" customHeight="1">
      <c r="A265" s="398" t="n">
        <v>264</v>
      </c>
      <c r="B265" s="398" t="n">
        <v>6130</v>
      </c>
      <c r="C265" s="399" t="inlineStr">
        <is>
          <t>星渊龙息·无垠</t>
        </is>
      </c>
      <c r="D265" s="399" t="inlineStr">
        <is>
          <t>星渊龙息</t>
        </is>
      </c>
      <c r="E265" s="399" t="n">
        <v>10</v>
      </c>
      <c r="F265" s="399" t="inlineStr">
        <is>
          <t>头盔</t>
        </is>
      </c>
      <c r="G265" s="398" t="n"/>
      <c r="H265" s="398" t="n"/>
      <c r="I265" s="398" t="n">
        <v>6130</v>
      </c>
      <c r="J265" s="398" t="n"/>
      <c r="K265" s="398" t="n"/>
      <c r="L265" s="398" t="n"/>
      <c r="M265" s="398" t="n">
        <v>6130</v>
      </c>
      <c r="N265" s="398" t="n">
        <v>6130</v>
      </c>
      <c r="O265" s="398" t="n">
        <v>6130</v>
      </c>
      <c r="P265" s="292" t="n"/>
      <c r="Q265" s="292" t="inlineStr">
        <is>
          <t>原九部位资源库已登记</t>
        </is>
      </c>
      <c r="R265" s="322" t="inlineStr">
        <is>
          <t>C1/C2现用：溺亡王盔</t>
        </is>
      </c>
      <c r="S265" s="292" t="inlineStr">
        <is>
          <t>装备素材套装代码表.xlsx（原九部位）</t>
        </is>
      </c>
      <c r="T265" s="292" t="inlineStr">
        <is>
          <t>同一代码用于 Items / StateItem / DnItems；属性与掉落另表定义。</t>
        </is>
      </c>
      <c r="U265">
        <f>IF(COUNTIF($B$2:$B$1076,B265)&gt;1,"重复","")</f>
        <v/>
      </c>
      <c r="V265">
        <f>IF(AND(OR(M265="",M265=B265),OR(N265="",N265=B265),OR(O265="",O265=B265)),"通过","不一致")</f>
        <v/>
      </c>
    </row>
    <row r="266" ht="22" customHeight="1">
      <c r="A266" s="398" t="n">
        <v>265</v>
      </c>
      <c r="B266" s="398" t="n">
        <v>6131</v>
      </c>
      <c r="C266" s="399" t="inlineStr">
        <is>
          <t>星渊龙息·无垠</t>
        </is>
      </c>
      <c r="D266" s="399" t="inlineStr">
        <is>
          <t>星渊龙息</t>
        </is>
      </c>
      <c r="E266" s="399" t="n">
        <v>10</v>
      </c>
      <c r="F266" s="399" t="inlineStr">
        <is>
          <t>手镯</t>
        </is>
      </c>
      <c r="G266" s="398" t="n"/>
      <c r="H266" s="398" t="n"/>
      <c r="I266" s="398" t="n">
        <v>6131</v>
      </c>
      <c r="J266" s="398" t="n"/>
      <c r="K266" s="398" t="n"/>
      <c r="L266" s="398" t="n"/>
      <c r="M266" s="398" t="n">
        <v>6131</v>
      </c>
      <c r="N266" s="398" t="n">
        <v>6131</v>
      </c>
      <c r="O266" s="398" t="n">
        <v>6131</v>
      </c>
      <c r="P266" s="292" t="n"/>
      <c r="Q266" s="292" t="inlineStr">
        <is>
          <t>原九部位资源库已登记</t>
        </is>
      </c>
      <c r="R266" s="322" t="inlineStr">
        <is>
          <t>C1/C2现用：苔痕护腕</t>
        </is>
      </c>
      <c r="S266" s="292" t="inlineStr">
        <is>
          <t>装备素材套装代码表.xlsx（原九部位）</t>
        </is>
      </c>
      <c r="T266" s="292" t="inlineStr">
        <is>
          <t>同一代码用于 Items / StateItem / DnItems；属性与掉落另表定义。</t>
        </is>
      </c>
      <c r="U266">
        <f>IF(COUNTIF($B$2:$B$1076,B266)&gt;1,"重复","")</f>
        <v/>
      </c>
      <c r="V266">
        <f>IF(AND(OR(M266="",M266=B266),OR(N266="",N266=B266),OR(O266="",O266=B266)),"通过","不一致")</f>
        <v/>
      </c>
    </row>
    <row r="267" ht="22" customHeight="1">
      <c r="A267" s="398" t="n">
        <v>266</v>
      </c>
      <c r="B267" s="398" t="n">
        <v>6132</v>
      </c>
      <c r="C267" s="399" t="inlineStr">
        <is>
          <t>星渊龙息·无垠</t>
        </is>
      </c>
      <c r="D267" s="399" t="inlineStr">
        <is>
          <t>星渊龙息</t>
        </is>
      </c>
      <c r="E267" s="399" t="n">
        <v>10</v>
      </c>
      <c r="F267" s="399" t="inlineStr">
        <is>
          <t>戒指</t>
        </is>
      </c>
      <c r="G267" s="398" t="n"/>
      <c r="H267" s="398" t="n"/>
      <c r="I267" s="398" t="n">
        <v>6132</v>
      </c>
      <c r="J267" s="398" t="n"/>
      <c r="K267" s="398" t="n"/>
      <c r="L267" s="398" t="n"/>
      <c r="M267" s="398" t="n">
        <v>6132</v>
      </c>
      <c r="N267" s="398" t="n">
        <v>6132</v>
      </c>
      <c r="O267" s="398" t="n">
        <v>6132</v>
      </c>
      <c r="P267" s="292" t="n"/>
      <c r="Q267" s="292" t="inlineStr">
        <is>
          <t>原九部位资源库已登记</t>
        </is>
      </c>
      <c r="R267" s="322" t="inlineStr">
        <is>
          <t>C1/C2现用：王庭秘戒</t>
        </is>
      </c>
      <c r="S267" s="292" t="inlineStr">
        <is>
          <t>装备素材套装代码表.xlsx（原九部位）</t>
        </is>
      </c>
      <c r="T267" s="292" t="inlineStr">
        <is>
          <t>同一代码用于 Items / StateItem / DnItems；属性与掉落另表定义。</t>
        </is>
      </c>
      <c r="U267">
        <f>IF(COUNTIF($B$2:$B$1076,B267)&gt;1,"重复","")</f>
        <v/>
      </c>
      <c r="V267">
        <f>IF(AND(OR(M267="",M267=B267),OR(N267="",N267=B267),OR(O267="",O267=B267)),"通过","不一致")</f>
        <v/>
      </c>
    </row>
    <row r="268" ht="22" customHeight="1">
      <c r="A268" s="398" t="n">
        <v>267</v>
      </c>
      <c r="B268" s="398" t="n">
        <v>6133</v>
      </c>
      <c r="C268" s="399" t="inlineStr">
        <is>
          <t>星渊龙息·无垠</t>
        </is>
      </c>
      <c r="D268" s="399" t="inlineStr">
        <is>
          <t>星渊龙息</t>
        </is>
      </c>
      <c r="E268" s="399" t="n">
        <v>10</v>
      </c>
      <c r="F268" s="399" t="inlineStr">
        <is>
          <t>盾牌</t>
        </is>
      </c>
      <c r="G268" s="398" t="n"/>
      <c r="H268" s="398" t="n"/>
      <c r="I268" s="398" t="n">
        <v>6133</v>
      </c>
      <c r="J268" s="398" t="n"/>
      <c r="K268" s="398" t="n"/>
      <c r="L268" s="398" t="n"/>
      <c r="M268" s="398" t="n">
        <v>6133</v>
      </c>
      <c r="N268" s="398" t="n">
        <v>6133</v>
      </c>
      <c r="O268" s="398" t="n">
        <v>6133</v>
      </c>
      <c r="P268" s="292" t="n"/>
      <c r="Q268" s="292" t="inlineStr">
        <is>
          <t>原九部位资源库已登记</t>
        </is>
      </c>
      <c r="R268" s="322" t="inlineStr">
        <is>
          <t>C1/C2现用：裁决王盾</t>
        </is>
      </c>
      <c r="S268" s="292" t="inlineStr">
        <is>
          <t>装备素材套装代码表.xlsx（原九部位）</t>
        </is>
      </c>
      <c r="T268" s="292" t="inlineStr">
        <is>
          <t>同一代码用于 Items / StateItem / DnItems；属性与掉落另表定义。</t>
        </is>
      </c>
      <c r="U268">
        <f>IF(COUNTIF($B$2:$B$1076,B268)&gt;1,"重复","")</f>
        <v/>
      </c>
      <c r="V268">
        <f>IF(AND(OR(M268="",M268=B268),OR(N268="",N268=B268),OR(O268="",O268=B268)),"通过","不一致")</f>
        <v/>
      </c>
    </row>
    <row r="269" ht="22" customHeight="1">
      <c r="A269" s="398" t="n">
        <v>268</v>
      </c>
      <c r="B269" s="398" t="n">
        <v>6134</v>
      </c>
      <c r="C269" s="399" t="inlineStr">
        <is>
          <t>星渊龙息·无垠</t>
        </is>
      </c>
      <c r="D269" s="399" t="inlineStr">
        <is>
          <t>星渊龙息</t>
        </is>
      </c>
      <c r="E269" s="399" t="n">
        <v>10</v>
      </c>
      <c r="F269" s="399" t="inlineStr">
        <is>
          <t>灵玉</t>
        </is>
      </c>
      <c r="G269" s="398" t="n"/>
      <c r="H269" s="398" t="n"/>
      <c r="I269" s="398" t="n">
        <v>6134</v>
      </c>
      <c r="J269" s="398" t="n"/>
      <c r="K269" s="398" t="n"/>
      <c r="L269" s="398" t="n"/>
      <c r="M269" s="398" t="n">
        <v>6134</v>
      </c>
      <c r="N269" s="398" t="n">
        <v>6134</v>
      </c>
      <c r="O269" s="398" t="n">
        <v>6134</v>
      </c>
      <c r="P269" s="292" t="n"/>
      <c r="Q269" s="292" t="inlineStr">
        <is>
          <t>原九部位资源库已登记</t>
        </is>
      </c>
      <c r="R269" s="322" t="inlineStr">
        <is>
          <t>C1/C2现用：沉默灵玉</t>
        </is>
      </c>
      <c r="S269" s="292" t="inlineStr">
        <is>
          <t>装备素材套装代码表.xlsx（原九部位）</t>
        </is>
      </c>
      <c r="T269" s="292" t="inlineStr">
        <is>
          <t>同一代码用于 Items / StateItem / DnItems；属性与掉落另表定义。</t>
        </is>
      </c>
      <c r="U269">
        <f>IF(COUNTIF($B$2:$B$1076,B269)&gt;1,"重复","")</f>
        <v/>
      </c>
      <c r="V269">
        <f>IF(AND(OR(M269="",M269=B269),OR(N269="",N269=B269),OR(O269="",O269=B269)),"通过","不一致")</f>
        <v/>
      </c>
    </row>
    <row r="270" ht="22" customHeight="1">
      <c r="A270" s="398" t="n">
        <v>269</v>
      </c>
      <c r="B270" s="398" t="n">
        <v>6135</v>
      </c>
      <c r="C270" s="399" t="inlineStr">
        <is>
          <t>星渊龙息·无垠</t>
        </is>
      </c>
      <c r="D270" s="399" t="inlineStr">
        <is>
          <t>星渊龙息</t>
        </is>
      </c>
      <c r="E270" s="399" t="n">
        <v>10</v>
      </c>
      <c r="F270" s="399" t="inlineStr">
        <is>
          <t>鞋子</t>
        </is>
      </c>
      <c r="G270" s="398" t="n"/>
      <c r="H270" s="398" t="n"/>
      <c r="I270" s="398" t="n">
        <v>6135</v>
      </c>
      <c r="J270" s="398" t="n"/>
      <c r="K270" s="398" t="n"/>
      <c r="L270" s="398" t="n"/>
      <c r="M270" s="398" t="n">
        <v>6135</v>
      </c>
      <c r="N270" s="398" t="n">
        <v>6135</v>
      </c>
      <c r="O270" s="398" t="n">
        <v>6135</v>
      </c>
      <c r="P270" s="292" t="n"/>
      <c r="Q270" s="292" t="inlineStr">
        <is>
          <t>原九部位资源库已登记</t>
        </is>
      </c>
      <c r="R270" s="322" t="inlineStr">
        <is>
          <t>C1/C2现用：失冠战靴</t>
        </is>
      </c>
      <c r="S270" s="292" t="inlineStr">
        <is>
          <t>装备素材套装代码表.xlsx（原九部位）</t>
        </is>
      </c>
      <c r="T270" s="292" t="inlineStr">
        <is>
          <t>同一代码用于 Items / StateItem / DnItems；属性与掉落另表定义。</t>
        </is>
      </c>
      <c r="U270">
        <f>IF(COUNTIF($B$2:$B$1076,B270)&gt;1,"重复","")</f>
        <v/>
      </c>
      <c r="V270">
        <f>IF(AND(OR(M270="",M270=B270),OR(N270="",N270=B270),OR(O270="",O270=B270)),"通过","不一致")</f>
        <v/>
      </c>
    </row>
    <row r="271" ht="22" customHeight="1">
      <c r="A271" s="398" t="n">
        <v>270</v>
      </c>
      <c r="B271" s="398" t="n">
        <v>6136</v>
      </c>
      <c r="C271" s="399" t="inlineStr">
        <is>
          <t>星渊龙息·无垠</t>
        </is>
      </c>
      <c r="D271" s="399" t="inlineStr">
        <is>
          <t>星渊龙息</t>
        </is>
      </c>
      <c r="E271" s="399" t="n">
        <v>10</v>
      </c>
      <c r="F271" s="399" t="inlineStr">
        <is>
          <t>腰带</t>
        </is>
      </c>
      <c r="G271" s="398" t="n"/>
      <c r="H271" s="398" t="n"/>
      <c r="I271" s="398" t="n">
        <v>6136</v>
      </c>
      <c r="J271" s="398" t="n"/>
      <c r="K271" s="398" t="n"/>
      <c r="L271" s="398" t="n"/>
      <c r="M271" s="398" t="n">
        <v>6136</v>
      </c>
      <c r="N271" s="398" t="n">
        <v>6136</v>
      </c>
      <c r="O271" s="398" t="n">
        <v>6136</v>
      </c>
      <c r="P271" s="292" t="n"/>
      <c r="Q271" s="292" t="inlineStr">
        <is>
          <t>原九部位资源库已登记</t>
        </is>
      </c>
      <c r="R271" s="322" t="inlineStr">
        <is>
          <t>C1/C2现用：深水束带</t>
        </is>
      </c>
      <c r="S271" s="292" t="inlineStr">
        <is>
          <t>装备素材套装代码表.xlsx（原九部位）</t>
        </is>
      </c>
      <c r="T271" s="292" t="inlineStr">
        <is>
          <t>同一代码用于 Items / StateItem / DnItems；属性与掉落另表定义。</t>
        </is>
      </c>
      <c r="U271">
        <f>IF(COUNTIF($B$2:$B$1076,B271)&gt;1,"重复","")</f>
        <v/>
      </c>
      <c r="V271">
        <f>IF(AND(OR(M271="",M271=B271),OR(N271="",N271=B271),OR(O271="",O271=B271)),"通过","不一致")</f>
        <v/>
      </c>
    </row>
    <row r="272" ht="22" customHeight="1">
      <c r="A272" s="398" t="n">
        <v>271</v>
      </c>
      <c r="B272" s="398" t="n">
        <v>6201</v>
      </c>
      <c r="C272" s="399" t="inlineStr">
        <is>
          <t>太微金曜·曜仪</t>
        </is>
      </c>
      <c r="D272" s="399" t="inlineStr">
        <is>
          <t>太微金曜</t>
        </is>
      </c>
      <c r="E272" s="399" t="n">
        <v>1</v>
      </c>
      <c r="F272" s="399" t="inlineStr">
        <is>
          <t>勋章</t>
        </is>
      </c>
      <c r="G272" s="398" t="n"/>
      <c r="H272" s="398" t="n"/>
      <c r="I272" s="398" t="n">
        <v>6201</v>
      </c>
      <c r="J272" s="398" t="n"/>
      <c r="K272" s="398" t="n"/>
      <c r="L272" s="398" t="n"/>
      <c r="M272" s="398" t="n">
        <v>6201</v>
      </c>
      <c r="N272" s="398" t="n">
        <v>6201</v>
      </c>
      <c r="O272" s="398" t="n">
        <v>6201</v>
      </c>
      <c r="P272" s="292" t="n"/>
      <c r="Q272" s="292" t="inlineStr">
        <is>
          <t>原九部位资源库已登记</t>
        </is>
      </c>
      <c r="R272" s="292" t="str"/>
      <c r="S272" s="292" t="inlineStr">
        <is>
          <t>装备素材套装代码表.xlsx（原九部位）</t>
        </is>
      </c>
      <c r="T272" s="292" t="inlineStr">
        <is>
          <t>同一代码用于 Items / StateItem / DnItems；属性与掉落另表定义。</t>
        </is>
      </c>
      <c r="U272">
        <f>IF(COUNTIF($B$2:$B$1076,B272)&gt;1,"重复","")</f>
        <v/>
      </c>
      <c r="V272">
        <f>IF(AND(OR(M272="",M272=B272),OR(N272="",N272=B272),OR(O272="",O272=B272)),"通过","不一致")</f>
        <v/>
      </c>
    </row>
    <row r="273" ht="22" customHeight="1">
      <c r="A273" s="398" t="n">
        <v>272</v>
      </c>
      <c r="B273" s="398" t="n">
        <v>6202</v>
      </c>
      <c r="C273" s="399" t="inlineStr">
        <is>
          <t>太微金曜·曜仪</t>
        </is>
      </c>
      <c r="D273" s="399" t="inlineStr">
        <is>
          <t>太微金曜</t>
        </is>
      </c>
      <c r="E273" s="399" t="n">
        <v>1</v>
      </c>
      <c r="F273" s="399" t="inlineStr">
        <is>
          <t>项链</t>
        </is>
      </c>
      <c r="G273" s="398" t="n"/>
      <c r="H273" s="398" t="n"/>
      <c r="I273" s="398" t="n">
        <v>6202</v>
      </c>
      <c r="J273" s="398" t="n"/>
      <c r="K273" s="398" t="n"/>
      <c r="L273" s="398" t="n"/>
      <c r="M273" s="398" t="n">
        <v>6202</v>
      </c>
      <c r="N273" s="398" t="n">
        <v>6202</v>
      </c>
      <c r="O273" s="398" t="n">
        <v>6202</v>
      </c>
      <c r="P273" s="292" t="n"/>
      <c r="Q273" s="292" t="inlineStr">
        <is>
          <t>原九部位资源库已登记</t>
        </is>
      </c>
      <c r="R273" s="292" t="str"/>
      <c r="S273" s="292" t="inlineStr">
        <is>
          <t>装备素材套装代码表.xlsx（原九部位）</t>
        </is>
      </c>
      <c r="T273" s="292" t="inlineStr">
        <is>
          <t>同一代码用于 Items / StateItem / DnItems；属性与掉落另表定义。</t>
        </is>
      </c>
      <c r="U273">
        <f>IF(COUNTIF($B$2:$B$1076,B273)&gt;1,"重复","")</f>
        <v/>
      </c>
      <c r="V273">
        <f>IF(AND(OR(M273="",M273=B273),OR(N273="",N273=B273),OR(O273="",O273=B273)),"通过","不一致")</f>
        <v/>
      </c>
    </row>
    <row r="274" ht="22" customHeight="1">
      <c r="A274" s="398" t="n">
        <v>273</v>
      </c>
      <c r="B274" s="398" t="n">
        <v>6203</v>
      </c>
      <c r="C274" s="399" t="inlineStr">
        <is>
          <t>太微金曜·曜仪</t>
        </is>
      </c>
      <c r="D274" s="399" t="inlineStr">
        <is>
          <t>太微金曜</t>
        </is>
      </c>
      <c r="E274" s="399" t="n">
        <v>1</v>
      </c>
      <c r="F274" s="399" t="inlineStr">
        <is>
          <t>头盔</t>
        </is>
      </c>
      <c r="G274" s="398" t="n"/>
      <c r="H274" s="398" t="n"/>
      <c r="I274" s="398" t="n">
        <v>6203</v>
      </c>
      <c r="J274" s="398" t="n"/>
      <c r="K274" s="398" t="n"/>
      <c r="L274" s="398" t="n"/>
      <c r="M274" s="398" t="n">
        <v>6203</v>
      </c>
      <c r="N274" s="398" t="n">
        <v>6203</v>
      </c>
      <c r="O274" s="398" t="n">
        <v>6203</v>
      </c>
      <c r="P274" s="292" t="n"/>
      <c r="Q274" s="292" t="inlineStr">
        <is>
          <t>原九部位资源库已登记</t>
        </is>
      </c>
      <c r="R274" s="292" t="str"/>
      <c r="S274" s="292" t="inlineStr">
        <is>
          <t>装备素材套装代码表.xlsx（原九部位）</t>
        </is>
      </c>
      <c r="T274" s="292" t="inlineStr">
        <is>
          <t>同一代码用于 Items / StateItem / DnItems；属性与掉落另表定义。</t>
        </is>
      </c>
      <c r="U274">
        <f>IF(COUNTIF($B$2:$B$1076,B274)&gt;1,"重复","")</f>
        <v/>
      </c>
      <c r="V274">
        <f>IF(AND(OR(M274="",M274=B274),OR(N274="",N274=B274),OR(O274="",O274=B274)),"通过","不一致")</f>
        <v/>
      </c>
    </row>
    <row r="275" ht="22" customHeight="1">
      <c r="A275" s="398" t="n">
        <v>274</v>
      </c>
      <c r="B275" s="398" t="n">
        <v>6204</v>
      </c>
      <c r="C275" s="399" t="inlineStr">
        <is>
          <t>太微金曜·曜仪</t>
        </is>
      </c>
      <c r="D275" s="399" t="inlineStr">
        <is>
          <t>太微金曜</t>
        </is>
      </c>
      <c r="E275" s="399" t="n">
        <v>1</v>
      </c>
      <c r="F275" s="399" t="inlineStr">
        <is>
          <t>手镯</t>
        </is>
      </c>
      <c r="G275" s="398" t="n"/>
      <c r="H275" s="398" t="n"/>
      <c r="I275" s="398" t="n">
        <v>6204</v>
      </c>
      <c r="J275" s="398" t="n"/>
      <c r="K275" s="398" t="n"/>
      <c r="L275" s="398" t="n"/>
      <c r="M275" s="398" t="n">
        <v>6204</v>
      </c>
      <c r="N275" s="398" t="n">
        <v>6204</v>
      </c>
      <c r="O275" s="398" t="n">
        <v>6204</v>
      </c>
      <c r="P275" s="292" t="n"/>
      <c r="Q275" s="292" t="inlineStr">
        <is>
          <t>原九部位资源库已登记</t>
        </is>
      </c>
      <c r="R275" s="292" t="str"/>
      <c r="S275" s="292" t="inlineStr">
        <is>
          <t>装备素材套装代码表.xlsx（原九部位）</t>
        </is>
      </c>
      <c r="T275" s="292" t="inlineStr">
        <is>
          <t>同一代码用于 Items / StateItem / DnItems；属性与掉落另表定义。</t>
        </is>
      </c>
      <c r="U275">
        <f>IF(COUNTIF($B$2:$B$1076,B275)&gt;1,"重复","")</f>
        <v/>
      </c>
      <c r="V275">
        <f>IF(AND(OR(M275="",M275=B275),OR(N275="",N275=B275),OR(O275="",O275=B275)),"通过","不一致")</f>
        <v/>
      </c>
    </row>
    <row r="276" ht="22" customHeight="1">
      <c r="A276" s="398" t="n">
        <v>275</v>
      </c>
      <c r="B276" s="398" t="n">
        <v>6205</v>
      </c>
      <c r="C276" s="399" t="inlineStr">
        <is>
          <t>太微金曜·曜仪</t>
        </is>
      </c>
      <c r="D276" s="399" t="inlineStr">
        <is>
          <t>太微金曜</t>
        </is>
      </c>
      <c r="E276" s="399" t="n">
        <v>1</v>
      </c>
      <c r="F276" s="399" t="inlineStr">
        <is>
          <t>戒指</t>
        </is>
      </c>
      <c r="G276" s="398" t="n"/>
      <c r="H276" s="398" t="n"/>
      <c r="I276" s="398" t="n">
        <v>6205</v>
      </c>
      <c r="J276" s="398" t="n"/>
      <c r="K276" s="398" t="n"/>
      <c r="L276" s="398" t="n"/>
      <c r="M276" s="398" t="n">
        <v>6205</v>
      </c>
      <c r="N276" s="398" t="n">
        <v>6205</v>
      </c>
      <c r="O276" s="398" t="n">
        <v>6205</v>
      </c>
      <c r="P276" s="292" t="n"/>
      <c r="Q276" s="292" t="inlineStr">
        <is>
          <t>原九部位资源库已登记</t>
        </is>
      </c>
      <c r="R276" s="292" t="str"/>
      <c r="S276" s="292" t="inlineStr">
        <is>
          <t>装备素材套装代码表.xlsx（原九部位）</t>
        </is>
      </c>
      <c r="T276" s="292" t="inlineStr">
        <is>
          <t>同一代码用于 Items / StateItem / DnItems；属性与掉落另表定义。</t>
        </is>
      </c>
      <c r="U276">
        <f>IF(COUNTIF($B$2:$B$1076,B276)&gt;1,"重复","")</f>
        <v/>
      </c>
      <c r="V276">
        <f>IF(AND(OR(M276="",M276=B276),OR(N276="",N276=B276),OR(O276="",O276=B276)),"通过","不一致")</f>
        <v/>
      </c>
    </row>
    <row r="277" ht="22" customHeight="1">
      <c r="A277" s="398" t="n">
        <v>276</v>
      </c>
      <c r="B277" s="398" t="n">
        <v>6206</v>
      </c>
      <c r="C277" s="399" t="inlineStr">
        <is>
          <t>太微金曜·曜仪</t>
        </is>
      </c>
      <c r="D277" s="399" t="inlineStr">
        <is>
          <t>太微金曜</t>
        </is>
      </c>
      <c r="E277" s="399" t="n">
        <v>1</v>
      </c>
      <c r="F277" s="399" t="inlineStr">
        <is>
          <t>盾牌</t>
        </is>
      </c>
      <c r="G277" s="398" t="n"/>
      <c r="H277" s="398" t="n"/>
      <c r="I277" s="398" t="n">
        <v>6206</v>
      </c>
      <c r="J277" s="398" t="n"/>
      <c r="K277" s="398" t="n"/>
      <c r="L277" s="398" t="n"/>
      <c r="M277" s="398" t="n">
        <v>6206</v>
      </c>
      <c r="N277" s="398" t="n">
        <v>6206</v>
      </c>
      <c r="O277" s="398" t="n">
        <v>6206</v>
      </c>
      <c r="P277" s="292" t="n"/>
      <c r="Q277" s="292" t="inlineStr">
        <is>
          <t>原九部位资源库已登记</t>
        </is>
      </c>
      <c r="R277" s="292" t="str"/>
      <c r="S277" s="292" t="inlineStr">
        <is>
          <t>装备素材套装代码表.xlsx（原九部位）</t>
        </is>
      </c>
      <c r="T277" s="292" t="inlineStr">
        <is>
          <t>同一代码用于 Items / StateItem / DnItems；属性与掉落另表定义。</t>
        </is>
      </c>
      <c r="U277">
        <f>IF(COUNTIF($B$2:$B$1076,B277)&gt;1,"重复","")</f>
        <v/>
      </c>
      <c r="V277">
        <f>IF(AND(OR(M277="",M277=B277),OR(N277="",N277=B277),OR(O277="",O277=B277)),"通过","不一致")</f>
        <v/>
      </c>
    </row>
    <row r="278" ht="22" customHeight="1">
      <c r="A278" s="398" t="n">
        <v>277</v>
      </c>
      <c r="B278" s="398" t="n">
        <v>6207</v>
      </c>
      <c r="C278" s="399" t="inlineStr">
        <is>
          <t>太微金曜·曜仪</t>
        </is>
      </c>
      <c r="D278" s="399" t="inlineStr">
        <is>
          <t>太微金曜</t>
        </is>
      </c>
      <c r="E278" s="399" t="n">
        <v>1</v>
      </c>
      <c r="F278" s="399" t="inlineStr">
        <is>
          <t>灵玉</t>
        </is>
      </c>
      <c r="G278" s="398" t="n"/>
      <c r="H278" s="398" t="n"/>
      <c r="I278" s="398" t="n">
        <v>6207</v>
      </c>
      <c r="J278" s="398" t="n"/>
      <c r="K278" s="398" t="n"/>
      <c r="L278" s="398" t="n"/>
      <c r="M278" s="398" t="n">
        <v>6207</v>
      </c>
      <c r="N278" s="398" t="n">
        <v>6207</v>
      </c>
      <c r="O278" s="398" t="n">
        <v>6207</v>
      </c>
      <c r="P278" s="292" t="n"/>
      <c r="Q278" s="292" t="inlineStr">
        <is>
          <t>原九部位资源库已登记</t>
        </is>
      </c>
      <c r="R278" s="292" t="str"/>
      <c r="S278" s="292" t="inlineStr">
        <is>
          <t>装备素材套装代码表.xlsx（原九部位）</t>
        </is>
      </c>
      <c r="T278" s="292" t="inlineStr">
        <is>
          <t>同一代码用于 Items / StateItem / DnItems；属性与掉落另表定义。</t>
        </is>
      </c>
      <c r="U278">
        <f>IF(COUNTIF($B$2:$B$1076,B278)&gt;1,"重复","")</f>
        <v/>
      </c>
      <c r="V278">
        <f>IF(AND(OR(M278="",M278=B278),OR(N278="",N278=B278),OR(O278="",O278=B278)),"通过","不一致")</f>
        <v/>
      </c>
    </row>
    <row r="279" ht="22" customHeight="1">
      <c r="A279" s="398" t="n">
        <v>278</v>
      </c>
      <c r="B279" s="398" t="n">
        <v>6208</v>
      </c>
      <c r="C279" s="399" t="inlineStr">
        <is>
          <t>太微金曜·曜仪</t>
        </is>
      </c>
      <c r="D279" s="399" t="inlineStr">
        <is>
          <t>太微金曜</t>
        </is>
      </c>
      <c r="E279" s="399" t="n">
        <v>1</v>
      </c>
      <c r="F279" s="399" t="inlineStr">
        <is>
          <t>鞋子</t>
        </is>
      </c>
      <c r="G279" s="398" t="n"/>
      <c r="H279" s="398" t="n"/>
      <c r="I279" s="398" t="n">
        <v>6208</v>
      </c>
      <c r="J279" s="398" t="n"/>
      <c r="K279" s="398" t="n"/>
      <c r="L279" s="398" t="n"/>
      <c r="M279" s="398" t="n">
        <v>6208</v>
      </c>
      <c r="N279" s="398" t="n">
        <v>6208</v>
      </c>
      <c r="O279" s="398" t="n">
        <v>6208</v>
      </c>
      <c r="P279" s="292" t="n"/>
      <c r="Q279" s="292" t="inlineStr">
        <is>
          <t>原九部位资源库已登记</t>
        </is>
      </c>
      <c r="R279" s="292" t="str"/>
      <c r="S279" s="292" t="inlineStr">
        <is>
          <t>装备素材套装代码表.xlsx（原九部位）</t>
        </is>
      </c>
      <c r="T279" s="292" t="inlineStr">
        <is>
          <t>同一代码用于 Items / StateItem / DnItems；属性与掉落另表定义。</t>
        </is>
      </c>
      <c r="U279">
        <f>IF(COUNTIF($B$2:$B$1076,B279)&gt;1,"重复","")</f>
        <v/>
      </c>
      <c r="V279">
        <f>IF(AND(OR(M279="",M279=B279),OR(N279="",N279=B279),OR(O279="",O279=B279)),"通过","不一致")</f>
        <v/>
      </c>
    </row>
    <row r="280" ht="22" customHeight="1">
      <c r="A280" s="398" t="n">
        <v>279</v>
      </c>
      <c r="B280" s="398" t="n">
        <v>6209</v>
      </c>
      <c r="C280" s="399" t="inlineStr">
        <is>
          <t>太微金曜·曜仪</t>
        </is>
      </c>
      <c r="D280" s="399" t="inlineStr">
        <is>
          <t>太微金曜</t>
        </is>
      </c>
      <c r="E280" s="399" t="n">
        <v>1</v>
      </c>
      <c r="F280" s="399" t="inlineStr">
        <is>
          <t>腰带</t>
        </is>
      </c>
      <c r="G280" s="398" t="n"/>
      <c r="H280" s="398" t="n"/>
      <c r="I280" s="398" t="n">
        <v>6209</v>
      </c>
      <c r="J280" s="398" t="n"/>
      <c r="K280" s="398" t="n"/>
      <c r="L280" s="398" t="n"/>
      <c r="M280" s="398" t="n">
        <v>6209</v>
      </c>
      <c r="N280" s="398" t="n">
        <v>6209</v>
      </c>
      <c r="O280" s="398" t="n">
        <v>6209</v>
      </c>
      <c r="P280" s="292" t="n"/>
      <c r="Q280" s="292" t="inlineStr">
        <is>
          <t>原九部位资源库已登记</t>
        </is>
      </c>
      <c r="R280" s="292" t="str"/>
      <c r="S280" s="292" t="inlineStr">
        <is>
          <t>装备素材套装代码表.xlsx（原九部位）</t>
        </is>
      </c>
      <c r="T280" s="292" t="inlineStr">
        <is>
          <t>同一代码用于 Items / StateItem / DnItems；属性与掉落另表定义。</t>
        </is>
      </c>
      <c r="U280">
        <f>IF(COUNTIF($B$2:$B$1076,B280)&gt;1,"重复","")</f>
        <v/>
      </c>
      <c r="V280">
        <f>IF(AND(OR(M280="",M280=B280),OR(N280="",N280=B280),OR(O280="",O280=B280)),"通过","不一致")</f>
        <v/>
      </c>
    </row>
    <row r="281" ht="22" customHeight="1">
      <c r="A281" s="398" t="n">
        <v>280</v>
      </c>
      <c r="B281" s="398" t="n">
        <v>6210</v>
      </c>
      <c r="C281" s="399" t="inlineStr">
        <is>
          <t>玄衡月蚀·月轮</t>
        </is>
      </c>
      <c r="D281" s="399" t="inlineStr">
        <is>
          <t>玄衡月蚀</t>
        </is>
      </c>
      <c r="E281" s="399" t="n">
        <v>1</v>
      </c>
      <c r="F281" s="399" t="inlineStr">
        <is>
          <t>勋章</t>
        </is>
      </c>
      <c r="G281" s="398" t="n"/>
      <c r="H281" s="398" t="n"/>
      <c r="I281" s="398" t="n">
        <v>6210</v>
      </c>
      <c r="J281" s="398" t="n"/>
      <c r="K281" s="398" t="n"/>
      <c r="L281" s="398" t="n"/>
      <c r="M281" s="398" t="n">
        <v>6210</v>
      </c>
      <c r="N281" s="398" t="n">
        <v>6210</v>
      </c>
      <c r="O281" s="398" t="n">
        <v>6210</v>
      </c>
      <c r="P281" s="292" t="n"/>
      <c r="Q281" s="292" t="inlineStr">
        <is>
          <t>原九部位资源库已登记</t>
        </is>
      </c>
      <c r="R281" s="292" t="str"/>
      <c r="S281" s="292" t="inlineStr">
        <is>
          <t>装备素材套装代码表.xlsx（原九部位）</t>
        </is>
      </c>
      <c r="T281" s="292" t="inlineStr">
        <is>
          <t>同一代码用于 Items / StateItem / DnItems；属性与掉落另表定义。</t>
        </is>
      </c>
      <c r="U281">
        <f>IF(COUNTIF($B$2:$B$1076,B281)&gt;1,"重复","")</f>
        <v/>
      </c>
      <c r="V281">
        <f>IF(AND(OR(M281="",M281=B281),OR(N281="",N281=B281),OR(O281="",O281=B281)),"通过","不一致")</f>
        <v/>
      </c>
    </row>
    <row r="282" ht="22" customHeight="1">
      <c r="A282" s="398" t="n">
        <v>281</v>
      </c>
      <c r="B282" s="398" t="n">
        <v>6211</v>
      </c>
      <c r="C282" s="399" t="inlineStr">
        <is>
          <t>玄衡月蚀·月轮</t>
        </is>
      </c>
      <c r="D282" s="399" t="inlineStr">
        <is>
          <t>玄衡月蚀</t>
        </is>
      </c>
      <c r="E282" s="399" t="n">
        <v>1</v>
      </c>
      <c r="F282" s="399" t="inlineStr">
        <is>
          <t>项链</t>
        </is>
      </c>
      <c r="G282" s="398" t="n"/>
      <c r="H282" s="398" t="n"/>
      <c r="I282" s="398" t="n">
        <v>6211</v>
      </c>
      <c r="J282" s="398" t="n"/>
      <c r="K282" s="398" t="n"/>
      <c r="L282" s="398" t="n"/>
      <c r="M282" s="398" t="n">
        <v>6211</v>
      </c>
      <c r="N282" s="398" t="n">
        <v>6211</v>
      </c>
      <c r="O282" s="398" t="n">
        <v>6211</v>
      </c>
      <c r="P282" s="292" t="n"/>
      <c r="Q282" s="292" t="inlineStr">
        <is>
          <t>原九部位资源库已登记</t>
        </is>
      </c>
      <c r="R282" s="292" t="str"/>
      <c r="S282" s="292" t="inlineStr">
        <is>
          <t>装备素材套装代码表.xlsx（原九部位）</t>
        </is>
      </c>
      <c r="T282" s="292" t="inlineStr">
        <is>
          <t>同一代码用于 Items / StateItem / DnItems；属性与掉落另表定义。</t>
        </is>
      </c>
      <c r="U282">
        <f>IF(COUNTIF($B$2:$B$1076,B282)&gt;1,"重复","")</f>
        <v/>
      </c>
      <c r="V282">
        <f>IF(AND(OR(M282="",M282=B282),OR(N282="",N282=B282),OR(O282="",O282=B282)),"通过","不一致")</f>
        <v/>
      </c>
    </row>
    <row r="283" ht="22" customHeight="1">
      <c r="A283" s="398" t="n">
        <v>282</v>
      </c>
      <c r="B283" s="398" t="n">
        <v>6212</v>
      </c>
      <c r="C283" s="399" t="inlineStr">
        <is>
          <t>玄衡月蚀·月轮</t>
        </is>
      </c>
      <c r="D283" s="399" t="inlineStr">
        <is>
          <t>玄衡月蚀</t>
        </is>
      </c>
      <c r="E283" s="399" t="n">
        <v>1</v>
      </c>
      <c r="F283" s="399" t="inlineStr">
        <is>
          <t>头盔</t>
        </is>
      </c>
      <c r="G283" s="398" t="n"/>
      <c r="H283" s="398" t="n"/>
      <c r="I283" s="398" t="n">
        <v>6212</v>
      </c>
      <c r="J283" s="398" t="n"/>
      <c r="K283" s="398" t="n"/>
      <c r="L283" s="398" t="n"/>
      <c r="M283" s="398" t="n">
        <v>6212</v>
      </c>
      <c r="N283" s="398" t="n">
        <v>6212</v>
      </c>
      <c r="O283" s="398" t="n">
        <v>6212</v>
      </c>
      <c r="P283" s="292" t="n"/>
      <c r="Q283" s="292" t="inlineStr">
        <is>
          <t>原九部位资源库已登记</t>
        </is>
      </c>
      <c r="R283" s="292" t="str"/>
      <c r="S283" s="292" t="inlineStr">
        <is>
          <t>装备素材套装代码表.xlsx（原九部位）</t>
        </is>
      </c>
      <c r="T283" s="292" t="inlineStr">
        <is>
          <t>同一代码用于 Items / StateItem / DnItems；属性与掉落另表定义。</t>
        </is>
      </c>
      <c r="U283">
        <f>IF(COUNTIF($B$2:$B$1076,B283)&gt;1,"重复","")</f>
        <v/>
      </c>
      <c r="V283">
        <f>IF(AND(OR(M283="",M283=B283),OR(N283="",N283=B283),OR(O283="",O283=B283)),"通过","不一致")</f>
        <v/>
      </c>
    </row>
    <row r="284" ht="22" customHeight="1">
      <c r="A284" s="398" t="n">
        <v>283</v>
      </c>
      <c r="B284" s="398" t="n">
        <v>6213</v>
      </c>
      <c r="C284" s="399" t="inlineStr">
        <is>
          <t>玄衡月蚀·月轮</t>
        </is>
      </c>
      <c r="D284" s="399" t="inlineStr">
        <is>
          <t>玄衡月蚀</t>
        </is>
      </c>
      <c r="E284" s="399" t="n">
        <v>1</v>
      </c>
      <c r="F284" s="399" t="inlineStr">
        <is>
          <t>手镯</t>
        </is>
      </c>
      <c r="G284" s="398" t="n"/>
      <c r="H284" s="398" t="n"/>
      <c r="I284" s="398" t="n">
        <v>6213</v>
      </c>
      <c r="J284" s="398" t="n"/>
      <c r="K284" s="398" t="n"/>
      <c r="L284" s="398" t="n"/>
      <c r="M284" s="398" t="n">
        <v>6213</v>
      </c>
      <c r="N284" s="398" t="n">
        <v>6213</v>
      </c>
      <c r="O284" s="398" t="n">
        <v>6213</v>
      </c>
      <c r="P284" s="292" t="n"/>
      <c r="Q284" s="292" t="inlineStr">
        <is>
          <t>原九部位资源库已登记</t>
        </is>
      </c>
      <c r="R284" s="292" t="str"/>
      <c r="S284" s="292" t="inlineStr">
        <is>
          <t>装备素材套装代码表.xlsx（原九部位）</t>
        </is>
      </c>
      <c r="T284" s="292" t="inlineStr">
        <is>
          <t>同一代码用于 Items / StateItem / DnItems；属性与掉落另表定义。</t>
        </is>
      </c>
      <c r="U284">
        <f>IF(COUNTIF($B$2:$B$1076,B284)&gt;1,"重复","")</f>
        <v/>
      </c>
      <c r="V284">
        <f>IF(AND(OR(M284="",M284=B284),OR(N284="",N284=B284),OR(O284="",O284=B284)),"通过","不一致")</f>
        <v/>
      </c>
    </row>
    <row r="285" ht="22" customHeight="1">
      <c r="A285" s="398" t="n">
        <v>284</v>
      </c>
      <c r="B285" s="398" t="n">
        <v>6214</v>
      </c>
      <c r="C285" s="399" t="inlineStr">
        <is>
          <t>玄衡月蚀·月轮</t>
        </is>
      </c>
      <c r="D285" s="399" t="inlineStr">
        <is>
          <t>玄衡月蚀</t>
        </is>
      </c>
      <c r="E285" s="399" t="n">
        <v>1</v>
      </c>
      <c r="F285" s="399" t="inlineStr">
        <is>
          <t>戒指</t>
        </is>
      </c>
      <c r="G285" s="398" t="n"/>
      <c r="H285" s="398" t="n"/>
      <c r="I285" s="398" t="n">
        <v>6214</v>
      </c>
      <c r="J285" s="398" t="n"/>
      <c r="K285" s="398" t="n"/>
      <c r="L285" s="398" t="n"/>
      <c r="M285" s="398" t="n">
        <v>6214</v>
      </c>
      <c r="N285" s="398" t="n">
        <v>6214</v>
      </c>
      <c r="O285" s="398" t="n">
        <v>6214</v>
      </c>
      <c r="P285" s="292" t="n"/>
      <c r="Q285" s="292" t="inlineStr">
        <is>
          <t>原九部位资源库已登记</t>
        </is>
      </c>
      <c r="R285" s="292" t="str"/>
      <c r="S285" s="292" t="inlineStr">
        <is>
          <t>装备素材套装代码表.xlsx（原九部位）</t>
        </is>
      </c>
      <c r="T285" s="292" t="inlineStr">
        <is>
          <t>同一代码用于 Items / StateItem / DnItems；属性与掉落另表定义。</t>
        </is>
      </c>
      <c r="U285">
        <f>IF(COUNTIF($B$2:$B$1076,B285)&gt;1,"重复","")</f>
        <v/>
      </c>
      <c r="V285">
        <f>IF(AND(OR(M285="",M285=B285),OR(N285="",N285=B285),OR(O285="",O285=B285)),"通过","不一致")</f>
        <v/>
      </c>
    </row>
    <row r="286" ht="22" customHeight="1">
      <c r="A286" s="398" t="n">
        <v>285</v>
      </c>
      <c r="B286" s="398" t="n">
        <v>6215</v>
      </c>
      <c r="C286" s="399" t="inlineStr">
        <is>
          <t>玄衡月蚀·月轮</t>
        </is>
      </c>
      <c r="D286" s="399" t="inlineStr">
        <is>
          <t>玄衡月蚀</t>
        </is>
      </c>
      <c r="E286" s="399" t="n">
        <v>1</v>
      </c>
      <c r="F286" s="399" t="inlineStr">
        <is>
          <t>盾牌</t>
        </is>
      </c>
      <c r="G286" s="398" t="n"/>
      <c r="H286" s="398" t="n"/>
      <c r="I286" s="398" t="n">
        <v>6215</v>
      </c>
      <c r="J286" s="398" t="n"/>
      <c r="K286" s="398" t="n"/>
      <c r="L286" s="398" t="n"/>
      <c r="M286" s="398" t="n">
        <v>6215</v>
      </c>
      <c r="N286" s="398" t="n">
        <v>6215</v>
      </c>
      <c r="O286" s="398" t="n">
        <v>6215</v>
      </c>
      <c r="P286" s="292" t="n"/>
      <c r="Q286" s="292" t="inlineStr">
        <is>
          <t>原九部位资源库已登记</t>
        </is>
      </c>
      <c r="R286" s="292" t="str"/>
      <c r="S286" s="292" t="inlineStr">
        <is>
          <t>装备素材套装代码表.xlsx（原九部位）</t>
        </is>
      </c>
      <c r="T286" s="292" t="inlineStr">
        <is>
          <t>同一代码用于 Items / StateItem / DnItems；属性与掉落另表定义。</t>
        </is>
      </c>
      <c r="U286">
        <f>IF(COUNTIF($B$2:$B$1076,B286)&gt;1,"重复","")</f>
        <v/>
      </c>
      <c r="V286">
        <f>IF(AND(OR(M286="",M286=B286),OR(N286="",N286=B286),OR(O286="",O286=B286)),"通过","不一致")</f>
        <v/>
      </c>
    </row>
    <row r="287" ht="22" customHeight="1">
      <c r="A287" s="398" t="n">
        <v>286</v>
      </c>
      <c r="B287" s="398" t="n">
        <v>6216</v>
      </c>
      <c r="C287" s="399" t="inlineStr">
        <is>
          <t>玄衡月蚀·月轮</t>
        </is>
      </c>
      <c r="D287" s="399" t="inlineStr">
        <is>
          <t>玄衡月蚀</t>
        </is>
      </c>
      <c r="E287" s="399" t="n">
        <v>1</v>
      </c>
      <c r="F287" s="399" t="inlineStr">
        <is>
          <t>灵玉</t>
        </is>
      </c>
      <c r="G287" s="398" t="n"/>
      <c r="H287" s="398" t="n"/>
      <c r="I287" s="398" t="n">
        <v>6216</v>
      </c>
      <c r="J287" s="398" t="n"/>
      <c r="K287" s="398" t="n"/>
      <c r="L287" s="398" t="n"/>
      <c r="M287" s="398" t="n">
        <v>6216</v>
      </c>
      <c r="N287" s="398" t="n">
        <v>6216</v>
      </c>
      <c r="O287" s="398" t="n">
        <v>6216</v>
      </c>
      <c r="P287" s="292" t="n"/>
      <c r="Q287" s="292" t="inlineStr">
        <is>
          <t>原九部位资源库已登记</t>
        </is>
      </c>
      <c r="R287" s="292" t="str"/>
      <c r="S287" s="292" t="inlineStr">
        <is>
          <t>装备素材套装代码表.xlsx（原九部位）</t>
        </is>
      </c>
      <c r="T287" s="292" t="inlineStr">
        <is>
          <t>同一代码用于 Items / StateItem / DnItems；属性与掉落另表定义。</t>
        </is>
      </c>
      <c r="U287">
        <f>IF(COUNTIF($B$2:$B$1076,B287)&gt;1,"重复","")</f>
        <v/>
      </c>
      <c r="V287">
        <f>IF(AND(OR(M287="",M287=B287),OR(N287="",N287=B287),OR(O287="",O287=B287)),"通过","不一致")</f>
        <v/>
      </c>
    </row>
    <row r="288" ht="22" customHeight="1">
      <c r="A288" s="398" t="n">
        <v>287</v>
      </c>
      <c r="B288" s="398" t="n">
        <v>6217</v>
      </c>
      <c r="C288" s="399" t="inlineStr">
        <is>
          <t>玄衡月蚀·月轮</t>
        </is>
      </c>
      <c r="D288" s="399" t="inlineStr">
        <is>
          <t>玄衡月蚀</t>
        </is>
      </c>
      <c r="E288" s="399" t="n">
        <v>1</v>
      </c>
      <c r="F288" s="399" t="inlineStr">
        <is>
          <t>鞋子</t>
        </is>
      </c>
      <c r="G288" s="398" t="n"/>
      <c r="H288" s="398" t="n"/>
      <c r="I288" s="398" t="n">
        <v>6217</v>
      </c>
      <c r="J288" s="398" t="n"/>
      <c r="K288" s="398" t="n"/>
      <c r="L288" s="398" t="n"/>
      <c r="M288" s="398" t="n">
        <v>6217</v>
      </c>
      <c r="N288" s="398" t="n">
        <v>6217</v>
      </c>
      <c r="O288" s="398" t="n">
        <v>6217</v>
      </c>
      <c r="P288" s="292" t="n"/>
      <c r="Q288" s="292" t="inlineStr">
        <is>
          <t>原九部位资源库已登记</t>
        </is>
      </c>
      <c r="R288" s="292" t="str"/>
      <c r="S288" s="292" t="inlineStr">
        <is>
          <t>装备素材套装代码表.xlsx（原九部位）</t>
        </is>
      </c>
      <c r="T288" s="292" t="inlineStr">
        <is>
          <t>同一代码用于 Items / StateItem / DnItems；属性与掉落另表定义。</t>
        </is>
      </c>
      <c r="U288">
        <f>IF(COUNTIF($B$2:$B$1076,B288)&gt;1,"重复","")</f>
        <v/>
      </c>
      <c r="V288">
        <f>IF(AND(OR(M288="",M288=B288),OR(N288="",N288=B288),OR(O288="",O288=B288)),"通过","不一致")</f>
        <v/>
      </c>
    </row>
    <row r="289" ht="22" customHeight="1">
      <c r="A289" s="398" t="n">
        <v>288</v>
      </c>
      <c r="B289" s="398" t="n">
        <v>6218</v>
      </c>
      <c r="C289" s="399" t="inlineStr">
        <is>
          <t>玄衡月蚀·月轮</t>
        </is>
      </c>
      <c r="D289" s="399" t="inlineStr">
        <is>
          <t>玄衡月蚀</t>
        </is>
      </c>
      <c r="E289" s="399" t="n">
        <v>1</v>
      </c>
      <c r="F289" s="399" t="inlineStr">
        <is>
          <t>腰带</t>
        </is>
      </c>
      <c r="G289" s="398" t="n"/>
      <c r="H289" s="398" t="n"/>
      <c r="I289" s="398" t="n">
        <v>6218</v>
      </c>
      <c r="J289" s="398" t="n"/>
      <c r="K289" s="398" t="n"/>
      <c r="L289" s="398" t="n"/>
      <c r="M289" s="398" t="n">
        <v>6218</v>
      </c>
      <c r="N289" s="398" t="n">
        <v>6218</v>
      </c>
      <c r="O289" s="398" t="n">
        <v>6218</v>
      </c>
      <c r="P289" s="292" t="n"/>
      <c r="Q289" s="292" t="inlineStr">
        <is>
          <t>原九部位资源库已登记</t>
        </is>
      </c>
      <c r="R289" s="292" t="str"/>
      <c r="S289" s="292" t="inlineStr">
        <is>
          <t>装备素材套装代码表.xlsx（原九部位）</t>
        </is>
      </c>
      <c r="T289" s="292" t="inlineStr">
        <is>
          <t>同一代码用于 Items / StateItem / DnItems；属性与掉落另表定义。</t>
        </is>
      </c>
      <c r="U289">
        <f>IF(COUNTIF($B$2:$B$1076,B289)&gt;1,"重复","")</f>
        <v/>
      </c>
      <c r="V289">
        <f>IF(AND(OR(M289="",M289=B289),OR(N289="",N289=B289),OR(O289="",O289=B289)),"通过","不一致")</f>
        <v/>
      </c>
    </row>
    <row r="290" ht="22" customHeight="1">
      <c r="A290" s="398" t="n">
        <v>289</v>
      </c>
      <c r="B290" s="398" t="n">
        <v>6219</v>
      </c>
      <c r="C290" s="399" t="inlineStr">
        <is>
          <t>苍辰木火·青焰</t>
        </is>
      </c>
      <c r="D290" s="399" t="inlineStr">
        <is>
          <t>苍辰木火</t>
        </is>
      </c>
      <c r="E290" s="399" t="n">
        <v>1</v>
      </c>
      <c r="F290" s="399" t="inlineStr">
        <is>
          <t>勋章</t>
        </is>
      </c>
      <c r="G290" s="398" t="n"/>
      <c r="H290" s="398" t="n"/>
      <c r="I290" s="398" t="n">
        <v>6219</v>
      </c>
      <c r="J290" s="398" t="n"/>
      <c r="K290" s="398" t="n"/>
      <c r="L290" s="398" t="n"/>
      <c r="M290" s="398" t="n">
        <v>6219</v>
      </c>
      <c r="N290" s="398" t="n">
        <v>6219</v>
      </c>
      <c r="O290" s="398" t="n">
        <v>6219</v>
      </c>
      <c r="P290" s="292" t="n"/>
      <c r="Q290" s="292" t="inlineStr">
        <is>
          <t>原九部位资源库已登记</t>
        </is>
      </c>
      <c r="R290" s="292" t="str"/>
      <c r="S290" s="292" t="inlineStr">
        <is>
          <t>装备素材套装代码表.xlsx（原九部位）</t>
        </is>
      </c>
      <c r="T290" s="292" t="inlineStr">
        <is>
          <t>同一代码用于 Items / StateItem / DnItems；属性与掉落另表定义。</t>
        </is>
      </c>
      <c r="U290">
        <f>IF(COUNTIF($B$2:$B$1076,B290)&gt;1,"重复","")</f>
        <v/>
      </c>
      <c r="V290">
        <f>IF(AND(OR(M290="",M290=B290),OR(N290="",N290=B290),OR(O290="",O290=B290)),"通过","不一致")</f>
        <v/>
      </c>
    </row>
    <row r="291" ht="22" customHeight="1">
      <c r="A291" s="398" t="n">
        <v>290</v>
      </c>
      <c r="B291" s="398" t="n">
        <v>6220</v>
      </c>
      <c r="C291" s="399" t="inlineStr">
        <is>
          <t>苍辰木火·青焰</t>
        </is>
      </c>
      <c r="D291" s="399" t="inlineStr">
        <is>
          <t>苍辰木火</t>
        </is>
      </c>
      <c r="E291" s="399" t="n">
        <v>1</v>
      </c>
      <c r="F291" s="399" t="inlineStr">
        <is>
          <t>项链</t>
        </is>
      </c>
      <c r="G291" s="398" t="n"/>
      <c r="H291" s="398" t="n"/>
      <c r="I291" s="398" t="n">
        <v>6220</v>
      </c>
      <c r="J291" s="398" t="n"/>
      <c r="K291" s="398" t="n"/>
      <c r="L291" s="398" t="n"/>
      <c r="M291" s="398" t="n">
        <v>6220</v>
      </c>
      <c r="N291" s="398" t="n">
        <v>6220</v>
      </c>
      <c r="O291" s="398" t="n">
        <v>6220</v>
      </c>
      <c r="P291" s="292" t="n"/>
      <c r="Q291" s="292" t="inlineStr">
        <is>
          <t>原九部位资源库已登记</t>
        </is>
      </c>
      <c r="R291" s="292" t="str"/>
      <c r="S291" s="292" t="inlineStr">
        <is>
          <t>装备素材套装代码表.xlsx（原九部位）</t>
        </is>
      </c>
      <c r="T291" s="292" t="inlineStr">
        <is>
          <t>同一代码用于 Items / StateItem / DnItems；属性与掉落另表定义。</t>
        </is>
      </c>
      <c r="U291">
        <f>IF(COUNTIF($B$2:$B$1076,B291)&gt;1,"重复","")</f>
        <v/>
      </c>
      <c r="V291">
        <f>IF(AND(OR(M291="",M291=B291),OR(N291="",N291=B291),OR(O291="",O291=B291)),"通过","不一致")</f>
        <v/>
      </c>
    </row>
    <row r="292" ht="22" customHeight="1">
      <c r="A292" s="398" t="n">
        <v>291</v>
      </c>
      <c r="B292" s="398" t="n">
        <v>6221</v>
      </c>
      <c r="C292" s="399" t="inlineStr">
        <is>
          <t>苍辰木火·青焰</t>
        </is>
      </c>
      <c r="D292" s="399" t="inlineStr">
        <is>
          <t>苍辰木火</t>
        </is>
      </c>
      <c r="E292" s="399" t="n">
        <v>1</v>
      </c>
      <c r="F292" s="399" t="inlineStr">
        <is>
          <t>头盔</t>
        </is>
      </c>
      <c r="G292" s="398" t="n"/>
      <c r="H292" s="398" t="n"/>
      <c r="I292" s="398" t="n">
        <v>6221</v>
      </c>
      <c r="J292" s="398" t="n"/>
      <c r="K292" s="398" t="n"/>
      <c r="L292" s="398" t="n"/>
      <c r="M292" s="398" t="n">
        <v>6221</v>
      </c>
      <c r="N292" s="398" t="n">
        <v>6221</v>
      </c>
      <c r="O292" s="398" t="n">
        <v>6221</v>
      </c>
      <c r="P292" s="292" t="n"/>
      <c r="Q292" s="292" t="inlineStr">
        <is>
          <t>原九部位资源库已登记</t>
        </is>
      </c>
      <c r="R292" s="292" t="str"/>
      <c r="S292" s="292" t="inlineStr">
        <is>
          <t>装备素材套装代码表.xlsx（原九部位）</t>
        </is>
      </c>
      <c r="T292" s="292" t="inlineStr">
        <is>
          <t>同一代码用于 Items / StateItem / DnItems；属性与掉落另表定义。</t>
        </is>
      </c>
      <c r="U292">
        <f>IF(COUNTIF($B$2:$B$1076,B292)&gt;1,"重复","")</f>
        <v/>
      </c>
      <c r="V292">
        <f>IF(AND(OR(M292="",M292=B292),OR(N292="",N292=B292),OR(O292="",O292=B292)),"通过","不一致")</f>
        <v/>
      </c>
    </row>
    <row r="293" ht="22" customHeight="1">
      <c r="A293" s="398" t="n">
        <v>292</v>
      </c>
      <c r="B293" s="398" t="n">
        <v>6222</v>
      </c>
      <c r="C293" s="399" t="inlineStr">
        <is>
          <t>苍辰木火·青焰</t>
        </is>
      </c>
      <c r="D293" s="399" t="inlineStr">
        <is>
          <t>苍辰木火</t>
        </is>
      </c>
      <c r="E293" s="399" t="n">
        <v>1</v>
      </c>
      <c r="F293" s="399" t="inlineStr">
        <is>
          <t>手镯</t>
        </is>
      </c>
      <c r="G293" s="398" t="n"/>
      <c r="H293" s="398" t="n"/>
      <c r="I293" s="398" t="n">
        <v>6222</v>
      </c>
      <c r="J293" s="398" t="n"/>
      <c r="K293" s="398" t="n"/>
      <c r="L293" s="398" t="n"/>
      <c r="M293" s="398" t="n">
        <v>6222</v>
      </c>
      <c r="N293" s="398" t="n">
        <v>6222</v>
      </c>
      <c r="O293" s="398" t="n">
        <v>6222</v>
      </c>
      <c r="P293" s="292" t="n"/>
      <c r="Q293" s="292" t="inlineStr">
        <is>
          <t>原九部位资源库已登记</t>
        </is>
      </c>
      <c r="R293" s="292" t="str"/>
      <c r="S293" s="292" t="inlineStr">
        <is>
          <t>装备素材套装代码表.xlsx（原九部位）</t>
        </is>
      </c>
      <c r="T293" s="292" t="inlineStr">
        <is>
          <t>同一代码用于 Items / StateItem / DnItems；属性与掉落另表定义。</t>
        </is>
      </c>
      <c r="U293">
        <f>IF(COUNTIF($B$2:$B$1076,B293)&gt;1,"重复","")</f>
        <v/>
      </c>
      <c r="V293">
        <f>IF(AND(OR(M293="",M293=B293),OR(N293="",N293=B293),OR(O293="",O293=B293)),"通过","不一致")</f>
        <v/>
      </c>
    </row>
    <row r="294" ht="22" customHeight="1">
      <c r="A294" s="398" t="n">
        <v>293</v>
      </c>
      <c r="B294" s="398" t="n">
        <v>6223</v>
      </c>
      <c r="C294" s="399" t="inlineStr">
        <is>
          <t>苍辰木火·青焰</t>
        </is>
      </c>
      <c r="D294" s="399" t="inlineStr">
        <is>
          <t>苍辰木火</t>
        </is>
      </c>
      <c r="E294" s="399" t="n">
        <v>1</v>
      </c>
      <c r="F294" s="399" t="inlineStr">
        <is>
          <t>戒指</t>
        </is>
      </c>
      <c r="G294" s="398" t="n"/>
      <c r="H294" s="398" t="n"/>
      <c r="I294" s="398" t="n">
        <v>6223</v>
      </c>
      <c r="J294" s="398" t="n"/>
      <c r="K294" s="398" t="n"/>
      <c r="L294" s="398" t="n"/>
      <c r="M294" s="398" t="n">
        <v>6223</v>
      </c>
      <c r="N294" s="398" t="n">
        <v>6223</v>
      </c>
      <c r="O294" s="398" t="n">
        <v>6223</v>
      </c>
      <c r="P294" s="292" t="n"/>
      <c r="Q294" s="292" t="inlineStr">
        <is>
          <t>原九部位资源库已登记</t>
        </is>
      </c>
      <c r="R294" s="292" t="str"/>
      <c r="S294" s="292" t="inlineStr">
        <is>
          <t>装备素材套装代码表.xlsx（原九部位）</t>
        </is>
      </c>
      <c r="T294" s="292" t="inlineStr">
        <is>
          <t>同一代码用于 Items / StateItem / DnItems；属性与掉落另表定义。</t>
        </is>
      </c>
      <c r="U294">
        <f>IF(COUNTIF($B$2:$B$1076,B294)&gt;1,"重复","")</f>
        <v/>
      </c>
      <c r="V294">
        <f>IF(AND(OR(M294="",M294=B294),OR(N294="",N294=B294),OR(O294="",O294=B294)),"通过","不一致")</f>
        <v/>
      </c>
    </row>
    <row r="295" ht="22" customHeight="1">
      <c r="A295" s="398" t="n">
        <v>294</v>
      </c>
      <c r="B295" s="398" t="n">
        <v>6224</v>
      </c>
      <c r="C295" s="399" t="inlineStr">
        <is>
          <t>苍辰木火·青焰</t>
        </is>
      </c>
      <c r="D295" s="399" t="inlineStr">
        <is>
          <t>苍辰木火</t>
        </is>
      </c>
      <c r="E295" s="399" t="n">
        <v>1</v>
      </c>
      <c r="F295" s="399" t="inlineStr">
        <is>
          <t>盾牌</t>
        </is>
      </c>
      <c r="G295" s="398" t="n"/>
      <c r="H295" s="398" t="n"/>
      <c r="I295" s="398" t="n">
        <v>6224</v>
      </c>
      <c r="J295" s="398" t="n"/>
      <c r="K295" s="398" t="n"/>
      <c r="L295" s="398" t="n"/>
      <c r="M295" s="398" t="n">
        <v>6224</v>
      </c>
      <c r="N295" s="398" t="n">
        <v>6224</v>
      </c>
      <c r="O295" s="398" t="n">
        <v>6224</v>
      </c>
      <c r="P295" s="292" t="n"/>
      <c r="Q295" s="292" t="inlineStr">
        <is>
          <t>原九部位资源库已登记</t>
        </is>
      </c>
      <c r="R295" s="292" t="str"/>
      <c r="S295" s="292" t="inlineStr">
        <is>
          <t>装备素材套装代码表.xlsx（原九部位）</t>
        </is>
      </c>
      <c r="T295" s="292" t="inlineStr">
        <is>
          <t>同一代码用于 Items / StateItem / DnItems；属性与掉落另表定义。</t>
        </is>
      </c>
      <c r="U295">
        <f>IF(COUNTIF($B$2:$B$1076,B295)&gt;1,"重复","")</f>
        <v/>
      </c>
      <c r="V295">
        <f>IF(AND(OR(M295="",M295=B295),OR(N295="",N295=B295),OR(O295="",O295=B295)),"通过","不一致")</f>
        <v/>
      </c>
    </row>
    <row r="296" ht="22" customHeight="1">
      <c r="A296" s="398" t="n">
        <v>295</v>
      </c>
      <c r="B296" s="398" t="n">
        <v>6225</v>
      </c>
      <c r="C296" s="399" t="inlineStr">
        <is>
          <t>苍辰木火·青焰</t>
        </is>
      </c>
      <c r="D296" s="399" t="inlineStr">
        <is>
          <t>苍辰木火</t>
        </is>
      </c>
      <c r="E296" s="399" t="n">
        <v>1</v>
      </c>
      <c r="F296" s="399" t="inlineStr">
        <is>
          <t>灵玉</t>
        </is>
      </c>
      <c r="G296" s="398" t="n"/>
      <c r="H296" s="398" t="n"/>
      <c r="I296" s="398" t="n">
        <v>6225</v>
      </c>
      <c r="J296" s="398" t="n"/>
      <c r="K296" s="398" t="n"/>
      <c r="L296" s="398" t="n"/>
      <c r="M296" s="398" t="n">
        <v>6225</v>
      </c>
      <c r="N296" s="398" t="n">
        <v>6225</v>
      </c>
      <c r="O296" s="398" t="n">
        <v>6225</v>
      </c>
      <c r="P296" s="292" t="n"/>
      <c r="Q296" s="292" t="inlineStr">
        <is>
          <t>原九部位资源库已登记</t>
        </is>
      </c>
      <c r="R296" s="292" t="str"/>
      <c r="S296" s="292" t="inlineStr">
        <is>
          <t>装备素材套装代码表.xlsx（原九部位）</t>
        </is>
      </c>
      <c r="T296" s="292" t="inlineStr">
        <is>
          <t>同一代码用于 Items / StateItem / DnItems；属性与掉落另表定义。</t>
        </is>
      </c>
      <c r="U296">
        <f>IF(COUNTIF($B$2:$B$1076,B296)&gt;1,"重复","")</f>
        <v/>
      </c>
      <c r="V296">
        <f>IF(AND(OR(M296="",M296=B296),OR(N296="",N296=B296),OR(O296="",O296=B296)),"通过","不一致")</f>
        <v/>
      </c>
    </row>
    <row r="297" ht="22" customHeight="1">
      <c r="A297" s="398" t="n">
        <v>296</v>
      </c>
      <c r="B297" s="398" t="n">
        <v>6226</v>
      </c>
      <c r="C297" s="399" t="inlineStr">
        <is>
          <t>苍辰木火·青焰</t>
        </is>
      </c>
      <c r="D297" s="399" t="inlineStr">
        <is>
          <t>苍辰木火</t>
        </is>
      </c>
      <c r="E297" s="399" t="n">
        <v>1</v>
      </c>
      <c r="F297" s="399" t="inlineStr">
        <is>
          <t>鞋子</t>
        </is>
      </c>
      <c r="G297" s="398" t="n"/>
      <c r="H297" s="398" t="n"/>
      <c r="I297" s="398" t="n">
        <v>6226</v>
      </c>
      <c r="J297" s="398" t="n"/>
      <c r="K297" s="398" t="n"/>
      <c r="L297" s="398" t="n"/>
      <c r="M297" s="398" t="n">
        <v>6226</v>
      </c>
      <c r="N297" s="398" t="n">
        <v>6226</v>
      </c>
      <c r="O297" s="398" t="n">
        <v>6226</v>
      </c>
      <c r="P297" s="292" t="n"/>
      <c r="Q297" s="292" t="inlineStr">
        <is>
          <t>原九部位资源库已登记</t>
        </is>
      </c>
      <c r="R297" s="292" t="str"/>
      <c r="S297" s="292" t="inlineStr">
        <is>
          <t>装备素材套装代码表.xlsx（原九部位）</t>
        </is>
      </c>
      <c r="T297" s="292" t="inlineStr">
        <is>
          <t>同一代码用于 Items / StateItem / DnItems；属性与掉落另表定义。</t>
        </is>
      </c>
      <c r="U297">
        <f>IF(COUNTIF($B$2:$B$1076,B297)&gt;1,"重复","")</f>
        <v/>
      </c>
      <c r="V297">
        <f>IF(AND(OR(M297="",M297=B297),OR(N297="",N297=B297),OR(O297="",O297=B297)),"通过","不一致")</f>
        <v/>
      </c>
    </row>
    <row r="298" ht="22" customHeight="1">
      <c r="A298" s="398" t="n">
        <v>297</v>
      </c>
      <c r="B298" s="398" t="n">
        <v>6227</v>
      </c>
      <c r="C298" s="399" t="inlineStr">
        <is>
          <t>苍辰木火·青焰</t>
        </is>
      </c>
      <c r="D298" s="399" t="inlineStr">
        <is>
          <t>苍辰木火</t>
        </is>
      </c>
      <c r="E298" s="399" t="n">
        <v>1</v>
      </c>
      <c r="F298" s="399" t="inlineStr">
        <is>
          <t>腰带</t>
        </is>
      </c>
      <c r="G298" s="398" t="n"/>
      <c r="H298" s="398" t="n"/>
      <c r="I298" s="398" t="n">
        <v>6227</v>
      </c>
      <c r="J298" s="398" t="n"/>
      <c r="K298" s="398" t="n"/>
      <c r="L298" s="398" t="n"/>
      <c r="M298" s="398" t="n">
        <v>6227</v>
      </c>
      <c r="N298" s="398" t="n">
        <v>6227</v>
      </c>
      <c r="O298" s="398" t="n">
        <v>6227</v>
      </c>
      <c r="P298" s="292" t="n"/>
      <c r="Q298" s="292" t="inlineStr">
        <is>
          <t>原九部位资源库已登记</t>
        </is>
      </c>
      <c r="R298" s="292" t="str"/>
      <c r="S298" s="292" t="inlineStr">
        <is>
          <t>装备素材套装代码表.xlsx（原九部位）</t>
        </is>
      </c>
      <c r="T298" s="292" t="inlineStr">
        <is>
          <t>同一代码用于 Items / StateItem / DnItems；属性与掉落另表定义。</t>
        </is>
      </c>
      <c r="U298">
        <f>IF(COUNTIF($B$2:$B$1076,B298)&gt;1,"重复","")</f>
        <v/>
      </c>
      <c r="V298">
        <f>IF(AND(OR(M298="",M298=B298),OR(N298="",N298=B298),OR(O298="",O298=B298)),"通过","不一致")</f>
        <v/>
      </c>
    </row>
    <row r="299" ht="22" customHeight="1">
      <c r="A299" s="398" t="n">
        <v>298</v>
      </c>
      <c r="B299" s="398" t="n">
        <v>6228</v>
      </c>
      <c r="C299" s="399" t="inlineStr">
        <is>
          <t>赤曜天穹·陨星</t>
        </is>
      </c>
      <c r="D299" s="399" t="inlineStr">
        <is>
          <t>赤曜天穹</t>
        </is>
      </c>
      <c r="E299" s="399" t="n">
        <v>1</v>
      </c>
      <c r="F299" s="399" t="inlineStr">
        <is>
          <t>勋章</t>
        </is>
      </c>
      <c r="G299" s="398" t="n"/>
      <c r="H299" s="398" t="n"/>
      <c r="I299" s="398" t="n">
        <v>6228</v>
      </c>
      <c r="J299" s="398" t="n"/>
      <c r="K299" s="398" t="n"/>
      <c r="L299" s="398" t="n"/>
      <c r="M299" s="398" t="n">
        <v>6228</v>
      </c>
      <c r="N299" s="398" t="n">
        <v>6228</v>
      </c>
      <c r="O299" s="398" t="n">
        <v>6228</v>
      </c>
      <c r="P299" s="292" t="n"/>
      <c r="Q299" s="292" t="inlineStr">
        <is>
          <t>原九部位资源库已登记</t>
        </is>
      </c>
      <c r="R299" s="292" t="str"/>
      <c r="S299" s="292" t="inlineStr">
        <is>
          <t>装备素材套装代码表.xlsx（原九部位）</t>
        </is>
      </c>
      <c r="T299" s="292" t="inlineStr">
        <is>
          <t>同一代码用于 Items / StateItem / DnItems；属性与掉落另表定义。</t>
        </is>
      </c>
      <c r="U299">
        <f>IF(COUNTIF($B$2:$B$1076,B299)&gt;1,"重复","")</f>
        <v/>
      </c>
      <c r="V299">
        <f>IF(AND(OR(M299="",M299=B299),OR(N299="",N299=B299),OR(O299="",O299=B299)),"通过","不一致")</f>
        <v/>
      </c>
    </row>
    <row r="300" ht="22" customHeight="1">
      <c r="A300" s="398" t="n">
        <v>299</v>
      </c>
      <c r="B300" s="398" t="n">
        <v>6229</v>
      </c>
      <c r="C300" s="399" t="inlineStr">
        <is>
          <t>赤曜天穹·陨星</t>
        </is>
      </c>
      <c r="D300" s="399" t="inlineStr">
        <is>
          <t>赤曜天穹</t>
        </is>
      </c>
      <c r="E300" s="399" t="n">
        <v>1</v>
      </c>
      <c r="F300" s="399" t="inlineStr">
        <is>
          <t>项链</t>
        </is>
      </c>
      <c r="G300" s="398" t="n"/>
      <c r="H300" s="398" t="n"/>
      <c r="I300" s="398" t="n">
        <v>6229</v>
      </c>
      <c r="J300" s="398" t="n"/>
      <c r="K300" s="398" t="n"/>
      <c r="L300" s="398" t="n"/>
      <c r="M300" s="398" t="n">
        <v>6229</v>
      </c>
      <c r="N300" s="398" t="n">
        <v>6229</v>
      </c>
      <c r="O300" s="398" t="n">
        <v>6229</v>
      </c>
      <c r="P300" s="292" t="n"/>
      <c r="Q300" s="292" t="inlineStr">
        <is>
          <t>原九部位资源库已登记</t>
        </is>
      </c>
      <c r="R300" s="292" t="str"/>
      <c r="S300" s="292" t="inlineStr">
        <is>
          <t>装备素材套装代码表.xlsx（原九部位）</t>
        </is>
      </c>
      <c r="T300" s="292" t="inlineStr">
        <is>
          <t>同一代码用于 Items / StateItem / DnItems；属性与掉落另表定义。</t>
        </is>
      </c>
      <c r="U300">
        <f>IF(COUNTIF($B$2:$B$1076,B300)&gt;1,"重复","")</f>
        <v/>
      </c>
      <c r="V300">
        <f>IF(AND(OR(M300="",M300=B300),OR(N300="",N300=B300),OR(O300="",O300=B300)),"通过","不一致")</f>
        <v/>
      </c>
    </row>
    <row r="301" ht="22" customHeight="1">
      <c r="A301" s="398" t="n">
        <v>300</v>
      </c>
      <c r="B301" s="398" t="n">
        <v>6230</v>
      </c>
      <c r="C301" s="399" t="inlineStr">
        <is>
          <t>赤曜天穹·陨星</t>
        </is>
      </c>
      <c r="D301" s="399" t="inlineStr">
        <is>
          <t>赤曜天穹</t>
        </is>
      </c>
      <c r="E301" s="399" t="n">
        <v>1</v>
      </c>
      <c r="F301" s="399" t="inlineStr">
        <is>
          <t>头盔</t>
        </is>
      </c>
      <c r="G301" s="398" t="n"/>
      <c r="H301" s="398" t="n"/>
      <c r="I301" s="398" t="n">
        <v>6230</v>
      </c>
      <c r="J301" s="398" t="n"/>
      <c r="K301" s="398" t="n"/>
      <c r="L301" s="398" t="n"/>
      <c r="M301" s="398" t="n">
        <v>6230</v>
      </c>
      <c r="N301" s="398" t="n">
        <v>6230</v>
      </c>
      <c r="O301" s="398" t="n">
        <v>6230</v>
      </c>
      <c r="P301" s="292" t="n"/>
      <c r="Q301" s="292" t="inlineStr">
        <is>
          <t>原九部位资源库已登记</t>
        </is>
      </c>
      <c r="R301" s="292" t="str"/>
      <c r="S301" s="292" t="inlineStr">
        <is>
          <t>装备素材套装代码表.xlsx（原九部位）</t>
        </is>
      </c>
      <c r="T301" s="292" t="inlineStr">
        <is>
          <t>同一代码用于 Items / StateItem / DnItems；属性与掉落另表定义。</t>
        </is>
      </c>
      <c r="U301">
        <f>IF(COUNTIF($B$2:$B$1076,B301)&gt;1,"重复","")</f>
        <v/>
      </c>
      <c r="V301">
        <f>IF(AND(OR(M301="",M301=B301),OR(N301="",N301=B301),OR(O301="",O301=B301)),"通过","不一致")</f>
        <v/>
      </c>
    </row>
    <row r="302" ht="22" customHeight="1">
      <c r="A302" s="398" t="n">
        <v>301</v>
      </c>
      <c r="B302" s="398" t="n">
        <v>6231</v>
      </c>
      <c r="C302" s="399" t="inlineStr">
        <is>
          <t>赤曜天穹·陨星</t>
        </is>
      </c>
      <c r="D302" s="399" t="inlineStr">
        <is>
          <t>赤曜天穹</t>
        </is>
      </c>
      <c r="E302" s="399" t="n">
        <v>1</v>
      </c>
      <c r="F302" s="399" t="inlineStr">
        <is>
          <t>手镯</t>
        </is>
      </c>
      <c r="G302" s="398" t="n"/>
      <c r="H302" s="398" t="n"/>
      <c r="I302" s="398" t="n">
        <v>6231</v>
      </c>
      <c r="J302" s="398" t="n"/>
      <c r="K302" s="398" t="n"/>
      <c r="L302" s="398" t="n"/>
      <c r="M302" s="398" t="n">
        <v>6231</v>
      </c>
      <c r="N302" s="398" t="n">
        <v>6231</v>
      </c>
      <c r="O302" s="398" t="n">
        <v>6231</v>
      </c>
      <c r="P302" s="292" t="n"/>
      <c r="Q302" s="292" t="inlineStr">
        <is>
          <t>原九部位资源库已登记</t>
        </is>
      </c>
      <c r="R302" s="292" t="str"/>
      <c r="S302" s="292" t="inlineStr">
        <is>
          <t>装备素材套装代码表.xlsx（原九部位）</t>
        </is>
      </c>
      <c r="T302" s="292" t="inlineStr">
        <is>
          <t>同一代码用于 Items / StateItem / DnItems；属性与掉落另表定义。</t>
        </is>
      </c>
      <c r="U302">
        <f>IF(COUNTIF($B$2:$B$1076,B302)&gt;1,"重复","")</f>
        <v/>
      </c>
      <c r="V302">
        <f>IF(AND(OR(M302="",M302=B302),OR(N302="",N302=B302),OR(O302="",O302=B302)),"通过","不一致")</f>
        <v/>
      </c>
    </row>
    <row r="303" ht="22" customHeight="1">
      <c r="A303" s="398" t="n">
        <v>302</v>
      </c>
      <c r="B303" s="398" t="n">
        <v>6232</v>
      </c>
      <c r="C303" s="399" t="inlineStr">
        <is>
          <t>赤曜天穹·陨星</t>
        </is>
      </c>
      <c r="D303" s="399" t="inlineStr">
        <is>
          <t>赤曜天穹</t>
        </is>
      </c>
      <c r="E303" s="399" t="n">
        <v>1</v>
      </c>
      <c r="F303" s="399" t="inlineStr">
        <is>
          <t>戒指</t>
        </is>
      </c>
      <c r="G303" s="398" t="n"/>
      <c r="H303" s="398" t="n"/>
      <c r="I303" s="398" t="n">
        <v>6232</v>
      </c>
      <c r="J303" s="398" t="n"/>
      <c r="K303" s="398" t="n"/>
      <c r="L303" s="398" t="n"/>
      <c r="M303" s="398" t="n">
        <v>6232</v>
      </c>
      <c r="N303" s="398" t="n">
        <v>6232</v>
      </c>
      <c r="O303" s="398" t="n">
        <v>6232</v>
      </c>
      <c r="P303" s="292" t="n"/>
      <c r="Q303" s="292" t="inlineStr">
        <is>
          <t>原九部位资源库已登记</t>
        </is>
      </c>
      <c r="R303" s="292" t="str"/>
      <c r="S303" s="292" t="inlineStr">
        <is>
          <t>装备素材套装代码表.xlsx（原九部位）</t>
        </is>
      </c>
      <c r="T303" s="292" t="inlineStr">
        <is>
          <t>同一代码用于 Items / StateItem / DnItems；属性与掉落另表定义。</t>
        </is>
      </c>
      <c r="U303">
        <f>IF(COUNTIF($B$2:$B$1076,B303)&gt;1,"重复","")</f>
        <v/>
      </c>
      <c r="V303">
        <f>IF(AND(OR(M303="",M303=B303),OR(N303="",N303=B303),OR(O303="",O303=B303)),"通过","不一致")</f>
        <v/>
      </c>
    </row>
    <row r="304" ht="22" customHeight="1">
      <c r="A304" s="398" t="n">
        <v>303</v>
      </c>
      <c r="B304" s="398" t="n">
        <v>6233</v>
      </c>
      <c r="C304" s="399" t="inlineStr">
        <is>
          <t>赤曜天穹·陨星</t>
        </is>
      </c>
      <c r="D304" s="399" t="inlineStr">
        <is>
          <t>赤曜天穹</t>
        </is>
      </c>
      <c r="E304" s="399" t="n">
        <v>1</v>
      </c>
      <c r="F304" s="399" t="inlineStr">
        <is>
          <t>盾牌</t>
        </is>
      </c>
      <c r="G304" s="398" t="n"/>
      <c r="H304" s="398" t="n"/>
      <c r="I304" s="398" t="n">
        <v>6233</v>
      </c>
      <c r="J304" s="398" t="n"/>
      <c r="K304" s="398" t="n"/>
      <c r="L304" s="398" t="n"/>
      <c r="M304" s="398" t="n">
        <v>6233</v>
      </c>
      <c r="N304" s="398" t="n">
        <v>6233</v>
      </c>
      <c r="O304" s="398" t="n">
        <v>6233</v>
      </c>
      <c r="P304" s="292" t="n"/>
      <c r="Q304" s="292" t="inlineStr">
        <is>
          <t>原九部位资源库已登记</t>
        </is>
      </c>
      <c r="R304" s="292" t="str"/>
      <c r="S304" s="292" t="inlineStr">
        <is>
          <t>装备素材套装代码表.xlsx（原九部位）</t>
        </is>
      </c>
      <c r="T304" s="292" t="inlineStr">
        <is>
          <t>同一代码用于 Items / StateItem / DnItems；属性与掉落另表定义。</t>
        </is>
      </c>
      <c r="U304">
        <f>IF(COUNTIF($B$2:$B$1076,B304)&gt;1,"重复","")</f>
        <v/>
      </c>
      <c r="V304">
        <f>IF(AND(OR(M304="",M304=B304),OR(N304="",N304=B304),OR(O304="",O304=B304)),"通过","不一致")</f>
        <v/>
      </c>
    </row>
    <row r="305" ht="22" customHeight="1">
      <c r="A305" s="398" t="n">
        <v>304</v>
      </c>
      <c r="B305" s="398" t="n">
        <v>6234</v>
      </c>
      <c r="C305" s="399" t="inlineStr">
        <is>
          <t>赤曜天穹·陨星</t>
        </is>
      </c>
      <c r="D305" s="399" t="inlineStr">
        <is>
          <t>赤曜天穹</t>
        </is>
      </c>
      <c r="E305" s="399" t="n">
        <v>1</v>
      </c>
      <c r="F305" s="399" t="inlineStr">
        <is>
          <t>灵玉</t>
        </is>
      </c>
      <c r="G305" s="398" t="n"/>
      <c r="H305" s="398" t="n"/>
      <c r="I305" s="398" t="n">
        <v>6234</v>
      </c>
      <c r="J305" s="398" t="n"/>
      <c r="K305" s="398" t="n"/>
      <c r="L305" s="398" t="n"/>
      <c r="M305" s="398" t="n">
        <v>6234</v>
      </c>
      <c r="N305" s="398" t="n">
        <v>6234</v>
      </c>
      <c r="O305" s="398" t="n">
        <v>6234</v>
      </c>
      <c r="P305" s="292" t="n"/>
      <c r="Q305" s="292" t="inlineStr">
        <is>
          <t>原九部位资源库已登记</t>
        </is>
      </c>
      <c r="R305" s="292" t="str"/>
      <c r="S305" s="292" t="inlineStr">
        <is>
          <t>装备素材套装代码表.xlsx（原九部位）</t>
        </is>
      </c>
      <c r="T305" s="292" t="inlineStr">
        <is>
          <t>同一代码用于 Items / StateItem / DnItems；属性与掉落另表定义。</t>
        </is>
      </c>
      <c r="U305">
        <f>IF(COUNTIF($B$2:$B$1076,B305)&gt;1,"重复","")</f>
        <v/>
      </c>
      <c r="V305">
        <f>IF(AND(OR(M305="",M305=B305),OR(N305="",N305=B305),OR(O305="",O305=B305)),"通过","不一致")</f>
        <v/>
      </c>
    </row>
    <row r="306" ht="22" customHeight="1">
      <c r="A306" s="398" t="n">
        <v>305</v>
      </c>
      <c r="B306" s="398" t="n">
        <v>6235</v>
      </c>
      <c r="C306" s="399" t="inlineStr">
        <is>
          <t>赤曜天穹·陨星</t>
        </is>
      </c>
      <c r="D306" s="399" t="inlineStr">
        <is>
          <t>赤曜天穹</t>
        </is>
      </c>
      <c r="E306" s="399" t="n">
        <v>1</v>
      </c>
      <c r="F306" s="399" t="inlineStr">
        <is>
          <t>鞋子</t>
        </is>
      </c>
      <c r="G306" s="398" t="n"/>
      <c r="H306" s="398" t="n"/>
      <c r="I306" s="398" t="n">
        <v>6235</v>
      </c>
      <c r="J306" s="398" t="n"/>
      <c r="K306" s="398" t="n"/>
      <c r="L306" s="398" t="n"/>
      <c r="M306" s="398" t="n">
        <v>6235</v>
      </c>
      <c r="N306" s="398" t="n">
        <v>6235</v>
      </c>
      <c r="O306" s="398" t="n">
        <v>6235</v>
      </c>
      <c r="P306" s="292" t="n"/>
      <c r="Q306" s="292" t="inlineStr">
        <is>
          <t>原九部位资源库已登记</t>
        </is>
      </c>
      <c r="R306" s="292" t="str"/>
      <c r="S306" s="292" t="inlineStr">
        <is>
          <t>装备素材套装代码表.xlsx（原九部位）</t>
        </is>
      </c>
      <c r="T306" s="292" t="inlineStr">
        <is>
          <t>同一代码用于 Items / StateItem / DnItems；属性与掉落另表定义。</t>
        </is>
      </c>
      <c r="U306">
        <f>IF(COUNTIF($B$2:$B$1076,B306)&gt;1,"重复","")</f>
        <v/>
      </c>
      <c r="V306">
        <f>IF(AND(OR(M306="",M306=B306),OR(N306="",N306=B306),OR(O306="",O306=B306)),"通过","不一致")</f>
        <v/>
      </c>
    </row>
    <row r="307" ht="22" customHeight="1">
      <c r="A307" s="398" t="n">
        <v>306</v>
      </c>
      <c r="B307" s="398" t="n">
        <v>6236</v>
      </c>
      <c r="C307" s="399" t="inlineStr">
        <is>
          <t>赤曜天穹·陨星</t>
        </is>
      </c>
      <c r="D307" s="399" t="inlineStr">
        <is>
          <t>赤曜天穹</t>
        </is>
      </c>
      <c r="E307" s="399" t="n">
        <v>1</v>
      </c>
      <c r="F307" s="399" t="inlineStr">
        <is>
          <t>腰带</t>
        </is>
      </c>
      <c r="G307" s="398" t="n"/>
      <c r="H307" s="398" t="n"/>
      <c r="I307" s="398" t="n">
        <v>6236</v>
      </c>
      <c r="J307" s="398" t="n"/>
      <c r="K307" s="398" t="n"/>
      <c r="L307" s="398" t="n"/>
      <c r="M307" s="398" t="n">
        <v>6236</v>
      </c>
      <c r="N307" s="398" t="n">
        <v>6236</v>
      </c>
      <c r="O307" s="398" t="n">
        <v>6236</v>
      </c>
      <c r="P307" s="292" t="n"/>
      <c r="Q307" s="292" t="inlineStr">
        <is>
          <t>原九部位资源库已登记</t>
        </is>
      </c>
      <c r="R307" s="292" t="str"/>
      <c r="S307" s="292" t="inlineStr">
        <is>
          <t>装备素材套装代码表.xlsx（原九部位）</t>
        </is>
      </c>
      <c r="T307" s="292" t="inlineStr">
        <is>
          <t>同一代码用于 Items / StateItem / DnItems；属性与掉落另表定义。</t>
        </is>
      </c>
      <c r="U307">
        <f>IF(COUNTIF($B$2:$B$1076,B307)&gt;1,"重复","")</f>
        <v/>
      </c>
      <c r="V307">
        <f>IF(AND(OR(M307="",M307=B307),OR(N307="",N307=B307),OR(O307="",O307=B307)),"通过","不一致")</f>
        <v/>
      </c>
    </row>
    <row r="308" ht="22" customHeight="1">
      <c r="A308" s="398" t="n">
        <v>307</v>
      </c>
      <c r="B308" s="398" t="n">
        <v>6237</v>
      </c>
      <c r="C308" s="399" t="inlineStr">
        <is>
          <t>紫垣玄晶·紫极</t>
        </is>
      </c>
      <c r="D308" s="399" t="inlineStr">
        <is>
          <t>紫垣玄晶</t>
        </is>
      </c>
      <c r="E308" s="399" t="n">
        <v>1</v>
      </c>
      <c r="F308" s="399" t="inlineStr">
        <is>
          <t>勋章</t>
        </is>
      </c>
      <c r="G308" s="398" t="n"/>
      <c r="H308" s="398" t="n"/>
      <c r="I308" s="398" t="n">
        <v>6237</v>
      </c>
      <c r="J308" s="398" t="n"/>
      <c r="K308" s="398" t="n"/>
      <c r="L308" s="398" t="n"/>
      <c r="M308" s="398" t="n">
        <v>6237</v>
      </c>
      <c r="N308" s="398" t="n">
        <v>6237</v>
      </c>
      <c r="O308" s="398" t="n">
        <v>6237</v>
      </c>
      <c r="P308" s="292" t="n"/>
      <c r="Q308" s="292" t="inlineStr">
        <is>
          <t>原九部位资源库已登记</t>
        </is>
      </c>
      <c r="R308" s="292" t="str"/>
      <c r="S308" s="292" t="inlineStr">
        <is>
          <t>装备素材套装代码表.xlsx（原九部位）</t>
        </is>
      </c>
      <c r="T308" s="292" t="inlineStr">
        <is>
          <t>同一代码用于 Items / StateItem / DnItems；属性与掉落另表定义。</t>
        </is>
      </c>
      <c r="U308">
        <f>IF(COUNTIF($B$2:$B$1076,B308)&gt;1,"重复","")</f>
        <v/>
      </c>
      <c r="V308">
        <f>IF(AND(OR(M308="",M308=B308),OR(N308="",N308=B308),OR(O308="",O308=B308)),"通过","不一致")</f>
        <v/>
      </c>
    </row>
    <row r="309" ht="22" customHeight="1">
      <c r="A309" s="398" t="n">
        <v>308</v>
      </c>
      <c r="B309" s="398" t="n">
        <v>6238</v>
      </c>
      <c r="C309" s="399" t="inlineStr">
        <is>
          <t>紫垣玄晶·紫极</t>
        </is>
      </c>
      <c r="D309" s="399" t="inlineStr">
        <is>
          <t>紫垣玄晶</t>
        </is>
      </c>
      <c r="E309" s="399" t="n">
        <v>1</v>
      </c>
      <c r="F309" s="399" t="inlineStr">
        <is>
          <t>项链</t>
        </is>
      </c>
      <c r="G309" s="398" t="n"/>
      <c r="H309" s="398" t="n"/>
      <c r="I309" s="398" t="n">
        <v>6238</v>
      </c>
      <c r="J309" s="398" t="n"/>
      <c r="K309" s="398" t="n"/>
      <c r="L309" s="398" t="n"/>
      <c r="M309" s="398" t="n">
        <v>6238</v>
      </c>
      <c r="N309" s="398" t="n">
        <v>6238</v>
      </c>
      <c r="O309" s="398" t="n">
        <v>6238</v>
      </c>
      <c r="P309" s="292" t="n"/>
      <c r="Q309" s="292" t="inlineStr">
        <is>
          <t>原九部位资源库已登记</t>
        </is>
      </c>
      <c r="R309" s="292" t="str"/>
      <c r="S309" s="292" t="inlineStr">
        <is>
          <t>装备素材套装代码表.xlsx（原九部位）</t>
        </is>
      </c>
      <c r="T309" s="292" t="inlineStr">
        <is>
          <t>同一代码用于 Items / StateItem / DnItems；属性与掉落另表定义。</t>
        </is>
      </c>
      <c r="U309">
        <f>IF(COUNTIF($B$2:$B$1076,B309)&gt;1,"重复","")</f>
        <v/>
      </c>
      <c r="V309">
        <f>IF(AND(OR(M309="",M309=B309),OR(N309="",N309=B309),OR(O309="",O309=B309)),"通过","不一致")</f>
        <v/>
      </c>
    </row>
    <row r="310" ht="22" customHeight="1">
      <c r="A310" s="398" t="n">
        <v>309</v>
      </c>
      <c r="B310" s="398" t="n">
        <v>6239</v>
      </c>
      <c r="C310" s="399" t="inlineStr">
        <is>
          <t>紫垣玄晶·紫极</t>
        </is>
      </c>
      <c r="D310" s="399" t="inlineStr">
        <is>
          <t>紫垣玄晶</t>
        </is>
      </c>
      <c r="E310" s="399" t="n">
        <v>1</v>
      </c>
      <c r="F310" s="399" t="inlineStr">
        <is>
          <t>头盔</t>
        </is>
      </c>
      <c r="G310" s="398" t="n"/>
      <c r="H310" s="398" t="n"/>
      <c r="I310" s="398" t="n">
        <v>6239</v>
      </c>
      <c r="J310" s="398" t="n"/>
      <c r="K310" s="398" t="n"/>
      <c r="L310" s="398" t="n"/>
      <c r="M310" s="398" t="n">
        <v>6239</v>
      </c>
      <c r="N310" s="398" t="n">
        <v>6239</v>
      </c>
      <c r="O310" s="398" t="n">
        <v>6239</v>
      </c>
      <c r="P310" s="292" t="n"/>
      <c r="Q310" s="292" t="inlineStr">
        <is>
          <t>原九部位资源库已登记</t>
        </is>
      </c>
      <c r="R310" s="292" t="str"/>
      <c r="S310" s="292" t="inlineStr">
        <is>
          <t>装备素材套装代码表.xlsx（原九部位）</t>
        </is>
      </c>
      <c r="T310" s="292" t="inlineStr">
        <is>
          <t>同一代码用于 Items / StateItem / DnItems；属性与掉落另表定义。</t>
        </is>
      </c>
      <c r="U310">
        <f>IF(COUNTIF($B$2:$B$1076,B310)&gt;1,"重复","")</f>
        <v/>
      </c>
      <c r="V310">
        <f>IF(AND(OR(M310="",M310=B310),OR(N310="",N310=B310),OR(O310="",O310=B310)),"通过","不一致")</f>
        <v/>
      </c>
    </row>
    <row r="311" ht="22" customHeight="1">
      <c r="A311" s="398" t="n">
        <v>310</v>
      </c>
      <c r="B311" s="398" t="n">
        <v>6240</v>
      </c>
      <c r="C311" s="399" t="inlineStr">
        <is>
          <t>紫垣玄晶·紫极</t>
        </is>
      </c>
      <c r="D311" s="399" t="inlineStr">
        <is>
          <t>紫垣玄晶</t>
        </is>
      </c>
      <c r="E311" s="399" t="n">
        <v>1</v>
      </c>
      <c r="F311" s="399" t="inlineStr">
        <is>
          <t>手镯</t>
        </is>
      </c>
      <c r="G311" s="398" t="n"/>
      <c r="H311" s="398" t="n"/>
      <c r="I311" s="398" t="n">
        <v>6240</v>
      </c>
      <c r="J311" s="398" t="n"/>
      <c r="K311" s="398" t="n"/>
      <c r="L311" s="398" t="n"/>
      <c r="M311" s="398" t="n">
        <v>6240</v>
      </c>
      <c r="N311" s="398" t="n">
        <v>6240</v>
      </c>
      <c r="O311" s="398" t="n">
        <v>6240</v>
      </c>
      <c r="P311" s="292" t="n"/>
      <c r="Q311" s="292" t="inlineStr">
        <is>
          <t>原九部位资源库已登记</t>
        </is>
      </c>
      <c r="R311" s="292" t="str"/>
      <c r="S311" s="292" t="inlineStr">
        <is>
          <t>装备素材套装代码表.xlsx（原九部位）</t>
        </is>
      </c>
      <c r="T311" s="292" t="inlineStr">
        <is>
          <t>同一代码用于 Items / StateItem / DnItems；属性与掉落另表定义。</t>
        </is>
      </c>
      <c r="U311">
        <f>IF(COUNTIF($B$2:$B$1076,B311)&gt;1,"重复","")</f>
        <v/>
      </c>
      <c r="V311">
        <f>IF(AND(OR(M311="",M311=B311),OR(N311="",N311=B311),OR(O311="",O311=B311)),"通过","不一致")</f>
        <v/>
      </c>
    </row>
    <row r="312" ht="22" customHeight="1">
      <c r="A312" s="398" t="n">
        <v>311</v>
      </c>
      <c r="B312" s="398" t="n">
        <v>6241</v>
      </c>
      <c r="C312" s="399" t="inlineStr">
        <is>
          <t>紫垣玄晶·紫极</t>
        </is>
      </c>
      <c r="D312" s="399" t="inlineStr">
        <is>
          <t>紫垣玄晶</t>
        </is>
      </c>
      <c r="E312" s="399" t="n">
        <v>1</v>
      </c>
      <c r="F312" s="399" t="inlineStr">
        <is>
          <t>戒指</t>
        </is>
      </c>
      <c r="G312" s="398" t="n"/>
      <c r="H312" s="398" t="n"/>
      <c r="I312" s="398" t="n">
        <v>6241</v>
      </c>
      <c r="J312" s="398" t="n"/>
      <c r="K312" s="398" t="n"/>
      <c r="L312" s="398" t="n"/>
      <c r="M312" s="398" t="n">
        <v>6241</v>
      </c>
      <c r="N312" s="398" t="n">
        <v>6241</v>
      </c>
      <c r="O312" s="398" t="n">
        <v>6241</v>
      </c>
      <c r="P312" s="292" t="n"/>
      <c r="Q312" s="292" t="inlineStr">
        <is>
          <t>原九部位资源库已登记</t>
        </is>
      </c>
      <c r="R312" s="292" t="str"/>
      <c r="S312" s="292" t="inlineStr">
        <is>
          <t>装备素材套装代码表.xlsx（原九部位）</t>
        </is>
      </c>
      <c r="T312" s="292" t="inlineStr">
        <is>
          <t>同一代码用于 Items / StateItem / DnItems；属性与掉落另表定义。</t>
        </is>
      </c>
      <c r="U312">
        <f>IF(COUNTIF($B$2:$B$1076,B312)&gt;1,"重复","")</f>
        <v/>
      </c>
      <c r="V312">
        <f>IF(AND(OR(M312="",M312=B312),OR(N312="",N312=B312),OR(O312="",O312=B312)),"通过","不一致")</f>
        <v/>
      </c>
    </row>
    <row r="313" ht="22" customHeight="1">
      <c r="A313" s="398" t="n">
        <v>312</v>
      </c>
      <c r="B313" s="398" t="n">
        <v>6242</v>
      </c>
      <c r="C313" s="399" t="inlineStr">
        <is>
          <t>紫垣玄晶·紫极</t>
        </is>
      </c>
      <c r="D313" s="399" t="inlineStr">
        <is>
          <t>紫垣玄晶</t>
        </is>
      </c>
      <c r="E313" s="399" t="n">
        <v>1</v>
      </c>
      <c r="F313" s="399" t="inlineStr">
        <is>
          <t>盾牌</t>
        </is>
      </c>
      <c r="G313" s="398" t="n"/>
      <c r="H313" s="398" t="n"/>
      <c r="I313" s="398" t="n">
        <v>6242</v>
      </c>
      <c r="J313" s="398" t="n"/>
      <c r="K313" s="398" t="n"/>
      <c r="L313" s="398" t="n"/>
      <c r="M313" s="398" t="n">
        <v>6242</v>
      </c>
      <c r="N313" s="398" t="n">
        <v>6242</v>
      </c>
      <c r="O313" s="398" t="n">
        <v>6242</v>
      </c>
      <c r="P313" s="292" t="n"/>
      <c r="Q313" s="292" t="inlineStr">
        <is>
          <t>原九部位资源库已登记</t>
        </is>
      </c>
      <c r="R313" s="292" t="str"/>
      <c r="S313" s="292" t="inlineStr">
        <is>
          <t>装备素材套装代码表.xlsx（原九部位）</t>
        </is>
      </c>
      <c r="T313" s="292" t="inlineStr">
        <is>
          <t>同一代码用于 Items / StateItem / DnItems；属性与掉落另表定义。</t>
        </is>
      </c>
      <c r="U313">
        <f>IF(COUNTIF($B$2:$B$1076,B313)&gt;1,"重复","")</f>
        <v/>
      </c>
      <c r="V313">
        <f>IF(AND(OR(M313="",M313=B313),OR(N313="",N313=B313),OR(O313="",O313=B313)),"通过","不一致")</f>
        <v/>
      </c>
    </row>
    <row r="314" ht="22" customHeight="1">
      <c r="A314" s="398" t="n">
        <v>313</v>
      </c>
      <c r="B314" s="398" t="n">
        <v>6243</v>
      </c>
      <c r="C314" s="399" t="inlineStr">
        <is>
          <t>紫垣玄晶·紫极</t>
        </is>
      </c>
      <c r="D314" s="399" t="inlineStr">
        <is>
          <t>紫垣玄晶</t>
        </is>
      </c>
      <c r="E314" s="399" t="n">
        <v>1</v>
      </c>
      <c r="F314" s="399" t="inlineStr">
        <is>
          <t>灵玉</t>
        </is>
      </c>
      <c r="G314" s="398" t="n"/>
      <c r="H314" s="398" t="n"/>
      <c r="I314" s="398" t="n">
        <v>6243</v>
      </c>
      <c r="J314" s="398" t="n"/>
      <c r="K314" s="398" t="n"/>
      <c r="L314" s="398" t="n"/>
      <c r="M314" s="398" t="n">
        <v>6243</v>
      </c>
      <c r="N314" s="398" t="n">
        <v>6243</v>
      </c>
      <c r="O314" s="398" t="n">
        <v>6243</v>
      </c>
      <c r="P314" s="292" t="n"/>
      <c r="Q314" s="292" t="inlineStr">
        <is>
          <t>原九部位资源库已登记</t>
        </is>
      </c>
      <c r="R314" s="292" t="str"/>
      <c r="S314" s="292" t="inlineStr">
        <is>
          <t>装备素材套装代码表.xlsx（原九部位）</t>
        </is>
      </c>
      <c r="T314" s="292" t="inlineStr">
        <is>
          <t>同一代码用于 Items / StateItem / DnItems；属性与掉落另表定义。</t>
        </is>
      </c>
      <c r="U314">
        <f>IF(COUNTIF($B$2:$B$1076,B314)&gt;1,"重复","")</f>
        <v/>
      </c>
      <c r="V314">
        <f>IF(AND(OR(M314="",M314=B314),OR(N314="",N314=B314),OR(O314="",O314=B314)),"通过","不一致")</f>
        <v/>
      </c>
    </row>
    <row r="315" ht="22" customHeight="1">
      <c r="A315" s="398" t="n">
        <v>314</v>
      </c>
      <c r="B315" s="398" t="n">
        <v>6244</v>
      </c>
      <c r="C315" s="399" t="inlineStr">
        <is>
          <t>紫垣玄晶·紫极</t>
        </is>
      </c>
      <c r="D315" s="399" t="inlineStr">
        <is>
          <t>紫垣玄晶</t>
        </is>
      </c>
      <c r="E315" s="399" t="n">
        <v>1</v>
      </c>
      <c r="F315" s="399" t="inlineStr">
        <is>
          <t>鞋子</t>
        </is>
      </c>
      <c r="G315" s="398" t="n"/>
      <c r="H315" s="398" t="n"/>
      <c r="I315" s="398" t="n">
        <v>6244</v>
      </c>
      <c r="J315" s="398" t="n"/>
      <c r="K315" s="398" t="n"/>
      <c r="L315" s="398" t="n"/>
      <c r="M315" s="398" t="n">
        <v>6244</v>
      </c>
      <c r="N315" s="398" t="n">
        <v>6244</v>
      </c>
      <c r="O315" s="398" t="n">
        <v>6244</v>
      </c>
      <c r="P315" s="292" t="n"/>
      <c r="Q315" s="292" t="inlineStr">
        <is>
          <t>原九部位资源库已登记</t>
        </is>
      </c>
      <c r="R315" s="292" t="str"/>
      <c r="S315" s="292" t="inlineStr">
        <is>
          <t>装备素材套装代码表.xlsx（原九部位）</t>
        </is>
      </c>
      <c r="T315" s="292" t="inlineStr">
        <is>
          <t>同一代码用于 Items / StateItem / DnItems；属性与掉落另表定义。</t>
        </is>
      </c>
      <c r="U315">
        <f>IF(COUNTIF($B$2:$B$1076,B315)&gt;1,"重复","")</f>
        <v/>
      </c>
      <c r="V315">
        <f>IF(AND(OR(M315="",M315=B315),OR(N315="",N315=B315),OR(O315="",O315=B315)),"通过","不一致")</f>
        <v/>
      </c>
    </row>
    <row r="316" ht="22" customHeight="1">
      <c r="A316" s="398" t="n">
        <v>315</v>
      </c>
      <c r="B316" s="398" t="n">
        <v>6245</v>
      </c>
      <c r="C316" s="399" t="inlineStr">
        <is>
          <t>紫垣玄晶·紫极</t>
        </is>
      </c>
      <c r="D316" s="399" t="inlineStr">
        <is>
          <t>紫垣玄晶</t>
        </is>
      </c>
      <c r="E316" s="399" t="n">
        <v>1</v>
      </c>
      <c r="F316" s="399" t="inlineStr">
        <is>
          <t>腰带</t>
        </is>
      </c>
      <c r="G316" s="398" t="n"/>
      <c r="H316" s="398" t="n"/>
      <c r="I316" s="398" t="n">
        <v>6245</v>
      </c>
      <c r="J316" s="398" t="n"/>
      <c r="K316" s="398" t="n"/>
      <c r="L316" s="398" t="n"/>
      <c r="M316" s="398" t="n">
        <v>6245</v>
      </c>
      <c r="N316" s="398" t="n">
        <v>6245</v>
      </c>
      <c r="O316" s="398" t="n">
        <v>6245</v>
      </c>
      <c r="P316" s="292" t="n"/>
      <c r="Q316" s="292" t="inlineStr">
        <is>
          <t>原九部位资源库已登记</t>
        </is>
      </c>
      <c r="R316" s="292" t="str"/>
      <c r="S316" s="292" t="inlineStr">
        <is>
          <t>装备素材套装代码表.xlsx（原九部位）</t>
        </is>
      </c>
      <c r="T316" s="292" t="inlineStr">
        <is>
          <t>同一代码用于 Items / StateItem / DnItems；属性与掉落另表定义。</t>
        </is>
      </c>
      <c r="U316">
        <f>IF(COUNTIF($B$2:$B$1076,B316)&gt;1,"重复","")</f>
        <v/>
      </c>
      <c r="V316">
        <f>IF(AND(OR(M316="",M316=B316),OR(N316="",N316=B316),OR(O316="",O316=B316)),"通过","不一致")</f>
        <v/>
      </c>
    </row>
    <row r="317" ht="22" customHeight="1">
      <c r="A317" s="398" t="n">
        <v>316</v>
      </c>
      <c r="B317" s="398" t="n">
        <v>6246</v>
      </c>
      <c r="C317" s="399" t="inlineStr">
        <is>
          <t>十二星宫生肖槽位</t>
        </is>
      </c>
      <c r="D317" s="399" t="inlineStr">
        <is>
          <t>星宫</t>
        </is>
      </c>
      <c r="E317" s="399" t="n">
        <v>1</v>
      </c>
      <c r="F317" s="399" t="inlineStr">
        <is>
          <t>生肖1</t>
        </is>
      </c>
      <c r="G317" s="398" t="n"/>
      <c r="H317" s="398" t="n"/>
      <c r="I317" s="398" t="n">
        <v>6246</v>
      </c>
      <c r="J317" s="398" t="n"/>
      <c r="K317" s="398" t="n"/>
      <c r="L317" s="398" t="n"/>
      <c r="M317" s="398" t="n">
        <v>6246</v>
      </c>
      <c r="N317" s="398" t="n">
        <v>6246</v>
      </c>
      <c r="O317" s="398" t="n">
        <v>6246</v>
      </c>
      <c r="P317" s="292" t="n"/>
      <c r="Q317" s="292" t="inlineStr">
        <is>
          <t>原生肖资源库已登记</t>
        </is>
      </c>
      <c r="R317" s="292" t="inlineStr">
        <is>
          <t>已分配：宁姆格福生肖1</t>
        </is>
      </c>
      <c r="S317" s="292" t="inlineStr">
        <is>
          <t>装备素材套装代码表.xlsx（生肖槽位）</t>
        </is>
      </c>
      <c r="T317" s="292" t="inlineStr">
        <is>
          <t>同一代码用于 Items / StateItem / DnItems；属性与掉落另表定义。</t>
        </is>
      </c>
      <c r="U317">
        <f>IF(COUNTIF($B$2:$B$1076,B317)&gt;1,"重复","")</f>
        <v/>
      </c>
      <c r="V317">
        <f>IF(AND(OR(M317="",M317=B317),OR(N317="",N317=B317),OR(O317="",O317=B317)),"通过","不一致")</f>
        <v/>
      </c>
    </row>
    <row r="318" ht="22" customHeight="1">
      <c r="A318" s="398" t="n">
        <v>317</v>
      </c>
      <c r="B318" s="398" t="n">
        <v>6247</v>
      </c>
      <c r="C318" s="399" t="inlineStr">
        <is>
          <t>十二星宫生肖槽位</t>
        </is>
      </c>
      <c r="D318" s="399" t="inlineStr">
        <is>
          <t>星宫</t>
        </is>
      </c>
      <c r="E318" s="399" t="n">
        <v>1</v>
      </c>
      <c r="F318" s="399" t="inlineStr">
        <is>
          <t>生肖2</t>
        </is>
      </c>
      <c r="G318" s="398" t="n"/>
      <c r="H318" s="398" t="n"/>
      <c r="I318" s="398" t="n">
        <v>6247</v>
      </c>
      <c r="J318" s="398" t="n"/>
      <c r="K318" s="398" t="n"/>
      <c r="L318" s="398" t="n"/>
      <c r="M318" s="398" t="n">
        <v>6247</v>
      </c>
      <c r="N318" s="398" t="n">
        <v>6247</v>
      </c>
      <c r="O318" s="398" t="n">
        <v>6247</v>
      </c>
      <c r="P318" s="292" t="n"/>
      <c r="Q318" s="292" t="inlineStr">
        <is>
          <t>原生肖资源库已登记</t>
        </is>
      </c>
      <c r="R318" s="292" t="inlineStr">
        <is>
          <t>已分配：宁姆格福生肖2</t>
        </is>
      </c>
      <c r="S318" s="292" t="inlineStr">
        <is>
          <t>装备素材套装代码表.xlsx（生肖槽位）</t>
        </is>
      </c>
      <c r="T318" s="292" t="inlineStr">
        <is>
          <t>同一代码用于 Items / StateItem / DnItems；属性与掉落另表定义。</t>
        </is>
      </c>
      <c r="U318">
        <f>IF(COUNTIF($B$2:$B$1076,B318)&gt;1,"重复","")</f>
        <v/>
      </c>
      <c r="V318">
        <f>IF(AND(OR(M318="",M318=B318),OR(N318="",N318=B318),OR(O318="",O318=B318)),"通过","不一致")</f>
        <v/>
      </c>
    </row>
    <row r="319" ht="22" customHeight="1">
      <c r="A319" s="398" t="n">
        <v>318</v>
      </c>
      <c r="B319" s="398" t="n">
        <v>6248</v>
      </c>
      <c r="C319" s="399" t="inlineStr">
        <is>
          <t>十二星宫生肖槽位</t>
        </is>
      </c>
      <c r="D319" s="399" t="inlineStr">
        <is>
          <t>星宫</t>
        </is>
      </c>
      <c r="E319" s="399" t="n">
        <v>1</v>
      </c>
      <c r="F319" s="399" t="inlineStr">
        <is>
          <t>生肖3</t>
        </is>
      </c>
      <c r="G319" s="398" t="n"/>
      <c r="H319" s="398" t="n"/>
      <c r="I319" s="398" t="n">
        <v>6248</v>
      </c>
      <c r="J319" s="398" t="n"/>
      <c r="K319" s="398" t="n"/>
      <c r="L319" s="398" t="n"/>
      <c r="M319" s="398" t="n">
        <v>6248</v>
      </c>
      <c r="N319" s="398" t="n">
        <v>6248</v>
      </c>
      <c r="O319" s="398" t="n">
        <v>6248</v>
      </c>
      <c r="P319" s="292" t="n"/>
      <c r="Q319" s="292" t="inlineStr">
        <is>
          <t>原生肖资源库已登记</t>
        </is>
      </c>
      <c r="R319" s="292" t="inlineStr">
        <is>
          <t>已分配：宁姆格福生肖3</t>
        </is>
      </c>
      <c r="S319" s="292" t="inlineStr">
        <is>
          <t>装备素材套装代码表.xlsx（生肖槽位）</t>
        </is>
      </c>
      <c r="T319" s="292" t="inlineStr">
        <is>
          <t>同一代码用于 Items / StateItem / DnItems；属性与掉落另表定义。</t>
        </is>
      </c>
      <c r="U319">
        <f>IF(COUNTIF($B$2:$B$1076,B319)&gt;1,"重复","")</f>
        <v/>
      </c>
      <c r="V319">
        <f>IF(AND(OR(M319="",M319=B319),OR(N319="",N319=B319),OR(O319="",O319=B319)),"通过","不一致")</f>
        <v/>
      </c>
    </row>
    <row r="320" ht="22" customHeight="1">
      <c r="A320" s="398" t="n">
        <v>319</v>
      </c>
      <c r="B320" s="398" t="n">
        <v>6249</v>
      </c>
      <c r="C320" s="399" t="inlineStr">
        <is>
          <t>十二星宫生肖槽位</t>
        </is>
      </c>
      <c r="D320" s="399" t="inlineStr">
        <is>
          <t>星宫</t>
        </is>
      </c>
      <c r="E320" s="399" t="n">
        <v>1</v>
      </c>
      <c r="F320" s="399" t="inlineStr">
        <is>
          <t>生肖4</t>
        </is>
      </c>
      <c r="G320" s="398" t="n"/>
      <c r="H320" s="398" t="n"/>
      <c r="I320" s="398" t="n">
        <v>6249</v>
      </c>
      <c r="J320" s="398" t="n"/>
      <c r="K320" s="398" t="n"/>
      <c r="L320" s="398" t="n"/>
      <c r="M320" s="398" t="n">
        <v>6249</v>
      </c>
      <c r="N320" s="398" t="n">
        <v>6249</v>
      </c>
      <c r="O320" s="398" t="n">
        <v>6249</v>
      </c>
      <c r="P320" s="292" t="n"/>
      <c r="Q320" s="292" t="inlineStr">
        <is>
          <t>原生肖资源库已登记</t>
        </is>
      </c>
      <c r="R320" s="292" t="inlineStr">
        <is>
          <t>已分配：宁姆格福生肖4</t>
        </is>
      </c>
      <c r="S320" s="292" t="inlineStr">
        <is>
          <t>装备素材套装代码表.xlsx（生肖槽位）</t>
        </is>
      </c>
      <c r="T320" s="292" t="inlineStr">
        <is>
          <t>同一代码用于 Items / StateItem / DnItems；属性与掉落另表定义。</t>
        </is>
      </c>
      <c r="U320">
        <f>IF(COUNTIF($B$2:$B$1076,B320)&gt;1,"重复","")</f>
        <v/>
      </c>
      <c r="V320">
        <f>IF(AND(OR(M320="",M320=B320),OR(N320="",N320=B320),OR(O320="",O320=B320)),"通过","不一致")</f>
        <v/>
      </c>
    </row>
    <row r="321" ht="22" customHeight="1">
      <c r="A321" s="398" t="n">
        <v>320</v>
      </c>
      <c r="B321" s="398" t="n">
        <v>6250</v>
      </c>
      <c r="C321" s="399" t="inlineStr">
        <is>
          <t>十二星宫生肖槽位</t>
        </is>
      </c>
      <c r="D321" s="399" t="inlineStr">
        <is>
          <t>星宫</t>
        </is>
      </c>
      <c r="E321" s="399" t="n">
        <v>1</v>
      </c>
      <c r="F321" s="399" t="inlineStr">
        <is>
          <t>生肖5</t>
        </is>
      </c>
      <c r="G321" s="398" t="n"/>
      <c r="H321" s="398" t="n"/>
      <c r="I321" s="398" t="n">
        <v>6250</v>
      </c>
      <c r="J321" s="398" t="n"/>
      <c r="K321" s="398" t="n"/>
      <c r="L321" s="398" t="n"/>
      <c r="M321" s="398" t="n">
        <v>6250</v>
      </c>
      <c r="N321" s="398" t="n">
        <v>6250</v>
      </c>
      <c r="O321" s="398" t="n">
        <v>6250</v>
      </c>
      <c r="P321" s="292" t="n"/>
      <c r="Q321" s="292" t="inlineStr">
        <is>
          <t>原生肖资源库已登记</t>
        </is>
      </c>
      <c r="R321" s="292" t="inlineStr">
        <is>
          <t>已分配：宁姆格福生肖5</t>
        </is>
      </c>
      <c r="S321" s="292" t="inlineStr">
        <is>
          <t>装备素材套装代码表.xlsx（生肖槽位）</t>
        </is>
      </c>
      <c r="T321" s="292" t="inlineStr">
        <is>
          <t>同一代码用于 Items / StateItem / DnItems；属性与掉落另表定义。</t>
        </is>
      </c>
      <c r="U321">
        <f>IF(COUNTIF($B$2:$B$1076,B321)&gt;1,"重复","")</f>
        <v/>
      </c>
      <c r="V321">
        <f>IF(AND(OR(M321="",M321=B321),OR(N321="",N321=B321),OR(O321="",O321=B321)),"通过","不一致")</f>
        <v/>
      </c>
    </row>
    <row r="322" ht="22" customHeight="1">
      <c r="A322" s="398" t="n">
        <v>321</v>
      </c>
      <c r="B322" s="398" t="n">
        <v>6251</v>
      </c>
      <c r="C322" s="399" t="inlineStr">
        <is>
          <t>十二星宫生肖槽位</t>
        </is>
      </c>
      <c r="D322" s="399" t="inlineStr">
        <is>
          <t>星宫</t>
        </is>
      </c>
      <c r="E322" s="399" t="n">
        <v>1</v>
      </c>
      <c r="F322" s="399" t="inlineStr">
        <is>
          <t>生肖6</t>
        </is>
      </c>
      <c r="G322" s="398" t="n"/>
      <c r="H322" s="398" t="n"/>
      <c r="I322" s="398" t="n">
        <v>6251</v>
      </c>
      <c r="J322" s="398" t="n"/>
      <c r="K322" s="398" t="n"/>
      <c r="L322" s="398" t="n"/>
      <c r="M322" s="398" t="n">
        <v>6251</v>
      </c>
      <c r="N322" s="398" t="n">
        <v>6251</v>
      </c>
      <c r="O322" s="398" t="n">
        <v>6251</v>
      </c>
      <c r="P322" s="292" t="n"/>
      <c r="Q322" s="292" t="inlineStr">
        <is>
          <t>原生肖资源库已登记</t>
        </is>
      </c>
      <c r="R322" s="292" t="inlineStr">
        <is>
          <t>已分配：宁姆格福生肖6</t>
        </is>
      </c>
      <c r="S322" s="292" t="inlineStr">
        <is>
          <t>装备素材套装代码表.xlsx（生肖槽位）</t>
        </is>
      </c>
      <c r="T322" s="292" t="inlineStr">
        <is>
          <t>同一代码用于 Items / StateItem / DnItems；属性与掉落另表定义。</t>
        </is>
      </c>
      <c r="U322">
        <f>IF(COUNTIF($B$2:$B$1076,B322)&gt;1,"重复","")</f>
        <v/>
      </c>
      <c r="V322">
        <f>IF(AND(OR(M322="",M322=B322),OR(N322="",N322=B322),OR(O322="",O322=B322)),"通过","不一致")</f>
        <v/>
      </c>
    </row>
    <row r="323" ht="22" customHeight="1">
      <c r="A323" s="398" t="n">
        <v>322</v>
      </c>
      <c r="B323" s="398" t="n">
        <v>6252</v>
      </c>
      <c r="C323" s="399" t="inlineStr">
        <is>
          <t>十二星宫生肖槽位</t>
        </is>
      </c>
      <c r="D323" s="399" t="inlineStr">
        <is>
          <t>星宫</t>
        </is>
      </c>
      <c r="E323" s="399" t="n">
        <v>1</v>
      </c>
      <c r="F323" s="399" t="inlineStr">
        <is>
          <t>生肖7</t>
        </is>
      </c>
      <c r="G323" s="398" t="n"/>
      <c r="H323" s="398" t="n"/>
      <c r="I323" s="398" t="n">
        <v>6252</v>
      </c>
      <c r="J323" s="398" t="n"/>
      <c r="K323" s="398" t="n"/>
      <c r="L323" s="398" t="n"/>
      <c r="M323" s="398" t="n">
        <v>6252</v>
      </c>
      <c r="N323" s="398" t="n">
        <v>6252</v>
      </c>
      <c r="O323" s="398" t="n">
        <v>6252</v>
      </c>
      <c r="P323" s="292" t="n"/>
      <c r="Q323" s="292" t="inlineStr">
        <is>
          <t>原生肖资源库已登记</t>
        </is>
      </c>
      <c r="R323" s="292" t="inlineStr">
        <is>
          <t>已分配：宁姆格福生肖7</t>
        </is>
      </c>
      <c r="S323" s="292" t="inlineStr">
        <is>
          <t>装备素材套装代码表.xlsx（生肖槽位）</t>
        </is>
      </c>
      <c r="T323" s="292" t="inlineStr">
        <is>
          <t>同一代码用于 Items / StateItem / DnItems；属性与掉落另表定义。</t>
        </is>
      </c>
      <c r="U323">
        <f>IF(COUNTIF($B$2:$B$1076,B323)&gt;1,"重复","")</f>
        <v/>
      </c>
      <c r="V323">
        <f>IF(AND(OR(M323="",M323=B323),OR(N323="",N323=B323),OR(O323="",O323=B323)),"通过","不一致")</f>
        <v/>
      </c>
    </row>
    <row r="324" ht="22" customHeight="1">
      <c r="A324" s="398" t="n">
        <v>323</v>
      </c>
      <c r="B324" s="398" t="n">
        <v>6253</v>
      </c>
      <c r="C324" s="399" t="inlineStr">
        <is>
          <t>十二星宫生肖槽位</t>
        </is>
      </c>
      <c r="D324" s="399" t="inlineStr">
        <is>
          <t>星宫</t>
        </is>
      </c>
      <c r="E324" s="399" t="n">
        <v>1</v>
      </c>
      <c r="F324" s="399" t="inlineStr">
        <is>
          <t>生肖8</t>
        </is>
      </c>
      <c r="G324" s="398" t="n"/>
      <c r="H324" s="398" t="n"/>
      <c r="I324" s="398" t="n">
        <v>6253</v>
      </c>
      <c r="J324" s="398" t="n"/>
      <c r="K324" s="398" t="n"/>
      <c r="L324" s="398" t="n"/>
      <c r="M324" s="398" t="n">
        <v>6253</v>
      </c>
      <c r="N324" s="398" t="n">
        <v>6253</v>
      </c>
      <c r="O324" s="398" t="n">
        <v>6253</v>
      </c>
      <c r="P324" s="292" t="n"/>
      <c r="Q324" s="292" t="inlineStr">
        <is>
          <t>原生肖资源库已登记</t>
        </is>
      </c>
      <c r="R324" s="292" t="inlineStr">
        <is>
          <t>已分配：宁姆格福生肖8</t>
        </is>
      </c>
      <c r="S324" s="292" t="inlineStr">
        <is>
          <t>装备素材套装代码表.xlsx（生肖槽位）</t>
        </is>
      </c>
      <c r="T324" s="292" t="inlineStr">
        <is>
          <t>同一代码用于 Items / StateItem / DnItems；属性与掉落另表定义。</t>
        </is>
      </c>
      <c r="U324">
        <f>IF(COUNTIF($B$2:$B$1076,B324)&gt;1,"重复","")</f>
        <v/>
      </c>
      <c r="V324">
        <f>IF(AND(OR(M324="",M324=B324),OR(N324="",N324=B324),OR(O324="",O324=B324)),"通过","不一致")</f>
        <v/>
      </c>
    </row>
    <row r="325" ht="22" customHeight="1">
      <c r="A325" s="398" t="n">
        <v>324</v>
      </c>
      <c r="B325" s="398" t="n">
        <v>6254</v>
      </c>
      <c r="C325" s="399" t="inlineStr">
        <is>
          <t>十二星宫生肖槽位</t>
        </is>
      </c>
      <c r="D325" s="399" t="inlineStr">
        <is>
          <t>星宫</t>
        </is>
      </c>
      <c r="E325" s="399" t="n">
        <v>1</v>
      </c>
      <c r="F325" s="399" t="inlineStr">
        <is>
          <t>生肖9</t>
        </is>
      </c>
      <c r="G325" s="398" t="n"/>
      <c r="H325" s="398" t="n"/>
      <c r="I325" s="398" t="n">
        <v>6254</v>
      </c>
      <c r="J325" s="398" t="n"/>
      <c r="K325" s="398" t="n"/>
      <c r="L325" s="398" t="n"/>
      <c r="M325" s="398" t="n">
        <v>6254</v>
      </c>
      <c r="N325" s="398" t="n">
        <v>6254</v>
      </c>
      <c r="O325" s="398" t="n">
        <v>6254</v>
      </c>
      <c r="P325" s="292" t="n"/>
      <c r="Q325" s="292" t="inlineStr">
        <is>
          <t>原生肖资源库已登记</t>
        </is>
      </c>
      <c r="R325" s="292" t="inlineStr">
        <is>
          <t>已分配：宁姆格福生肖9</t>
        </is>
      </c>
      <c r="S325" s="292" t="inlineStr">
        <is>
          <t>装备素材套装代码表.xlsx（生肖槽位）</t>
        </is>
      </c>
      <c r="T325" s="292" t="inlineStr">
        <is>
          <t>同一代码用于 Items / StateItem / DnItems；属性与掉落另表定义。</t>
        </is>
      </c>
      <c r="U325">
        <f>IF(COUNTIF($B$2:$B$1076,B325)&gt;1,"重复","")</f>
        <v/>
      </c>
      <c r="V325">
        <f>IF(AND(OR(M325="",M325=B325),OR(N325="",N325=B325),OR(O325="",O325=B325)),"通过","不一致")</f>
        <v/>
      </c>
    </row>
    <row r="326" ht="22" customHeight="1">
      <c r="A326" s="398" t="n">
        <v>325</v>
      </c>
      <c r="B326" s="398" t="n">
        <v>6255</v>
      </c>
      <c r="C326" s="399" t="inlineStr">
        <is>
          <t>十二星宫生肖槽位</t>
        </is>
      </c>
      <c r="D326" s="399" t="inlineStr">
        <is>
          <t>星宫</t>
        </is>
      </c>
      <c r="E326" s="399" t="n">
        <v>1</v>
      </c>
      <c r="F326" s="399" t="inlineStr">
        <is>
          <t>生肖10</t>
        </is>
      </c>
      <c r="G326" s="398" t="n"/>
      <c r="H326" s="398" t="n"/>
      <c r="I326" s="398" t="n">
        <v>6255</v>
      </c>
      <c r="J326" s="398" t="n"/>
      <c r="K326" s="398" t="n"/>
      <c r="L326" s="398" t="n"/>
      <c r="M326" s="398" t="n">
        <v>6255</v>
      </c>
      <c r="N326" s="398" t="n">
        <v>6255</v>
      </c>
      <c r="O326" s="398" t="n">
        <v>6255</v>
      </c>
      <c r="P326" s="292" t="n"/>
      <c r="Q326" s="292" t="inlineStr">
        <is>
          <t>原生肖资源库已登记</t>
        </is>
      </c>
      <c r="R326" s="292" t="inlineStr">
        <is>
          <t>已分配：宁姆格福生肖10</t>
        </is>
      </c>
      <c r="S326" s="292" t="inlineStr">
        <is>
          <t>装备素材套装代码表.xlsx（生肖槽位）</t>
        </is>
      </c>
      <c r="T326" s="292" t="inlineStr">
        <is>
          <t>同一代码用于 Items / StateItem / DnItems；属性与掉落另表定义。</t>
        </is>
      </c>
      <c r="U326">
        <f>IF(COUNTIF($B$2:$B$1076,B326)&gt;1,"重复","")</f>
        <v/>
      </c>
      <c r="V326">
        <f>IF(AND(OR(M326="",M326=B326),OR(N326="",N326=B326),OR(O326="",O326=B326)),"通过","不一致")</f>
        <v/>
      </c>
    </row>
    <row r="327" ht="22" customHeight="1">
      <c r="A327" s="398" t="n">
        <v>326</v>
      </c>
      <c r="B327" s="398" t="n">
        <v>6256</v>
      </c>
      <c r="C327" s="399" t="inlineStr">
        <is>
          <t>十二星宫生肖槽位</t>
        </is>
      </c>
      <c r="D327" s="399" t="inlineStr">
        <is>
          <t>星宫</t>
        </is>
      </c>
      <c r="E327" s="399" t="n">
        <v>1</v>
      </c>
      <c r="F327" s="399" t="inlineStr">
        <is>
          <t>生肖11</t>
        </is>
      </c>
      <c r="G327" s="398" t="n"/>
      <c r="H327" s="398" t="n"/>
      <c r="I327" s="398" t="n">
        <v>6256</v>
      </c>
      <c r="J327" s="398" t="n"/>
      <c r="K327" s="398" t="n"/>
      <c r="L327" s="398" t="n"/>
      <c r="M327" s="398" t="n">
        <v>6256</v>
      </c>
      <c r="N327" s="398" t="n">
        <v>6256</v>
      </c>
      <c r="O327" s="398" t="n">
        <v>6256</v>
      </c>
      <c r="P327" s="292" t="n"/>
      <c r="Q327" s="292" t="inlineStr">
        <is>
          <t>原生肖资源库已登记</t>
        </is>
      </c>
      <c r="R327" s="292" t="inlineStr">
        <is>
          <t>已分配：宁姆格福生肖11</t>
        </is>
      </c>
      <c r="S327" s="292" t="inlineStr">
        <is>
          <t>装备素材套装代码表.xlsx（生肖槽位）</t>
        </is>
      </c>
      <c r="T327" s="292" t="inlineStr">
        <is>
          <t>同一代码用于 Items / StateItem / DnItems；属性与掉落另表定义。</t>
        </is>
      </c>
      <c r="U327">
        <f>IF(COUNTIF($B$2:$B$1076,B327)&gt;1,"重复","")</f>
        <v/>
      </c>
      <c r="V327">
        <f>IF(AND(OR(M327="",M327=B327),OR(N327="",N327=B327),OR(O327="",O327=B327)),"通过","不一致")</f>
        <v/>
      </c>
    </row>
    <row r="328" ht="22" customHeight="1">
      <c r="A328" s="398" t="n">
        <v>327</v>
      </c>
      <c r="B328" s="398" t="n">
        <v>6257</v>
      </c>
      <c r="C328" s="399" t="inlineStr">
        <is>
          <t>十二星宫生肖槽位</t>
        </is>
      </c>
      <c r="D328" s="399" t="inlineStr">
        <is>
          <t>星宫</t>
        </is>
      </c>
      <c r="E328" s="399" t="n">
        <v>1</v>
      </c>
      <c r="F328" s="399" t="inlineStr">
        <is>
          <t>生肖12</t>
        </is>
      </c>
      <c r="G328" s="398" t="n"/>
      <c r="H328" s="398" t="n"/>
      <c r="I328" s="398" t="n">
        <v>6257</v>
      </c>
      <c r="J328" s="398" t="n"/>
      <c r="K328" s="398" t="n"/>
      <c r="L328" s="398" t="n"/>
      <c r="M328" s="398" t="n">
        <v>6257</v>
      </c>
      <c r="N328" s="398" t="n">
        <v>6257</v>
      </c>
      <c r="O328" s="398" t="n">
        <v>6257</v>
      </c>
      <c r="P328" s="292" t="n"/>
      <c r="Q328" s="292" t="inlineStr">
        <is>
          <t>原生肖资源库已登记</t>
        </is>
      </c>
      <c r="R328" s="292" t="inlineStr">
        <is>
          <t>已分配：宁姆格福生肖12</t>
        </is>
      </c>
      <c r="S328" s="292" t="inlineStr">
        <is>
          <t>装备素材套装代码表.xlsx（生肖槽位）</t>
        </is>
      </c>
      <c r="T328" s="292" t="inlineStr">
        <is>
          <t>同一代码用于 Items / StateItem / DnItems；属性与掉落另表定义。</t>
        </is>
      </c>
      <c r="U328">
        <f>IF(COUNTIF($B$2:$B$1076,B328)&gt;1,"重复","")</f>
        <v/>
      </c>
      <c r="V328">
        <f>IF(AND(OR(M328="",M328=B328),OR(N328="",N328=B328),OR(O328="",O328=B328)),"通过","不一致")</f>
        <v/>
      </c>
    </row>
    <row r="329" ht="22" customHeight="1">
      <c r="A329" s="398" t="n">
        <v>328</v>
      </c>
      <c r="B329" s="398" t="n">
        <v>6258</v>
      </c>
      <c r="C329" s="399" t="inlineStr">
        <is>
          <t>玄衡月蚀·星宫</t>
        </is>
      </c>
      <c r="D329" s="399" t="inlineStr">
        <is>
          <t>玄衡月蚀</t>
        </is>
      </c>
      <c r="E329" s="399" t="n">
        <v>2</v>
      </c>
      <c r="F329" s="399" t="inlineStr">
        <is>
          <t>生肖1</t>
        </is>
      </c>
      <c r="G329" s="398" t="n"/>
      <c r="H329" s="398" t="n"/>
      <c r="I329" s="398" t="n">
        <v>6258</v>
      </c>
      <c r="J329" s="398" t="n"/>
      <c r="K329" s="398" t="n"/>
      <c r="L329" s="398" t="n"/>
      <c r="M329" s="398" t="n">
        <v>6258</v>
      </c>
      <c r="N329" s="398" t="n">
        <v>6258</v>
      </c>
      <c r="O329" s="398" t="n">
        <v>6258</v>
      </c>
      <c r="P329" s="292" t="n"/>
      <c r="Q329" s="292" t="inlineStr">
        <is>
          <t>原生肖资源库已登记</t>
        </is>
      </c>
      <c r="R329" s="292" t="str"/>
      <c r="S329" s="292" t="inlineStr">
        <is>
          <t>装备素材套装代码表.xlsx（生肖槽位）</t>
        </is>
      </c>
      <c r="T329" s="292" t="inlineStr">
        <is>
          <t>同一代码用于 Items / StateItem / DnItems；属性与掉落另表定义。</t>
        </is>
      </c>
      <c r="U329">
        <f>IF(COUNTIF($B$2:$B$1076,B329)&gt;1,"重复","")</f>
        <v/>
      </c>
      <c r="V329">
        <f>IF(AND(OR(M329="",M329=B329),OR(N329="",N329=B329),OR(O329="",O329=B329)),"通过","不一致")</f>
        <v/>
      </c>
    </row>
    <row r="330" ht="22" customHeight="1">
      <c r="A330" s="398" t="n">
        <v>329</v>
      </c>
      <c r="B330" s="398" t="n">
        <v>6259</v>
      </c>
      <c r="C330" s="399" t="inlineStr">
        <is>
          <t>玄衡月蚀·星宫</t>
        </is>
      </c>
      <c r="D330" s="399" t="inlineStr">
        <is>
          <t>玄衡月蚀</t>
        </is>
      </c>
      <c r="E330" s="399" t="n">
        <v>2</v>
      </c>
      <c r="F330" s="399" t="inlineStr">
        <is>
          <t>生肖2</t>
        </is>
      </c>
      <c r="G330" s="398" t="n"/>
      <c r="H330" s="398" t="n"/>
      <c r="I330" s="398" t="n">
        <v>6259</v>
      </c>
      <c r="J330" s="398" t="n"/>
      <c r="K330" s="398" t="n"/>
      <c r="L330" s="398" t="n"/>
      <c r="M330" s="398" t="n">
        <v>6259</v>
      </c>
      <c r="N330" s="398" t="n">
        <v>6259</v>
      </c>
      <c r="O330" s="398" t="n">
        <v>6259</v>
      </c>
      <c r="P330" s="292" t="n"/>
      <c r="Q330" s="292" t="inlineStr">
        <is>
          <t>原生肖资源库已登记</t>
        </is>
      </c>
      <c r="R330" s="292" t="str"/>
      <c r="S330" s="292" t="inlineStr">
        <is>
          <t>装备素材套装代码表.xlsx（生肖槽位）</t>
        </is>
      </c>
      <c r="T330" s="292" t="inlineStr">
        <is>
          <t>同一代码用于 Items / StateItem / DnItems；属性与掉落另表定义。</t>
        </is>
      </c>
      <c r="U330">
        <f>IF(COUNTIF($B$2:$B$1076,B330)&gt;1,"重复","")</f>
        <v/>
      </c>
      <c r="V330">
        <f>IF(AND(OR(M330="",M330=B330),OR(N330="",N330=B330),OR(O330="",O330=B330)),"通过","不一致")</f>
        <v/>
      </c>
    </row>
    <row r="331" ht="22" customHeight="1">
      <c r="A331" s="398" t="n">
        <v>330</v>
      </c>
      <c r="B331" s="398" t="n">
        <v>6260</v>
      </c>
      <c r="C331" s="399" t="inlineStr">
        <is>
          <t>玄衡月蚀·星宫</t>
        </is>
      </c>
      <c r="D331" s="399" t="inlineStr">
        <is>
          <t>玄衡月蚀</t>
        </is>
      </c>
      <c r="E331" s="399" t="n">
        <v>2</v>
      </c>
      <c r="F331" s="399" t="inlineStr">
        <is>
          <t>生肖3</t>
        </is>
      </c>
      <c r="G331" s="398" t="n"/>
      <c r="H331" s="398" t="n"/>
      <c r="I331" s="398" t="n">
        <v>6260</v>
      </c>
      <c r="J331" s="398" t="n"/>
      <c r="K331" s="398" t="n"/>
      <c r="L331" s="398" t="n"/>
      <c r="M331" s="398" t="n">
        <v>6260</v>
      </c>
      <c r="N331" s="398" t="n">
        <v>6260</v>
      </c>
      <c r="O331" s="398" t="n">
        <v>6260</v>
      </c>
      <c r="P331" s="292" t="n"/>
      <c r="Q331" s="292" t="inlineStr">
        <is>
          <t>原生肖资源库已登记</t>
        </is>
      </c>
      <c r="R331" s="292" t="str"/>
      <c r="S331" s="292" t="inlineStr">
        <is>
          <t>装备素材套装代码表.xlsx（生肖槽位）</t>
        </is>
      </c>
      <c r="T331" s="292" t="inlineStr">
        <is>
          <t>同一代码用于 Items / StateItem / DnItems；属性与掉落另表定义。</t>
        </is>
      </c>
      <c r="U331">
        <f>IF(COUNTIF($B$2:$B$1076,B331)&gt;1,"重复","")</f>
        <v/>
      </c>
      <c r="V331">
        <f>IF(AND(OR(M331="",M331=B331),OR(N331="",N331=B331),OR(O331="",O331=B331)),"通过","不一致")</f>
        <v/>
      </c>
    </row>
    <row r="332" ht="22" customHeight="1">
      <c r="A332" s="398" t="n">
        <v>331</v>
      </c>
      <c r="B332" s="398" t="n">
        <v>6261</v>
      </c>
      <c r="C332" s="399" t="inlineStr">
        <is>
          <t>玄衡月蚀·星宫</t>
        </is>
      </c>
      <c r="D332" s="399" t="inlineStr">
        <is>
          <t>玄衡月蚀</t>
        </is>
      </c>
      <c r="E332" s="399" t="n">
        <v>2</v>
      </c>
      <c r="F332" s="399" t="inlineStr">
        <is>
          <t>生肖4</t>
        </is>
      </c>
      <c r="G332" s="398" t="n"/>
      <c r="H332" s="398" t="n"/>
      <c r="I332" s="398" t="n">
        <v>6261</v>
      </c>
      <c r="J332" s="398" t="n"/>
      <c r="K332" s="398" t="n"/>
      <c r="L332" s="398" t="n"/>
      <c r="M332" s="398" t="n">
        <v>6261</v>
      </c>
      <c r="N332" s="398" t="n">
        <v>6261</v>
      </c>
      <c r="O332" s="398" t="n">
        <v>6261</v>
      </c>
      <c r="P332" s="292" t="n"/>
      <c r="Q332" s="292" t="inlineStr">
        <is>
          <t>原生肖资源库已登记</t>
        </is>
      </c>
      <c r="R332" s="292" t="str"/>
      <c r="S332" s="292" t="inlineStr">
        <is>
          <t>装备素材套装代码表.xlsx（生肖槽位）</t>
        </is>
      </c>
      <c r="T332" s="292" t="inlineStr">
        <is>
          <t>同一代码用于 Items / StateItem / DnItems；属性与掉落另表定义。</t>
        </is>
      </c>
      <c r="U332">
        <f>IF(COUNTIF($B$2:$B$1076,B332)&gt;1,"重复","")</f>
        <v/>
      </c>
      <c r="V332">
        <f>IF(AND(OR(M332="",M332=B332),OR(N332="",N332=B332),OR(O332="",O332=B332)),"通过","不一致")</f>
        <v/>
      </c>
    </row>
    <row r="333" ht="22" customHeight="1">
      <c r="A333" s="398" t="n">
        <v>332</v>
      </c>
      <c r="B333" s="398" t="n">
        <v>6262</v>
      </c>
      <c r="C333" s="399" t="inlineStr">
        <is>
          <t>玄衡月蚀·星宫</t>
        </is>
      </c>
      <c r="D333" s="399" t="inlineStr">
        <is>
          <t>玄衡月蚀</t>
        </is>
      </c>
      <c r="E333" s="399" t="n">
        <v>2</v>
      </c>
      <c r="F333" s="399" t="inlineStr">
        <is>
          <t>生肖5</t>
        </is>
      </c>
      <c r="G333" s="398" t="n"/>
      <c r="H333" s="398" t="n"/>
      <c r="I333" s="398" t="n">
        <v>6262</v>
      </c>
      <c r="J333" s="398" t="n"/>
      <c r="K333" s="398" t="n"/>
      <c r="L333" s="398" t="n"/>
      <c r="M333" s="398" t="n">
        <v>6262</v>
      </c>
      <c r="N333" s="398" t="n">
        <v>6262</v>
      </c>
      <c r="O333" s="398" t="n">
        <v>6262</v>
      </c>
      <c r="P333" s="292" t="n"/>
      <c r="Q333" s="292" t="inlineStr">
        <is>
          <t>原生肖资源库已登记</t>
        </is>
      </c>
      <c r="R333" s="292" t="str"/>
      <c r="S333" s="292" t="inlineStr">
        <is>
          <t>装备素材套装代码表.xlsx（生肖槽位）</t>
        </is>
      </c>
      <c r="T333" s="292" t="inlineStr">
        <is>
          <t>同一代码用于 Items / StateItem / DnItems；属性与掉落另表定义。</t>
        </is>
      </c>
      <c r="U333">
        <f>IF(COUNTIF($B$2:$B$1076,B333)&gt;1,"重复","")</f>
        <v/>
      </c>
      <c r="V333">
        <f>IF(AND(OR(M333="",M333=B333),OR(N333="",N333=B333),OR(O333="",O333=B333)),"通过","不一致")</f>
        <v/>
      </c>
    </row>
    <row r="334" ht="22" customHeight="1">
      <c r="A334" s="398" t="n">
        <v>333</v>
      </c>
      <c r="B334" s="398" t="n">
        <v>6263</v>
      </c>
      <c r="C334" s="399" t="inlineStr">
        <is>
          <t>玄衡月蚀·星宫</t>
        </is>
      </c>
      <c r="D334" s="399" t="inlineStr">
        <is>
          <t>玄衡月蚀</t>
        </is>
      </c>
      <c r="E334" s="399" t="n">
        <v>2</v>
      </c>
      <c r="F334" s="399" t="inlineStr">
        <is>
          <t>生肖6</t>
        </is>
      </c>
      <c r="G334" s="398" t="n"/>
      <c r="H334" s="398" t="n"/>
      <c r="I334" s="398" t="n">
        <v>6263</v>
      </c>
      <c r="J334" s="398" t="n"/>
      <c r="K334" s="398" t="n"/>
      <c r="L334" s="398" t="n"/>
      <c r="M334" s="398" t="n">
        <v>6263</v>
      </c>
      <c r="N334" s="398" t="n">
        <v>6263</v>
      </c>
      <c r="O334" s="398" t="n">
        <v>6263</v>
      </c>
      <c r="P334" s="292" t="n"/>
      <c r="Q334" s="292" t="inlineStr">
        <is>
          <t>原生肖资源库已登记</t>
        </is>
      </c>
      <c r="R334" s="292" t="str"/>
      <c r="S334" s="292" t="inlineStr">
        <is>
          <t>装备素材套装代码表.xlsx（生肖槽位）</t>
        </is>
      </c>
      <c r="T334" s="292" t="inlineStr">
        <is>
          <t>同一代码用于 Items / StateItem / DnItems；属性与掉落另表定义。</t>
        </is>
      </c>
      <c r="U334">
        <f>IF(COUNTIF($B$2:$B$1076,B334)&gt;1,"重复","")</f>
        <v/>
      </c>
      <c r="V334">
        <f>IF(AND(OR(M334="",M334=B334),OR(N334="",N334=B334),OR(O334="",O334=B334)),"通过","不一致")</f>
        <v/>
      </c>
    </row>
    <row r="335" ht="22" customHeight="1">
      <c r="A335" s="398" t="n">
        <v>334</v>
      </c>
      <c r="B335" s="398" t="n">
        <v>6264</v>
      </c>
      <c r="C335" s="399" t="inlineStr">
        <is>
          <t>玄衡月蚀·星宫</t>
        </is>
      </c>
      <c r="D335" s="399" t="inlineStr">
        <is>
          <t>玄衡月蚀</t>
        </is>
      </c>
      <c r="E335" s="399" t="n">
        <v>2</v>
      </c>
      <c r="F335" s="399" t="inlineStr">
        <is>
          <t>生肖7</t>
        </is>
      </c>
      <c r="G335" s="398" t="n"/>
      <c r="H335" s="398" t="n"/>
      <c r="I335" s="398" t="n">
        <v>6264</v>
      </c>
      <c r="J335" s="398" t="n"/>
      <c r="K335" s="398" t="n"/>
      <c r="L335" s="398" t="n"/>
      <c r="M335" s="398" t="n">
        <v>6264</v>
      </c>
      <c r="N335" s="398" t="n">
        <v>6264</v>
      </c>
      <c r="O335" s="398" t="n">
        <v>6264</v>
      </c>
      <c r="P335" s="292" t="n"/>
      <c r="Q335" s="292" t="inlineStr">
        <is>
          <t>原生肖资源库已登记</t>
        </is>
      </c>
      <c r="R335" s="292" t="str"/>
      <c r="S335" s="292" t="inlineStr">
        <is>
          <t>装备素材套装代码表.xlsx（生肖槽位）</t>
        </is>
      </c>
      <c r="T335" s="292" t="inlineStr">
        <is>
          <t>同一代码用于 Items / StateItem / DnItems；属性与掉落另表定义。</t>
        </is>
      </c>
      <c r="U335">
        <f>IF(COUNTIF($B$2:$B$1076,B335)&gt;1,"重复","")</f>
        <v/>
      </c>
      <c r="V335">
        <f>IF(AND(OR(M335="",M335=B335),OR(N335="",N335=B335),OR(O335="",O335=B335)),"通过","不一致")</f>
        <v/>
      </c>
    </row>
    <row r="336" ht="22" customHeight="1">
      <c r="A336" s="398" t="n">
        <v>335</v>
      </c>
      <c r="B336" s="398" t="n">
        <v>6265</v>
      </c>
      <c r="C336" s="399" t="inlineStr">
        <is>
          <t>玄衡月蚀·星宫</t>
        </is>
      </c>
      <c r="D336" s="399" t="inlineStr">
        <is>
          <t>玄衡月蚀</t>
        </is>
      </c>
      <c r="E336" s="399" t="n">
        <v>2</v>
      </c>
      <c r="F336" s="399" t="inlineStr">
        <is>
          <t>生肖8</t>
        </is>
      </c>
      <c r="G336" s="398" t="n"/>
      <c r="H336" s="398" t="n"/>
      <c r="I336" s="398" t="n">
        <v>6265</v>
      </c>
      <c r="J336" s="398" t="n"/>
      <c r="K336" s="398" t="n"/>
      <c r="L336" s="398" t="n"/>
      <c r="M336" s="398" t="n">
        <v>6265</v>
      </c>
      <c r="N336" s="398" t="n">
        <v>6265</v>
      </c>
      <c r="O336" s="398" t="n">
        <v>6265</v>
      </c>
      <c r="P336" s="292" t="n"/>
      <c r="Q336" s="292" t="inlineStr">
        <is>
          <t>原生肖资源库已登记</t>
        </is>
      </c>
      <c r="R336" s="292" t="str"/>
      <c r="S336" s="292" t="inlineStr">
        <is>
          <t>装备素材套装代码表.xlsx（生肖槽位）</t>
        </is>
      </c>
      <c r="T336" s="292" t="inlineStr">
        <is>
          <t>同一代码用于 Items / StateItem / DnItems；属性与掉落另表定义。</t>
        </is>
      </c>
      <c r="U336">
        <f>IF(COUNTIF($B$2:$B$1076,B336)&gt;1,"重复","")</f>
        <v/>
      </c>
      <c r="V336">
        <f>IF(AND(OR(M336="",M336=B336),OR(N336="",N336=B336),OR(O336="",O336=B336)),"通过","不一致")</f>
        <v/>
      </c>
    </row>
    <row r="337" ht="22" customHeight="1">
      <c r="A337" s="398" t="n">
        <v>336</v>
      </c>
      <c r="B337" s="398" t="n">
        <v>6266</v>
      </c>
      <c r="C337" s="399" t="inlineStr">
        <is>
          <t>玄衡月蚀·星宫</t>
        </is>
      </c>
      <c r="D337" s="399" t="inlineStr">
        <is>
          <t>玄衡月蚀</t>
        </is>
      </c>
      <c r="E337" s="399" t="n">
        <v>2</v>
      </c>
      <c r="F337" s="399" t="inlineStr">
        <is>
          <t>生肖9</t>
        </is>
      </c>
      <c r="G337" s="398" t="n"/>
      <c r="H337" s="398" t="n"/>
      <c r="I337" s="398" t="n">
        <v>6266</v>
      </c>
      <c r="J337" s="398" t="n"/>
      <c r="K337" s="398" t="n"/>
      <c r="L337" s="398" t="n"/>
      <c r="M337" s="398" t="n">
        <v>6266</v>
      </c>
      <c r="N337" s="398" t="n">
        <v>6266</v>
      </c>
      <c r="O337" s="398" t="n">
        <v>6266</v>
      </c>
      <c r="P337" s="292" t="n"/>
      <c r="Q337" s="292" t="inlineStr">
        <is>
          <t>原生肖资源库已登记</t>
        </is>
      </c>
      <c r="R337" s="292" t="str"/>
      <c r="S337" s="292" t="inlineStr">
        <is>
          <t>装备素材套装代码表.xlsx（生肖槽位）</t>
        </is>
      </c>
      <c r="T337" s="292" t="inlineStr">
        <is>
          <t>同一代码用于 Items / StateItem / DnItems；属性与掉落另表定义。</t>
        </is>
      </c>
      <c r="U337">
        <f>IF(COUNTIF($B$2:$B$1076,B337)&gt;1,"重复","")</f>
        <v/>
      </c>
      <c r="V337">
        <f>IF(AND(OR(M337="",M337=B337),OR(N337="",N337=B337),OR(O337="",O337=B337)),"通过","不一致")</f>
        <v/>
      </c>
    </row>
    <row r="338" ht="22" customHeight="1">
      <c r="A338" s="398" t="n">
        <v>337</v>
      </c>
      <c r="B338" s="398" t="n">
        <v>6267</v>
      </c>
      <c r="C338" s="399" t="inlineStr">
        <is>
          <t>玄衡月蚀·星宫</t>
        </is>
      </c>
      <c r="D338" s="399" t="inlineStr">
        <is>
          <t>玄衡月蚀</t>
        </is>
      </c>
      <c r="E338" s="399" t="n">
        <v>2</v>
      </c>
      <c r="F338" s="399" t="inlineStr">
        <is>
          <t>生肖10</t>
        </is>
      </c>
      <c r="G338" s="398" t="n"/>
      <c r="H338" s="398" t="n"/>
      <c r="I338" s="398" t="n">
        <v>6267</v>
      </c>
      <c r="J338" s="398" t="n"/>
      <c r="K338" s="398" t="n"/>
      <c r="L338" s="398" t="n"/>
      <c r="M338" s="398" t="n">
        <v>6267</v>
      </c>
      <c r="N338" s="398" t="n">
        <v>6267</v>
      </c>
      <c r="O338" s="398" t="n">
        <v>6267</v>
      </c>
      <c r="P338" s="292" t="n"/>
      <c r="Q338" s="292" t="inlineStr">
        <is>
          <t>原生肖资源库已登记</t>
        </is>
      </c>
      <c r="R338" s="292" t="str"/>
      <c r="S338" s="292" t="inlineStr">
        <is>
          <t>装备素材套装代码表.xlsx（生肖槽位）</t>
        </is>
      </c>
      <c r="T338" s="292" t="inlineStr">
        <is>
          <t>同一代码用于 Items / StateItem / DnItems；属性与掉落另表定义。</t>
        </is>
      </c>
      <c r="U338">
        <f>IF(COUNTIF($B$2:$B$1076,B338)&gt;1,"重复","")</f>
        <v/>
      </c>
      <c r="V338">
        <f>IF(AND(OR(M338="",M338=B338),OR(N338="",N338=B338),OR(O338="",O338=B338)),"通过","不一致")</f>
        <v/>
      </c>
    </row>
    <row r="339" ht="22" customHeight="1">
      <c r="A339" s="398" t="n">
        <v>338</v>
      </c>
      <c r="B339" s="398" t="n">
        <v>6268</v>
      </c>
      <c r="C339" s="399" t="inlineStr">
        <is>
          <t>玄衡月蚀·星宫</t>
        </is>
      </c>
      <c r="D339" s="399" t="inlineStr">
        <is>
          <t>玄衡月蚀</t>
        </is>
      </c>
      <c r="E339" s="399" t="n">
        <v>2</v>
      </c>
      <c r="F339" s="399" t="inlineStr">
        <is>
          <t>生肖11</t>
        </is>
      </c>
      <c r="G339" s="398" t="n"/>
      <c r="H339" s="398" t="n"/>
      <c r="I339" s="398" t="n">
        <v>6268</v>
      </c>
      <c r="J339" s="398" t="n"/>
      <c r="K339" s="398" t="n"/>
      <c r="L339" s="398" t="n"/>
      <c r="M339" s="398" t="n">
        <v>6268</v>
      </c>
      <c r="N339" s="398" t="n">
        <v>6268</v>
      </c>
      <c r="O339" s="398" t="n">
        <v>6268</v>
      </c>
      <c r="P339" s="292" t="n"/>
      <c r="Q339" s="292" t="inlineStr">
        <is>
          <t>原生肖资源库已登记</t>
        </is>
      </c>
      <c r="R339" s="292" t="str"/>
      <c r="S339" s="292" t="inlineStr">
        <is>
          <t>装备素材套装代码表.xlsx（生肖槽位）</t>
        </is>
      </c>
      <c r="T339" s="292" t="inlineStr">
        <is>
          <t>同一代码用于 Items / StateItem / DnItems；属性与掉落另表定义。</t>
        </is>
      </c>
      <c r="U339">
        <f>IF(COUNTIF($B$2:$B$1076,B339)&gt;1,"重复","")</f>
        <v/>
      </c>
      <c r="V339">
        <f>IF(AND(OR(M339="",M339=B339),OR(N339="",N339=B339),OR(O339="",O339=B339)),"通过","不一致")</f>
        <v/>
      </c>
    </row>
    <row r="340" ht="22" customHeight="1">
      <c r="A340" s="398" t="n">
        <v>339</v>
      </c>
      <c r="B340" s="398" t="n">
        <v>6269</v>
      </c>
      <c r="C340" s="399" t="inlineStr">
        <is>
          <t>玄衡月蚀·星宫</t>
        </is>
      </c>
      <c r="D340" s="399" t="inlineStr">
        <is>
          <t>玄衡月蚀</t>
        </is>
      </c>
      <c r="E340" s="399" t="n">
        <v>2</v>
      </c>
      <c r="F340" s="399" t="inlineStr">
        <is>
          <t>生肖12</t>
        </is>
      </c>
      <c r="G340" s="398" t="n"/>
      <c r="H340" s="398" t="n"/>
      <c r="I340" s="398" t="n">
        <v>6269</v>
      </c>
      <c r="J340" s="398" t="n"/>
      <c r="K340" s="398" t="n"/>
      <c r="L340" s="398" t="n"/>
      <c r="M340" s="398" t="n">
        <v>6269</v>
      </c>
      <c r="N340" s="398" t="n">
        <v>6269</v>
      </c>
      <c r="O340" s="398" t="n">
        <v>6269</v>
      </c>
      <c r="P340" s="292" t="n"/>
      <c r="Q340" s="292" t="inlineStr">
        <is>
          <t>原生肖资源库已登记</t>
        </is>
      </c>
      <c r="R340" s="292" t="str"/>
      <c r="S340" s="292" t="inlineStr">
        <is>
          <t>装备素材套装代码表.xlsx（生肖槽位）</t>
        </is>
      </c>
      <c r="T340" s="292" t="inlineStr">
        <is>
          <t>同一代码用于 Items / StateItem / DnItems；属性与掉落另表定义。</t>
        </is>
      </c>
      <c r="U340">
        <f>IF(COUNTIF($B$2:$B$1076,B340)&gt;1,"重复","")</f>
        <v/>
      </c>
      <c r="V340">
        <f>IF(AND(OR(M340="",M340=B340),OR(N340="",N340=B340),OR(O340="",O340=B340)),"通过","不一致")</f>
        <v/>
      </c>
    </row>
    <row r="341" ht="22" customHeight="1">
      <c r="A341" s="398" t="n">
        <v>340</v>
      </c>
      <c r="B341" s="398" t="n">
        <v>6270</v>
      </c>
      <c r="C341" s="399" t="inlineStr">
        <is>
          <t>苍辰木火·星宫</t>
        </is>
      </c>
      <c r="D341" s="399" t="inlineStr">
        <is>
          <t>苍辰木火</t>
        </is>
      </c>
      <c r="E341" s="399" t="n">
        <v>3</v>
      </c>
      <c r="F341" s="399" t="inlineStr">
        <is>
          <t>生肖1</t>
        </is>
      </c>
      <c r="G341" s="398" t="n"/>
      <c r="H341" s="398" t="n"/>
      <c r="I341" s="398" t="n">
        <v>6270</v>
      </c>
      <c r="J341" s="398" t="n"/>
      <c r="K341" s="398" t="n"/>
      <c r="L341" s="398" t="n"/>
      <c r="M341" s="398" t="n">
        <v>6270</v>
      </c>
      <c r="N341" s="398" t="n">
        <v>6270</v>
      </c>
      <c r="O341" s="398" t="n">
        <v>6270</v>
      </c>
      <c r="P341" s="292" t="n"/>
      <c r="Q341" s="292" t="inlineStr">
        <is>
          <t>原生肖资源库已登记</t>
        </is>
      </c>
      <c r="R341" s="292" t="str"/>
      <c r="S341" s="292" t="inlineStr">
        <is>
          <t>装备素材套装代码表.xlsx（生肖槽位）</t>
        </is>
      </c>
      <c r="T341" s="292" t="inlineStr">
        <is>
          <t>同一代码用于 Items / StateItem / DnItems；属性与掉落另表定义。</t>
        </is>
      </c>
      <c r="U341">
        <f>IF(COUNTIF($B$2:$B$1076,B341)&gt;1,"重复","")</f>
        <v/>
      </c>
      <c r="V341">
        <f>IF(AND(OR(M341="",M341=B341),OR(N341="",N341=B341),OR(O341="",O341=B341)),"通过","不一致")</f>
        <v/>
      </c>
    </row>
    <row r="342" ht="22" customHeight="1">
      <c r="A342" s="398" t="n">
        <v>341</v>
      </c>
      <c r="B342" s="398" t="n">
        <v>6271</v>
      </c>
      <c r="C342" s="399" t="inlineStr">
        <is>
          <t>苍辰木火·星宫</t>
        </is>
      </c>
      <c r="D342" s="399" t="inlineStr">
        <is>
          <t>苍辰木火</t>
        </is>
      </c>
      <c r="E342" s="399" t="n">
        <v>3</v>
      </c>
      <c r="F342" s="399" t="inlineStr">
        <is>
          <t>生肖2</t>
        </is>
      </c>
      <c r="G342" s="398" t="n"/>
      <c r="H342" s="398" t="n"/>
      <c r="I342" s="398" t="n">
        <v>6271</v>
      </c>
      <c r="J342" s="398" t="n"/>
      <c r="K342" s="398" t="n"/>
      <c r="L342" s="398" t="n"/>
      <c r="M342" s="398" t="n">
        <v>6271</v>
      </c>
      <c r="N342" s="398" t="n">
        <v>6271</v>
      </c>
      <c r="O342" s="398" t="n">
        <v>6271</v>
      </c>
      <c r="P342" s="292" t="n"/>
      <c r="Q342" s="292" t="inlineStr">
        <is>
          <t>原生肖资源库已登记</t>
        </is>
      </c>
      <c r="R342" s="292" t="str"/>
      <c r="S342" s="292" t="inlineStr">
        <is>
          <t>装备素材套装代码表.xlsx（生肖槽位）</t>
        </is>
      </c>
      <c r="T342" s="292" t="inlineStr">
        <is>
          <t>同一代码用于 Items / StateItem / DnItems；属性与掉落另表定义。</t>
        </is>
      </c>
      <c r="U342">
        <f>IF(COUNTIF($B$2:$B$1076,B342)&gt;1,"重复","")</f>
        <v/>
      </c>
      <c r="V342">
        <f>IF(AND(OR(M342="",M342=B342),OR(N342="",N342=B342),OR(O342="",O342=B342)),"通过","不一致")</f>
        <v/>
      </c>
    </row>
    <row r="343" ht="22" customHeight="1">
      <c r="A343" s="398" t="n">
        <v>342</v>
      </c>
      <c r="B343" s="398" t="n">
        <v>6272</v>
      </c>
      <c r="C343" s="399" t="inlineStr">
        <is>
          <t>苍辰木火·星宫</t>
        </is>
      </c>
      <c r="D343" s="399" t="inlineStr">
        <is>
          <t>苍辰木火</t>
        </is>
      </c>
      <c r="E343" s="399" t="n">
        <v>3</v>
      </c>
      <c r="F343" s="399" t="inlineStr">
        <is>
          <t>生肖3</t>
        </is>
      </c>
      <c r="G343" s="398" t="n"/>
      <c r="H343" s="398" t="n"/>
      <c r="I343" s="398" t="n">
        <v>6272</v>
      </c>
      <c r="J343" s="398" t="n"/>
      <c r="K343" s="398" t="n"/>
      <c r="L343" s="398" t="n"/>
      <c r="M343" s="398" t="n">
        <v>6272</v>
      </c>
      <c r="N343" s="398" t="n">
        <v>6272</v>
      </c>
      <c r="O343" s="398" t="n">
        <v>6272</v>
      </c>
      <c r="P343" s="292" t="n"/>
      <c r="Q343" s="292" t="inlineStr">
        <is>
          <t>原生肖资源库已登记</t>
        </is>
      </c>
      <c r="R343" s="292" t="str"/>
      <c r="S343" s="292" t="inlineStr">
        <is>
          <t>装备素材套装代码表.xlsx（生肖槽位）</t>
        </is>
      </c>
      <c r="T343" s="292" t="inlineStr">
        <is>
          <t>同一代码用于 Items / StateItem / DnItems；属性与掉落另表定义。</t>
        </is>
      </c>
      <c r="U343">
        <f>IF(COUNTIF($B$2:$B$1076,B343)&gt;1,"重复","")</f>
        <v/>
      </c>
      <c r="V343">
        <f>IF(AND(OR(M343="",M343=B343),OR(N343="",N343=B343),OR(O343="",O343=B343)),"通过","不一致")</f>
        <v/>
      </c>
    </row>
    <row r="344" ht="22" customHeight="1">
      <c r="A344" s="398" t="n">
        <v>343</v>
      </c>
      <c r="B344" s="398" t="n">
        <v>6273</v>
      </c>
      <c r="C344" s="399" t="inlineStr">
        <is>
          <t>苍辰木火·星宫</t>
        </is>
      </c>
      <c r="D344" s="399" t="inlineStr">
        <is>
          <t>苍辰木火</t>
        </is>
      </c>
      <c r="E344" s="399" t="n">
        <v>3</v>
      </c>
      <c r="F344" s="399" t="inlineStr">
        <is>
          <t>生肖4</t>
        </is>
      </c>
      <c r="G344" s="398" t="n"/>
      <c r="H344" s="398" t="n"/>
      <c r="I344" s="398" t="n">
        <v>6273</v>
      </c>
      <c r="J344" s="398" t="n"/>
      <c r="K344" s="398" t="n"/>
      <c r="L344" s="398" t="n"/>
      <c r="M344" s="398" t="n">
        <v>6273</v>
      </c>
      <c r="N344" s="398" t="n">
        <v>6273</v>
      </c>
      <c r="O344" s="398" t="n">
        <v>6273</v>
      </c>
      <c r="P344" s="292" t="n"/>
      <c r="Q344" s="292" t="inlineStr">
        <is>
          <t>原生肖资源库已登记</t>
        </is>
      </c>
      <c r="R344" s="292" t="str"/>
      <c r="S344" s="292" t="inlineStr">
        <is>
          <t>装备素材套装代码表.xlsx（生肖槽位）</t>
        </is>
      </c>
      <c r="T344" s="292" t="inlineStr">
        <is>
          <t>同一代码用于 Items / StateItem / DnItems；属性与掉落另表定义。</t>
        </is>
      </c>
      <c r="U344">
        <f>IF(COUNTIF($B$2:$B$1076,B344)&gt;1,"重复","")</f>
        <v/>
      </c>
      <c r="V344">
        <f>IF(AND(OR(M344="",M344=B344),OR(N344="",N344=B344),OR(O344="",O344=B344)),"通过","不一致")</f>
        <v/>
      </c>
    </row>
    <row r="345" ht="22" customHeight="1">
      <c r="A345" s="398" t="n">
        <v>344</v>
      </c>
      <c r="B345" s="398" t="n">
        <v>6274</v>
      </c>
      <c r="C345" s="399" t="inlineStr">
        <is>
          <t>苍辰木火·星宫</t>
        </is>
      </c>
      <c r="D345" s="399" t="inlineStr">
        <is>
          <t>苍辰木火</t>
        </is>
      </c>
      <c r="E345" s="399" t="n">
        <v>3</v>
      </c>
      <c r="F345" s="399" t="inlineStr">
        <is>
          <t>生肖5</t>
        </is>
      </c>
      <c r="G345" s="398" t="n"/>
      <c r="H345" s="398" t="n"/>
      <c r="I345" s="398" t="n">
        <v>6274</v>
      </c>
      <c r="J345" s="398" t="n"/>
      <c r="K345" s="398" t="n"/>
      <c r="L345" s="398" t="n"/>
      <c r="M345" s="398" t="n">
        <v>6274</v>
      </c>
      <c r="N345" s="398" t="n">
        <v>6274</v>
      </c>
      <c r="O345" s="398" t="n">
        <v>6274</v>
      </c>
      <c r="P345" s="292" t="n"/>
      <c r="Q345" s="292" t="inlineStr">
        <is>
          <t>原生肖资源库已登记</t>
        </is>
      </c>
      <c r="R345" s="292" t="str"/>
      <c r="S345" s="292" t="inlineStr">
        <is>
          <t>装备素材套装代码表.xlsx（生肖槽位）</t>
        </is>
      </c>
      <c r="T345" s="292" t="inlineStr">
        <is>
          <t>同一代码用于 Items / StateItem / DnItems；属性与掉落另表定义。</t>
        </is>
      </c>
      <c r="U345">
        <f>IF(COUNTIF($B$2:$B$1076,B345)&gt;1,"重复","")</f>
        <v/>
      </c>
      <c r="V345">
        <f>IF(AND(OR(M345="",M345=B345),OR(N345="",N345=B345),OR(O345="",O345=B345)),"通过","不一致")</f>
        <v/>
      </c>
    </row>
    <row r="346" ht="22" customHeight="1">
      <c r="A346" s="398" t="n">
        <v>345</v>
      </c>
      <c r="B346" s="398" t="n">
        <v>6275</v>
      </c>
      <c r="C346" s="399" t="inlineStr">
        <is>
          <t>苍辰木火·星宫</t>
        </is>
      </c>
      <c r="D346" s="399" t="inlineStr">
        <is>
          <t>苍辰木火</t>
        </is>
      </c>
      <c r="E346" s="399" t="n">
        <v>3</v>
      </c>
      <c r="F346" s="399" t="inlineStr">
        <is>
          <t>生肖6</t>
        </is>
      </c>
      <c r="G346" s="398" t="n"/>
      <c r="H346" s="398" t="n"/>
      <c r="I346" s="398" t="n">
        <v>6275</v>
      </c>
      <c r="J346" s="398" t="n"/>
      <c r="K346" s="398" t="n"/>
      <c r="L346" s="398" t="n"/>
      <c r="M346" s="398" t="n">
        <v>6275</v>
      </c>
      <c r="N346" s="398" t="n">
        <v>6275</v>
      </c>
      <c r="O346" s="398" t="n">
        <v>6275</v>
      </c>
      <c r="P346" s="292" t="n"/>
      <c r="Q346" s="292" t="inlineStr">
        <is>
          <t>原生肖资源库已登记</t>
        </is>
      </c>
      <c r="R346" s="292" t="str"/>
      <c r="S346" s="292" t="inlineStr">
        <is>
          <t>装备素材套装代码表.xlsx（生肖槽位）</t>
        </is>
      </c>
      <c r="T346" s="292" t="inlineStr">
        <is>
          <t>同一代码用于 Items / StateItem / DnItems；属性与掉落另表定义。</t>
        </is>
      </c>
      <c r="U346">
        <f>IF(COUNTIF($B$2:$B$1076,B346)&gt;1,"重复","")</f>
        <v/>
      </c>
      <c r="V346">
        <f>IF(AND(OR(M346="",M346=B346),OR(N346="",N346=B346),OR(O346="",O346=B346)),"通过","不一致")</f>
        <v/>
      </c>
    </row>
    <row r="347" ht="22" customHeight="1">
      <c r="A347" s="398" t="n">
        <v>346</v>
      </c>
      <c r="B347" s="398" t="n">
        <v>6276</v>
      </c>
      <c r="C347" s="399" t="inlineStr">
        <is>
          <t>苍辰木火·星宫</t>
        </is>
      </c>
      <c r="D347" s="399" t="inlineStr">
        <is>
          <t>苍辰木火</t>
        </is>
      </c>
      <c r="E347" s="399" t="n">
        <v>3</v>
      </c>
      <c r="F347" s="399" t="inlineStr">
        <is>
          <t>生肖7</t>
        </is>
      </c>
      <c r="G347" s="398" t="n"/>
      <c r="H347" s="398" t="n"/>
      <c r="I347" s="398" t="n">
        <v>6276</v>
      </c>
      <c r="J347" s="398" t="n"/>
      <c r="K347" s="398" t="n"/>
      <c r="L347" s="398" t="n"/>
      <c r="M347" s="398" t="n">
        <v>6276</v>
      </c>
      <c r="N347" s="398" t="n">
        <v>6276</v>
      </c>
      <c r="O347" s="398" t="n">
        <v>6276</v>
      </c>
      <c r="P347" s="292" t="n"/>
      <c r="Q347" s="292" t="inlineStr">
        <is>
          <t>原生肖资源库已登记</t>
        </is>
      </c>
      <c r="R347" s="292" t="str"/>
      <c r="S347" s="292" t="inlineStr">
        <is>
          <t>装备素材套装代码表.xlsx（生肖槽位）</t>
        </is>
      </c>
      <c r="T347" s="292" t="inlineStr">
        <is>
          <t>同一代码用于 Items / StateItem / DnItems；属性与掉落另表定义。</t>
        </is>
      </c>
      <c r="U347">
        <f>IF(COUNTIF($B$2:$B$1076,B347)&gt;1,"重复","")</f>
        <v/>
      </c>
      <c r="V347">
        <f>IF(AND(OR(M347="",M347=B347),OR(N347="",N347=B347),OR(O347="",O347=B347)),"通过","不一致")</f>
        <v/>
      </c>
    </row>
    <row r="348" ht="22" customHeight="1">
      <c r="A348" s="398" t="n">
        <v>347</v>
      </c>
      <c r="B348" s="398" t="n">
        <v>6277</v>
      </c>
      <c r="C348" s="399" t="inlineStr">
        <is>
          <t>苍辰木火·星宫</t>
        </is>
      </c>
      <c r="D348" s="399" t="inlineStr">
        <is>
          <t>苍辰木火</t>
        </is>
      </c>
      <c r="E348" s="399" t="n">
        <v>3</v>
      </c>
      <c r="F348" s="399" t="inlineStr">
        <is>
          <t>生肖8</t>
        </is>
      </c>
      <c r="G348" s="398" t="n"/>
      <c r="H348" s="398" t="n"/>
      <c r="I348" s="398" t="n">
        <v>6277</v>
      </c>
      <c r="J348" s="398" t="n"/>
      <c r="K348" s="398" t="n"/>
      <c r="L348" s="398" t="n"/>
      <c r="M348" s="398" t="n">
        <v>6277</v>
      </c>
      <c r="N348" s="398" t="n">
        <v>6277</v>
      </c>
      <c r="O348" s="398" t="n">
        <v>6277</v>
      </c>
      <c r="P348" s="292" t="n"/>
      <c r="Q348" s="292" t="inlineStr">
        <is>
          <t>原生肖资源库已登记</t>
        </is>
      </c>
      <c r="R348" s="292" t="str"/>
      <c r="S348" s="292" t="inlineStr">
        <is>
          <t>装备素材套装代码表.xlsx（生肖槽位）</t>
        </is>
      </c>
      <c r="T348" s="292" t="inlineStr">
        <is>
          <t>同一代码用于 Items / StateItem / DnItems；属性与掉落另表定义。</t>
        </is>
      </c>
      <c r="U348">
        <f>IF(COUNTIF($B$2:$B$1076,B348)&gt;1,"重复","")</f>
        <v/>
      </c>
      <c r="V348">
        <f>IF(AND(OR(M348="",M348=B348),OR(N348="",N348=B348),OR(O348="",O348=B348)),"通过","不一致")</f>
        <v/>
      </c>
    </row>
    <row r="349" ht="22" customHeight="1">
      <c r="A349" s="398" t="n">
        <v>348</v>
      </c>
      <c r="B349" s="398" t="n">
        <v>6278</v>
      </c>
      <c r="C349" s="399" t="inlineStr">
        <is>
          <t>苍辰木火·星宫</t>
        </is>
      </c>
      <c r="D349" s="399" t="inlineStr">
        <is>
          <t>苍辰木火</t>
        </is>
      </c>
      <c r="E349" s="399" t="n">
        <v>3</v>
      </c>
      <c r="F349" s="399" t="inlineStr">
        <is>
          <t>生肖9</t>
        </is>
      </c>
      <c r="G349" s="398" t="n"/>
      <c r="H349" s="398" t="n"/>
      <c r="I349" s="398" t="n">
        <v>6278</v>
      </c>
      <c r="J349" s="398" t="n"/>
      <c r="K349" s="398" t="n"/>
      <c r="L349" s="398" t="n"/>
      <c r="M349" s="398" t="n">
        <v>6278</v>
      </c>
      <c r="N349" s="398" t="n">
        <v>6278</v>
      </c>
      <c r="O349" s="398" t="n">
        <v>6278</v>
      </c>
      <c r="P349" s="292" t="n"/>
      <c r="Q349" s="292" t="inlineStr">
        <is>
          <t>原生肖资源库已登记</t>
        </is>
      </c>
      <c r="R349" s="292" t="str"/>
      <c r="S349" s="292" t="inlineStr">
        <is>
          <t>装备素材套装代码表.xlsx（生肖槽位）</t>
        </is>
      </c>
      <c r="T349" s="292" t="inlineStr">
        <is>
          <t>同一代码用于 Items / StateItem / DnItems；属性与掉落另表定义。</t>
        </is>
      </c>
      <c r="U349">
        <f>IF(COUNTIF($B$2:$B$1076,B349)&gt;1,"重复","")</f>
        <v/>
      </c>
      <c r="V349">
        <f>IF(AND(OR(M349="",M349=B349),OR(N349="",N349=B349),OR(O349="",O349=B349)),"通过","不一致")</f>
        <v/>
      </c>
    </row>
    <row r="350" ht="22" customHeight="1">
      <c r="A350" s="398" t="n">
        <v>349</v>
      </c>
      <c r="B350" s="398" t="n">
        <v>6279</v>
      </c>
      <c r="C350" s="399" t="inlineStr">
        <is>
          <t>苍辰木火·星宫</t>
        </is>
      </c>
      <c r="D350" s="399" t="inlineStr">
        <is>
          <t>苍辰木火</t>
        </is>
      </c>
      <c r="E350" s="399" t="n">
        <v>3</v>
      </c>
      <c r="F350" s="399" t="inlineStr">
        <is>
          <t>生肖10</t>
        </is>
      </c>
      <c r="G350" s="398" t="n"/>
      <c r="H350" s="398" t="n"/>
      <c r="I350" s="398" t="n">
        <v>6279</v>
      </c>
      <c r="J350" s="398" t="n"/>
      <c r="K350" s="398" t="n"/>
      <c r="L350" s="398" t="n"/>
      <c r="M350" s="398" t="n">
        <v>6279</v>
      </c>
      <c r="N350" s="398" t="n">
        <v>6279</v>
      </c>
      <c r="O350" s="398" t="n">
        <v>6279</v>
      </c>
      <c r="P350" s="292" t="n"/>
      <c r="Q350" s="292" t="inlineStr">
        <is>
          <t>原生肖资源库已登记</t>
        </is>
      </c>
      <c r="R350" s="292" t="str"/>
      <c r="S350" s="292" t="inlineStr">
        <is>
          <t>装备素材套装代码表.xlsx（生肖槽位）</t>
        </is>
      </c>
      <c r="T350" s="292" t="inlineStr">
        <is>
          <t>同一代码用于 Items / StateItem / DnItems；属性与掉落另表定义。</t>
        </is>
      </c>
      <c r="U350">
        <f>IF(COUNTIF($B$2:$B$1076,B350)&gt;1,"重复","")</f>
        <v/>
      </c>
      <c r="V350">
        <f>IF(AND(OR(M350="",M350=B350),OR(N350="",N350=B350),OR(O350="",O350=B350)),"通过","不一致")</f>
        <v/>
      </c>
    </row>
    <row r="351" ht="22" customHeight="1">
      <c r="A351" s="398" t="n">
        <v>350</v>
      </c>
      <c r="B351" s="398" t="n">
        <v>6280</v>
      </c>
      <c r="C351" s="399" t="inlineStr">
        <is>
          <t>苍辰木火·星宫</t>
        </is>
      </c>
      <c r="D351" s="399" t="inlineStr">
        <is>
          <t>苍辰木火</t>
        </is>
      </c>
      <c r="E351" s="399" t="n">
        <v>3</v>
      </c>
      <c r="F351" s="399" t="inlineStr">
        <is>
          <t>生肖11</t>
        </is>
      </c>
      <c r="G351" s="398" t="n"/>
      <c r="H351" s="398" t="n"/>
      <c r="I351" s="398" t="n">
        <v>6280</v>
      </c>
      <c r="J351" s="398" t="n"/>
      <c r="K351" s="398" t="n"/>
      <c r="L351" s="398" t="n"/>
      <c r="M351" s="398" t="n">
        <v>6280</v>
      </c>
      <c r="N351" s="398" t="n">
        <v>6280</v>
      </c>
      <c r="O351" s="398" t="n">
        <v>6280</v>
      </c>
      <c r="P351" s="292" t="n"/>
      <c r="Q351" s="292" t="inlineStr">
        <is>
          <t>原生肖资源库已登记</t>
        </is>
      </c>
      <c r="R351" s="292" t="str"/>
      <c r="S351" s="292" t="inlineStr">
        <is>
          <t>装备素材套装代码表.xlsx（生肖槽位）</t>
        </is>
      </c>
      <c r="T351" s="292" t="inlineStr">
        <is>
          <t>同一代码用于 Items / StateItem / DnItems；属性与掉落另表定义。</t>
        </is>
      </c>
      <c r="U351">
        <f>IF(COUNTIF($B$2:$B$1076,B351)&gt;1,"重复","")</f>
        <v/>
      </c>
      <c r="V351">
        <f>IF(AND(OR(M351="",M351=B351),OR(N351="",N351=B351),OR(O351="",O351=B351)),"通过","不一致")</f>
        <v/>
      </c>
    </row>
    <row r="352" ht="22" customHeight="1">
      <c r="A352" s="398" t="n">
        <v>351</v>
      </c>
      <c r="B352" s="398" t="n">
        <v>6281</v>
      </c>
      <c r="C352" s="399" t="inlineStr">
        <is>
          <t>苍辰木火·星宫</t>
        </is>
      </c>
      <c r="D352" s="399" t="inlineStr">
        <is>
          <t>苍辰木火</t>
        </is>
      </c>
      <c r="E352" s="399" t="n">
        <v>3</v>
      </c>
      <c r="F352" s="399" t="inlineStr">
        <is>
          <t>生肖12</t>
        </is>
      </c>
      <c r="G352" s="398" t="n"/>
      <c r="H352" s="398" t="n"/>
      <c r="I352" s="398" t="n">
        <v>6281</v>
      </c>
      <c r="J352" s="398" t="n"/>
      <c r="K352" s="398" t="n"/>
      <c r="L352" s="398" t="n"/>
      <c r="M352" s="398" t="n">
        <v>6281</v>
      </c>
      <c r="N352" s="398" t="n">
        <v>6281</v>
      </c>
      <c r="O352" s="398" t="n">
        <v>6281</v>
      </c>
      <c r="P352" s="292" t="n"/>
      <c r="Q352" s="292" t="inlineStr">
        <is>
          <t>原生肖资源库已登记</t>
        </is>
      </c>
      <c r="R352" s="292" t="str"/>
      <c r="S352" s="292" t="inlineStr">
        <is>
          <t>装备素材套装代码表.xlsx（生肖槽位）</t>
        </is>
      </c>
      <c r="T352" s="292" t="inlineStr">
        <is>
          <t>同一代码用于 Items / StateItem / DnItems；属性与掉落另表定义。</t>
        </is>
      </c>
      <c r="U352">
        <f>IF(COUNTIF($B$2:$B$1076,B352)&gt;1,"重复","")</f>
        <v/>
      </c>
      <c r="V352">
        <f>IF(AND(OR(M352="",M352=B352),OR(N352="",N352=B352),OR(O352="",O352=B352)),"通过","不一致")</f>
        <v/>
      </c>
    </row>
    <row r="353" ht="22" customHeight="1">
      <c r="A353" s="398" t="n">
        <v>352</v>
      </c>
      <c r="B353" s="398" t="n">
        <v>6282</v>
      </c>
      <c r="C353" s="399" t="inlineStr">
        <is>
          <t>赤曜天穹·星宫</t>
        </is>
      </c>
      <c r="D353" s="399" t="inlineStr">
        <is>
          <t>赤曜天穹</t>
        </is>
      </c>
      <c r="E353" s="399" t="n">
        <v>4</v>
      </c>
      <c r="F353" s="399" t="inlineStr">
        <is>
          <t>生肖1</t>
        </is>
      </c>
      <c r="G353" s="398" t="n"/>
      <c r="H353" s="398" t="n"/>
      <c r="I353" s="398" t="n">
        <v>6282</v>
      </c>
      <c r="J353" s="398" t="n"/>
      <c r="K353" s="398" t="n"/>
      <c r="L353" s="398" t="n"/>
      <c r="M353" s="398" t="n">
        <v>6282</v>
      </c>
      <c r="N353" s="398" t="n">
        <v>6282</v>
      </c>
      <c r="O353" s="398" t="n">
        <v>6282</v>
      </c>
      <c r="P353" s="292" t="n"/>
      <c r="Q353" s="292" t="inlineStr">
        <is>
          <t>原生肖资源库已登记</t>
        </is>
      </c>
      <c r="R353" s="292" t="str"/>
      <c r="S353" s="292" t="inlineStr">
        <is>
          <t>装备素材套装代码表.xlsx（生肖槽位）</t>
        </is>
      </c>
      <c r="T353" s="292" t="inlineStr">
        <is>
          <t>同一代码用于 Items / StateItem / DnItems；属性与掉落另表定义。</t>
        </is>
      </c>
      <c r="U353">
        <f>IF(COUNTIF($B$2:$B$1076,B353)&gt;1,"重复","")</f>
        <v/>
      </c>
      <c r="V353">
        <f>IF(AND(OR(M353="",M353=B353),OR(N353="",N353=B353),OR(O353="",O353=B353)),"通过","不一致")</f>
        <v/>
      </c>
    </row>
    <row r="354" ht="22" customHeight="1">
      <c r="A354" s="398" t="n">
        <v>353</v>
      </c>
      <c r="B354" s="398" t="n">
        <v>6283</v>
      </c>
      <c r="C354" s="399" t="inlineStr">
        <is>
          <t>赤曜天穹·星宫</t>
        </is>
      </c>
      <c r="D354" s="399" t="inlineStr">
        <is>
          <t>赤曜天穹</t>
        </is>
      </c>
      <c r="E354" s="399" t="n">
        <v>4</v>
      </c>
      <c r="F354" s="399" t="inlineStr">
        <is>
          <t>生肖2</t>
        </is>
      </c>
      <c r="G354" s="398" t="n"/>
      <c r="H354" s="398" t="n"/>
      <c r="I354" s="398" t="n">
        <v>6283</v>
      </c>
      <c r="J354" s="398" t="n"/>
      <c r="K354" s="398" t="n"/>
      <c r="L354" s="398" t="n"/>
      <c r="M354" s="398" t="n">
        <v>6283</v>
      </c>
      <c r="N354" s="398" t="n">
        <v>6283</v>
      </c>
      <c r="O354" s="398" t="n">
        <v>6283</v>
      </c>
      <c r="P354" s="292" t="n"/>
      <c r="Q354" s="292" t="inlineStr">
        <is>
          <t>原生肖资源库已登记</t>
        </is>
      </c>
      <c r="R354" s="292" t="str"/>
      <c r="S354" s="292" t="inlineStr">
        <is>
          <t>装备素材套装代码表.xlsx（生肖槽位）</t>
        </is>
      </c>
      <c r="T354" s="292" t="inlineStr">
        <is>
          <t>同一代码用于 Items / StateItem / DnItems；属性与掉落另表定义。</t>
        </is>
      </c>
      <c r="U354">
        <f>IF(COUNTIF($B$2:$B$1076,B354)&gt;1,"重复","")</f>
        <v/>
      </c>
      <c r="V354">
        <f>IF(AND(OR(M354="",M354=B354),OR(N354="",N354=B354),OR(O354="",O354=B354)),"通过","不一致")</f>
        <v/>
      </c>
    </row>
    <row r="355" ht="22" customHeight="1">
      <c r="A355" s="398" t="n">
        <v>354</v>
      </c>
      <c r="B355" s="398" t="n">
        <v>6284</v>
      </c>
      <c r="C355" s="399" t="inlineStr">
        <is>
          <t>赤曜天穹·星宫</t>
        </is>
      </c>
      <c r="D355" s="399" t="inlineStr">
        <is>
          <t>赤曜天穹</t>
        </is>
      </c>
      <c r="E355" s="399" t="n">
        <v>4</v>
      </c>
      <c r="F355" s="399" t="inlineStr">
        <is>
          <t>生肖3</t>
        </is>
      </c>
      <c r="G355" s="398" t="n"/>
      <c r="H355" s="398" t="n"/>
      <c r="I355" s="398" t="n">
        <v>6284</v>
      </c>
      <c r="J355" s="398" t="n"/>
      <c r="K355" s="398" t="n"/>
      <c r="L355" s="398" t="n"/>
      <c r="M355" s="398" t="n">
        <v>6284</v>
      </c>
      <c r="N355" s="398" t="n">
        <v>6284</v>
      </c>
      <c r="O355" s="398" t="n">
        <v>6284</v>
      </c>
      <c r="P355" s="292" t="n"/>
      <c r="Q355" s="292" t="inlineStr">
        <is>
          <t>原生肖资源库已登记</t>
        </is>
      </c>
      <c r="R355" s="292" t="str"/>
      <c r="S355" s="292" t="inlineStr">
        <is>
          <t>装备素材套装代码表.xlsx（生肖槽位）</t>
        </is>
      </c>
      <c r="T355" s="292" t="inlineStr">
        <is>
          <t>同一代码用于 Items / StateItem / DnItems；属性与掉落另表定义。</t>
        </is>
      </c>
      <c r="U355">
        <f>IF(COUNTIF($B$2:$B$1076,B355)&gt;1,"重复","")</f>
        <v/>
      </c>
      <c r="V355">
        <f>IF(AND(OR(M355="",M355=B355),OR(N355="",N355=B355),OR(O355="",O355=B355)),"通过","不一致")</f>
        <v/>
      </c>
    </row>
    <row r="356" ht="22" customHeight="1">
      <c r="A356" s="398" t="n">
        <v>355</v>
      </c>
      <c r="B356" s="398" t="n">
        <v>6285</v>
      </c>
      <c r="C356" s="399" t="inlineStr">
        <is>
          <t>赤曜天穹·星宫</t>
        </is>
      </c>
      <c r="D356" s="399" t="inlineStr">
        <is>
          <t>赤曜天穹</t>
        </is>
      </c>
      <c r="E356" s="399" t="n">
        <v>4</v>
      </c>
      <c r="F356" s="399" t="inlineStr">
        <is>
          <t>生肖4</t>
        </is>
      </c>
      <c r="G356" s="398" t="n"/>
      <c r="H356" s="398" t="n"/>
      <c r="I356" s="398" t="n">
        <v>6285</v>
      </c>
      <c r="J356" s="398" t="n"/>
      <c r="K356" s="398" t="n"/>
      <c r="L356" s="398" t="n"/>
      <c r="M356" s="398" t="n">
        <v>6285</v>
      </c>
      <c r="N356" s="398" t="n">
        <v>6285</v>
      </c>
      <c r="O356" s="398" t="n">
        <v>6285</v>
      </c>
      <c r="P356" s="292" t="n"/>
      <c r="Q356" s="292" t="inlineStr">
        <is>
          <t>原生肖资源库已登记</t>
        </is>
      </c>
      <c r="R356" s="292" t="str"/>
      <c r="S356" s="292" t="inlineStr">
        <is>
          <t>装备素材套装代码表.xlsx（生肖槽位）</t>
        </is>
      </c>
      <c r="T356" s="292" t="inlineStr">
        <is>
          <t>同一代码用于 Items / StateItem / DnItems；属性与掉落另表定义。</t>
        </is>
      </c>
      <c r="U356">
        <f>IF(COUNTIF($B$2:$B$1076,B356)&gt;1,"重复","")</f>
        <v/>
      </c>
      <c r="V356">
        <f>IF(AND(OR(M356="",M356=B356),OR(N356="",N356=B356),OR(O356="",O356=B356)),"通过","不一致")</f>
        <v/>
      </c>
    </row>
    <row r="357" ht="22" customHeight="1">
      <c r="A357" s="398" t="n">
        <v>356</v>
      </c>
      <c r="B357" s="398" t="n">
        <v>6286</v>
      </c>
      <c r="C357" s="399" t="inlineStr">
        <is>
          <t>赤曜天穹·星宫</t>
        </is>
      </c>
      <c r="D357" s="399" t="inlineStr">
        <is>
          <t>赤曜天穹</t>
        </is>
      </c>
      <c r="E357" s="399" t="n">
        <v>4</v>
      </c>
      <c r="F357" s="399" t="inlineStr">
        <is>
          <t>生肖5</t>
        </is>
      </c>
      <c r="G357" s="398" t="n"/>
      <c r="H357" s="398" t="n"/>
      <c r="I357" s="398" t="n">
        <v>6286</v>
      </c>
      <c r="J357" s="398" t="n"/>
      <c r="K357" s="398" t="n"/>
      <c r="L357" s="398" t="n"/>
      <c r="M357" s="398" t="n">
        <v>6286</v>
      </c>
      <c r="N357" s="398" t="n">
        <v>6286</v>
      </c>
      <c r="O357" s="398" t="n">
        <v>6286</v>
      </c>
      <c r="P357" s="292" t="n"/>
      <c r="Q357" s="292" t="inlineStr">
        <is>
          <t>原生肖资源库已登记</t>
        </is>
      </c>
      <c r="R357" s="292" t="str"/>
      <c r="S357" s="292" t="inlineStr">
        <is>
          <t>装备素材套装代码表.xlsx（生肖槽位）</t>
        </is>
      </c>
      <c r="T357" s="292" t="inlineStr">
        <is>
          <t>同一代码用于 Items / StateItem / DnItems；属性与掉落另表定义。</t>
        </is>
      </c>
      <c r="U357">
        <f>IF(COUNTIF($B$2:$B$1076,B357)&gt;1,"重复","")</f>
        <v/>
      </c>
      <c r="V357">
        <f>IF(AND(OR(M357="",M357=B357),OR(N357="",N357=B357),OR(O357="",O357=B357)),"通过","不一致")</f>
        <v/>
      </c>
    </row>
    <row r="358" ht="22" customHeight="1">
      <c r="A358" s="398" t="n">
        <v>357</v>
      </c>
      <c r="B358" s="398" t="n">
        <v>6287</v>
      </c>
      <c r="C358" s="399" t="inlineStr">
        <is>
          <t>赤曜天穹·星宫</t>
        </is>
      </c>
      <c r="D358" s="399" t="inlineStr">
        <is>
          <t>赤曜天穹</t>
        </is>
      </c>
      <c r="E358" s="399" t="n">
        <v>4</v>
      </c>
      <c r="F358" s="399" t="inlineStr">
        <is>
          <t>生肖6</t>
        </is>
      </c>
      <c r="G358" s="398" t="n"/>
      <c r="H358" s="398" t="n"/>
      <c r="I358" s="398" t="n">
        <v>6287</v>
      </c>
      <c r="J358" s="398" t="n"/>
      <c r="K358" s="398" t="n"/>
      <c r="L358" s="398" t="n"/>
      <c r="M358" s="398" t="n">
        <v>6287</v>
      </c>
      <c r="N358" s="398" t="n">
        <v>6287</v>
      </c>
      <c r="O358" s="398" t="n">
        <v>6287</v>
      </c>
      <c r="P358" s="292" t="n"/>
      <c r="Q358" s="292" t="inlineStr">
        <is>
          <t>原生肖资源库已登记</t>
        </is>
      </c>
      <c r="R358" s="292" t="str"/>
      <c r="S358" s="292" t="inlineStr">
        <is>
          <t>装备素材套装代码表.xlsx（生肖槽位）</t>
        </is>
      </c>
      <c r="T358" s="292" t="inlineStr">
        <is>
          <t>同一代码用于 Items / StateItem / DnItems；属性与掉落另表定义。</t>
        </is>
      </c>
      <c r="U358">
        <f>IF(COUNTIF($B$2:$B$1076,B358)&gt;1,"重复","")</f>
        <v/>
      </c>
      <c r="V358">
        <f>IF(AND(OR(M358="",M358=B358),OR(N358="",N358=B358),OR(O358="",O358=B358)),"通过","不一致")</f>
        <v/>
      </c>
    </row>
    <row r="359" ht="22" customHeight="1">
      <c r="A359" s="398" t="n">
        <v>358</v>
      </c>
      <c r="B359" s="398" t="n">
        <v>6288</v>
      </c>
      <c r="C359" s="399" t="inlineStr">
        <is>
          <t>赤曜天穹·星宫</t>
        </is>
      </c>
      <c r="D359" s="399" t="inlineStr">
        <is>
          <t>赤曜天穹</t>
        </is>
      </c>
      <c r="E359" s="399" t="n">
        <v>4</v>
      </c>
      <c r="F359" s="399" t="inlineStr">
        <is>
          <t>生肖7</t>
        </is>
      </c>
      <c r="G359" s="398" t="n"/>
      <c r="H359" s="398" t="n"/>
      <c r="I359" s="398" t="n">
        <v>6288</v>
      </c>
      <c r="J359" s="398" t="n"/>
      <c r="K359" s="398" t="n"/>
      <c r="L359" s="398" t="n"/>
      <c r="M359" s="398" t="n">
        <v>6288</v>
      </c>
      <c r="N359" s="398" t="n">
        <v>6288</v>
      </c>
      <c r="O359" s="398" t="n">
        <v>6288</v>
      </c>
      <c r="P359" s="292" t="n"/>
      <c r="Q359" s="292" t="inlineStr">
        <is>
          <t>原生肖资源库已登记</t>
        </is>
      </c>
      <c r="R359" s="292" t="str"/>
      <c r="S359" s="292" t="inlineStr">
        <is>
          <t>装备素材套装代码表.xlsx（生肖槽位）</t>
        </is>
      </c>
      <c r="T359" s="292" t="inlineStr">
        <is>
          <t>同一代码用于 Items / StateItem / DnItems；属性与掉落另表定义。</t>
        </is>
      </c>
      <c r="U359">
        <f>IF(COUNTIF($B$2:$B$1076,B359)&gt;1,"重复","")</f>
        <v/>
      </c>
      <c r="V359">
        <f>IF(AND(OR(M359="",M359=B359),OR(N359="",N359=B359),OR(O359="",O359=B359)),"通过","不一致")</f>
        <v/>
      </c>
    </row>
    <row r="360" ht="22" customHeight="1">
      <c r="A360" s="398" t="n">
        <v>359</v>
      </c>
      <c r="B360" s="398" t="n">
        <v>6289</v>
      </c>
      <c r="C360" s="399" t="inlineStr">
        <is>
          <t>赤曜天穹·星宫</t>
        </is>
      </c>
      <c r="D360" s="399" t="inlineStr">
        <is>
          <t>赤曜天穹</t>
        </is>
      </c>
      <c r="E360" s="399" t="n">
        <v>4</v>
      </c>
      <c r="F360" s="399" t="inlineStr">
        <is>
          <t>生肖8</t>
        </is>
      </c>
      <c r="G360" s="398" t="n"/>
      <c r="H360" s="398" t="n"/>
      <c r="I360" s="398" t="n">
        <v>6289</v>
      </c>
      <c r="J360" s="398" t="n"/>
      <c r="K360" s="398" t="n"/>
      <c r="L360" s="398" t="n"/>
      <c r="M360" s="398" t="n">
        <v>6289</v>
      </c>
      <c r="N360" s="398" t="n">
        <v>6289</v>
      </c>
      <c r="O360" s="398" t="n">
        <v>6289</v>
      </c>
      <c r="P360" s="292" t="n"/>
      <c r="Q360" s="292" t="inlineStr">
        <is>
          <t>原生肖资源库已登记</t>
        </is>
      </c>
      <c r="R360" s="292" t="str"/>
      <c r="S360" s="292" t="inlineStr">
        <is>
          <t>装备素材套装代码表.xlsx（生肖槽位）</t>
        </is>
      </c>
      <c r="T360" s="292" t="inlineStr">
        <is>
          <t>同一代码用于 Items / StateItem / DnItems；属性与掉落另表定义。</t>
        </is>
      </c>
      <c r="U360">
        <f>IF(COUNTIF($B$2:$B$1076,B360)&gt;1,"重复","")</f>
        <v/>
      </c>
      <c r="V360">
        <f>IF(AND(OR(M360="",M360=B360),OR(N360="",N360=B360),OR(O360="",O360=B360)),"通过","不一致")</f>
        <v/>
      </c>
    </row>
    <row r="361" ht="22" customHeight="1">
      <c r="A361" s="398" t="n">
        <v>360</v>
      </c>
      <c r="B361" s="398" t="n">
        <v>6290</v>
      </c>
      <c r="C361" s="399" t="inlineStr">
        <is>
          <t>赤曜天穹·星宫</t>
        </is>
      </c>
      <c r="D361" s="399" t="inlineStr">
        <is>
          <t>赤曜天穹</t>
        </is>
      </c>
      <c r="E361" s="399" t="n">
        <v>4</v>
      </c>
      <c r="F361" s="399" t="inlineStr">
        <is>
          <t>生肖9</t>
        </is>
      </c>
      <c r="G361" s="398" t="n"/>
      <c r="H361" s="398" t="n"/>
      <c r="I361" s="398" t="n">
        <v>6290</v>
      </c>
      <c r="J361" s="398" t="n"/>
      <c r="K361" s="398" t="n"/>
      <c r="L361" s="398" t="n"/>
      <c r="M361" s="398" t="n">
        <v>6290</v>
      </c>
      <c r="N361" s="398" t="n">
        <v>6290</v>
      </c>
      <c r="O361" s="398" t="n">
        <v>6290</v>
      </c>
      <c r="P361" s="292" t="n"/>
      <c r="Q361" s="292" t="inlineStr">
        <is>
          <t>原生肖资源库已登记</t>
        </is>
      </c>
      <c r="R361" s="292" t="str"/>
      <c r="S361" s="292" t="inlineStr">
        <is>
          <t>装备素材套装代码表.xlsx（生肖槽位）</t>
        </is>
      </c>
      <c r="T361" s="292" t="inlineStr">
        <is>
          <t>同一代码用于 Items / StateItem / DnItems；属性与掉落另表定义。</t>
        </is>
      </c>
      <c r="U361">
        <f>IF(COUNTIF($B$2:$B$1076,B361)&gt;1,"重复","")</f>
        <v/>
      </c>
      <c r="V361">
        <f>IF(AND(OR(M361="",M361=B361),OR(N361="",N361=B361),OR(O361="",O361=B361)),"通过","不一致")</f>
        <v/>
      </c>
    </row>
    <row r="362" ht="22" customHeight="1">
      <c r="A362" s="398" t="n">
        <v>361</v>
      </c>
      <c r="B362" s="398" t="n">
        <v>6291</v>
      </c>
      <c r="C362" s="399" t="inlineStr">
        <is>
          <t>赤曜天穹·星宫</t>
        </is>
      </c>
      <c r="D362" s="399" t="inlineStr">
        <is>
          <t>赤曜天穹</t>
        </is>
      </c>
      <c r="E362" s="399" t="n">
        <v>4</v>
      </c>
      <c r="F362" s="399" t="inlineStr">
        <is>
          <t>生肖10</t>
        </is>
      </c>
      <c r="G362" s="398" t="n"/>
      <c r="H362" s="398" t="n"/>
      <c r="I362" s="398" t="n">
        <v>6291</v>
      </c>
      <c r="J362" s="398" t="n"/>
      <c r="K362" s="398" t="n"/>
      <c r="L362" s="398" t="n"/>
      <c r="M362" s="398" t="n">
        <v>6291</v>
      </c>
      <c r="N362" s="398" t="n">
        <v>6291</v>
      </c>
      <c r="O362" s="398" t="n">
        <v>6291</v>
      </c>
      <c r="P362" s="292" t="n"/>
      <c r="Q362" s="292" t="inlineStr">
        <is>
          <t>原生肖资源库已登记</t>
        </is>
      </c>
      <c r="R362" s="292" t="str"/>
      <c r="S362" s="292" t="inlineStr">
        <is>
          <t>装备素材套装代码表.xlsx（生肖槽位）</t>
        </is>
      </c>
      <c r="T362" s="292" t="inlineStr">
        <is>
          <t>同一代码用于 Items / StateItem / DnItems；属性与掉落另表定义。</t>
        </is>
      </c>
      <c r="U362">
        <f>IF(COUNTIF($B$2:$B$1076,B362)&gt;1,"重复","")</f>
        <v/>
      </c>
      <c r="V362">
        <f>IF(AND(OR(M362="",M362=B362),OR(N362="",N362=B362),OR(O362="",O362=B362)),"通过","不一致")</f>
        <v/>
      </c>
    </row>
    <row r="363" ht="22" customHeight="1">
      <c r="A363" s="398" t="n">
        <v>362</v>
      </c>
      <c r="B363" s="398" t="n">
        <v>6292</v>
      </c>
      <c r="C363" s="399" t="inlineStr">
        <is>
          <t>赤曜天穹·星宫</t>
        </is>
      </c>
      <c r="D363" s="399" t="inlineStr">
        <is>
          <t>赤曜天穹</t>
        </is>
      </c>
      <c r="E363" s="399" t="n">
        <v>4</v>
      </c>
      <c r="F363" s="399" t="inlineStr">
        <is>
          <t>生肖11</t>
        </is>
      </c>
      <c r="G363" s="398" t="n"/>
      <c r="H363" s="398" t="n"/>
      <c r="I363" s="398" t="n">
        <v>6292</v>
      </c>
      <c r="J363" s="398" t="n"/>
      <c r="K363" s="398" t="n"/>
      <c r="L363" s="398" t="n"/>
      <c r="M363" s="398" t="n">
        <v>6292</v>
      </c>
      <c r="N363" s="398" t="n">
        <v>6292</v>
      </c>
      <c r="O363" s="398" t="n">
        <v>6292</v>
      </c>
      <c r="P363" s="292" t="n"/>
      <c r="Q363" s="292" t="inlineStr">
        <is>
          <t>原生肖资源库已登记</t>
        </is>
      </c>
      <c r="R363" s="292" t="str"/>
      <c r="S363" s="292" t="inlineStr">
        <is>
          <t>装备素材套装代码表.xlsx（生肖槽位）</t>
        </is>
      </c>
      <c r="T363" s="292" t="inlineStr">
        <is>
          <t>同一代码用于 Items / StateItem / DnItems；属性与掉落另表定义。</t>
        </is>
      </c>
      <c r="U363">
        <f>IF(COUNTIF($B$2:$B$1076,B363)&gt;1,"重复","")</f>
        <v/>
      </c>
      <c r="V363">
        <f>IF(AND(OR(M363="",M363=B363),OR(N363="",N363=B363),OR(O363="",O363=B363)),"通过","不一致")</f>
        <v/>
      </c>
    </row>
    <row r="364" ht="22" customHeight="1">
      <c r="A364" s="398" t="n">
        <v>363</v>
      </c>
      <c r="B364" s="398" t="n">
        <v>6293</v>
      </c>
      <c r="C364" s="399" t="inlineStr">
        <is>
          <t>赤曜天穹·星宫</t>
        </is>
      </c>
      <c r="D364" s="399" t="inlineStr">
        <is>
          <t>赤曜天穹</t>
        </is>
      </c>
      <c r="E364" s="399" t="n">
        <v>4</v>
      </c>
      <c r="F364" s="399" t="inlineStr">
        <is>
          <t>生肖12</t>
        </is>
      </c>
      <c r="G364" s="398" t="n"/>
      <c r="H364" s="398" t="n"/>
      <c r="I364" s="398" t="n">
        <v>6293</v>
      </c>
      <c r="J364" s="398" t="n"/>
      <c r="K364" s="398" t="n"/>
      <c r="L364" s="398" t="n"/>
      <c r="M364" s="398" t="n">
        <v>6293</v>
      </c>
      <c r="N364" s="398" t="n">
        <v>6293</v>
      </c>
      <c r="O364" s="398" t="n">
        <v>6293</v>
      </c>
      <c r="P364" s="292" t="n"/>
      <c r="Q364" s="292" t="inlineStr">
        <is>
          <t>原生肖资源库已登记</t>
        </is>
      </c>
      <c r="R364" s="292" t="str"/>
      <c r="S364" s="292" t="inlineStr">
        <is>
          <t>装备素材套装代码表.xlsx（生肖槽位）</t>
        </is>
      </c>
      <c r="T364" s="292" t="inlineStr">
        <is>
          <t>同一代码用于 Items / StateItem / DnItems；属性与掉落另表定义。</t>
        </is>
      </c>
      <c r="U364">
        <f>IF(COUNTIF($B$2:$B$1076,B364)&gt;1,"重复","")</f>
        <v/>
      </c>
      <c r="V364">
        <f>IF(AND(OR(M364="",M364=B364),OR(N364="",N364=B364),OR(O364="",O364=B364)),"通过","不一致")</f>
        <v/>
      </c>
    </row>
    <row r="365" ht="22" customHeight="1">
      <c r="A365" s="398" t="n">
        <v>364</v>
      </c>
      <c r="B365" s="398" t="n">
        <v>6294</v>
      </c>
      <c r="C365" s="399" t="inlineStr">
        <is>
          <t>紫垣玄晶·星宫</t>
        </is>
      </c>
      <c r="D365" s="399" t="inlineStr">
        <is>
          <t>紫垣玄晶</t>
        </is>
      </c>
      <c r="E365" s="399" t="n">
        <v>5</v>
      </c>
      <c r="F365" s="399" t="inlineStr">
        <is>
          <t>生肖1</t>
        </is>
      </c>
      <c r="G365" s="398" t="n"/>
      <c r="H365" s="398" t="n"/>
      <c r="I365" s="398" t="n">
        <v>6294</v>
      </c>
      <c r="J365" s="398" t="n"/>
      <c r="K365" s="398" t="n"/>
      <c r="L365" s="398" t="n"/>
      <c r="M365" s="398" t="n">
        <v>6294</v>
      </c>
      <c r="N365" s="398" t="n">
        <v>6294</v>
      </c>
      <c r="O365" s="398" t="n">
        <v>6294</v>
      </c>
      <c r="P365" s="292" t="n"/>
      <c r="Q365" s="292" t="inlineStr">
        <is>
          <t>原生肖资源库已登记</t>
        </is>
      </c>
      <c r="R365" s="292" t="str"/>
      <c r="S365" s="292" t="inlineStr">
        <is>
          <t>装备素材套装代码表.xlsx（生肖槽位）</t>
        </is>
      </c>
      <c r="T365" s="292" t="inlineStr">
        <is>
          <t>同一代码用于 Items / StateItem / DnItems；属性与掉落另表定义。</t>
        </is>
      </c>
      <c r="U365">
        <f>IF(COUNTIF($B$2:$B$1076,B365)&gt;1,"重复","")</f>
        <v/>
      </c>
      <c r="V365">
        <f>IF(AND(OR(M365="",M365=B365),OR(N365="",N365=B365),OR(O365="",O365=B365)),"通过","不一致")</f>
        <v/>
      </c>
    </row>
    <row r="366" ht="22" customHeight="1">
      <c r="A366" s="398" t="n">
        <v>365</v>
      </c>
      <c r="B366" s="398" t="n">
        <v>6295</v>
      </c>
      <c r="C366" s="399" t="inlineStr">
        <is>
          <t>紫垣玄晶·星宫</t>
        </is>
      </c>
      <c r="D366" s="399" t="inlineStr">
        <is>
          <t>紫垣玄晶</t>
        </is>
      </c>
      <c r="E366" s="399" t="n">
        <v>5</v>
      </c>
      <c r="F366" s="399" t="inlineStr">
        <is>
          <t>生肖2</t>
        </is>
      </c>
      <c r="G366" s="398" t="n"/>
      <c r="H366" s="398" t="n"/>
      <c r="I366" s="398" t="n">
        <v>6295</v>
      </c>
      <c r="J366" s="398" t="n"/>
      <c r="K366" s="398" t="n"/>
      <c r="L366" s="398" t="n"/>
      <c r="M366" s="398" t="n">
        <v>6295</v>
      </c>
      <c r="N366" s="398" t="n">
        <v>6295</v>
      </c>
      <c r="O366" s="398" t="n">
        <v>6295</v>
      </c>
      <c r="P366" s="292" t="n"/>
      <c r="Q366" s="292" t="inlineStr">
        <is>
          <t>原生肖资源库已登记</t>
        </is>
      </c>
      <c r="R366" s="292" t="str"/>
      <c r="S366" s="292" t="inlineStr">
        <is>
          <t>装备素材套装代码表.xlsx（生肖槽位）</t>
        </is>
      </c>
      <c r="T366" s="292" t="inlineStr">
        <is>
          <t>同一代码用于 Items / StateItem / DnItems；属性与掉落另表定义。</t>
        </is>
      </c>
      <c r="U366">
        <f>IF(COUNTIF($B$2:$B$1076,B366)&gt;1,"重复","")</f>
        <v/>
      </c>
      <c r="V366">
        <f>IF(AND(OR(M366="",M366=B366),OR(N366="",N366=B366),OR(O366="",O366=B366)),"通过","不一致")</f>
        <v/>
      </c>
    </row>
    <row r="367" ht="22" customHeight="1">
      <c r="A367" s="398" t="n">
        <v>366</v>
      </c>
      <c r="B367" s="398" t="n">
        <v>6296</v>
      </c>
      <c r="C367" s="399" t="inlineStr">
        <is>
          <t>紫垣玄晶·星宫</t>
        </is>
      </c>
      <c r="D367" s="399" t="inlineStr">
        <is>
          <t>紫垣玄晶</t>
        </is>
      </c>
      <c r="E367" s="399" t="n">
        <v>5</v>
      </c>
      <c r="F367" s="399" t="inlineStr">
        <is>
          <t>生肖3</t>
        </is>
      </c>
      <c r="G367" s="398" t="n"/>
      <c r="H367" s="398" t="n"/>
      <c r="I367" s="398" t="n">
        <v>6296</v>
      </c>
      <c r="J367" s="398" t="n"/>
      <c r="K367" s="398" t="n"/>
      <c r="L367" s="398" t="n"/>
      <c r="M367" s="398" t="n">
        <v>6296</v>
      </c>
      <c r="N367" s="398" t="n">
        <v>6296</v>
      </c>
      <c r="O367" s="398" t="n">
        <v>6296</v>
      </c>
      <c r="P367" s="292" t="n"/>
      <c r="Q367" s="292" t="inlineStr">
        <is>
          <t>原生肖资源库已登记</t>
        </is>
      </c>
      <c r="R367" s="292" t="str"/>
      <c r="S367" s="292" t="inlineStr">
        <is>
          <t>装备素材套装代码表.xlsx（生肖槽位）</t>
        </is>
      </c>
      <c r="T367" s="292" t="inlineStr">
        <is>
          <t>同一代码用于 Items / StateItem / DnItems；属性与掉落另表定义。</t>
        </is>
      </c>
      <c r="U367">
        <f>IF(COUNTIF($B$2:$B$1076,B367)&gt;1,"重复","")</f>
        <v/>
      </c>
      <c r="V367">
        <f>IF(AND(OR(M367="",M367=B367),OR(N367="",N367=B367),OR(O367="",O367=B367)),"通过","不一致")</f>
        <v/>
      </c>
    </row>
    <row r="368" ht="22" customHeight="1">
      <c r="A368" s="398" t="n">
        <v>367</v>
      </c>
      <c r="B368" s="398" t="n">
        <v>6297</v>
      </c>
      <c r="C368" s="399" t="inlineStr">
        <is>
          <t>紫垣玄晶·星宫</t>
        </is>
      </c>
      <c r="D368" s="399" t="inlineStr">
        <is>
          <t>紫垣玄晶</t>
        </is>
      </c>
      <c r="E368" s="399" t="n">
        <v>5</v>
      </c>
      <c r="F368" s="399" t="inlineStr">
        <is>
          <t>生肖4</t>
        </is>
      </c>
      <c r="G368" s="398" t="n"/>
      <c r="H368" s="398" t="n"/>
      <c r="I368" s="398" t="n">
        <v>6297</v>
      </c>
      <c r="J368" s="398" t="n"/>
      <c r="K368" s="398" t="n"/>
      <c r="L368" s="398" t="n"/>
      <c r="M368" s="398" t="n">
        <v>6297</v>
      </c>
      <c r="N368" s="398" t="n">
        <v>6297</v>
      </c>
      <c r="O368" s="398" t="n">
        <v>6297</v>
      </c>
      <c r="P368" s="292" t="n"/>
      <c r="Q368" s="292" t="inlineStr">
        <is>
          <t>原生肖资源库已登记</t>
        </is>
      </c>
      <c r="R368" s="292" t="str"/>
      <c r="S368" s="292" t="inlineStr">
        <is>
          <t>装备素材套装代码表.xlsx（生肖槽位）</t>
        </is>
      </c>
      <c r="T368" s="292" t="inlineStr">
        <is>
          <t>同一代码用于 Items / StateItem / DnItems；属性与掉落另表定义。</t>
        </is>
      </c>
      <c r="U368">
        <f>IF(COUNTIF($B$2:$B$1076,B368)&gt;1,"重复","")</f>
        <v/>
      </c>
      <c r="V368">
        <f>IF(AND(OR(M368="",M368=B368),OR(N368="",N368=B368),OR(O368="",O368=B368)),"通过","不一致")</f>
        <v/>
      </c>
    </row>
    <row r="369" ht="22" customHeight="1">
      <c r="A369" s="398" t="n">
        <v>368</v>
      </c>
      <c r="B369" s="398" t="n">
        <v>6298</v>
      </c>
      <c r="C369" s="399" t="inlineStr">
        <is>
          <t>紫垣玄晶·星宫</t>
        </is>
      </c>
      <c r="D369" s="399" t="inlineStr">
        <is>
          <t>紫垣玄晶</t>
        </is>
      </c>
      <c r="E369" s="399" t="n">
        <v>5</v>
      </c>
      <c r="F369" s="399" t="inlineStr">
        <is>
          <t>生肖5</t>
        </is>
      </c>
      <c r="G369" s="398" t="n"/>
      <c r="H369" s="398" t="n"/>
      <c r="I369" s="398" t="n">
        <v>6298</v>
      </c>
      <c r="J369" s="398" t="n"/>
      <c r="K369" s="398" t="n"/>
      <c r="L369" s="398" t="n"/>
      <c r="M369" s="398" t="n">
        <v>6298</v>
      </c>
      <c r="N369" s="398" t="n">
        <v>6298</v>
      </c>
      <c r="O369" s="398" t="n">
        <v>6298</v>
      </c>
      <c r="P369" s="292" t="n"/>
      <c r="Q369" s="292" t="inlineStr">
        <is>
          <t>原生肖资源库已登记</t>
        </is>
      </c>
      <c r="R369" s="292" t="str"/>
      <c r="S369" s="292" t="inlineStr">
        <is>
          <t>装备素材套装代码表.xlsx（生肖槽位）</t>
        </is>
      </c>
      <c r="T369" s="292" t="inlineStr">
        <is>
          <t>同一代码用于 Items / StateItem / DnItems；属性与掉落另表定义。</t>
        </is>
      </c>
      <c r="U369">
        <f>IF(COUNTIF($B$2:$B$1076,B369)&gt;1,"重复","")</f>
        <v/>
      </c>
      <c r="V369">
        <f>IF(AND(OR(M369="",M369=B369),OR(N369="",N369=B369),OR(O369="",O369=B369)),"通过","不一致")</f>
        <v/>
      </c>
    </row>
    <row r="370" ht="22" customHeight="1">
      <c r="A370" s="398" t="n">
        <v>369</v>
      </c>
      <c r="B370" s="398" t="n">
        <v>6299</v>
      </c>
      <c r="C370" s="399" t="inlineStr">
        <is>
          <t>紫垣玄晶·星宫</t>
        </is>
      </c>
      <c r="D370" s="399" t="inlineStr">
        <is>
          <t>紫垣玄晶</t>
        </is>
      </c>
      <c r="E370" s="399" t="n">
        <v>5</v>
      </c>
      <c r="F370" s="399" t="inlineStr">
        <is>
          <t>生肖6</t>
        </is>
      </c>
      <c r="G370" s="398" t="n"/>
      <c r="H370" s="398" t="n"/>
      <c r="I370" s="398" t="n">
        <v>6299</v>
      </c>
      <c r="J370" s="398" t="n"/>
      <c r="K370" s="398" t="n"/>
      <c r="L370" s="398" t="n"/>
      <c r="M370" s="398" t="n">
        <v>6299</v>
      </c>
      <c r="N370" s="398" t="n">
        <v>6299</v>
      </c>
      <c r="O370" s="398" t="n">
        <v>6299</v>
      </c>
      <c r="P370" s="292" t="n"/>
      <c r="Q370" s="292" t="inlineStr">
        <is>
          <t>原生肖资源库已登记</t>
        </is>
      </c>
      <c r="R370" s="292" t="str"/>
      <c r="S370" s="292" t="inlineStr">
        <is>
          <t>装备素材套装代码表.xlsx（生肖槽位）</t>
        </is>
      </c>
      <c r="T370" s="292" t="inlineStr">
        <is>
          <t>同一代码用于 Items / StateItem / DnItems；属性与掉落另表定义。</t>
        </is>
      </c>
      <c r="U370">
        <f>IF(COUNTIF($B$2:$B$1076,B370)&gt;1,"重复","")</f>
        <v/>
      </c>
      <c r="V370">
        <f>IF(AND(OR(M370="",M370=B370),OR(N370="",N370=B370),OR(O370="",O370=B370)),"通过","不一致")</f>
        <v/>
      </c>
    </row>
    <row r="371" ht="22" customHeight="1">
      <c r="A371" s="398" t="n">
        <v>370</v>
      </c>
      <c r="B371" s="398" t="n">
        <v>6300</v>
      </c>
      <c r="C371" s="399" t="inlineStr">
        <is>
          <t>紫垣玄晶·星宫</t>
        </is>
      </c>
      <c r="D371" s="399" t="inlineStr">
        <is>
          <t>紫垣玄晶</t>
        </is>
      </c>
      <c r="E371" s="399" t="n">
        <v>5</v>
      </c>
      <c r="F371" s="399" t="inlineStr">
        <is>
          <t>生肖7</t>
        </is>
      </c>
      <c r="G371" s="398" t="n"/>
      <c r="H371" s="398" t="n"/>
      <c r="I371" s="398" t="n">
        <v>6300</v>
      </c>
      <c r="J371" s="398" t="n"/>
      <c r="K371" s="398" t="n"/>
      <c r="L371" s="398" t="n"/>
      <c r="M371" s="398" t="n">
        <v>6300</v>
      </c>
      <c r="N371" s="398" t="n">
        <v>6300</v>
      </c>
      <c r="O371" s="398" t="n">
        <v>6300</v>
      </c>
      <c r="P371" s="292" t="n"/>
      <c r="Q371" s="292" t="inlineStr">
        <is>
          <t>原生肖资源库已登记</t>
        </is>
      </c>
      <c r="R371" s="292" t="str"/>
      <c r="S371" s="292" t="inlineStr">
        <is>
          <t>装备素材套装代码表.xlsx（生肖槽位）</t>
        </is>
      </c>
      <c r="T371" s="292" t="inlineStr">
        <is>
          <t>同一代码用于 Items / StateItem / DnItems；属性与掉落另表定义。</t>
        </is>
      </c>
      <c r="U371">
        <f>IF(COUNTIF($B$2:$B$1076,B371)&gt;1,"重复","")</f>
        <v/>
      </c>
      <c r="V371">
        <f>IF(AND(OR(M371="",M371=B371),OR(N371="",N371=B371),OR(O371="",O371=B371)),"通过","不一致")</f>
        <v/>
      </c>
    </row>
    <row r="372" ht="22" customHeight="1">
      <c r="A372" s="398" t="n">
        <v>371</v>
      </c>
      <c r="B372" s="398" t="n">
        <v>6301</v>
      </c>
      <c r="C372" s="399" t="inlineStr">
        <is>
          <t>紫垣玄晶·星宫</t>
        </is>
      </c>
      <c r="D372" s="399" t="inlineStr">
        <is>
          <t>紫垣玄晶</t>
        </is>
      </c>
      <c r="E372" s="399" t="n">
        <v>5</v>
      </c>
      <c r="F372" s="399" t="inlineStr">
        <is>
          <t>生肖8</t>
        </is>
      </c>
      <c r="G372" s="398" t="n"/>
      <c r="H372" s="398" t="n"/>
      <c r="I372" s="398" t="n">
        <v>6301</v>
      </c>
      <c r="J372" s="398" t="n"/>
      <c r="K372" s="398" t="n"/>
      <c r="L372" s="398" t="n"/>
      <c r="M372" s="398" t="n">
        <v>6301</v>
      </c>
      <c r="N372" s="398" t="n">
        <v>6301</v>
      </c>
      <c r="O372" s="398" t="n">
        <v>6301</v>
      </c>
      <c r="P372" s="292" t="n"/>
      <c r="Q372" s="292" t="inlineStr">
        <is>
          <t>原生肖资源库已登记</t>
        </is>
      </c>
      <c r="R372" s="292" t="str"/>
      <c r="S372" s="292" t="inlineStr">
        <is>
          <t>装备素材套装代码表.xlsx（生肖槽位）</t>
        </is>
      </c>
      <c r="T372" s="292" t="inlineStr">
        <is>
          <t>同一代码用于 Items / StateItem / DnItems；属性与掉落另表定义。</t>
        </is>
      </c>
      <c r="U372">
        <f>IF(COUNTIF($B$2:$B$1076,B372)&gt;1,"重复","")</f>
        <v/>
      </c>
      <c r="V372">
        <f>IF(AND(OR(M372="",M372=B372),OR(N372="",N372=B372),OR(O372="",O372=B372)),"通过","不一致")</f>
        <v/>
      </c>
    </row>
    <row r="373" ht="22" customHeight="1">
      <c r="A373" s="398" t="n">
        <v>372</v>
      </c>
      <c r="B373" s="398" t="n">
        <v>6302</v>
      </c>
      <c r="C373" s="399" t="inlineStr">
        <is>
          <t>紫垣玄晶·星宫</t>
        </is>
      </c>
      <c r="D373" s="399" t="inlineStr">
        <is>
          <t>紫垣玄晶</t>
        </is>
      </c>
      <c r="E373" s="399" t="n">
        <v>5</v>
      </c>
      <c r="F373" s="399" t="inlineStr">
        <is>
          <t>生肖9</t>
        </is>
      </c>
      <c r="G373" s="398" t="n"/>
      <c r="H373" s="398" t="n"/>
      <c r="I373" s="398" t="n">
        <v>6302</v>
      </c>
      <c r="J373" s="398" t="n"/>
      <c r="K373" s="398" t="n"/>
      <c r="L373" s="398" t="n"/>
      <c r="M373" s="398" t="n">
        <v>6302</v>
      </c>
      <c r="N373" s="398" t="n">
        <v>6302</v>
      </c>
      <c r="O373" s="398" t="n">
        <v>6302</v>
      </c>
      <c r="P373" s="292" t="n"/>
      <c r="Q373" s="292" t="inlineStr">
        <is>
          <t>原生肖资源库已登记</t>
        </is>
      </c>
      <c r="R373" s="292" t="str"/>
      <c r="S373" s="292" t="inlineStr">
        <is>
          <t>装备素材套装代码表.xlsx（生肖槽位）</t>
        </is>
      </c>
      <c r="T373" s="292" t="inlineStr">
        <is>
          <t>同一代码用于 Items / StateItem / DnItems；属性与掉落另表定义。</t>
        </is>
      </c>
      <c r="U373">
        <f>IF(COUNTIF($B$2:$B$1076,B373)&gt;1,"重复","")</f>
        <v/>
      </c>
      <c r="V373">
        <f>IF(AND(OR(M373="",M373=B373),OR(N373="",N373=B373),OR(O373="",O373=B373)),"通过","不一致")</f>
        <v/>
      </c>
    </row>
    <row r="374" ht="22" customHeight="1">
      <c r="A374" s="398" t="n">
        <v>373</v>
      </c>
      <c r="B374" s="398" t="n">
        <v>6303</v>
      </c>
      <c r="C374" s="399" t="inlineStr">
        <is>
          <t>紫垣玄晶·星宫</t>
        </is>
      </c>
      <c r="D374" s="399" t="inlineStr">
        <is>
          <t>紫垣玄晶</t>
        </is>
      </c>
      <c r="E374" s="399" t="n">
        <v>5</v>
      </c>
      <c r="F374" s="399" t="inlineStr">
        <is>
          <t>生肖10</t>
        </is>
      </c>
      <c r="G374" s="398" t="n"/>
      <c r="H374" s="398" t="n"/>
      <c r="I374" s="398" t="n">
        <v>6303</v>
      </c>
      <c r="J374" s="398" t="n"/>
      <c r="K374" s="398" t="n"/>
      <c r="L374" s="398" t="n"/>
      <c r="M374" s="398" t="n">
        <v>6303</v>
      </c>
      <c r="N374" s="398" t="n">
        <v>6303</v>
      </c>
      <c r="O374" s="398" t="n">
        <v>6303</v>
      </c>
      <c r="P374" s="292" t="n"/>
      <c r="Q374" s="292" t="inlineStr">
        <is>
          <t>原生肖资源库已登记</t>
        </is>
      </c>
      <c r="R374" s="292" t="str"/>
      <c r="S374" s="292" t="inlineStr">
        <is>
          <t>装备素材套装代码表.xlsx（生肖槽位）</t>
        </is>
      </c>
      <c r="T374" s="292" t="inlineStr">
        <is>
          <t>同一代码用于 Items / StateItem / DnItems；属性与掉落另表定义。</t>
        </is>
      </c>
      <c r="U374">
        <f>IF(COUNTIF($B$2:$B$1076,B374)&gt;1,"重复","")</f>
        <v/>
      </c>
      <c r="V374">
        <f>IF(AND(OR(M374="",M374=B374),OR(N374="",N374=B374),OR(O374="",O374=B374)),"通过","不一致")</f>
        <v/>
      </c>
    </row>
    <row r="375" ht="22" customHeight="1">
      <c r="A375" s="398" t="n">
        <v>374</v>
      </c>
      <c r="B375" s="398" t="n">
        <v>6304</v>
      </c>
      <c r="C375" s="399" t="inlineStr">
        <is>
          <t>紫垣玄晶·星宫</t>
        </is>
      </c>
      <c r="D375" s="399" t="inlineStr">
        <is>
          <t>紫垣玄晶</t>
        </is>
      </c>
      <c r="E375" s="399" t="n">
        <v>5</v>
      </c>
      <c r="F375" s="399" t="inlineStr">
        <is>
          <t>生肖11</t>
        </is>
      </c>
      <c r="G375" s="398" t="n"/>
      <c r="H375" s="398" t="n"/>
      <c r="I375" s="398" t="n">
        <v>6304</v>
      </c>
      <c r="J375" s="398" t="n"/>
      <c r="K375" s="398" t="n"/>
      <c r="L375" s="398" t="n"/>
      <c r="M375" s="398" t="n">
        <v>6304</v>
      </c>
      <c r="N375" s="398" t="n">
        <v>6304</v>
      </c>
      <c r="O375" s="398" t="n">
        <v>6304</v>
      </c>
      <c r="P375" s="292" t="n"/>
      <c r="Q375" s="292" t="inlineStr">
        <is>
          <t>原生肖资源库已登记</t>
        </is>
      </c>
      <c r="R375" s="292" t="str"/>
      <c r="S375" s="292" t="inlineStr">
        <is>
          <t>装备素材套装代码表.xlsx（生肖槽位）</t>
        </is>
      </c>
      <c r="T375" s="292" t="inlineStr">
        <is>
          <t>同一代码用于 Items / StateItem / DnItems；属性与掉落另表定义。</t>
        </is>
      </c>
      <c r="U375">
        <f>IF(COUNTIF($B$2:$B$1076,B375)&gt;1,"重复","")</f>
        <v/>
      </c>
      <c r="V375">
        <f>IF(AND(OR(M375="",M375=B375),OR(N375="",N375=B375),OR(O375="",O375=B375)),"通过","不一致")</f>
        <v/>
      </c>
    </row>
    <row r="376" ht="22" customHeight="1">
      <c r="A376" s="398" t="n">
        <v>375</v>
      </c>
      <c r="B376" s="398" t="n">
        <v>6305</v>
      </c>
      <c r="C376" s="399" t="inlineStr">
        <is>
          <t>紫垣玄晶·星宫</t>
        </is>
      </c>
      <c r="D376" s="399" t="inlineStr">
        <is>
          <t>紫垣玄晶</t>
        </is>
      </c>
      <c r="E376" s="399" t="n">
        <v>5</v>
      </c>
      <c r="F376" s="399" t="inlineStr">
        <is>
          <t>生肖12</t>
        </is>
      </c>
      <c r="G376" s="398" t="n"/>
      <c r="H376" s="398" t="n"/>
      <c r="I376" s="398" t="n">
        <v>6305</v>
      </c>
      <c r="J376" s="398" t="n"/>
      <c r="K376" s="398" t="n"/>
      <c r="L376" s="398" t="n"/>
      <c r="M376" s="398" t="n">
        <v>6305</v>
      </c>
      <c r="N376" s="398" t="n">
        <v>6305</v>
      </c>
      <c r="O376" s="398" t="n">
        <v>6305</v>
      </c>
      <c r="P376" s="292" t="n"/>
      <c r="Q376" s="292" t="inlineStr">
        <is>
          <t>原生肖资源库已登记</t>
        </is>
      </c>
      <c r="R376" s="292" t="str"/>
      <c r="S376" s="292" t="inlineStr">
        <is>
          <t>装备素材套装代码表.xlsx（生肖槽位）</t>
        </is>
      </c>
      <c r="T376" s="292" t="inlineStr">
        <is>
          <t>同一代码用于 Items / StateItem / DnItems；属性与掉落另表定义。</t>
        </is>
      </c>
      <c r="U376">
        <f>IF(COUNTIF($B$2:$B$1076,B376)&gt;1,"重复","")</f>
        <v/>
      </c>
      <c r="V376">
        <f>IF(AND(OR(M376="",M376=B376),OR(N376="",N376=B376),OR(O376="",O376=B376)),"通过","不一致")</f>
        <v/>
      </c>
    </row>
    <row r="377" ht="22" customHeight="1">
      <c r="A377" s="398" t="n">
        <v>376</v>
      </c>
      <c r="B377" s="398" t="n">
        <v>6396</v>
      </c>
      <c r="C377" s="399" t="inlineStr">
        <is>
          <t>黄金圣树·初誓</t>
        </is>
      </c>
      <c r="D377" s="399" t="inlineStr">
        <is>
          <t>黄金圣树</t>
        </is>
      </c>
      <c r="E377" s="399" t="n">
        <v>1</v>
      </c>
      <c r="F377" s="399" t="inlineStr">
        <is>
          <t>武器</t>
        </is>
      </c>
      <c r="G377" s="398" t="n">
        <v>5</v>
      </c>
      <c r="H377" s="398" t="n">
        <v>1</v>
      </c>
      <c r="I377" s="398" t="n">
        <v>6396</v>
      </c>
      <c r="J377" s="398" t="n">
        <v>14</v>
      </c>
      <c r="K377" s="398" t="n">
        <v>0</v>
      </c>
      <c r="L377" s="398" t="n">
        <v>0</v>
      </c>
      <c r="M377" s="398" t="n">
        <v>6396</v>
      </c>
      <c r="N377" s="398" t="n">
        <v>6396</v>
      </c>
      <c r="O377" s="398" t="n">
        <v>6396</v>
      </c>
      <c r="P377" s="292" t="inlineStr">
        <is>
          <t>Weapon.wzl/wzx（复用现有真实动作）</t>
        </is>
      </c>
      <c r="Q377" s="292" t="inlineStr">
        <is>
          <t>candidate-preflight-passed</t>
        </is>
      </c>
      <c r="R377" s="324" t="inlineStr">
        <is>
          <t>C3-C10规划锁定：统领断旗枪</t>
        </is>
      </c>
      <c r="S377" s="292" t="inlineStr">
        <is>
          <t>玄渊二十套全装备代码总表.xlsx</t>
        </is>
      </c>
      <c r="T377" s="292" t="inlineStr">
        <is>
          <t>玄渊20套全装备视觉候选；Items/StateItem/DnItems三库同码；属性待策划填写；Weapon Shape=14</t>
        </is>
      </c>
      <c r="U377">
        <f>IF(COUNTIF($B$2:$B$1076,B377)&gt;1,"重复","")</f>
        <v/>
      </c>
      <c r="V377">
        <f>IF(AND(OR(M377="",M377=B377),OR(N377="",N377=B377),OR(O377="",O377=B377)),"通过","不一致")</f>
        <v/>
      </c>
    </row>
    <row r="378" ht="22" customHeight="1">
      <c r="A378" s="398" t="n">
        <v>377</v>
      </c>
      <c r="B378" s="398" t="n">
        <v>6397</v>
      </c>
      <c r="C378" s="399" t="inlineStr">
        <is>
          <t>黄金圣树·初誓</t>
        </is>
      </c>
      <c r="D378" s="399" t="inlineStr">
        <is>
          <t>黄金圣树</t>
        </is>
      </c>
      <c r="E378" s="399" t="n">
        <v>1</v>
      </c>
      <c r="F378" s="399" t="inlineStr">
        <is>
          <t>男衣服</t>
        </is>
      </c>
      <c r="G378" s="398" t="n">
        <v>10</v>
      </c>
      <c r="H378" s="398" t="n">
        <v>0</v>
      </c>
      <c r="I378" s="398" t="n">
        <v>6397</v>
      </c>
      <c r="J378" s="398" t="n">
        <v>1</v>
      </c>
      <c r="K378" s="398" t="n">
        <v>0</v>
      </c>
      <c r="L378" s="398" t="n">
        <v>0</v>
      </c>
      <c r="M378" s="398" t="n">
        <v>6397</v>
      </c>
      <c r="N378" s="398" t="n">
        <v>6397</v>
      </c>
      <c r="O378" s="398" t="n">
        <v>6397</v>
      </c>
      <c r="P378" s="292" t="inlineStr">
        <is>
          <t>Hum.wzl/wzx（复用现有真实动作）</t>
        </is>
      </c>
      <c r="Q378" s="292" t="inlineStr">
        <is>
          <t>candidate-preflight-passed</t>
        </is>
      </c>
      <c r="R378" s="324" t="inlineStr">
        <is>
          <t>C3-C10规划锁定：巨犀荒铠</t>
        </is>
      </c>
      <c r="S378" s="292" t="inlineStr">
        <is>
          <t>玄渊二十套全装备代码总表.xlsx</t>
        </is>
      </c>
      <c r="T378" s="292" t="inlineStr">
        <is>
          <t>玄渊20套全装备视觉候选；Items/StateItem/DnItems三库同码；属性待策划填写；Hum Shape=1</t>
        </is>
      </c>
      <c r="U378">
        <f>IF(COUNTIF($B$2:$B$1076,B378)&gt;1,"重复","")</f>
        <v/>
      </c>
      <c r="V378">
        <f>IF(AND(OR(M378="",M378=B378),OR(N378="",N378=B378),OR(O378="",O378=B378)),"通过","不一致")</f>
        <v/>
      </c>
    </row>
    <row r="379" ht="22" customHeight="1">
      <c r="A379" s="398" t="n">
        <v>378</v>
      </c>
      <c r="B379" s="398" t="n">
        <v>6398</v>
      </c>
      <c r="C379" s="399" t="inlineStr">
        <is>
          <t>黄金圣树·初誓</t>
        </is>
      </c>
      <c r="D379" s="399" t="inlineStr">
        <is>
          <t>黄金圣树</t>
        </is>
      </c>
      <c r="E379" s="399" t="n">
        <v>1</v>
      </c>
      <c r="F379" s="399" t="inlineStr">
        <is>
          <t>女衣服</t>
        </is>
      </c>
      <c r="G379" s="398" t="n">
        <v>11</v>
      </c>
      <c r="H379" s="398" t="n">
        <v>0</v>
      </c>
      <c r="I379" s="398" t="n">
        <v>6398</v>
      </c>
      <c r="J379" s="398" t="n">
        <v>1</v>
      </c>
      <c r="K379" s="398" t="n">
        <v>0</v>
      </c>
      <c r="L379" s="398" t="n">
        <v>0</v>
      </c>
      <c r="M379" s="398" t="n">
        <v>6398</v>
      </c>
      <c r="N379" s="398" t="n">
        <v>6398</v>
      </c>
      <c r="O379" s="398" t="n">
        <v>6398</v>
      </c>
      <c r="P379" s="292" t="inlineStr">
        <is>
          <t>Hum.wzl/wzx（复用现有真实动作）</t>
        </is>
      </c>
      <c r="Q379" s="292" t="inlineStr">
        <is>
          <t>candidate-preflight-passed</t>
        </is>
      </c>
      <c r="R379" s="323" t="inlineStr">
        <is>
          <t>材料Items已占用：漂流见证·潮</t>
        </is>
      </c>
      <c r="S379" s="292" t="inlineStr">
        <is>
          <t>玄渊二十套全装备代码总表.xlsx</t>
        </is>
      </c>
      <c r="T379" s="292" t="inlineStr">
        <is>
          <t>玄渊20套全装备视觉候选；Items/StateItem/DnItems三库同码；属性待策划填写；Hum Shape=1</t>
        </is>
      </c>
      <c r="U379">
        <f>IF(COUNTIF($B$2:$B$1076,B379)&gt;1,"重复","")</f>
        <v/>
      </c>
      <c r="V379">
        <f>IF(AND(OR(M379="",M379=B379),OR(N379="",N379=B379),OR(O379="",O379=B379)),"通过","不一致")</f>
        <v/>
      </c>
    </row>
    <row r="380" ht="22" customHeight="1">
      <c r="A380" s="398" t="n">
        <v>379</v>
      </c>
      <c r="B380" s="398" t="n">
        <v>6399</v>
      </c>
      <c r="C380" s="399" t="inlineStr">
        <is>
          <t>黄金圣树·初誓</t>
        </is>
      </c>
      <c r="D380" s="399" t="inlineStr">
        <is>
          <t>黄金圣树</t>
        </is>
      </c>
      <c r="E380" s="399" t="n">
        <v>1</v>
      </c>
      <c r="F380" s="399" t="inlineStr">
        <is>
          <t>头盔</t>
        </is>
      </c>
      <c r="G380" s="398" t="n">
        <v>15</v>
      </c>
      <c r="H380" s="398" t="n">
        <v>4</v>
      </c>
      <c r="I380" s="398" t="n">
        <v>6399</v>
      </c>
      <c r="J380" s="398" t="n">
        <v>0</v>
      </c>
      <c r="K380" s="398" t="n">
        <v>0</v>
      </c>
      <c r="L380" s="398" t="n">
        <v>0</v>
      </c>
      <c r="M380" s="398" t="n">
        <v>6399</v>
      </c>
      <c r="N380" s="398" t="n">
        <v>6399</v>
      </c>
      <c r="O380" s="398" t="n">
        <v>6399</v>
      </c>
      <c r="P380" s="292" t="n"/>
      <c r="Q380" s="292" t="inlineStr">
        <is>
          <t>candidate-preflight-passed</t>
        </is>
      </c>
      <c r="R380" s="323" t="inlineStr">
        <is>
          <t>材料Items已占用：漂流见证·雷</t>
        </is>
      </c>
      <c r="S380" s="292" t="inlineStr">
        <is>
          <t>玄渊二十套全装备代码总表.xlsx</t>
        </is>
      </c>
      <c r="T380" s="292" t="inlineStr">
        <is>
          <t>玄渊20套全装备视觉候选；Items/StateItem/DnItems三库同码；属性待策划填写</t>
        </is>
      </c>
      <c r="U380">
        <f>IF(COUNTIF($B$2:$B$1076,B380)&gt;1,"重复","")</f>
        <v/>
      </c>
      <c r="V380">
        <f>IF(AND(OR(M380="",M380=B380),OR(N380="",N380=B380),OR(O380="",O380=B380)),"通过","不一致")</f>
        <v/>
      </c>
    </row>
    <row r="381" ht="22" customHeight="1">
      <c r="A381" s="398" t="n">
        <v>380</v>
      </c>
      <c r="B381" s="398" t="n">
        <v>6400</v>
      </c>
      <c r="C381" s="399" t="inlineStr">
        <is>
          <t>黄金圣树·初誓</t>
        </is>
      </c>
      <c r="D381" s="399" t="inlineStr">
        <is>
          <t>黄金圣树</t>
        </is>
      </c>
      <c r="E381" s="399" t="n">
        <v>1</v>
      </c>
      <c r="F381" s="399" t="inlineStr">
        <is>
          <t>面巾</t>
        </is>
      </c>
      <c r="G381" s="398" t="n">
        <v>16</v>
      </c>
      <c r="H381" s="398" t="n">
        <v>13</v>
      </c>
      <c r="I381" s="398" t="n">
        <v>6400</v>
      </c>
      <c r="J381" s="398" t="n">
        <v>0</v>
      </c>
      <c r="K381" s="398" t="n">
        <v>0</v>
      </c>
      <c r="L381" s="398" t="n">
        <v>0</v>
      </c>
      <c r="M381" s="398" t="n">
        <v>6400</v>
      </c>
      <c r="N381" s="398" t="n">
        <v>6400</v>
      </c>
      <c r="O381" s="398" t="n">
        <v>6400</v>
      </c>
      <c r="P381" s="292" t="n"/>
      <c r="Q381" s="292" t="inlineStr">
        <is>
          <t>candidate-preflight-passed</t>
        </is>
      </c>
      <c r="R381" s="323" t="inlineStr">
        <is>
          <t>材料Items已占用：宁姆格福誓页</t>
        </is>
      </c>
      <c r="S381" s="292" t="inlineStr">
        <is>
          <t>玄渊二十套全装备代码总表.xlsx</t>
        </is>
      </c>
      <c r="T381" s="292" t="inlineStr">
        <is>
          <t>玄渊20套全装备视觉候选；Items/StateItem/DnItems三库同码；属性待策划填写</t>
        </is>
      </c>
      <c r="U381">
        <f>IF(COUNTIF($B$2:$B$1076,B381)&gt;1,"重复","")</f>
        <v/>
      </c>
      <c r="V381">
        <f>IF(AND(OR(M381="",M381=B381),OR(N381="",N381=B381),OR(O381="",O381=B381)),"通过","不一致")</f>
        <v/>
      </c>
    </row>
    <row r="382" ht="22" customHeight="1">
      <c r="A382" s="398" t="n">
        <v>381</v>
      </c>
      <c r="B382" s="398" t="n">
        <v>6401</v>
      </c>
      <c r="C382" s="399" t="inlineStr">
        <is>
          <t>黄金圣树·初誓</t>
        </is>
      </c>
      <c r="D382" s="399" t="inlineStr">
        <is>
          <t>黄金圣树</t>
        </is>
      </c>
      <c r="E382" s="399" t="n">
        <v>1</v>
      </c>
      <c r="F382" s="399" t="inlineStr">
        <is>
          <t>项链</t>
        </is>
      </c>
      <c r="G382" s="398" t="n">
        <v>19</v>
      </c>
      <c r="H382" s="398" t="n">
        <v>3</v>
      </c>
      <c r="I382" s="398" t="n">
        <v>6401</v>
      </c>
      <c r="J382" s="398" t="n">
        <v>0</v>
      </c>
      <c r="K382" s="398" t="n">
        <v>0</v>
      </c>
      <c r="L382" s="398" t="n">
        <v>0</v>
      </c>
      <c r="M382" s="398" t="n">
        <v>6401</v>
      </c>
      <c r="N382" s="398" t="n">
        <v>6401</v>
      </c>
      <c r="O382" s="398" t="n">
        <v>6401</v>
      </c>
      <c r="P382" s="292" t="n"/>
      <c r="Q382" s="292" t="inlineStr">
        <is>
          <t>candidate-preflight-passed</t>
        </is>
      </c>
      <c r="R382" s="323" t="inlineStr">
        <is>
          <t>材料Items已占用：海蚀铁片</t>
        </is>
      </c>
      <c r="S382" s="292" t="inlineStr">
        <is>
          <t>玄渊二十套全装备代码总表.xlsx</t>
        </is>
      </c>
      <c r="T382" s="292" t="inlineStr">
        <is>
          <t>玄渊20套全装备视觉候选；Items/StateItem/DnItems三库同码；属性待策划填写</t>
        </is>
      </c>
      <c r="U382">
        <f>IF(COUNTIF($B$2:$B$1076,B382)&gt;1,"重复","")</f>
        <v/>
      </c>
      <c r="V382">
        <f>IF(AND(OR(M382="",M382=B382),OR(N382="",N382=B382),OR(O382="",O382=B382)),"通过","不一致")</f>
        <v/>
      </c>
    </row>
    <row r="383" ht="22" customHeight="1">
      <c r="A383" s="398" t="n">
        <v>382</v>
      </c>
      <c r="B383" s="398" t="n">
        <v>6402</v>
      </c>
      <c r="C383" s="399" t="inlineStr">
        <is>
          <t>黄金圣树·初誓</t>
        </is>
      </c>
      <c r="D383" s="399" t="inlineStr">
        <is>
          <t>黄金圣树</t>
        </is>
      </c>
      <c r="E383" s="399" t="n">
        <v>1</v>
      </c>
      <c r="F383" s="399" t="inlineStr">
        <is>
          <t>手镯</t>
        </is>
      </c>
      <c r="G383" s="398" t="n">
        <v>26</v>
      </c>
      <c r="H383" s="398" t="n">
        <v>5</v>
      </c>
      <c r="I383" s="398" t="n">
        <v>6402</v>
      </c>
      <c r="J383" s="398" t="n">
        <v>0</v>
      </c>
      <c r="K383" s="398" t="n">
        <v>0</v>
      </c>
      <c r="L383" s="398" t="n">
        <v>0</v>
      </c>
      <c r="M383" s="398" t="n">
        <v>6402</v>
      </c>
      <c r="N383" s="398" t="n">
        <v>6402</v>
      </c>
      <c r="O383" s="398" t="n">
        <v>6402</v>
      </c>
      <c r="P383" s="292" t="n"/>
      <c r="Q383" s="292" t="inlineStr">
        <is>
          <t>candidate-preflight-passed</t>
        </is>
      </c>
      <c r="R383" s="323" t="inlineStr">
        <is>
          <t>材料Items已占用：潮痕结晶</t>
        </is>
      </c>
      <c r="S383" s="292" t="inlineStr">
        <is>
          <t>玄渊二十套全装备代码总表.xlsx</t>
        </is>
      </c>
      <c r="T383" s="292" t="inlineStr">
        <is>
          <t>玄渊20套全装备视觉候选；Items/StateItem/DnItems三库同码；属性待策划填写</t>
        </is>
      </c>
      <c r="U383">
        <f>IF(COUNTIF($B$2:$B$1076,B383)&gt;1,"重复","")</f>
        <v/>
      </c>
      <c r="V383">
        <f>IF(AND(OR(M383="",M383=B383),OR(N383="",N383=B383),OR(O383="",O383=B383)),"通过","不一致")</f>
        <v/>
      </c>
    </row>
    <row r="384" ht="22" customHeight="1">
      <c r="A384" s="398" t="n">
        <v>383</v>
      </c>
      <c r="B384" s="398" t="n">
        <v>6403</v>
      </c>
      <c r="C384" s="399" t="inlineStr">
        <is>
          <t>黄金圣树·初誓</t>
        </is>
      </c>
      <c r="D384" s="399" t="inlineStr">
        <is>
          <t>黄金圣树</t>
        </is>
      </c>
      <c r="E384" s="399" t="n">
        <v>1</v>
      </c>
      <c r="F384" s="399" t="inlineStr">
        <is>
          <t>戒指</t>
        </is>
      </c>
      <c r="G384" s="398" t="n">
        <v>22</v>
      </c>
      <c r="H384" s="398" t="n">
        <v>7</v>
      </c>
      <c r="I384" s="398" t="n">
        <v>6403</v>
      </c>
      <c r="J384" s="398" t="n">
        <v>0</v>
      </c>
      <c r="K384" s="398" t="n">
        <v>0</v>
      </c>
      <c r="L384" s="398" t="n">
        <v>0</v>
      </c>
      <c r="M384" s="398" t="n">
        <v>6403</v>
      </c>
      <c r="N384" s="398" t="n">
        <v>6403</v>
      </c>
      <c r="O384" s="398" t="n">
        <v>6403</v>
      </c>
      <c r="P384" s="292" t="n"/>
      <c r="Q384" s="292" t="inlineStr">
        <is>
          <t>candidate-preflight-passed</t>
        </is>
      </c>
      <c r="R384" s="323" t="inlineStr">
        <is>
          <t>材料Items已占用：漂流大陆印记</t>
        </is>
      </c>
      <c r="S384" s="292" t="inlineStr">
        <is>
          <t>玄渊二十套全装备代码总表.xlsx</t>
        </is>
      </c>
      <c r="T384" s="292" t="inlineStr">
        <is>
          <t>玄渊20套全装备视觉候选；Items/StateItem/DnItems三库同码；属性待策划填写</t>
        </is>
      </c>
      <c r="U384">
        <f>IF(COUNTIF($B$2:$B$1076,B384)&gt;1,"重复","")</f>
        <v/>
      </c>
      <c r="V384">
        <f>IF(AND(OR(M384="",M384=B384),OR(N384="",N384=B384),OR(O384="",O384=B384)),"通过","不一致")</f>
        <v/>
      </c>
    </row>
    <row r="385" ht="22" customHeight="1">
      <c r="A385" s="398" t="n">
        <v>384</v>
      </c>
      <c r="B385" s="398" t="n">
        <v>6404</v>
      </c>
      <c r="C385" s="399" t="inlineStr">
        <is>
          <t>黄金圣树·初誓</t>
        </is>
      </c>
      <c r="D385" s="399" t="inlineStr">
        <is>
          <t>黄金圣树</t>
        </is>
      </c>
      <c r="E385" s="399" t="n">
        <v>1</v>
      </c>
      <c r="F385" s="399" t="inlineStr">
        <is>
          <t>勋章</t>
        </is>
      </c>
      <c r="G385" s="398" t="n">
        <v>30</v>
      </c>
      <c r="H385" s="398" t="n">
        <v>2</v>
      </c>
      <c r="I385" s="398" t="n">
        <v>6404</v>
      </c>
      <c r="J385" s="398" t="n">
        <v>0</v>
      </c>
      <c r="K385" s="398" t="n">
        <v>0</v>
      </c>
      <c r="L385" s="398" t="n">
        <v>0</v>
      </c>
      <c r="M385" s="398" t="n">
        <v>6404</v>
      </c>
      <c r="N385" s="398" t="n">
        <v>6404</v>
      </c>
      <c r="O385" s="398" t="n">
        <v>6404</v>
      </c>
      <c r="P385" s="292" t="n"/>
      <c r="Q385" s="292" t="inlineStr">
        <is>
          <t>candidate-preflight-passed</t>
        </is>
      </c>
      <c r="R385" s="323" t="inlineStr">
        <is>
          <t>材料Items已占用：风暴石片</t>
        </is>
      </c>
      <c r="S385" s="292" t="inlineStr">
        <is>
          <t>玄渊二十套全装备代码总表.xlsx</t>
        </is>
      </c>
      <c r="T385" s="292" t="inlineStr">
        <is>
          <t>玄渊20套全装备视觉候选；Items/StateItem/DnItems三库同码；属性待策划填写</t>
        </is>
      </c>
      <c r="U385">
        <f>IF(COUNTIF($B$2:$B$1076,B385)&gt;1,"重复","")</f>
        <v/>
      </c>
      <c r="V385">
        <f>IF(AND(OR(M385="",M385=B385),OR(N385="",N385=B385),OR(O385="",O385=B385)),"通过","不一致")</f>
        <v/>
      </c>
    </row>
    <row r="386" ht="22" customHeight="1">
      <c r="A386" s="398" t="n">
        <v>385</v>
      </c>
      <c r="B386" s="398" t="n">
        <v>6405</v>
      </c>
      <c r="C386" s="399" t="inlineStr">
        <is>
          <t>黄金圣树·初誓</t>
        </is>
      </c>
      <c r="D386" s="399" t="inlineStr">
        <is>
          <t>黄金圣树</t>
        </is>
      </c>
      <c r="E386" s="399" t="n">
        <v>1</v>
      </c>
      <c r="F386" s="399" t="inlineStr">
        <is>
          <t>盾牌</t>
        </is>
      </c>
      <c r="G386" s="398" t="n">
        <v>12</v>
      </c>
      <c r="H386" s="398" t="n">
        <v>16</v>
      </c>
      <c r="I386" s="398" t="n">
        <v>6405</v>
      </c>
      <c r="J386" s="398" t="n">
        <v>0</v>
      </c>
      <c r="K386" s="398" t="n">
        <v>0</v>
      </c>
      <c r="L386" s="398" t="n">
        <v>0</v>
      </c>
      <c r="M386" s="398" t="n">
        <v>6405</v>
      </c>
      <c r="N386" s="398" t="n">
        <v>6405</v>
      </c>
      <c r="O386" s="398" t="n">
        <v>6405</v>
      </c>
      <c r="P386" s="292" t="n"/>
      <c r="Q386" s="292" t="inlineStr">
        <is>
          <t>candidate-preflight-passed</t>
        </is>
      </c>
      <c r="R386" s="323" t="inlineStr">
        <is>
          <t>材料Items已占用：黄金树芽</t>
        </is>
      </c>
      <c r="S386" s="292" t="inlineStr">
        <is>
          <t>玄渊二十套全装备代码总表.xlsx</t>
        </is>
      </c>
      <c r="T386" s="292" t="inlineStr">
        <is>
          <t>玄渊20套全装备视觉候选；Items/StateItem/DnItems三库同码；属性待策划填写</t>
        </is>
      </c>
      <c r="U386">
        <f>IF(COUNTIF($B$2:$B$1076,B386)&gt;1,"重复","")</f>
        <v/>
      </c>
      <c r="V386">
        <f>IF(AND(OR(M386="",M386=B386),OR(N386="",N386=B386),OR(O386="",O386=B386)),"通过","不一致")</f>
        <v/>
      </c>
    </row>
    <row r="387" ht="22" customHeight="1">
      <c r="A387" s="398" t="n">
        <v>386</v>
      </c>
      <c r="B387" s="398" t="n">
        <v>6406</v>
      </c>
      <c r="C387" s="399" t="inlineStr">
        <is>
          <t>黄金圣树·初誓</t>
        </is>
      </c>
      <c r="D387" s="399" t="inlineStr">
        <is>
          <t>黄金圣树</t>
        </is>
      </c>
      <c r="E387" s="399" t="n">
        <v>1</v>
      </c>
      <c r="F387" s="399" t="inlineStr">
        <is>
          <t>灵玉</t>
        </is>
      </c>
      <c r="G387" s="398" t="n">
        <v>90</v>
      </c>
      <c r="H387" s="398" t="n">
        <v>17</v>
      </c>
      <c r="I387" s="398" t="n">
        <v>6406</v>
      </c>
      <c r="J387" s="398" t="n">
        <v>0</v>
      </c>
      <c r="K387" s="398" t="n">
        <v>0</v>
      </c>
      <c r="L387" s="398" t="n">
        <v>0</v>
      </c>
      <c r="M387" s="398" t="n">
        <v>6406</v>
      </c>
      <c r="N387" s="398" t="n">
        <v>6406</v>
      </c>
      <c r="O387" s="398" t="n">
        <v>6406</v>
      </c>
      <c r="P387" s="292" t="n"/>
      <c r="Q387" s="292" t="inlineStr">
        <is>
          <t>candidate-preflight-passed</t>
        </is>
      </c>
      <c r="R387" s="323" t="inlineStr">
        <is>
          <t>材料Items已占用：接肢王印</t>
        </is>
      </c>
      <c r="S387" s="292" t="inlineStr">
        <is>
          <t>玄渊二十套全装备代码总表.xlsx</t>
        </is>
      </c>
      <c r="T387" s="292" t="inlineStr">
        <is>
          <t>玄渊20套全装备视觉候选；Items/StateItem/DnItems三库同码；属性待策划填写</t>
        </is>
      </c>
      <c r="U387">
        <f>IF(COUNTIF($B$2:$B$1076,B387)&gt;1,"重复","")</f>
        <v/>
      </c>
      <c r="V387">
        <f>IF(AND(OR(M387="",M387=B387),OR(N387="",N387=B387),OR(O387="",O387=B387)),"通过","不一致")</f>
        <v/>
      </c>
    </row>
    <row r="388" ht="22" customHeight="1">
      <c r="A388" s="398" t="n">
        <v>387</v>
      </c>
      <c r="B388" s="398" t="n">
        <v>6407</v>
      </c>
      <c r="C388" s="399" t="inlineStr">
        <is>
          <t>黄金圣树·初誓</t>
        </is>
      </c>
      <c r="D388" s="399" t="inlineStr">
        <is>
          <t>黄金圣树</t>
        </is>
      </c>
      <c r="E388" s="399" t="n">
        <v>1</v>
      </c>
      <c r="F388" s="399" t="inlineStr">
        <is>
          <t>鞋子</t>
        </is>
      </c>
      <c r="G388" s="398" t="n">
        <v>62</v>
      </c>
      <c r="H388" s="398" t="n">
        <v>11</v>
      </c>
      <c r="I388" s="398" t="n">
        <v>6407</v>
      </c>
      <c r="J388" s="398" t="n">
        <v>0</v>
      </c>
      <c r="K388" s="398" t="n">
        <v>0</v>
      </c>
      <c r="L388" s="398" t="n">
        <v>0</v>
      </c>
      <c r="M388" s="398" t="n">
        <v>6407</v>
      </c>
      <c r="N388" s="398" t="n">
        <v>6407</v>
      </c>
      <c r="O388" s="398" t="n">
        <v>6407</v>
      </c>
      <c r="P388" s="292" t="n"/>
      <c r="Q388" s="292" t="inlineStr">
        <is>
          <t>candidate-preflight-passed</t>
        </is>
      </c>
      <c r="R388" s="323" t="inlineStr">
        <is>
          <t>材料Items已占用：风蚀铁片</t>
        </is>
      </c>
      <c r="S388" s="292" t="inlineStr">
        <is>
          <t>玄渊二十套全装备代码总表.xlsx</t>
        </is>
      </c>
      <c r="T388" s="292" t="inlineStr">
        <is>
          <t>玄渊20套全装备视觉候选；Items/StateItem/DnItems三库同码；属性待策划填写</t>
        </is>
      </c>
      <c r="U388">
        <f>IF(COUNTIF($B$2:$B$1076,B388)&gt;1,"重复","")</f>
        <v/>
      </c>
      <c r="V388">
        <f>IF(AND(OR(M388="",M388=B388),OR(N388="",N388=B388),OR(O388="",O388=B388)),"通过","不一致")</f>
        <v/>
      </c>
    </row>
    <row r="389" ht="22" customHeight="1">
      <c r="A389" s="398" t="n">
        <v>388</v>
      </c>
      <c r="B389" s="398" t="n">
        <v>6408</v>
      </c>
      <c r="C389" s="399" t="inlineStr">
        <is>
          <t>黄金圣树·初誓</t>
        </is>
      </c>
      <c r="D389" s="399" t="inlineStr">
        <is>
          <t>黄金圣树</t>
        </is>
      </c>
      <c r="E389" s="399" t="n">
        <v>1</v>
      </c>
      <c r="F389" s="399" t="inlineStr">
        <is>
          <t>腰带</t>
        </is>
      </c>
      <c r="G389" s="398" t="n">
        <v>64</v>
      </c>
      <c r="H389" s="398" t="n">
        <v>10</v>
      </c>
      <c r="I389" s="398" t="n">
        <v>6408</v>
      </c>
      <c r="J389" s="398" t="n">
        <v>0</v>
      </c>
      <c r="K389" s="398" t="n">
        <v>0</v>
      </c>
      <c r="L389" s="398" t="n">
        <v>0</v>
      </c>
      <c r="M389" s="398" t="n">
        <v>6408</v>
      </c>
      <c r="N389" s="398" t="n">
        <v>6408</v>
      </c>
      <c r="O389" s="398" t="n">
        <v>6408</v>
      </c>
      <c r="P389" s="292" t="n"/>
      <c r="Q389" s="292" t="inlineStr">
        <is>
          <t>candidate-preflight-passed</t>
        </is>
      </c>
      <c r="R389" s="323" t="inlineStr">
        <is>
          <t>材料Items已占用：西境战旗</t>
        </is>
      </c>
      <c r="S389" s="292" t="inlineStr">
        <is>
          <t>玄渊二十套全装备代码总表.xlsx</t>
        </is>
      </c>
      <c r="T389" s="292" t="inlineStr">
        <is>
          <t>玄渊20套全装备视觉候选；Items/StateItem/DnItems三库同码；属性待策划填写</t>
        </is>
      </c>
      <c r="U389">
        <f>IF(COUNTIF($B$2:$B$1076,B389)&gt;1,"重复","")</f>
        <v/>
      </c>
      <c r="V389">
        <f>IF(AND(OR(M389="",M389=B389),OR(N389="",N389=B389),OR(O389="",O389=B389)),"通过","不一致")</f>
        <v/>
      </c>
    </row>
    <row r="390" ht="22" customHeight="1">
      <c r="A390" s="398" t="n">
        <v>389</v>
      </c>
      <c r="B390" s="398" t="n">
        <v>6409</v>
      </c>
      <c r="C390" s="399" t="inlineStr">
        <is>
          <t>黄金圣树·初誓</t>
        </is>
      </c>
      <c r="D390" s="399" t="inlineStr">
        <is>
          <t>黄金圣树</t>
        </is>
      </c>
      <c r="E390" s="399" t="n">
        <v>1</v>
      </c>
      <c r="F390" s="399" t="inlineStr">
        <is>
          <t>护身符</t>
        </is>
      </c>
      <c r="G390" s="398" t="n">
        <v>25</v>
      </c>
      <c r="H390" s="398" t="n">
        <v>9</v>
      </c>
      <c r="I390" s="398" t="n">
        <v>6409</v>
      </c>
      <c r="J390" s="398" t="n">
        <v>0</v>
      </c>
      <c r="K390" s="398" t="n">
        <v>0</v>
      </c>
      <c r="L390" s="398" t="n">
        <v>0</v>
      </c>
      <c r="M390" s="398" t="n">
        <v>6409</v>
      </c>
      <c r="N390" s="398" t="n">
        <v>6409</v>
      </c>
      <c r="O390" s="398" t="n">
        <v>6409</v>
      </c>
      <c r="P390" s="292" t="n"/>
      <c r="Q390" s="292" t="inlineStr">
        <is>
          <t>candidate-preflight-passed</t>
        </is>
      </c>
      <c r="R390" s="323" t="inlineStr">
        <is>
          <t>材料Items已占用：西境战旗印</t>
        </is>
      </c>
      <c r="S390" s="292" t="inlineStr">
        <is>
          <t>玄渊二十套全装备代码总表.xlsx</t>
        </is>
      </c>
      <c r="T390" s="292" t="inlineStr">
        <is>
          <t>玄渊20套全装备视觉候选；Items/StateItem/DnItems三库同码；属性待策划填写</t>
        </is>
      </c>
      <c r="U390">
        <f>IF(COUNTIF($B$2:$B$1076,B390)&gt;1,"重复","")</f>
        <v/>
      </c>
      <c r="V390">
        <f>IF(AND(OR(M390="",M390=B390),OR(N390="",N390=B390),OR(O390="",O390=B390)),"通过","不一致")</f>
        <v/>
      </c>
    </row>
    <row r="391" ht="22" customHeight="1">
      <c r="A391" s="398" t="n">
        <v>390</v>
      </c>
      <c r="B391" s="398" t="n">
        <v>6410</v>
      </c>
      <c r="C391" s="399" t="inlineStr">
        <is>
          <t>黄金圣树·初誓</t>
        </is>
      </c>
      <c r="D391" s="399" t="inlineStr">
        <is>
          <t>黄金圣树</t>
        </is>
      </c>
      <c r="E391" s="399" t="n">
        <v>1</v>
      </c>
      <c r="F391" s="399" t="inlineStr">
        <is>
          <t>宝石</t>
        </is>
      </c>
      <c r="G391" s="398" t="n">
        <v>63</v>
      </c>
      <c r="H391" s="398" t="n">
        <v>12</v>
      </c>
      <c r="I391" s="398" t="n">
        <v>6410</v>
      </c>
      <c r="J391" s="398" t="n">
        <v>0</v>
      </c>
      <c r="K391" s="398" t="n">
        <v>0</v>
      </c>
      <c r="L391" s="398" t="n">
        <v>0</v>
      </c>
      <c r="M391" s="398" t="n">
        <v>6410</v>
      </c>
      <c r="N391" s="398" t="n">
        <v>6410</v>
      </c>
      <c r="O391" s="398" t="n">
        <v>6410</v>
      </c>
      <c r="P391" s="292" t="n"/>
      <c r="Q391" s="292" t="inlineStr">
        <is>
          <t>candidate-preflight-passed</t>
        </is>
      </c>
      <c r="R391" s="323" t="inlineStr">
        <is>
          <t>材料Items已占用：湖盐结晶</t>
        </is>
      </c>
      <c r="S391" s="292" t="inlineStr">
        <is>
          <t>玄渊二十套全装备代码总表.xlsx</t>
        </is>
      </c>
      <c r="T391" s="292" t="inlineStr">
        <is>
          <t>玄渊20套全装备视觉候选；Items/StateItem/DnItems三库同码；属性待策划填写</t>
        </is>
      </c>
      <c r="U391">
        <f>IF(COUNTIF($B$2:$B$1076,B391)&gt;1,"重复","")</f>
        <v/>
      </c>
      <c r="V391">
        <f>IF(AND(OR(M391="",M391=B391),OR(N391="",N391=B391),OR(O391="",O391=B391)),"通过","不一致")</f>
        <v/>
      </c>
    </row>
    <row r="392" ht="22" customHeight="1">
      <c r="A392" s="398" t="n">
        <v>391</v>
      </c>
      <c r="B392" s="398" t="n">
        <v>6411</v>
      </c>
      <c r="C392" s="399" t="inlineStr">
        <is>
          <t>黄金圣树·初誓</t>
        </is>
      </c>
      <c r="D392" s="399" t="inlineStr">
        <is>
          <t>黄金圣树</t>
        </is>
      </c>
      <c r="E392" s="399" t="n">
        <v>1</v>
      </c>
      <c r="F392" s="399" t="inlineStr">
        <is>
          <t>军鼓</t>
        </is>
      </c>
      <c r="G392" s="398" t="n">
        <v>65</v>
      </c>
      <c r="H392" s="398" t="n">
        <v>14</v>
      </c>
      <c r="I392" s="398" t="n">
        <v>6411</v>
      </c>
      <c r="J392" s="398" t="n">
        <v>0</v>
      </c>
      <c r="K392" s="398" t="n">
        <v>0</v>
      </c>
      <c r="L392" s="398" t="n">
        <v>0</v>
      </c>
      <c r="M392" s="398" t="n">
        <v>6411</v>
      </c>
      <c r="N392" s="398" t="n">
        <v>6411</v>
      </c>
      <c r="O392" s="398" t="n">
        <v>6411</v>
      </c>
      <c r="P392" s="292" t="n"/>
      <c r="Q392" s="292" t="inlineStr">
        <is>
          <t>candidate-preflight-passed</t>
        </is>
      </c>
      <c r="R392" s="323" t="inlineStr">
        <is>
          <t>材料Items已占用：幽船铆钉</t>
        </is>
      </c>
      <c r="S392" s="292" t="inlineStr">
        <is>
          <t>玄渊二十套全装备代码总表.xlsx</t>
        </is>
      </c>
      <c r="T392" s="292" t="inlineStr">
        <is>
          <t>玄渊20套全装备视觉候选；Items/StateItem/DnItems三库同码；属性待策划填写</t>
        </is>
      </c>
      <c r="U392">
        <f>IF(COUNTIF($B$2:$B$1076,B392)&gt;1,"重复","")</f>
        <v/>
      </c>
      <c r="V392">
        <f>IF(AND(OR(M392="",M392=B392),OR(N392="",N392=B392),OR(O392="",O392=B392)),"通过","不一致")</f>
        <v/>
      </c>
    </row>
    <row r="393" ht="22" customHeight="1">
      <c r="A393" s="398" t="n">
        <v>392</v>
      </c>
      <c r="B393" s="398" t="n">
        <v>6412</v>
      </c>
      <c r="C393" s="399" t="inlineStr">
        <is>
          <t>黄金圣树·初誓</t>
        </is>
      </c>
      <c r="D393" s="399" t="inlineStr">
        <is>
          <t>黄金圣树</t>
        </is>
      </c>
      <c r="E393" s="399" t="n">
        <v>1</v>
      </c>
      <c r="F393" s="399" t="inlineStr">
        <is>
          <t>马牌</t>
        </is>
      </c>
      <c r="G393" s="398" t="n">
        <v>28</v>
      </c>
      <c r="H393" s="398" t="n">
        <v>15</v>
      </c>
      <c r="I393" s="398" t="n">
        <v>6412</v>
      </c>
      <c r="J393" s="398" t="n">
        <v>0</v>
      </c>
      <c r="K393" s="398" t="n">
        <v>0</v>
      </c>
      <c r="L393" s="398" t="n">
        <v>0</v>
      </c>
      <c r="M393" s="398" t="n">
        <v>6412</v>
      </c>
      <c r="N393" s="398" t="n">
        <v>6412</v>
      </c>
      <c r="O393" s="398" t="n">
        <v>6412</v>
      </c>
      <c r="P393" s="292" t="n"/>
      <c r="Q393" s="292" t="inlineStr">
        <is>
          <t>candidate-preflight-passed</t>
        </is>
      </c>
      <c r="R393" s="323" t="inlineStr">
        <is>
          <t>材料Items已占用：沉湖王印</t>
        </is>
      </c>
      <c r="S393" s="292" t="inlineStr">
        <is>
          <t>玄渊二十套全装备代码总表.xlsx</t>
        </is>
      </c>
      <c r="T393" s="292" t="inlineStr">
        <is>
          <t>玄渊20套全装备视觉候选；Items/StateItem/DnItems三库同码；属性待策划填写</t>
        </is>
      </c>
      <c r="U393">
        <f>IF(COUNTIF($B$2:$B$1076,B393)&gt;1,"重复","")</f>
        <v/>
      </c>
      <c r="V393">
        <f>IF(AND(OR(M393="",M393=B393),OR(N393="",N393=B393),OR(O393="",O393=B393)),"通过","不一致")</f>
        <v/>
      </c>
    </row>
    <row r="394" ht="22" customHeight="1">
      <c r="A394" s="398" t="n">
        <v>393</v>
      </c>
      <c r="B394" s="398" t="n">
        <v>6413</v>
      </c>
      <c r="C394" s="399" t="inlineStr">
        <is>
          <t>黄金圣树·初誓</t>
        </is>
      </c>
      <c r="D394" s="399" t="inlineStr">
        <is>
          <t>黄金圣树</t>
        </is>
      </c>
      <c r="E394" s="399" t="n">
        <v>1</v>
      </c>
      <c r="F394" s="399" t="inlineStr">
        <is>
          <t>首饰盒1</t>
        </is>
      </c>
      <c r="G394" s="398" t="n">
        <v>22</v>
      </c>
      <c r="H394" s="398" t="n">
        <v>30</v>
      </c>
      <c r="I394" s="398" t="n">
        <v>6413</v>
      </c>
      <c r="J394" s="398" t="n">
        <v>0</v>
      </c>
      <c r="K394" s="398" t="n">
        <v>2</v>
      </c>
      <c r="L394" s="398" t="n">
        <v>1</v>
      </c>
      <c r="M394" s="398" t="n">
        <v>6413</v>
      </c>
      <c r="N394" s="398" t="n">
        <v>6413</v>
      </c>
      <c r="O394" s="398" t="n">
        <v>6413</v>
      </c>
      <c r="P394" s="292" t="n"/>
      <c r="Q394" s="292" t="inlineStr">
        <is>
          <t>candidate-preflight-passed</t>
        </is>
      </c>
      <c r="R394" s="323" t="inlineStr">
        <is>
          <t>材料Items已占用：辉石碎晶</t>
        </is>
      </c>
      <c r="S394" s="292" t="inlineStr">
        <is>
          <t>玄渊二十套全装备代码总表.xlsx</t>
        </is>
      </c>
      <c r="T394" s="292" t="inlineStr">
        <is>
          <t>玄渊20套全装备视觉候选；Items/StateItem/DnItems三库同码；属性待策划填写；OverLap=2; Expand1=1</t>
        </is>
      </c>
      <c r="U394">
        <f>IF(COUNTIF($B$2:$B$1076,B394)&gt;1,"重复","")</f>
        <v/>
      </c>
      <c r="V394">
        <f>IF(AND(OR(M394="",M394=B394),OR(N394="",N394=B394),OR(O394="",O394=B394)),"通过","不一致")</f>
        <v/>
      </c>
    </row>
    <row r="395" ht="22" customHeight="1">
      <c r="A395" s="398" t="n">
        <v>394</v>
      </c>
      <c r="B395" s="398" t="n">
        <v>6414</v>
      </c>
      <c r="C395" s="399" t="inlineStr">
        <is>
          <t>黄金圣树·初誓</t>
        </is>
      </c>
      <c r="D395" s="399" t="inlineStr">
        <is>
          <t>黄金圣树</t>
        </is>
      </c>
      <c r="E395" s="399" t="n">
        <v>1</v>
      </c>
      <c r="F395" s="399" t="inlineStr">
        <is>
          <t>首饰盒2</t>
        </is>
      </c>
      <c r="G395" s="398" t="n">
        <v>22</v>
      </c>
      <c r="H395" s="398" t="n">
        <v>31</v>
      </c>
      <c r="I395" s="398" t="n">
        <v>6414</v>
      </c>
      <c r="J395" s="398" t="n">
        <v>0</v>
      </c>
      <c r="K395" s="398" t="n">
        <v>2</v>
      </c>
      <c r="L395" s="398" t="n">
        <v>2</v>
      </c>
      <c r="M395" s="398" t="n">
        <v>6414</v>
      </c>
      <c r="N395" s="398" t="n">
        <v>6414</v>
      </c>
      <c r="O395" s="398" t="n">
        <v>6414</v>
      </c>
      <c r="P395" s="292" t="n"/>
      <c r="Q395" s="292" t="inlineStr">
        <is>
          <t>candidate-preflight-passed</t>
        </is>
      </c>
      <c r="R395" s="323" t="inlineStr">
        <is>
          <t>材料Items已占用：卡利亚月露</t>
        </is>
      </c>
      <c r="S395" s="292" t="inlineStr">
        <is>
          <t>玄渊二十套全装备代码总表.xlsx</t>
        </is>
      </c>
      <c r="T395" s="292" t="inlineStr">
        <is>
          <t>玄渊20套全装备视觉候选；Items/StateItem/DnItems三库同码；属性待策划填写；OverLap=2; Expand1=2</t>
        </is>
      </c>
      <c r="U395">
        <f>IF(COUNTIF($B$2:$B$1076,B395)&gt;1,"重复","")</f>
        <v/>
      </c>
      <c r="V395">
        <f>IF(AND(OR(M395="",M395=B395),OR(N395="",N395=B395),OR(O395="",O395=B395)),"通过","不一致")</f>
        <v/>
      </c>
    </row>
    <row r="396" ht="22" customHeight="1">
      <c r="A396" s="398" t="n">
        <v>395</v>
      </c>
      <c r="B396" s="398" t="n">
        <v>6415</v>
      </c>
      <c r="C396" s="399" t="inlineStr">
        <is>
          <t>黄金圣树·初誓</t>
        </is>
      </c>
      <c r="D396" s="399" t="inlineStr">
        <is>
          <t>黄金圣树</t>
        </is>
      </c>
      <c r="E396" s="399" t="n">
        <v>1</v>
      </c>
      <c r="F396" s="399" t="inlineStr">
        <is>
          <t>首饰盒3</t>
        </is>
      </c>
      <c r="G396" s="398" t="n">
        <v>22</v>
      </c>
      <c r="H396" s="398" t="n">
        <v>32</v>
      </c>
      <c r="I396" s="398" t="n">
        <v>6415</v>
      </c>
      <c r="J396" s="398" t="n">
        <v>0</v>
      </c>
      <c r="K396" s="398" t="n">
        <v>2</v>
      </c>
      <c r="L396" s="398" t="n">
        <v>3</v>
      </c>
      <c r="M396" s="398" t="n">
        <v>6415</v>
      </c>
      <c r="N396" s="398" t="n">
        <v>6415</v>
      </c>
      <c r="O396" s="398" t="n">
        <v>6415</v>
      </c>
      <c r="P396" s="292" t="n"/>
      <c r="Q396" s="292" t="inlineStr">
        <is>
          <t>candidate-preflight-passed</t>
        </is>
      </c>
      <c r="R396" s="323" t="inlineStr">
        <is>
          <t>材料Items已占用：满月王室印</t>
        </is>
      </c>
      <c r="S396" s="292" t="inlineStr">
        <is>
          <t>玄渊二十套全装备代码总表.xlsx</t>
        </is>
      </c>
      <c r="T396" s="292" t="inlineStr">
        <is>
          <t>玄渊20套全装备视觉候选；Items/StateItem/DnItems三库同码；属性待策划填写；OverLap=2; Expand1=3</t>
        </is>
      </c>
      <c r="U396">
        <f>IF(COUNTIF($B$2:$B$1076,B396)&gt;1,"重复","")</f>
        <v/>
      </c>
      <c r="V396">
        <f>IF(AND(OR(M396="",M396=B396),OR(N396="",N396=B396),OR(O396="",O396=B396)),"通过","不一致")</f>
        <v/>
      </c>
    </row>
    <row r="397" ht="22" customHeight="1">
      <c r="A397" s="398" t="n">
        <v>396</v>
      </c>
      <c r="B397" s="398" t="n">
        <v>6416</v>
      </c>
      <c r="C397" s="399" t="inlineStr">
        <is>
          <t>黄金圣树·初誓</t>
        </is>
      </c>
      <c r="D397" s="399" t="inlineStr">
        <is>
          <t>黄金圣树</t>
        </is>
      </c>
      <c r="E397" s="399" t="n">
        <v>1</v>
      </c>
      <c r="F397" s="399" t="inlineStr">
        <is>
          <t>首饰盒4</t>
        </is>
      </c>
      <c r="G397" s="398" t="n">
        <v>22</v>
      </c>
      <c r="H397" s="398" t="n">
        <v>33</v>
      </c>
      <c r="I397" s="398" t="n">
        <v>6416</v>
      </c>
      <c r="J397" s="398" t="n">
        <v>0</v>
      </c>
      <c r="K397" s="398" t="n">
        <v>2</v>
      </c>
      <c r="L397" s="398" t="n">
        <v>4</v>
      </c>
      <c r="M397" s="398" t="n">
        <v>6416</v>
      </c>
      <c r="N397" s="398" t="n">
        <v>6416</v>
      </c>
      <c r="O397" s="398" t="n">
        <v>6416</v>
      </c>
      <c r="P397" s="292" t="n"/>
      <c r="Q397" s="292" t="inlineStr">
        <is>
          <t>candidate-preflight-passed</t>
        </is>
      </c>
      <c r="R397" s="323" t="inlineStr">
        <is>
          <t>材料Items已占用：猩红矿渣</t>
        </is>
      </c>
      <c r="S397" s="292" t="inlineStr">
        <is>
          <t>玄渊二十套全装备代码总表.xlsx</t>
        </is>
      </c>
      <c r="T397" s="292" t="inlineStr">
        <is>
          <t>玄渊20套全装备视觉候选；Items/StateItem/DnItems三库同码；属性待策划填写；OverLap=2; Expand1=4</t>
        </is>
      </c>
      <c r="U397">
        <f>IF(COUNTIF($B$2:$B$1076,B397)&gt;1,"重复","")</f>
        <v/>
      </c>
      <c r="V397">
        <f>IF(AND(OR(M397="",M397=B397),OR(N397="",N397=B397),OR(O397="",O397=B397)),"通过","不一致")</f>
        <v/>
      </c>
    </row>
    <row r="398" ht="22" customHeight="1">
      <c r="A398" s="398" t="n">
        <v>397</v>
      </c>
      <c r="B398" s="398" t="n">
        <v>6417</v>
      </c>
      <c r="C398" s="399" t="inlineStr">
        <is>
          <t>黄金圣树·初誓</t>
        </is>
      </c>
      <c r="D398" s="399" t="inlineStr">
        <is>
          <t>黄金圣树</t>
        </is>
      </c>
      <c r="E398" s="399" t="n">
        <v>1</v>
      </c>
      <c r="F398" s="399" t="inlineStr">
        <is>
          <t>首饰盒5</t>
        </is>
      </c>
      <c r="G398" s="398" t="n">
        <v>22</v>
      </c>
      <c r="H398" s="398" t="n">
        <v>34</v>
      </c>
      <c r="I398" s="398" t="n">
        <v>6417</v>
      </c>
      <c r="J398" s="398" t="n">
        <v>0</v>
      </c>
      <c r="K398" s="398" t="n">
        <v>2</v>
      </c>
      <c r="L398" s="398" t="n">
        <v>5</v>
      </c>
      <c r="M398" s="398" t="n">
        <v>6417</v>
      </c>
      <c r="N398" s="398" t="n">
        <v>6417</v>
      </c>
      <c r="O398" s="398" t="n">
        <v>6417</v>
      </c>
      <c r="P398" s="292" t="n"/>
      <c r="Q398" s="292" t="inlineStr">
        <is>
          <t>candidate-preflight-passed</t>
        </is>
      </c>
      <c r="R398" s="323" t="inlineStr">
        <is>
          <t>材料Items已占用：龙火鳞</t>
        </is>
      </c>
      <c r="S398" s="292" t="inlineStr">
        <is>
          <t>玄渊二十套全装备代码总表.xlsx</t>
        </is>
      </c>
      <c r="T398" s="292" t="inlineStr">
        <is>
          <t>玄渊20套全装备视觉候选；Items/StateItem/DnItems三库同码；属性待策划填写；OverLap=2; Expand1=5</t>
        </is>
      </c>
      <c r="U398">
        <f>IF(COUNTIF($B$2:$B$1076,B398)&gt;1,"重复","")</f>
        <v/>
      </c>
      <c r="V398">
        <f>IF(AND(OR(M398="",M398=B398),OR(N398="",N398=B398),OR(O398="",O398=B398)),"通过","不一致")</f>
        <v/>
      </c>
    </row>
    <row r="399" ht="22" customHeight="1">
      <c r="A399" s="398" t="n">
        <v>398</v>
      </c>
      <c r="B399" s="398" t="n">
        <v>6418</v>
      </c>
      <c r="C399" s="399" t="inlineStr">
        <is>
          <t>黄金圣树·初誓</t>
        </is>
      </c>
      <c r="D399" s="399" t="inlineStr">
        <is>
          <t>黄金圣树</t>
        </is>
      </c>
      <c r="E399" s="399" t="n">
        <v>1</v>
      </c>
      <c r="F399" s="399" t="inlineStr">
        <is>
          <t>首饰盒6</t>
        </is>
      </c>
      <c r="G399" s="398" t="n">
        <v>22</v>
      </c>
      <c r="H399" s="398" t="n">
        <v>35</v>
      </c>
      <c r="I399" s="398" t="n">
        <v>6418</v>
      </c>
      <c r="J399" s="398" t="n">
        <v>0</v>
      </c>
      <c r="K399" s="398" t="n">
        <v>2</v>
      </c>
      <c r="L399" s="398" t="n">
        <v>6</v>
      </c>
      <c r="M399" s="398" t="n">
        <v>6418</v>
      </c>
      <c r="N399" s="398" t="n">
        <v>6418</v>
      </c>
      <c r="O399" s="398" t="n">
        <v>6418</v>
      </c>
      <c r="P399" s="292" t="n"/>
      <c r="Q399" s="292" t="inlineStr">
        <is>
          <t>candidate-preflight-passed</t>
        </is>
      </c>
      <c r="R399" s="323" t="inlineStr">
        <is>
          <t>材料Items已占用：红狮战印</t>
        </is>
      </c>
      <c r="S399" s="292" t="inlineStr">
        <is>
          <t>玄渊二十套全装备代码总表.xlsx</t>
        </is>
      </c>
      <c r="T399" s="292" t="inlineStr">
        <is>
          <t>玄渊20套全装备视觉候选；Items/StateItem/DnItems三库同码；属性待策划填写；OverLap=2; Expand1=6</t>
        </is>
      </c>
      <c r="U399">
        <f>IF(COUNTIF($B$2:$B$1076,B399)&gt;1,"重复","")</f>
        <v/>
      </c>
      <c r="V399">
        <f>IF(AND(OR(M399="",M399=B399),OR(N399="",N399=B399),OR(O399="",O399=B399)),"通过","不一致")</f>
        <v/>
      </c>
    </row>
    <row r="400" ht="22" customHeight="1">
      <c r="A400" s="398" t="n">
        <v>399</v>
      </c>
      <c r="B400" s="398" t="n">
        <v>6419</v>
      </c>
      <c r="C400" s="399" t="inlineStr">
        <is>
          <t>黄金圣树·初誓</t>
        </is>
      </c>
      <c r="D400" s="399" t="inlineStr">
        <is>
          <t>黄金圣树</t>
        </is>
      </c>
      <c r="E400" s="399" t="n">
        <v>1</v>
      </c>
      <c r="F400" s="399" t="inlineStr">
        <is>
          <t>生肖1</t>
        </is>
      </c>
      <c r="G400" s="398" t="n">
        <v>22</v>
      </c>
      <c r="H400" s="398" t="n">
        <v>40</v>
      </c>
      <c r="I400" s="398" t="n">
        <v>6419</v>
      </c>
      <c r="J400" s="398" t="n">
        <v>0</v>
      </c>
      <c r="K400" s="398" t="n">
        <v>4</v>
      </c>
      <c r="L400" s="398" t="n">
        <v>1</v>
      </c>
      <c r="M400" s="398" t="n">
        <v>6419</v>
      </c>
      <c r="N400" s="398" t="n">
        <v>6419</v>
      </c>
      <c r="O400" s="398" t="n">
        <v>6419</v>
      </c>
      <c r="P400" s="292" t="n"/>
      <c r="Q400" s="292" t="inlineStr">
        <is>
          <t>candidate-preflight-passed</t>
        </is>
      </c>
      <c r="R400" s="323" t="inlineStr">
        <is>
          <t>材料Items已占用：冻晶尘</t>
        </is>
      </c>
      <c r="S400" s="292" t="inlineStr">
        <is>
          <t>玄渊二十套全装备代码总表.xlsx</t>
        </is>
      </c>
      <c r="T400" s="292" t="inlineStr">
        <is>
          <t>玄渊20套全装备视觉候选；Items/StateItem/DnItems三库同码；属性待策划填写；OverLap=4; Expand1=1</t>
        </is>
      </c>
      <c r="U400">
        <f>IF(COUNTIF($B$2:$B$1076,B400)&gt;1,"重复","")</f>
        <v/>
      </c>
      <c r="V400">
        <f>IF(AND(OR(M400="",M400=B400),OR(N400="",N400=B400),OR(O400="",O400=B400)),"通过","不一致")</f>
        <v/>
      </c>
    </row>
    <row r="401" ht="22" customHeight="1">
      <c r="A401" s="398" t="n">
        <v>400</v>
      </c>
      <c r="B401" s="398" t="n">
        <v>6420</v>
      </c>
      <c r="C401" s="399" t="inlineStr">
        <is>
          <t>黄金圣树·初誓</t>
        </is>
      </c>
      <c r="D401" s="399" t="inlineStr">
        <is>
          <t>黄金圣树</t>
        </is>
      </c>
      <c r="E401" s="399" t="n">
        <v>1</v>
      </c>
      <c r="F401" s="399" t="inlineStr">
        <is>
          <t>生肖2</t>
        </is>
      </c>
      <c r="G401" s="398" t="n">
        <v>22</v>
      </c>
      <c r="H401" s="398" t="n">
        <v>41</v>
      </c>
      <c r="I401" s="398" t="n">
        <v>6420</v>
      </c>
      <c r="J401" s="398" t="n">
        <v>0</v>
      </c>
      <c r="K401" s="398" t="n">
        <v>4</v>
      </c>
      <c r="L401" s="398" t="n">
        <v>2</v>
      </c>
      <c r="M401" s="398" t="n">
        <v>6420</v>
      </c>
      <c r="N401" s="398" t="n">
        <v>6420</v>
      </c>
      <c r="O401" s="398" t="n">
        <v>6420</v>
      </c>
      <c r="P401" s="292" t="n"/>
      <c r="Q401" s="292" t="inlineStr">
        <is>
          <t>candidate-preflight-passed</t>
        </is>
      </c>
      <c r="R401" s="323" t="inlineStr">
        <is>
          <t>材料Items已占用：白金纺线</t>
        </is>
      </c>
      <c r="S401" s="292" t="inlineStr">
        <is>
          <t>玄渊二十套全装备代码总表.xlsx</t>
        </is>
      </c>
      <c r="T401" s="292" t="inlineStr">
        <is>
          <t>玄渊20套全装备视觉候选；Items/StateItem/DnItems三库同码；属性待策划填写；OverLap=4; Expand1=2</t>
        </is>
      </c>
      <c r="U401">
        <f>IF(COUNTIF($B$2:$B$1076,B401)&gt;1,"重复","")</f>
        <v/>
      </c>
      <c r="V401">
        <f>IF(AND(OR(M401="",M401=B401),OR(N401="",N401=B401),OR(O401="",O401=B401)),"通过","不一致")</f>
        <v/>
      </c>
    </row>
    <row r="402" ht="22" customHeight="1">
      <c r="A402" s="398" t="n">
        <v>401</v>
      </c>
      <c r="B402" s="398" t="n">
        <v>6421</v>
      </c>
      <c r="C402" s="399" t="inlineStr">
        <is>
          <t>黄金圣树·初誓</t>
        </is>
      </c>
      <c r="D402" s="399" t="inlineStr">
        <is>
          <t>黄金圣树</t>
        </is>
      </c>
      <c r="E402" s="399" t="n">
        <v>1</v>
      </c>
      <c r="F402" s="399" t="inlineStr">
        <is>
          <t>生肖3</t>
        </is>
      </c>
      <c r="G402" s="398" t="n">
        <v>22</v>
      </c>
      <c r="H402" s="398" t="n">
        <v>42</v>
      </c>
      <c r="I402" s="398" t="n">
        <v>6421</v>
      </c>
      <c r="J402" s="398" t="n">
        <v>0</v>
      </c>
      <c r="K402" s="398" t="n">
        <v>4</v>
      </c>
      <c r="L402" s="398" t="n">
        <v>3</v>
      </c>
      <c r="M402" s="398" t="n">
        <v>6421</v>
      </c>
      <c r="N402" s="398" t="n">
        <v>6421</v>
      </c>
      <c r="O402" s="398" t="n">
        <v>6421</v>
      </c>
      <c r="P402" s="292" t="n"/>
      <c r="Q402" s="292" t="inlineStr">
        <is>
          <t>candidate-preflight-passed</t>
        </is>
      </c>
      <c r="R402" s="323" t="inlineStr">
        <is>
          <t>材料Items已占用：圣雪誓印</t>
        </is>
      </c>
      <c r="S402" s="292" t="inlineStr">
        <is>
          <t>玄渊二十套全装备代码总表.xlsx</t>
        </is>
      </c>
      <c r="T402" s="292" t="inlineStr">
        <is>
          <t>玄渊20套全装备视觉候选；Items/StateItem/DnItems三库同码；属性待策划填写；OverLap=4; Expand1=3</t>
        </is>
      </c>
      <c r="U402">
        <f>IF(COUNTIF($B$2:$B$1076,B402)&gt;1,"重复","")</f>
        <v/>
      </c>
      <c r="V402">
        <f>IF(AND(OR(M402="",M402=B402),OR(N402="",N402=B402),OR(O402="",O402=B402)),"通过","不一致")</f>
        <v/>
      </c>
    </row>
    <row r="403" ht="22" customHeight="1">
      <c r="A403" s="398" t="n">
        <v>402</v>
      </c>
      <c r="B403" s="398" t="n">
        <v>6422</v>
      </c>
      <c r="C403" s="399" t="inlineStr">
        <is>
          <t>黄金圣树·初誓</t>
        </is>
      </c>
      <c r="D403" s="399" t="inlineStr">
        <is>
          <t>黄金圣树</t>
        </is>
      </c>
      <c r="E403" s="399" t="n">
        <v>1</v>
      </c>
      <c r="F403" s="399" t="inlineStr">
        <is>
          <t>生肖4</t>
        </is>
      </c>
      <c r="G403" s="398" t="n">
        <v>22</v>
      </c>
      <c r="H403" s="398" t="n">
        <v>43</v>
      </c>
      <c r="I403" s="398" t="n">
        <v>6422</v>
      </c>
      <c r="J403" s="398" t="n">
        <v>0</v>
      </c>
      <c r="K403" s="398" t="n">
        <v>4</v>
      </c>
      <c r="L403" s="398" t="n">
        <v>4</v>
      </c>
      <c r="M403" s="398" t="n">
        <v>6422</v>
      </c>
      <c r="N403" s="398" t="n">
        <v>6422</v>
      </c>
      <c r="O403" s="398" t="n">
        <v>6422</v>
      </c>
      <c r="P403" s="292" t="n"/>
      <c r="Q403" s="292" t="inlineStr">
        <is>
          <t>candidate-preflight-passed</t>
        </is>
      </c>
      <c r="R403" s="323" t="inlineStr">
        <is>
          <t>材料Items已占用：霜脊铁</t>
        </is>
      </c>
      <c r="S403" s="292" t="inlineStr">
        <is>
          <t>玄渊二十套全装备代码总表.xlsx</t>
        </is>
      </c>
      <c r="T403" s="292" t="inlineStr">
        <is>
          <t>玄渊20套全装备视觉候选；Items/StateItem/DnItems三库同码；属性待策划填写；OverLap=4; Expand1=4</t>
        </is>
      </c>
      <c r="U403">
        <f>IF(COUNTIF($B$2:$B$1076,B403)&gt;1,"重复","")</f>
        <v/>
      </c>
      <c r="V403">
        <f>IF(AND(OR(M403="",M403=B403),OR(N403="",N403=B403),OR(O403="",O403=B403)),"通过","不一致")</f>
        <v/>
      </c>
    </row>
    <row r="404" ht="22" customHeight="1">
      <c r="A404" s="398" t="n">
        <v>403</v>
      </c>
      <c r="B404" s="398" t="n">
        <v>6423</v>
      </c>
      <c r="C404" s="399" t="inlineStr">
        <is>
          <t>黄金圣树·初誓</t>
        </is>
      </c>
      <c r="D404" s="399" t="inlineStr">
        <is>
          <t>黄金圣树</t>
        </is>
      </c>
      <c r="E404" s="399" t="n">
        <v>1</v>
      </c>
      <c r="F404" s="399" t="inlineStr">
        <is>
          <t>生肖5</t>
        </is>
      </c>
      <c r="G404" s="398" t="n">
        <v>22</v>
      </c>
      <c r="H404" s="398" t="n">
        <v>44</v>
      </c>
      <c r="I404" s="398" t="n">
        <v>6423</v>
      </c>
      <c r="J404" s="398" t="n">
        <v>0</v>
      </c>
      <c r="K404" s="398" t="n">
        <v>4</v>
      </c>
      <c r="L404" s="398" t="n">
        <v>5</v>
      </c>
      <c r="M404" s="398" t="n">
        <v>6423</v>
      </c>
      <c r="N404" s="398" t="n">
        <v>6423</v>
      </c>
      <c r="O404" s="398" t="n">
        <v>6423</v>
      </c>
      <c r="P404" s="292" t="n"/>
      <c r="Q404" s="292" t="inlineStr">
        <is>
          <t>candidate-preflight-passed</t>
        </is>
      </c>
      <c r="R404" s="323" t="inlineStr">
        <is>
          <t>材料Items已占用：巨人火种</t>
        </is>
      </c>
      <c r="S404" s="292" t="inlineStr">
        <is>
          <t>玄渊二十套全装备代码总表.xlsx</t>
        </is>
      </c>
      <c r="T404" s="292" t="inlineStr">
        <is>
          <t>玄渊20套全装备视觉候选；Items/StateItem/DnItems三库同码；属性待策划填写；OverLap=4; Expand1=5</t>
        </is>
      </c>
      <c r="U404">
        <f>IF(COUNTIF($B$2:$B$1076,B404)&gt;1,"重复","")</f>
        <v/>
      </c>
      <c r="V404">
        <f>IF(AND(OR(M404="",M404=B404),OR(N404="",N404=B404),OR(O404="",O404=B404)),"通过","不一致")</f>
        <v/>
      </c>
    </row>
    <row r="405" ht="22" customHeight="1">
      <c r="A405" s="398" t="n">
        <v>404</v>
      </c>
      <c r="B405" s="398" t="n">
        <v>6424</v>
      </c>
      <c r="C405" s="399" t="inlineStr">
        <is>
          <t>黄金圣树·初誓</t>
        </is>
      </c>
      <c r="D405" s="399" t="inlineStr">
        <is>
          <t>黄金圣树</t>
        </is>
      </c>
      <c r="E405" s="399" t="n">
        <v>1</v>
      </c>
      <c r="F405" s="399" t="inlineStr">
        <is>
          <t>生肖6</t>
        </is>
      </c>
      <c r="G405" s="398" t="n">
        <v>22</v>
      </c>
      <c r="H405" s="398" t="n">
        <v>45</v>
      </c>
      <c r="I405" s="398" t="n">
        <v>6424</v>
      </c>
      <c r="J405" s="398" t="n">
        <v>0</v>
      </c>
      <c r="K405" s="398" t="n">
        <v>4</v>
      </c>
      <c r="L405" s="398" t="n">
        <v>6</v>
      </c>
      <c r="M405" s="398" t="n">
        <v>6424</v>
      </c>
      <c r="N405" s="398" t="n">
        <v>6424</v>
      </c>
      <c r="O405" s="398" t="n">
        <v>6424</v>
      </c>
      <c r="P405" s="292" t="n"/>
      <c r="Q405" s="292" t="inlineStr">
        <is>
          <t>candidate-preflight-passed</t>
        </is>
      </c>
      <c r="R405" s="323" t="inlineStr">
        <is>
          <t>材料Items已占用：巨人火印</t>
        </is>
      </c>
      <c r="S405" s="292" t="inlineStr">
        <is>
          <t>玄渊二十套全装备代码总表.xlsx</t>
        </is>
      </c>
      <c r="T405" s="292" t="inlineStr">
        <is>
          <t>玄渊20套全装备视觉候选；Items/StateItem/DnItems三库同码；属性待策划填写；OverLap=4; Expand1=6</t>
        </is>
      </c>
      <c r="U405">
        <f>IF(COUNTIF($B$2:$B$1076,B405)&gt;1,"重复","")</f>
        <v/>
      </c>
      <c r="V405">
        <f>IF(AND(OR(M405="",M405=B405),OR(N405="",N405=B405),OR(O405="",O405=B405)),"通过","不一致")</f>
        <v/>
      </c>
    </row>
    <row r="406" ht="22" customHeight="1">
      <c r="A406" s="398" t="n">
        <v>405</v>
      </c>
      <c r="B406" s="398" t="n">
        <v>6425</v>
      </c>
      <c r="C406" s="399" t="inlineStr">
        <is>
          <t>黄金圣树·初誓</t>
        </is>
      </c>
      <c r="D406" s="399" t="inlineStr">
        <is>
          <t>黄金圣树</t>
        </is>
      </c>
      <c r="E406" s="399" t="n">
        <v>1</v>
      </c>
      <c r="F406" s="399" t="inlineStr">
        <is>
          <t>生肖7</t>
        </is>
      </c>
      <c r="G406" s="398" t="n">
        <v>22</v>
      </c>
      <c r="H406" s="398" t="n">
        <v>46</v>
      </c>
      <c r="I406" s="398" t="n">
        <v>6425</v>
      </c>
      <c r="J406" s="398" t="n">
        <v>0</v>
      </c>
      <c r="K406" s="398" t="n">
        <v>4</v>
      </c>
      <c r="L406" s="398" t="n">
        <v>7</v>
      </c>
      <c r="M406" s="398" t="n">
        <v>6425</v>
      </c>
      <c r="N406" s="398" t="n">
        <v>6425</v>
      </c>
      <c r="O406" s="398" t="n">
        <v>6425</v>
      </c>
      <c r="P406" s="292" t="n"/>
      <c r="Q406" s="292" t="inlineStr">
        <is>
          <t>candidate-preflight-passed</t>
        </is>
      </c>
      <c r="R406" s="323" t="inlineStr">
        <is>
          <t>材料Items已占用：黄金叶脉</t>
        </is>
      </c>
      <c r="S406" s="292" t="inlineStr">
        <is>
          <t>玄渊二十套全装备代码总表.xlsx</t>
        </is>
      </c>
      <c r="T406" s="292" t="inlineStr">
        <is>
          <t>玄渊20套全装备视觉候选；Items/StateItem/DnItems三库同码；属性待策划填写；OverLap=4; Expand1=7</t>
        </is>
      </c>
      <c r="U406">
        <f>IF(COUNTIF($B$2:$B$1076,B406)&gt;1,"重复","")</f>
        <v/>
      </c>
      <c r="V406">
        <f>IF(AND(OR(M406="",M406=B406),OR(N406="",N406=B406),OR(O406="",O406=B406)),"通过","不一致")</f>
        <v/>
      </c>
    </row>
    <row r="407" ht="22" customHeight="1">
      <c r="A407" s="398" t="n">
        <v>406</v>
      </c>
      <c r="B407" s="398" t="n">
        <v>6426</v>
      </c>
      <c r="C407" s="399" t="inlineStr">
        <is>
          <t>黄金圣树·初誓</t>
        </is>
      </c>
      <c r="D407" s="399" t="inlineStr">
        <is>
          <t>黄金圣树</t>
        </is>
      </c>
      <c r="E407" s="399" t="n">
        <v>1</v>
      </c>
      <c r="F407" s="399" t="inlineStr">
        <is>
          <t>生肖8</t>
        </is>
      </c>
      <c r="G407" s="398" t="n">
        <v>22</v>
      </c>
      <c r="H407" s="398" t="n">
        <v>47</v>
      </c>
      <c r="I407" s="398" t="n">
        <v>6426</v>
      </c>
      <c r="J407" s="398" t="n">
        <v>0</v>
      </c>
      <c r="K407" s="398" t="n">
        <v>4</v>
      </c>
      <c r="L407" s="398" t="n">
        <v>8</v>
      </c>
      <c r="M407" s="398" t="n">
        <v>6426</v>
      </c>
      <c r="N407" s="398" t="n">
        <v>6426</v>
      </c>
      <c r="O407" s="398" t="n">
        <v>6426</v>
      </c>
      <c r="P407" s="292" t="n"/>
      <c r="Q407" s="292" t="inlineStr">
        <is>
          <t>candidate-preflight-passed</t>
        </is>
      </c>
      <c r="R407" s="323" t="inlineStr">
        <is>
          <t>材料Items已占用：古王律页</t>
        </is>
      </c>
      <c r="S407" s="292" t="inlineStr">
        <is>
          <t>玄渊二十套全装备代码总表.xlsx</t>
        </is>
      </c>
      <c r="T407" s="292" t="inlineStr">
        <is>
          <t>玄渊20套全装备视觉候选；Items/StateItem/DnItems三库同码；属性待策划填写；OverLap=4; Expand1=8</t>
        </is>
      </c>
      <c r="U407">
        <f>IF(COUNTIF($B$2:$B$1076,B407)&gt;1,"重复","")</f>
        <v/>
      </c>
      <c r="V407">
        <f>IF(AND(OR(M407="",M407=B407),OR(N407="",N407=B407),OR(O407="",O407=B407)),"通过","不一致")</f>
        <v/>
      </c>
    </row>
    <row r="408" ht="22" customHeight="1">
      <c r="A408" s="398" t="n">
        <v>407</v>
      </c>
      <c r="B408" s="398" t="n">
        <v>6427</v>
      </c>
      <c r="C408" s="399" t="inlineStr">
        <is>
          <t>黄金圣树·初誓</t>
        </is>
      </c>
      <c r="D408" s="399" t="inlineStr">
        <is>
          <t>黄金圣树</t>
        </is>
      </c>
      <c r="E408" s="399" t="n">
        <v>1</v>
      </c>
      <c r="F408" s="399" t="inlineStr">
        <is>
          <t>生肖9</t>
        </is>
      </c>
      <c r="G408" s="398" t="n">
        <v>22</v>
      </c>
      <c r="H408" s="398" t="n">
        <v>48</v>
      </c>
      <c r="I408" s="398" t="n">
        <v>6427</v>
      </c>
      <c r="J408" s="398" t="n">
        <v>0</v>
      </c>
      <c r="K408" s="398" t="n">
        <v>4</v>
      </c>
      <c r="L408" s="398" t="n">
        <v>9</v>
      </c>
      <c r="M408" s="398" t="n">
        <v>6427</v>
      </c>
      <c r="N408" s="398" t="n">
        <v>6427</v>
      </c>
      <c r="O408" s="398" t="n">
        <v>6427</v>
      </c>
      <c r="P408" s="292" t="n"/>
      <c r="Q408" s="292" t="inlineStr">
        <is>
          <t>candidate-preflight-passed</t>
        </is>
      </c>
      <c r="R408" s="323" t="inlineStr">
        <is>
          <t>材料Items已占用：黄金律印</t>
        </is>
      </c>
      <c r="S408" s="292" t="inlineStr">
        <is>
          <t>玄渊二十套全装备代码总表.xlsx</t>
        </is>
      </c>
      <c r="T408" s="292" t="inlineStr">
        <is>
          <t>玄渊20套全装备视觉候选；Items/StateItem/DnItems三库同码；属性待策划填写；OverLap=4; Expand1=9</t>
        </is>
      </c>
      <c r="U408">
        <f>IF(COUNTIF($B$2:$B$1076,B408)&gt;1,"重复","")</f>
        <v/>
      </c>
      <c r="V408">
        <f>IF(AND(OR(M408="",M408=B408),OR(N408="",N408=B408),OR(O408="",O408=B408)),"通过","不一致")</f>
        <v/>
      </c>
    </row>
    <row r="409" ht="22" customHeight="1">
      <c r="A409" s="398" t="n">
        <v>408</v>
      </c>
      <c r="B409" s="398" t="n">
        <v>6428</v>
      </c>
      <c r="C409" s="399" t="inlineStr">
        <is>
          <t>黄金圣树·初誓</t>
        </is>
      </c>
      <c r="D409" s="399" t="inlineStr">
        <is>
          <t>黄金圣树</t>
        </is>
      </c>
      <c r="E409" s="399" t="n">
        <v>1</v>
      </c>
      <c r="F409" s="399" t="inlineStr">
        <is>
          <t>生肖10</t>
        </is>
      </c>
      <c r="G409" s="398" t="n">
        <v>22</v>
      </c>
      <c r="H409" s="398" t="n">
        <v>49</v>
      </c>
      <c r="I409" s="398" t="n">
        <v>6428</v>
      </c>
      <c r="J409" s="398" t="n">
        <v>0</v>
      </c>
      <c r="K409" s="398" t="n">
        <v>4</v>
      </c>
      <c r="L409" s="398" t="n">
        <v>10</v>
      </c>
      <c r="M409" s="398" t="n">
        <v>6428</v>
      </c>
      <c r="N409" s="398" t="n">
        <v>6428</v>
      </c>
      <c r="O409" s="398" t="n">
        <v>6428</v>
      </c>
      <c r="P409" s="292" t="n"/>
      <c r="Q409" s="292" t="inlineStr">
        <is>
          <t>candidate-preflight-passed</t>
        </is>
      </c>
      <c r="R409" s="323" t="inlineStr">
        <is>
          <t>材料Items已占用：王城金屑</t>
        </is>
      </c>
      <c r="S409" s="292" t="inlineStr">
        <is>
          <t>玄渊二十套全装备代码总表.xlsx</t>
        </is>
      </c>
      <c r="T409" s="292" t="inlineStr">
        <is>
          <t>玄渊20套全装备视觉候选；Items/StateItem/DnItems三库同码；属性待策划填写；OverLap=4; Expand1=10</t>
        </is>
      </c>
      <c r="U409">
        <f>IF(COUNTIF($B$2:$B$1076,B409)&gt;1,"重复","")</f>
        <v/>
      </c>
      <c r="V409">
        <f>IF(AND(OR(M409="",M409=B409),OR(N409="",N409=B409),OR(O409="",O409=B409)),"通过","不一致")</f>
        <v/>
      </c>
    </row>
    <row r="410" ht="22" customHeight="1">
      <c r="A410" s="398" t="n">
        <v>409</v>
      </c>
      <c r="B410" s="398" t="n">
        <v>6429</v>
      </c>
      <c r="C410" s="399" t="inlineStr">
        <is>
          <t>黄金圣树·初誓</t>
        </is>
      </c>
      <c r="D410" s="399" t="inlineStr">
        <is>
          <t>黄金圣树</t>
        </is>
      </c>
      <c r="E410" s="399" t="n">
        <v>1</v>
      </c>
      <c r="F410" s="399" t="inlineStr">
        <is>
          <t>生肖11</t>
        </is>
      </c>
      <c r="G410" s="398" t="n">
        <v>22</v>
      </c>
      <c r="H410" s="398" t="n">
        <v>50</v>
      </c>
      <c r="I410" s="398" t="n">
        <v>6429</v>
      </c>
      <c r="J410" s="398" t="n">
        <v>0</v>
      </c>
      <c r="K410" s="398" t="n">
        <v>4</v>
      </c>
      <c r="L410" s="398" t="n">
        <v>11</v>
      </c>
      <c r="M410" s="398" t="n">
        <v>6429</v>
      </c>
      <c r="N410" s="398" t="n">
        <v>6429</v>
      </c>
      <c r="O410" s="398" t="n">
        <v>6429</v>
      </c>
      <c r="P410" s="292" t="n"/>
      <c r="Q410" s="292" t="inlineStr">
        <is>
          <t>candidate-preflight-passed</t>
        </is>
      </c>
      <c r="R410" s="323" t="inlineStr">
        <is>
          <t>材料Items已占用：王宫律文</t>
        </is>
      </c>
      <c r="S410" s="292" t="inlineStr">
        <is>
          <t>玄渊二十套全装备代码总表.xlsx</t>
        </is>
      </c>
      <c r="T410" s="292" t="inlineStr">
        <is>
          <t>玄渊20套全装备视觉候选；Items/StateItem/DnItems三库同码；属性待策划填写；OverLap=4; Expand1=11</t>
        </is>
      </c>
      <c r="U410">
        <f>IF(COUNTIF($B$2:$B$1076,B410)&gt;1,"重复","")</f>
        <v/>
      </c>
      <c r="V410">
        <f>IF(AND(OR(M410="",M410=B410),OR(N410="",N410=B410),OR(O410="",O410=B410)),"通过","不一致")</f>
        <v/>
      </c>
    </row>
    <row r="411" ht="22" customHeight="1">
      <c r="A411" s="398" t="n">
        <v>410</v>
      </c>
      <c r="B411" s="398" t="n">
        <v>6430</v>
      </c>
      <c r="C411" s="399" t="inlineStr">
        <is>
          <t>黄金圣树·初誓</t>
        </is>
      </c>
      <c r="D411" s="399" t="inlineStr">
        <is>
          <t>黄金圣树</t>
        </is>
      </c>
      <c r="E411" s="399" t="n">
        <v>1</v>
      </c>
      <c r="F411" s="399" t="inlineStr">
        <is>
          <t>生肖12</t>
        </is>
      </c>
      <c r="G411" s="398" t="n">
        <v>22</v>
      </c>
      <c r="H411" s="398" t="n">
        <v>51</v>
      </c>
      <c r="I411" s="398" t="n">
        <v>6430</v>
      </c>
      <c r="J411" s="398" t="n">
        <v>0</v>
      </c>
      <c r="K411" s="398" t="n">
        <v>4</v>
      </c>
      <c r="L411" s="398" t="n">
        <v>12</v>
      </c>
      <c r="M411" s="398" t="n">
        <v>6430</v>
      </c>
      <c r="N411" s="398" t="n">
        <v>6430</v>
      </c>
      <c r="O411" s="398" t="n">
        <v>6430</v>
      </c>
      <c r="P411" s="292" t="n"/>
      <c r="Q411" s="292" t="inlineStr">
        <is>
          <t>candidate-preflight-passed</t>
        </is>
      </c>
      <c r="R411" s="323" t="inlineStr">
        <is>
          <t>材料Items已占用：艾尔登王印</t>
        </is>
      </c>
      <c r="S411" s="292" t="inlineStr">
        <is>
          <t>玄渊二十套全装备代码总表.xlsx</t>
        </is>
      </c>
      <c r="T411" s="292" t="inlineStr">
        <is>
          <t>玄渊20套全装备视觉候选；Items/StateItem/DnItems三库同码；属性待策划填写；OverLap=4; Expand1=12</t>
        </is>
      </c>
      <c r="U411">
        <f>IF(COUNTIF($B$2:$B$1076,B411)&gt;1,"重复","")</f>
        <v/>
      </c>
      <c r="V411">
        <f>IF(AND(OR(M411="",M411=B411),OR(N411="",N411=B411),OR(O411="",O411=B411)),"通过","不一致")</f>
        <v/>
      </c>
    </row>
    <row r="412" ht="22" customHeight="1">
      <c r="A412" s="398" t="n">
        <v>411</v>
      </c>
      <c r="B412" s="398" t="n">
        <v>6431</v>
      </c>
      <c r="C412" s="399" t="inlineStr">
        <is>
          <t>黄金圣树·圣枝</t>
        </is>
      </c>
      <c r="D412" s="399" t="inlineStr">
        <is>
          <t>黄金圣树</t>
        </is>
      </c>
      <c r="E412" s="399" t="n">
        <v>2</v>
      </c>
      <c r="F412" s="399" t="inlineStr">
        <is>
          <t>武器</t>
        </is>
      </c>
      <c r="G412" s="398" t="n">
        <v>5</v>
      </c>
      <c r="H412" s="398" t="n">
        <v>1</v>
      </c>
      <c r="I412" s="398" t="n">
        <v>6431</v>
      </c>
      <c r="J412" s="398" t="n">
        <v>15</v>
      </c>
      <c r="K412" s="398" t="n">
        <v>0</v>
      </c>
      <c r="L412" s="398" t="n">
        <v>0</v>
      </c>
      <c r="M412" s="398" t="n">
        <v>6431</v>
      </c>
      <c r="N412" s="398" t="n">
        <v>6431</v>
      </c>
      <c r="O412" s="398" t="n">
        <v>6431</v>
      </c>
      <c r="P412" s="292" t="inlineStr">
        <is>
          <t>Weapon.wzl/wzx（复用现有真实动作）</t>
        </is>
      </c>
      <c r="Q412" s="292" t="inlineStr">
        <is>
          <t>candidate-preflight-passed</t>
        </is>
      </c>
      <c r="R412" s="323" t="inlineStr">
        <is>
          <t>材料Items已占用：裂风崖羽</t>
        </is>
      </c>
      <c r="S412" s="292" t="inlineStr">
        <is>
          <t>玄渊二十套全装备代码总表.xlsx</t>
        </is>
      </c>
      <c r="T412" s="292" t="inlineStr">
        <is>
          <t>玄渊20套全装备视觉候选；Items/StateItem/DnItems三库同码；属性待策划填写；Weapon Shape=15</t>
        </is>
      </c>
      <c r="U412">
        <f>IF(COUNTIF($B$2:$B$1076,B412)&gt;1,"重复","")</f>
        <v/>
      </c>
      <c r="V412">
        <f>IF(AND(OR(M412="",M412=B412),OR(N412="",N412=B412),OR(O412="",O412=B412)),"通过","不一致")</f>
        <v/>
      </c>
    </row>
    <row r="413" ht="22" customHeight="1">
      <c r="A413" s="398" t="n">
        <v>412</v>
      </c>
      <c r="B413" s="398" t="n">
        <v>6432</v>
      </c>
      <c r="C413" s="399" t="inlineStr">
        <is>
          <t>黄金圣树·圣枝</t>
        </is>
      </c>
      <c r="D413" s="399" t="inlineStr">
        <is>
          <t>黄金圣树</t>
        </is>
      </c>
      <c r="E413" s="399" t="n">
        <v>2</v>
      </c>
      <c r="F413" s="399" t="inlineStr">
        <is>
          <t>男衣服</t>
        </is>
      </c>
      <c r="G413" s="398" t="n">
        <v>10</v>
      </c>
      <c r="H413" s="398" t="n">
        <v>0</v>
      </c>
      <c r="I413" s="398" t="n">
        <v>6432</v>
      </c>
      <c r="J413" s="398" t="n">
        <v>2</v>
      </c>
      <c r="K413" s="398" t="n">
        <v>0</v>
      </c>
      <c r="L413" s="398" t="n">
        <v>0</v>
      </c>
      <c r="M413" s="398" t="n">
        <v>6432</v>
      </c>
      <c r="N413" s="398" t="n">
        <v>6432</v>
      </c>
      <c r="O413" s="398" t="n">
        <v>6432</v>
      </c>
      <c r="P413" s="292" t="inlineStr">
        <is>
          <t>Hum.wzl/wzx（复用现有真实动作）</t>
        </is>
      </c>
      <c r="Q413" s="292" t="inlineStr">
        <is>
          <t>candidate-preflight-passed</t>
        </is>
      </c>
      <c r="R413" s="323" t="inlineStr">
        <is>
          <t>材料Items已占用：商队火漆</t>
        </is>
      </c>
      <c r="S413" s="292" t="inlineStr">
        <is>
          <t>玄渊二十套全装备代码总表.xlsx</t>
        </is>
      </c>
      <c r="T413" s="292" t="inlineStr">
        <is>
          <t>玄渊20套全装备视觉候选；Items/StateItem/DnItems三库同码；属性待策划填写；Hum Shape=2</t>
        </is>
      </c>
      <c r="U413">
        <f>IF(COUNTIF($B$2:$B$1076,B413)&gt;1,"重复","")</f>
        <v/>
      </c>
      <c r="V413">
        <f>IF(AND(OR(M413="",M413=B413),OR(N413="",N413=B413),OR(O413="",O413=B413)),"通过","不一致")</f>
        <v/>
      </c>
    </row>
    <row r="414" ht="22" customHeight="1">
      <c r="A414" s="398" t="n">
        <v>413</v>
      </c>
      <c r="B414" s="398" t="n">
        <v>6433</v>
      </c>
      <c r="C414" s="399" t="inlineStr">
        <is>
          <t>黄金圣树·圣枝</t>
        </is>
      </c>
      <c r="D414" s="399" t="inlineStr">
        <is>
          <t>黄金圣树</t>
        </is>
      </c>
      <c r="E414" s="399" t="n">
        <v>2</v>
      </c>
      <c r="F414" s="399" t="inlineStr">
        <is>
          <t>女衣服</t>
        </is>
      </c>
      <c r="G414" s="398" t="n">
        <v>11</v>
      </c>
      <c r="H414" s="398" t="n">
        <v>0</v>
      </c>
      <c r="I414" s="398" t="n">
        <v>6433</v>
      </c>
      <c r="J414" s="398" t="n">
        <v>2</v>
      </c>
      <c r="K414" s="398" t="n">
        <v>0</v>
      </c>
      <c r="L414" s="398" t="n">
        <v>0</v>
      </c>
      <c r="M414" s="398" t="n">
        <v>6433</v>
      </c>
      <c r="N414" s="398" t="n">
        <v>6433</v>
      </c>
      <c r="O414" s="398" t="n">
        <v>6433</v>
      </c>
      <c r="P414" s="292" t="inlineStr">
        <is>
          <t>Hum.wzl/wzx（复用现有真实动作）</t>
        </is>
      </c>
      <c r="Q414" s="292" t="inlineStr">
        <is>
          <t>candidate-preflight-passed</t>
        </is>
      </c>
      <c r="R414" s="323" t="inlineStr">
        <is>
          <t>材料Items已占用：守垒铜钥</t>
        </is>
      </c>
      <c r="S414" s="292" t="inlineStr">
        <is>
          <t>玄渊二十套全装备代码总表.xlsx</t>
        </is>
      </c>
      <c r="T414" s="292" t="inlineStr">
        <is>
          <t>玄渊20套全装备视觉候选；Items/StateItem/DnItems三库同码；属性待策划填写；Hum Shape=2</t>
        </is>
      </c>
      <c r="U414">
        <f>IF(COUNTIF($B$2:$B$1076,B414)&gt;1,"重复","")</f>
        <v/>
      </c>
      <c r="V414">
        <f>IF(AND(OR(M414="",M414=B414),OR(N414="",N414=B414),OR(O414="",O414=B414)),"通过","不一致")</f>
        <v/>
      </c>
    </row>
    <row r="415" ht="22" customHeight="1">
      <c r="A415" s="398" t="n">
        <v>414</v>
      </c>
      <c r="B415" s="398" t="n">
        <v>6434</v>
      </c>
      <c r="C415" s="399" t="inlineStr">
        <is>
          <t>黄金圣树·圣枝</t>
        </is>
      </c>
      <c r="D415" s="399" t="inlineStr">
        <is>
          <t>黄金圣树</t>
        </is>
      </c>
      <c r="E415" s="399" t="n">
        <v>2</v>
      </c>
      <c r="F415" s="399" t="inlineStr">
        <is>
          <t>头盔</t>
        </is>
      </c>
      <c r="G415" s="398" t="n">
        <v>15</v>
      </c>
      <c r="H415" s="398" t="n">
        <v>4</v>
      </c>
      <c r="I415" s="398" t="n">
        <v>6434</v>
      </c>
      <c r="J415" s="398" t="n">
        <v>0</v>
      </c>
      <c r="K415" s="398" t="n">
        <v>0</v>
      </c>
      <c r="L415" s="398" t="n">
        <v>0</v>
      </c>
      <c r="M415" s="398" t="n">
        <v>6434</v>
      </c>
      <c r="N415" s="398" t="n">
        <v>6434</v>
      </c>
      <c r="O415" s="398" t="n">
        <v>6434</v>
      </c>
      <c r="P415" s="292" t="n"/>
      <c r="Q415" s="292" t="inlineStr">
        <is>
          <t>candidate-preflight-passed</t>
        </is>
      </c>
      <c r="R415" s="323" t="inlineStr">
        <is>
          <t>材料Items已占用：哨垒旗冠</t>
        </is>
      </c>
      <c r="S415" s="292" t="inlineStr">
        <is>
          <t>玄渊二十套全装备代码总表.xlsx</t>
        </is>
      </c>
      <c r="T415" s="292" t="inlineStr">
        <is>
          <t>玄渊20套全装备视觉候选；Items/StateItem/DnItems三库同码；属性待策划填写</t>
        </is>
      </c>
      <c r="U415">
        <f>IF(COUNTIF($B$2:$B$1076,B415)&gt;1,"重复","")</f>
        <v/>
      </c>
      <c r="V415">
        <f>IF(AND(OR(M415="",M415=B415),OR(N415="",N415=B415),OR(O415="",O415=B415)),"通过","不一致")</f>
        <v/>
      </c>
    </row>
    <row r="416" ht="22" customHeight="1">
      <c r="A416" s="398" t="n">
        <v>415</v>
      </c>
      <c r="B416" s="398" t="n">
        <v>6435</v>
      </c>
      <c r="C416" s="399" t="inlineStr">
        <is>
          <t>黄金圣树·圣枝</t>
        </is>
      </c>
      <c r="D416" s="399" t="inlineStr">
        <is>
          <t>黄金圣树</t>
        </is>
      </c>
      <c r="E416" s="399" t="n">
        <v>2</v>
      </c>
      <c r="F416" s="399" t="inlineStr">
        <is>
          <t>面巾</t>
        </is>
      </c>
      <c r="G416" s="398" t="n">
        <v>16</v>
      </c>
      <c r="H416" s="398" t="n">
        <v>13</v>
      </c>
      <c r="I416" s="398" t="n">
        <v>6435</v>
      </c>
      <c r="J416" s="398" t="n">
        <v>0</v>
      </c>
      <c r="K416" s="398" t="n">
        <v>0</v>
      </c>
      <c r="L416" s="398" t="n">
        <v>0</v>
      </c>
      <c r="M416" s="398" t="n">
        <v>6435</v>
      </c>
      <c r="N416" s="398" t="n">
        <v>6435</v>
      </c>
      <c r="O416" s="398" t="n">
        <v>6435</v>
      </c>
      <c r="P416" s="292" t="n"/>
      <c r="Q416" s="292" t="inlineStr">
        <is>
          <t>candidate-preflight-passed</t>
        </is>
      </c>
      <c r="R416" s="323" t="inlineStr">
        <is>
          <t>材料Items已占用：雾潮银鳞</t>
        </is>
      </c>
      <c r="S416" s="292" t="inlineStr">
        <is>
          <t>玄渊二十套全装备代码总表.xlsx</t>
        </is>
      </c>
      <c r="T416" s="292" t="inlineStr">
        <is>
          <t>玄渊20套全装备视觉候选；Items/StateItem/DnItems三库同码；属性待策划填写</t>
        </is>
      </c>
      <c r="U416">
        <f>IF(COUNTIF($B$2:$B$1076,B416)&gt;1,"重复","")</f>
        <v/>
      </c>
      <c r="V416">
        <f>IF(AND(OR(M416="",M416=B416),OR(N416="",N416=B416),OR(O416="",O416=B416)),"通过","不一致")</f>
        <v/>
      </c>
    </row>
    <row r="417" ht="22" customHeight="1">
      <c r="A417" s="398" t="n">
        <v>416</v>
      </c>
      <c r="B417" s="398" t="n">
        <v>6436</v>
      </c>
      <c r="C417" s="399" t="inlineStr">
        <is>
          <t>黄金圣树·圣枝</t>
        </is>
      </c>
      <c r="D417" s="399" t="inlineStr">
        <is>
          <t>黄金圣树</t>
        </is>
      </c>
      <c r="E417" s="399" t="n">
        <v>2</v>
      </c>
      <c r="F417" s="399" t="inlineStr">
        <is>
          <t>项链</t>
        </is>
      </c>
      <c r="G417" s="398" t="n">
        <v>19</v>
      </c>
      <c r="H417" s="398" t="n">
        <v>3</v>
      </c>
      <c r="I417" s="398" t="n">
        <v>6436</v>
      </c>
      <c r="J417" s="398" t="n">
        <v>0</v>
      </c>
      <c r="K417" s="398" t="n">
        <v>0</v>
      </c>
      <c r="L417" s="398" t="n">
        <v>0</v>
      </c>
      <c r="M417" s="398" t="n">
        <v>6436</v>
      </c>
      <c r="N417" s="398" t="n">
        <v>6436</v>
      </c>
      <c r="O417" s="398" t="n">
        <v>6436</v>
      </c>
      <c r="P417" s="292" t="n"/>
      <c r="Q417" s="292" t="inlineStr">
        <is>
          <t>candidate-preflight-passed</t>
        </is>
      </c>
      <c r="R417" s="323" t="inlineStr">
        <is>
          <t>材料Items已占用：沉船缆扣</t>
        </is>
      </c>
      <c r="S417" s="292" t="inlineStr">
        <is>
          <t>玄渊二十套全装备代码总表.xlsx</t>
        </is>
      </c>
      <c r="T417" s="292" t="inlineStr">
        <is>
          <t>玄渊20套全装备视觉候选；Items/StateItem/DnItems三库同码；属性待策划填写</t>
        </is>
      </c>
      <c r="U417">
        <f>IF(COUNTIF($B$2:$B$1076,B417)&gt;1,"重复","")</f>
        <v/>
      </c>
      <c r="V417">
        <f>IF(AND(OR(M417="",M417=B417),OR(N417="",N417=B417),OR(O417="",O417=B417)),"通过","不一致")</f>
        <v/>
      </c>
    </row>
    <row r="418" ht="22" customHeight="1">
      <c r="A418" s="398" t="n">
        <v>417</v>
      </c>
      <c r="B418" s="398" t="n">
        <v>6437</v>
      </c>
      <c r="C418" s="399" t="inlineStr">
        <is>
          <t>黄金圣树·圣枝</t>
        </is>
      </c>
      <c r="D418" s="399" t="inlineStr">
        <is>
          <t>黄金圣树</t>
        </is>
      </c>
      <c r="E418" s="399" t="n">
        <v>2</v>
      </c>
      <c r="F418" s="399" t="inlineStr">
        <is>
          <t>手镯</t>
        </is>
      </c>
      <c r="G418" s="398" t="n">
        <v>26</v>
      </c>
      <c r="H418" s="398" t="n">
        <v>5</v>
      </c>
      <c r="I418" s="398" t="n">
        <v>6437</v>
      </c>
      <c r="J418" s="398" t="n">
        <v>0</v>
      </c>
      <c r="K418" s="398" t="n">
        <v>0</v>
      </c>
      <c r="L418" s="398" t="n">
        <v>0</v>
      </c>
      <c r="M418" s="398" t="n">
        <v>6437</v>
      </c>
      <c r="N418" s="398" t="n">
        <v>6437</v>
      </c>
      <c r="O418" s="398" t="n">
        <v>6437</v>
      </c>
      <c r="P418" s="292" t="n"/>
      <c r="Q418" s="292" t="inlineStr">
        <is>
          <t>candidate-preflight-passed</t>
        </is>
      </c>
      <c r="R418" s="323" t="inlineStr">
        <is>
          <t>材料Items已占用：深湖压舱印</t>
        </is>
      </c>
      <c r="S418" s="292" t="inlineStr">
        <is>
          <t>玄渊二十套全装备代码总表.xlsx</t>
        </is>
      </c>
      <c r="T418" s="292" t="inlineStr">
        <is>
          <t>玄渊20套全装备视觉候选；Items/StateItem/DnItems三库同码；属性待策划填写</t>
        </is>
      </c>
      <c r="U418">
        <f>IF(COUNTIF($B$2:$B$1076,B418)&gt;1,"重复","")</f>
        <v/>
      </c>
      <c r="V418">
        <f>IF(AND(OR(M418="",M418=B418),OR(N418="",N418=B418),OR(O418="",O418=B418)),"通过","不一致")</f>
        <v/>
      </c>
    </row>
    <row r="419" ht="22" customHeight="1">
      <c r="A419" s="398" t="n">
        <v>418</v>
      </c>
      <c r="B419" s="398" t="n">
        <v>6438</v>
      </c>
      <c r="C419" s="399" t="inlineStr">
        <is>
          <t>黄金圣树·圣枝</t>
        </is>
      </c>
      <c r="D419" s="399" t="inlineStr">
        <is>
          <t>黄金圣树</t>
        </is>
      </c>
      <c r="E419" s="399" t="n">
        <v>2</v>
      </c>
      <c r="F419" s="399" t="inlineStr">
        <is>
          <t>戒指</t>
        </is>
      </c>
      <c r="G419" s="398" t="n">
        <v>22</v>
      </c>
      <c r="H419" s="398" t="n">
        <v>7</v>
      </c>
      <c r="I419" s="398" t="n">
        <v>6438</v>
      </c>
      <c r="J419" s="398" t="n">
        <v>0</v>
      </c>
      <c r="K419" s="398" t="n">
        <v>0</v>
      </c>
      <c r="L419" s="398" t="n">
        <v>0</v>
      </c>
      <c r="M419" s="398" t="n">
        <v>6438</v>
      </c>
      <c r="N419" s="398" t="n">
        <v>6438</v>
      </c>
      <c r="O419" s="398" t="n">
        <v>6438</v>
      </c>
      <c r="P419" s="292" t="n"/>
      <c r="Q419" s="292" t="inlineStr">
        <is>
          <t>candidate-preflight-passed</t>
        </is>
      </c>
      <c r="R419" s="323" t="inlineStr">
        <is>
          <t>材料Items已占用：湖底封门珠</t>
        </is>
      </c>
      <c r="S419" s="292" t="inlineStr">
        <is>
          <t>玄渊二十套全装备代码总表.xlsx</t>
        </is>
      </c>
      <c r="T419" s="292" t="inlineStr">
        <is>
          <t>玄渊20套全装备视觉候选；Items/StateItem/DnItems三库同码；属性待策划填写</t>
        </is>
      </c>
      <c r="U419">
        <f>IF(COUNTIF($B$2:$B$1076,B419)&gt;1,"重复","")</f>
        <v/>
      </c>
      <c r="V419">
        <f>IF(AND(OR(M419="",M419=B419),OR(N419="",N419=B419),OR(O419="",O419=B419)),"通过","不一致")</f>
        <v/>
      </c>
    </row>
    <row r="420" ht="22" customHeight="1">
      <c r="A420" s="398" t="n">
        <v>419</v>
      </c>
      <c r="B420" s="398" t="n">
        <v>6439</v>
      </c>
      <c r="C420" s="399" t="inlineStr">
        <is>
          <t>黄金圣树·圣枝</t>
        </is>
      </c>
      <c r="D420" s="399" t="inlineStr">
        <is>
          <t>黄金圣树</t>
        </is>
      </c>
      <c r="E420" s="399" t="n">
        <v>2</v>
      </c>
      <c r="F420" s="399" t="inlineStr">
        <is>
          <t>勋章</t>
        </is>
      </c>
      <c r="G420" s="398" t="n">
        <v>30</v>
      </c>
      <c r="H420" s="398" t="n">
        <v>2</v>
      </c>
      <c r="I420" s="398" t="n">
        <v>6439</v>
      </c>
      <c r="J420" s="398" t="n">
        <v>0</v>
      </c>
      <c r="K420" s="398" t="n">
        <v>0</v>
      </c>
      <c r="L420" s="398" t="n">
        <v>0</v>
      </c>
      <c r="M420" s="398" t="n">
        <v>6439</v>
      </c>
      <c r="N420" s="398" t="n">
        <v>6439</v>
      </c>
      <c r="O420" s="398" t="n">
        <v>6439</v>
      </c>
      <c r="P420" s="292" t="n"/>
      <c r="Q420" s="292" t="inlineStr">
        <is>
          <t>candidate-preflight-passed</t>
        </is>
      </c>
      <c r="R420" s="323" t="inlineStr">
        <is>
          <t>材料Items已占用：雾月星砂</t>
        </is>
      </c>
      <c r="S420" s="292" t="inlineStr">
        <is>
          <t>玄渊二十套全装备代码总表.xlsx</t>
        </is>
      </c>
      <c r="T420" s="292" t="inlineStr">
        <is>
          <t>玄渊20套全装备视觉候选；Items/StateItem/DnItems三库同码；属性待策划填写</t>
        </is>
      </c>
      <c r="U420">
        <f>IF(COUNTIF($B$2:$B$1076,B420)&gt;1,"重复","")</f>
        <v/>
      </c>
      <c r="V420">
        <f>IF(AND(OR(M420="",M420=B420),OR(N420="",N420=B420),OR(O420="",O420=B420)),"通过","不一致")</f>
        <v/>
      </c>
    </row>
    <row r="421" ht="22" customHeight="1">
      <c r="A421" s="398" t="n">
        <v>420</v>
      </c>
      <c r="B421" s="398" t="n">
        <v>6440</v>
      </c>
      <c r="C421" s="399" t="inlineStr">
        <is>
          <t>黄金圣树·圣枝</t>
        </is>
      </c>
      <c r="D421" s="399" t="inlineStr">
        <is>
          <t>黄金圣树</t>
        </is>
      </c>
      <c r="E421" s="399" t="n">
        <v>2</v>
      </c>
      <c r="F421" s="399" t="inlineStr">
        <is>
          <t>盾牌</t>
        </is>
      </c>
      <c r="G421" s="398" t="n">
        <v>12</v>
      </c>
      <c r="H421" s="398" t="n">
        <v>16</v>
      </c>
      <c r="I421" s="398" t="n">
        <v>6440</v>
      </c>
      <c r="J421" s="398" t="n">
        <v>0</v>
      </c>
      <c r="K421" s="398" t="n">
        <v>0</v>
      </c>
      <c r="L421" s="398" t="n">
        <v>0</v>
      </c>
      <c r="M421" s="398" t="n">
        <v>6440</v>
      </c>
      <c r="N421" s="398" t="n">
        <v>6440</v>
      </c>
      <c r="O421" s="398" t="n">
        <v>6440</v>
      </c>
      <c r="P421" s="292" t="n"/>
      <c r="Q421" s="292" t="inlineStr">
        <is>
          <t>candidate-preflight-passed</t>
        </is>
      </c>
      <c r="R421" s="323" t="inlineStr">
        <is>
          <t>材料Items已占用：学院封蜡</t>
        </is>
      </c>
      <c r="S421" s="292" t="inlineStr">
        <is>
          <t>玄渊二十套全装备代码总表.xlsx</t>
        </is>
      </c>
      <c r="T421" s="292" t="inlineStr">
        <is>
          <t>玄渊20套全装备视觉候选；Items/StateItem/DnItems三库同码；属性待策划填写</t>
        </is>
      </c>
      <c r="U421">
        <f>IF(COUNTIF($B$2:$B$1076,B421)&gt;1,"重复","")</f>
        <v/>
      </c>
      <c r="V421">
        <f>IF(AND(OR(M421="",M421=B421),OR(N421="",N421=B421),OR(O421="",O421=B421)),"通过","不一致")</f>
        <v/>
      </c>
    </row>
    <row r="422" ht="22" customHeight="1">
      <c r="A422" s="398" t="n">
        <v>421</v>
      </c>
      <c r="B422" s="398" t="n">
        <v>6441</v>
      </c>
      <c r="C422" s="399" t="inlineStr">
        <is>
          <t>黄金圣树·圣枝</t>
        </is>
      </c>
      <c r="D422" s="399" t="inlineStr">
        <is>
          <t>黄金圣树</t>
        </is>
      </c>
      <c r="E422" s="399" t="n">
        <v>2</v>
      </c>
      <c r="F422" s="399" t="inlineStr">
        <is>
          <t>灵玉</t>
        </is>
      </c>
      <c r="G422" s="398" t="n">
        <v>90</v>
      </c>
      <c r="H422" s="398" t="n">
        <v>17</v>
      </c>
      <c r="I422" s="398" t="n">
        <v>6441</v>
      </c>
      <c r="J422" s="398" t="n">
        <v>0</v>
      </c>
      <c r="K422" s="398" t="n">
        <v>0</v>
      </c>
      <c r="L422" s="398" t="n">
        <v>0</v>
      </c>
      <c r="M422" s="398" t="n">
        <v>6441</v>
      </c>
      <c r="N422" s="398" t="n">
        <v>6441</v>
      </c>
      <c r="O422" s="398" t="n">
        <v>6441</v>
      </c>
      <c r="P422" s="292" t="n"/>
      <c r="Q422" s="292" t="inlineStr">
        <is>
          <t>candidate-preflight-passed</t>
        </is>
      </c>
      <c r="R422" s="323" t="inlineStr">
        <is>
          <t>材料Items已占用：月蚀镜片</t>
        </is>
      </c>
      <c r="S422" s="292" t="inlineStr">
        <is>
          <t>玄渊二十套全装备代码总表.xlsx</t>
        </is>
      </c>
      <c r="T422" s="292" t="inlineStr">
        <is>
          <t>玄渊20套全装备视觉候选；Items/StateItem/DnItems三库同码；属性待策划填写</t>
        </is>
      </c>
      <c r="U422">
        <f>IF(COUNTIF($B$2:$B$1076,B422)&gt;1,"重复","")</f>
        <v/>
      </c>
      <c r="V422">
        <f>IF(AND(OR(M422="",M422=B422),OR(N422="",N422=B422),OR(O422="",O422=B422)),"通过","不一致")</f>
        <v/>
      </c>
    </row>
    <row r="423" ht="22" customHeight="1">
      <c r="A423" s="398" t="n">
        <v>422</v>
      </c>
      <c r="B423" s="398" t="n">
        <v>6442</v>
      </c>
      <c r="C423" s="399" t="inlineStr">
        <is>
          <t>黄金圣树·圣枝</t>
        </is>
      </c>
      <c r="D423" s="399" t="inlineStr">
        <is>
          <t>黄金圣树</t>
        </is>
      </c>
      <c r="E423" s="399" t="n">
        <v>2</v>
      </c>
      <c r="F423" s="399" t="inlineStr">
        <is>
          <t>鞋子</t>
        </is>
      </c>
      <c r="G423" s="398" t="n">
        <v>62</v>
      </c>
      <c r="H423" s="398" t="n">
        <v>11</v>
      </c>
      <c r="I423" s="398" t="n">
        <v>6442</v>
      </c>
      <c r="J423" s="398" t="n">
        <v>0</v>
      </c>
      <c r="K423" s="398" t="n">
        <v>0</v>
      </c>
      <c r="L423" s="398" t="n">
        <v>0</v>
      </c>
      <c r="M423" s="398" t="n">
        <v>6442</v>
      </c>
      <c r="N423" s="398" t="n">
        <v>6442</v>
      </c>
      <c r="O423" s="398" t="n">
        <v>6442</v>
      </c>
      <c r="P423" s="292" t="n"/>
      <c r="Q423" s="292" t="inlineStr">
        <is>
          <t>candidate-preflight-passed</t>
        </is>
      </c>
      <c r="R423" s="323" t="inlineStr">
        <is>
          <t>材料Items已占用：禁域星钥</t>
        </is>
      </c>
      <c r="S423" s="292" t="inlineStr">
        <is>
          <t>玄渊二十套全装备代码总表.xlsx</t>
        </is>
      </c>
      <c r="T423" s="292" t="inlineStr">
        <is>
          <t>玄渊20套全装备视觉候选；Items/StateItem/DnItems三库同码；属性待策划填写</t>
        </is>
      </c>
      <c r="U423">
        <f>IF(COUNTIF($B$2:$B$1076,B423)&gt;1,"重复","")</f>
        <v/>
      </c>
      <c r="V423">
        <f>IF(AND(OR(M423="",M423=B423),OR(N423="",N423=B423),OR(O423="",O423=B423)),"通过","不一致")</f>
        <v/>
      </c>
    </row>
    <row r="424" ht="22" customHeight="1">
      <c r="A424" s="398" t="n">
        <v>423</v>
      </c>
      <c r="B424" s="398" t="n">
        <v>6443</v>
      </c>
      <c r="C424" s="399" t="inlineStr">
        <is>
          <t>黄金圣树·圣枝</t>
        </is>
      </c>
      <c r="D424" s="399" t="inlineStr">
        <is>
          <t>黄金圣树</t>
        </is>
      </c>
      <c r="E424" s="399" t="n">
        <v>2</v>
      </c>
      <c r="F424" s="399" t="inlineStr">
        <is>
          <t>腰带</t>
        </is>
      </c>
      <c r="G424" s="398" t="n">
        <v>64</v>
      </c>
      <c r="H424" s="398" t="n">
        <v>10</v>
      </c>
      <c r="I424" s="398" t="n">
        <v>6443</v>
      </c>
      <c r="J424" s="398" t="n">
        <v>0</v>
      </c>
      <c r="K424" s="398" t="n">
        <v>0</v>
      </c>
      <c r="L424" s="398" t="n">
        <v>0</v>
      </c>
      <c r="M424" s="398" t="n">
        <v>6443</v>
      </c>
      <c r="N424" s="398" t="n">
        <v>6443</v>
      </c>
      <c r="O424" s="398" t="n">
        <v>6443</v>
      </c>
      <c r="P424" s="292" t="n"/>
      <c r="Q424" s="292" t="inlineStr">
        <is>
          <t>candidate-preflight-passed</t>
        </is>
      </c>
      <c r="R424" s="323" t="inlineStr">
        <is>
          <t>材料Items已占用：红狮断箭</t>
        </is>
      </c>
      <c r="S424" s="292" t="inlineStr">
        <is>
          <t>玄渊二十套全装备代码总表.xlsx</t>
        </is>
      </c>
      <c r="T424" s="292" t="inlineStr">
        <is>
          <t>玄渊20套全装备视觉候选；Items/StateItem/DnItems三库同码；属性待策划填写</t>
        </is>
      </c>
      <c r="U424">
        <f>IF(COUNTIF($B$2:$B$1076,B424)&gt;1,"重复","")</f>
        <v/>
      </c>
      <c r="V424">
        <f>IF(AND(OR(M424="",M424=B424),OR(N424="",N424=B424),OR(O424="",O424=B424)),"通过","不一致")</f>
        <v/>
      </c>
    </row>
    <row r="425" ht="22" customHeight="1">
      <c r="A425" s="398" t="n">
        <v>424</v>
      </c>
      <c r="B425" s="398" t="n">
        <v>6444</v>
      </c>
      <c r="C425" s="399" t="inlineStr">
        <is>
          <t>黄金圣树·圣枝</t>
        </is>
      </c>
      <c r="D425" s="399" t="inlineStr">
        <is>
          <t>黄金圣树</t>
        </is>
      </c>
      <c r="E425" s="399" t="n">
        <v>2</v>
      </c>
      <c r="F425" s="399" t="inlineStr">
        <is>
          <t>护身符</t>
        </is>
      </c>
      <c r="G425" s="398" t="n">
        <v>25</v>
      </c>
      <c r="H425" s="398" t="n">
        <v>9</v>
      </c>
      <c r="I425" s="398" t="n">
        <v>6444</v>
      </c>
      <c r="J425" s="398" t="n">
        <v>0</v>
      </c>
      <c r="K425" s="398" t="n">
        <v>0</v>
      </c>
      <c r="L425" s="398" t="n">
        <v>0</v>
      </c>
      <c r="M425" s="398" t="n">
        <v>6444</v>
      </c>
      <c r="N425" s="398" t="n">
        <v>6444</v>
      </c>
      <c r="O425" s="398" t="n">
        <v>6444</v>
      </c>
      <c r="P425" s="292" t="n"/>
      <c r="Q425" s="292" t="inlineStr">
        <is>
          <t>candidate-preflight-passed</t>
        </is>
      </c>
      <c r="R425" s="323" t="inlineStr">
        <is>
          <t>材料Items已占用：净火腺囊</t>
        </is>
      </c>
      <c r="S425" s="292" t="inlineStr">
        <is>
          <t>玄渊二十套全装备代码总表.xlsx</t>
        </is>
      </c>
      <c r="T425" s="292" t="inlineStr">
        <is>
          <t>玄渊20套全装备视觉候选；Items/StateItem/DnItems三库同码；属性待策划填写</t>
        </is>
      </c>
      <c r="U425">
        <f>IF(COUNTIF($B$2:$B$1076,B425)&gt;1,"重复","")</f>
        <v/>
      </c>
      <c r="V425">
        <f>IF(AND(OR(M425="",M425=B425),OR(N425="",N425=B425),OR(O425="",O425=B425)),"通过","不一致")</f>
        <v/>
      </c>
    </row>
    <row r="426" ht="22" customHeight="1">
      <c r="A426" s="398" t="n">
        <v>425</v>
      </c>
      <c r="B426" s="398" t="n">
        <v>6445</v>
      </c>
      <c r="C426" s="399" t="inlineStr">
        <is>
          <t>黄金圣树·圣枝</t>
        </is>
      </c>
      <c r="D426" s="399" t="inlineStr">
        <is>
          <t>黄金圣树</t>
        </is>
      </c>
      <c r="E426" s="399" t="n">
        <v>2</v>
      </c>
      <c r="F426" s="399" t="inlineStr">
        <is>
          <t>宝石</t>
        </is>
      </c>
      <c r="G426" s="398" t="n">
        <v>63</v>
      </c>
      <c r="H426" s="398" t="n">
        <v>12</v>
      </c>
      <c r="I426" s="398" t="n">
        <v>6445</v>
      </c>
      <c r="J426" s="398" t="n">
        <v>0</v>
      </c>
      <c r="K426" s="398" t="n">
        <v>0</v>
      </c>
      <c r="L426" s="398" t="n">
        <v>0</v>
      </c>
      <c r="M426" s="398" t="n">
        <v>6445</v>
      </c>
      <c r="N426" s="398" t="n">
        <v>6445</v>
      </c>
      <c r="O426" s="398" t="n">
        <v>6445</v>
      </c>
      <c r="P426" s="292" t="n"/>
      <c r="Q426" s="292" t="inlineStr">
        <is>
          <t>candidate-preflight-passed</t>
        </is>
      </c>
      <c r="R426" s="323" t="inlineStr">
        <is>
          <t>材料Items已占用：龙窟熔牙</t>
        </is>
      </c>
      <c r="S426" s="292" t="inlineStr">
        <is>
          <t>玄渊二十套全装备代码总表.xlsx</t>
        </is>
      </c>
      <c r="T426" s="292" t="inlineStr">
        <is>
          <t>玄渊20套全装备视觉候选；Items/StateItem/DnItems三库同码；属性待策划填写</t>
        </is>
      </c>
      <c r="U426">
        <f>IF(COUNTIF($B$2:$B$1076,B426)&gt;1,"重复","")</f>
        <v/>
      </c>
      <c r="V426">
        <f>IF(AND(OR(M426="",M426=B426),OR(N426="",N426=B426),OR(O426="",O426=B426)),"通过","不一致")</f>
        <v/>
      </c>
    </row>
    <row r="427" ht="22" customHeight="1">
      <c r="A427" s="398" t="n">
        <v>426</v>
      </c>
      <c r="B427" s="398" t="n">
        <v>6446</v>
      </c>
      <c r="C427" s="399" t="inlineStr">
        <is>
          <t>黄金圣树·圣枝</t>
        </is>
      </c>
      <c r="D427" s="399" t="inlineStr">
        <is>
          <t>黄金圣树</t>
        </is>
      </c>
      <c r="E427" s="399" t="n">
        <v>2</v>
      </c>
      <c r="F427" s="399" t="inlineStr">
        <is>
          <t>军鼓</t>
        </is>
      </c>
      <c r="G427" s="398" t="n">
        <v>65</v>
      </c>
      <c r="H427" s="398" t="n">
        <v>14</v>
      </c>
      <c r="I427" s="398" t="n">
        <v>6446</v>
      </c>
      <c r="J427" s="398" t="n">
        <v>0</v>
      </c>
      <c r="K427" s="398" t="n">
        <v>0</v>
      </c>
      <c r="L427" s="398" t="n">
        <v>0</v>
      </c>
      <c r="M427" s="398" t="n">
        <v>6446</v>
      </c>
      <c r="N427" s="398" t="n">
        <v>6446</v>
      </c>
      <c r="O427" s="398" t="n">
        <v>6446</v>
      </c>
      <c r="P427" s="292" t="n"/>
      <c r="Q427" s="292" t="inlineStr">
        <is>
          <t>candidate-preflight-passed</t>
        </is>
      </c>
      <c r="R427" s="323" t="inlineStr">
        <is>
          <t>材料Items已占用：碎星仪仗钉</t>
        </is>
      </c>
      <c r="S427" s="292" t="inlineStr">
        <is>
          <t>玄渊二十套全装备代码总表.xlsx</t>
        </is>
      </c>
      <c r="T427" s="292" t="inlineStr">
        <is>
          <t>玄渊20套全装备视觉候选；Items/StateItem/DnItems三库同码；属性待策划填写</t>
        </is>
      </c>
      <c r="U427">
        <f>IF(COUNTIF($B$2:$B$1076,B427)&gt;1,"重复","")</f>
        <v/>
      </c>
      <c r="V427">
        <f>IF(AND(OR(M427="",M427=B427),OR(N427="",N427=B427),OR(O427="",O427=B427)),"通过","不一致")</f>
        <v/>
      </c>
    </row>
    <row r="428" ht="22" customHeight="1">
      <c r="A428" s="398" t="n">
        <v>427</v>
      </c>
      <c r="B428" s="398" t="n">
        <v>6447</v>
      </c>
      <c r="C428" s="399" t="inlineStr">
        <is>
          <t>黄金圣树·圣枝</t>
        </is>
      </c>
      <c r="D428" s="399" t="inlineStr">
        <is>
          <t>黄金圣树</t>
        </is>
      </c>
      <c r="E428" s="399" t="n">
        <v>2</v>
      </c>
      <c r="F428" s="399" t="inlineStr">
        <is>
          <t>马牌</t>
        </is>
      </c>
      <c r="G428" s="398" t="n">
        <v>28</v>
      </c>
      <c r="H428" s="398" t="n">
        <v>15</v>
      </c>
      <c r="I428" s="398" t="n">
        <v>6447</v>
      </c>
      <c r="J428" s="398" t="n">
        <v>0</v>
      </c>
      <c r="K428" s="398" t="n">
        <v>0</v>
      </c>
      <c r="L428" s="398" t="n">
        <v>0</v>
      </c>
      <c r="M428" s="398" t="n">
        <v>6447</v>
      </c>
      <c r="N428" s="398" t="n">
        <v>6447</v>
      </c>
      <c r="O428" s="398" t="n">
        <v>6447</v>
      </c>
      <c r="P428" s="292" t="n"/>
      <c r="Q428" s="292" t="inlineStr">
        <is>
          <t>candidate-preflight-passed</t>
        </is>
      </c>
      <c r="R428" s="323" t="inlineStr">
        <is>
          <t>材料Items已占用：白金路标片</t>
        </is>
      </c>
      <c r="S428" s="292" t="inlineStr">
        <is>
          <t>玄渊二十套全装备代码总表.xlsx</t>
        </is>
      </c>
      <c r="T428" s="292" t="inlineStr">
        <is>
          <t>玄渊20套全装备视觉候选；Items/StateItem/DnItems三库同码；属性待策划填写</t>
        </is>
      </c>
      <c r="U428">
        <f>IF(COUNTIF($B$2:$B$1076,B428)&gt;1,"重复","")</f>
        <v/>
      </c>
      <c r="V428">
        <f>IF(AND(OR(M428="",M428=B428),OR(N428="",N428=B428),OR(O428="",O428=B428)),"通过","不一致")</f>
        <v/>
      </c>
    </row>
    <row r="429" ht="22" customHeight="1">
      <c r="A429" s="398" t="n">
        <v>428</v>
      </c>
      <c r="B429" s="398" t="n">
        <v>6448</v>
      </c>
      <c r="C429" s="399" t="inlineStr">
        <is>
          <t>黄金圣树·圣枝</t>
        </is>
      </c>
      <c r="D429" s="399" t="inlineStr">
        <is>
          <t>黄金圣树</t>
        </is>
      </c>
      <c r="E429" s="399" t="n">
        <v>2</v>
      </c>
      <c r="F429" s="399" t="inlineStr">
        <is>
          <t>首饰盒1</t>
        </is>
      </c>
      <c r="G429" s="398" t="n">
        <v>22</v>
      </c>
      <c r="H429" s="398" t="n">
        <v>30</v>
      </c>
      <c r="I429" s="398" t="n">
        <v>6448</v>
      </c>
      <c r="J429" s="398" t="n">
        <v>0</v>
      </c>
      <c r="K429" s="398" t="n">
        <v>2</v>
      </c>
      <c r="L429" s="398" t="n">
        <v>1</v>
      </c>
      <c r="M429" s="398" t="n">
        <v>6448</v>
      </c>
      <c r="N429" s="398" t="n">
        <v>6448</v>
      </c>
      <c r="O429" s="398" t="n">
        <v>6448</v>
      </c>
      <c r="P429" s="292" t="n"/>
      <c r="Q429" s="292" t="inlineStr">
        <is>
          <t>candidate-preflight-passed</t>
        </is>
      </c>
      <c r="R429" s="323" t="inlineStr">
        <is>
          <t>材料Items已占用：冻原银角</t>
        </is>
      </c>
      <c r="S429" s="292" t="inlineStr">
        <is>
          <t>玄渊二十套全装备代码总表.xlsx</t>
        </is>
      </c>
      <c r="T429" s="292" t="inlineStr">
        <is>
          <t>玄渊20套全装备视觉候选；Items/StateItem/DnItems三库同码；属性待策划填写；OverLap=2; Expand1=1</t>
        </is>
      </c>
      <c r="U429">
        <f>IF(COUNTIF($B$2:$B$1076,B429)&gt;1,"重复","")</f>
        <v/>
      </c>
      <c r="V429">
        <f>IF(AND(OR(M429="",M429=B429),OR(N429="",N429=B429),OR(O429="",O429=B429)),"通过","不一致")</f>
        <v/>
      </c>
    </row>
    <row r="430" ht="22" customHeight="1">
      <c r="A430" s="398" t="n">
        <v>429</v>
      </c>
      <c r="B430" s="398" t="n">
        <v>6449</v>
      </c>
      <c r="C430" s="399" t="inlineStr">
        <is>
          <t>黄金圣树·圣枝</t>
        </is>
      </c>
      <c r="D430" s="399" t="inlineStr">
        <is>
          <t>黄金圣树</t>
        </is>
      </c>
      <c r="E430" s="399" t="n">
        <v>2</v>
      </c>
      <c r="F430" s="399" t="inlineStr">
        <is>
          <t>首饰盒2</t>
        </is>
      </c>
      <c r="G430" s="398" t="n">
        <v>22</v>
      </c>
      <c r="H430" s="398" t="n">
        <v>31</v>
      </c>
      <c r="I430" s="398" t="n">
        <v>6449</v>
      </c>
      <c r="J430" s="398" t="n">
        <v>0</v>
      </c>
      <c r="K430" s="398" t="n">
        <v>2</v>
      </c>
      <c r="L430" s="398" t="n">
        <v>2</v>
      </c>
      <c r="M430" s="398" t="n">
        <v>6449</v>
      </c>
      <c r="N430" s="398" t="n">
        <v>6449</v>
      </c>
      <c r="O430" s="398" t="n">
        <v>6449</v>
      </c>
      <c r="P430" s="292" t="n"/>
      <c r="Q430" s="292" t="inlineStr">
        <is>
          <t>candidate-preflight-passed</t>
        </is>
      </c>
      <c r="R430" s="323" t="inlineStr">
        <is>
          <t>材料Items已占用：秘树霜芽</t>
        </is>
      </c>
      <c r="S430" s="292" t="inlineStr">
        <is>
          <t>玄渊二十套全装备代码总表.xlsx</t>
        </is>
      </c>
      <c r="T430" s="292" t="inlineStr">
        <is>
          <t>玄渊20套全装备视觉候选；Items/StateItem/DnItems三库同码；属性待策划填写；OverLap=2; Expand1=2</t>
        </is>
      </c>
      <c r="U430">
        <f>IF(COUNTIF($B$2:$B$1076,B430)&gt;1,"重复","")</f>
        <v/>
      </c>
      <c r="V430">
        <f>IF(AND(OR(M430="",M430=B430),OR(N430="",N430=B430),OR(O430="",O430=B430)),"通过","不一致")</f>
        <v/>
      </c>
    </row>
    <row r="431" ht="22" customHeight="1">
      <c r="A431" s="398" t="n">
        <v>430</v>
      </c>
      <c r="B431" s="398" t="n">
        <v>6450</v>
      </c>
      <c r="C431" s="399" t="inlineStr">
        <is>
          <t>黄金圣树·圣枝</t>
        </is>
      </c>
      <c r="D431" s="399" t="inlineStr">
        <is>
          <t>黄金圣树</t>
        </is>
      </c>
      <c r="E431" s="399" t="n">
        <v>2</v>
      </c>
      <c r="F431" s="399" t="inlineStr">
        <is>
          <t>首饰盒3</t>
        </is>
      </c>
      <c r="G431" s="398" t="n">
        <v>22</v>
      </c>
      <c r="H431" s="398" t="n">
        <v>32</v>
      </c>
      <c r="I431" s="398" t="n">
        <v>6450</v>
      </c>
      <c r="J431" s="398" t="n">
        <v>0</v>
      </c>
      <c r="K431" s="398" t="n">
        <v>2</v>
      </c>
      <c r="L431" s="398" t="n">
        <v>3</v>
      </c>
      <c r="M431" s="398" t="n">
        <v>6450</v>
      </c>
      <c r="N431" s="398" t="n">
        <v>6450</v>
      </c>
      <c r="O431" s="398" t="n">
        <v>6450</v>
      </c>
      <c r="P431" s="292" t="n"/>
      <c r="Q431" s="292" t="inlineStr">
        <is>
          <t>candidate-preflight-passed</t>
        </is>
      </c>
      <c r="R431" s="323" t="inlineStr">
        <is>
          <t>材料Items已占用：圣雪门楔</t>
        </is>
      </c>
      <c r="S431" s="292" t="inlineStr">
        <is>
          <t>玄渊二十套全装备代码总表.xlsx</t>
        </is>
      </c>
      <c r="T431" s="292" t="inlineStr">
        <is>
          <t>玄渊20套全装备视觉候选；Items/StateItem/DnItems三库同码；属性待策划填写；OverLap=2; Expand1=3</t>
        </is>
      </c>
      <c r="U431">
        <f>IF(COUNTIF($B$2:$B$1076,B431)&gt;1,"重复","")</f>
        <v/>
      </c>
      <c r="V431">
        <f>IF(AND(OR(M431="",M431=B431),OR(N431="",N431=B431),OR(O431="",O431=B431)),"通过","不一致")</f>
        <v/>
      </c>
    </row>
    <row r="432" ht="22" customHeight="1">
      <c r="A432" s="398" t="n">
        <v>431</v>
      </c>
      <c r="B432" s="398" t="n">
        <v>6451</v>
      </c>
      <c r="C432" s="399" t="inlineStr">
        <is>
          <t>黄金圣树·圣枝</t>
        </is>
      </c>
      <c r="D432" s="399" t="inlineStr">
        <is>
          <t>黄金圣树</t>
        </is>
      </c>
      <c r="E432" s="399" t="n">
        <v>2</v>
      </c>
      <c r="F432" s="399" t="inlineStr">
        <is>
          <t>首饰盒4</t>
        </is>
      </c>
      <c r="G432" s="398" t="n">
        <v>22</v>
      </c>
      <c r="H432" s="398" t="n">
        <v>33</v>
      </c>
      <c r="I432" s="398" t="n">
        <v>6451</v>
      </c>
      <c r="J432" s="398" t="n">
        <v>0</v>
      </c>
      <c r="K432" s="398" t="n">
        <v>2</v>
      </c>
      <c r="L432" s="398" t="n">
        <v>4</v>
      </c>
      <c r="M432" s="398" t="n">
        <v>6451</v>
      </c>
      <c r="N432" s="398" t="n">
        <v>6451</v>
      </c>
      <c r="O432" s="398" t="n">
        <v>6451</v>
      </c>
      <c r="P432" s="292" t="n"/>
      <c r="Q432" s="292" t="inlineStr">
        <is>
          <t>candidate-preflight-passed</t>
        </is>
      </c>
      <c r="R432" s="323" t="inlineStr">
        <is>
          <t>材料Items已占用：登山铁楔</t>
        </is>
      </c>
      <c r="S432" s="292" t="inlineStr">
        <is>
          <t>玄渊二十套全装备代码总表.xlsx</t>
        </is>
      </c>
      <c r="T432" s="292" t="inlineStr">
        <is>
          <t>玄渊20套全装备视觉候选；Items/StateItem/DnItems三库同码；属性待策划填写；OverLap=2; Expand1=4</t>
        </is>
      </c>
      <c r="U432">
        <f>IF(COUNTIF($B$2:$B$1076,B432)&gt;1,"重复","")</f>
        <v/>
      </c>
      <c r="V432">
        <f>IF(AND(OR(M432="",M432=B432),OR(N432="",N432=B432),OR(O432="",O432=B432)),"通过","不一致")</f>
        <v/>
      </c>
    </row>
    <row r="433" ht="22" customHeight="1">
      <c r="A433" s="398" t="n">
        <v>432</v>
      </c>
      <c r="B433" s="398" t="n">
        <v>6452</v>
      </c>
      <c r="C433" s="399" t="inlineStr">
        <is>
          <t>黄金圣树·圣枝</t>
        </is>
      </c>
      <c r="D433" s="399" t="inlineStr">
        <is>
          <t>黄金圣树</t>
        </is>
      </c>
      <c r="E433" s="399" t="n">
        <v>2</v>
      </c>
      <c r="F433" s="399" t="inlineStr">
        <is>
          <t>首饰盒5</t>
        </is>
      </c>
      <c r="G433" s="398" t="n">
        <v>22</v>
      </c>
      <c r="H433" s="398" t="n">
        <v>34</v>
      </c>
      <c r="I433" s="398" t="n">
        <v>6452</v>
      </c>
      <c r="J433" s="398" t="n">
        <v>0</v>
      </c>
      <c r="K433" s="398" t="n">
        <v>2</v>
      </c>
      <c r="L433" s="398" t="n">
        <v>5</v>
      </c>
      <c r="M433" s="398" t="n">
        <v>6452</v>
      </c>
      <c r="N433" s="398" t="n">
        <v>6452</v>
      </c>
      <c r="O433" s="398" t="n">
        <v>6452</v>
      </c>
      <c r="P433" s="292" t="n"/>
      <c r="Q433" s="292" t="inlineStr">
        <is>
          <t>candidate-preflight-passed</t>
        </is>
      </c>
      <c r="R433" s="323" t="inlineStr">
        <is>
          <t>材料Items已占用：裂峰号角片</t>
        </is>
      </c>
      <c r="S433" s="292" t="inlineStr">
        <is>
          <t>玄渊二十套全装备代码总表.xlsx</t>
        </is>
      </c>
      <c r="T433" s="292" t="inlineStr">
        <is>
          <t>玄渊20套全装备视觉候选；Items/StateItem/DnItems三库同码；属性待策划填写；OverLap=2; Expand1=5</t>
        </is>
      </c>
      <c r="U433">
        <f>IF(COUNTIF($B$2:$B$1076,B433)&gt;1,"重复","")</f>
        <v/>
      </c>
      <c r="V433">
        <f>IF(AND(OR(M433="",M433=B433),OR(N433="",N433=B433),OR(O433="",O433=B433)),"通过","不一致")</f>
        <v/>
      </c>
    </row>
    <row r="434" ht="22" customHeight="1">
      <c r="A434" s="398" t="n">
        <v>433</v>
      </c>
      <c r="B434" s="398" t="n">
        <v>6453</v>
      </c>
      <c r="C434" s="399" t="inlineStr">
        <is>
          <t>黄金圣树·圣枝</t>
        </is>
      </c>
      <c r="D434" s="399" t="inlineStr">
        <is>
          <t>黄金圣树</t>
        </is>
      </c>
      <c r="E434" s="399" t="n">
        <v>2</v>
      </c>
      <c r="F434" s="399" t="inlineStr">
        <is>
          <t>首饰盒6</t>
        </is>
      </c>
      <c r="G434" s="398" t="n">
        <v>22</v>
      </c>
      <c r="H434" s="398" t="n">
        <v>35</v>
      </c>
      <c r="I434" s="398" t="n">
        <v>6453</v>
      </c>
      <c r="J434" s="398" t="n">
        <v>0</v>
      </c>
      <c r="K434" s="398" t="n">
        <v>2</v>
      </c>
      <c r="L434" s="398" t="n">
        <v>6</v>
      </c>
      <c r="M434" s="398" t="n">
        <v>6453</v>
      </c>
      <c r="N434" s="398" t="n">
        <v>6453</v>
      </c>
      <c r="O434" s="398" t="n">
        <v>6453</v>
      </c>
      <c r="P434" s="292" t="n"/>
      <c r="Q434" s="292" t="inlineStr">
        <is>
          <t>candidate-preflight-passed</t>
        </is>
      </c>
      <c r="R434" s="323" t="inlineStr">
        <is>
          <t>材料Items已占用：冰宫守门铃</t>
        </is>
      </c>
      <c r="S434" s="292" t="inlineStr">
        <is>
          <t>玄渊二十套全装备代码总表.xlsx</t>
        </is>
      </c>
      <c r="T434" s="292" t="inlineStr">
        <is>
          <t>玄渊20套全装备视觉候选；Items/StateItem/DnItems三库同码；属性待策划填写；OverLap=2; Expand1=6</t>
        </is>
      </c>
      <c r="U434">
        <f>IF(COUNTIF($B$2:$B$1076,B434)&gt;1,"重复","")</f>
        <v/>
      </c>
      <c r="V434">
        <f>IF(AND(OR(M434="",M434=B434),OR(N434="",N434=B434),OR(O434="",O434=B434)),"通过","不一致")</f>
        <v/>
      </c>
    </row>
    <row r="435" ht="22" customHeight="1">
      <c r="A435" s="398" t="n">
        <v>434</v>
      </c>
      <c r="B435" s="398" t="n">
        <v>6454</v>
      </c>
      <c r="C435" s="399" t="inlineStr">
        <is>
          <t>黄金圣树·圣枝</t>
        </is>
      </c>
      <c r="D435" s="399" t="inlineStr">
        <is>
          <t>黄金圣树</t>
        </is>
      </c>
      <c r="E435" s="399" t="n">
        <v>2</v>
      </c>
      <c r="F435" s="399" t="inlineStr">
        <is>
          <t>生肖1</t>
        </is>
      </c>
      <c r="G435" s="398" t="n">
        <v>22</v>
      </c>
      <c r="H435" s="398" t="n">
        <v>40</v>
      </c>
      <c r="I435" s="398" t="n">
        <v>6454</v>
      </c>
      <c r="J435" s="398" t="n">
        <v>0</v>
      </c>
      <c r="K435" s="398" t="n">
        <v>4</v>
      </c>
      <c r="L435" s="398" t="n">
        <v>1</v>
      </c>
      <c r="M435" s="398" t="n">
        <v>6454</v>
      </c>
      <c r="N435" s="398" t="n">
        <v>6454</v>
      </c>
      <c r="O435" s="398" t="n">
        <v>6454</v>
      </c>
      <c r="P435" s="292" t="n"/>
      <c r="Q435" s="292" t="inlineStr">
        <is>
          <t>candidate-preflight-passed</t>
        </is>
      </c>
      <c r="R435" s="323" t="inlineStr">
        <is>
          <t>材料Items已占用：王庭炉冠</t>
        </is>
      </c>
      <c r="S435" s="292" t="inlineStr">
        <is>
          <t>玄渊二十套全装备代码总表.xlsx</t>
        </is>
      </c>
      <c r="T435" s="292" t="inlineStr">
        <is>
          <t>玄渊20套全装备视觉候选；Items/StateItem/DnItems三库同码；属性待策划填写；OverLap=4; Expand1=1</t>
        </is>
      </c>
      <c r="U435">
        <f>IF(COUNTIF($B$2:$B$1076,B435)&gt;1,"重复","")</f>
        <v/>
      </c>
      <c r="V435">
        <f>IF(AND(OR(M435="",M435=B435),OR(N435="",N435=B435),OR(O435="",O435=B435)),"通过","不一致")</f>
        <v/>
      </c>
    </row>
    <row r="436" ht="22" customHeight="1">
      <c r="A436" s="398" t="n">
        <v>435</v>
      </c>
      <c r="B436" s="398" t="n">
        <v>6455</v>
      </c>
      <c r="C436" s="399" t="inlineStr">
        <is>
          <t>黄金圣树·圣枝</t>
        </is>
      </c>
      <c r="D436" s="399" t="inlineStr">
        <is>
          <t>黄金圣树</t>
        </is>
      </c>
      <c r="E436" s="399" t="n">
        <v>2</v>
      </c>
      <c r="F436" s="399" t="inlineStr">
        <is>
          <t>生肖2</t>
        </is>
      </c>
      <c r="G436" s="398" t="n">
        <v>22</v>
      </c>
      <c r="H436" s="398" t="n">
        <v>41</v>
      </c>
      <c r="I436" s="398" t="n">
        <v>6455</v>
      </c>
      <c r="J436" s="398" t="n">
        <v>0</v>
      </c>
      <c r="K436" s="398" t="n">
        <v>4</v>
      </c>
      <c r="L436" s="398" t="n">
        <v>2</v>
      </c>
      <c r="M436" s="398" t="n">
        <v>6455</v>
      </c>
      <c r="N436" s="398" t="n">
        <v>6455</v>
      </c>
      <c r="O436" s="398" t="n">
        <v>6455</v>
      </c>
      <c r="P436" s="292" t="n"/>
      <c r="Q436" s="292" t="inlineStr">
        <is>
          <t>candidate-preflight-passed</t>
        </is>
      </c>
      <c r="R436" s="323" t="inlineStr">
        <is>
          <t>材料Items已占用：金叶驿票</t>
        </is>
      </c>
      <c r="S436" s="292" t="inlineStr">
        <is>
          <t>玄渊二十套全装备代码总表.xlsx</t>
        </is>
      </c>
      <c r="T436" s="292" t="inlineStr">
        <is>
          <t>玄渊20套全装备视觉候选；Items/StateItem/DnItems三库同码；属性待策划填写；OverLap=4; Expand1=2</t>
        </is>
      </c>
      <c r="U436">
        <f>IF(COUNTIF($B$2:$B$1076,B436)&gt;1,"重复","")</f>
        <v/>
      </c>
      <c r="V436">
        <f>IF(AND(OR(M436="",M436=B436),OR(N436="",N436=B436),OR(O436="",O436=B436)),"通过","不一致")</f>
        <v/>
      </c>
    </row>
    <row r="437" ht="22" customHeight="1">
      <c r="A437" s="398" t="n">
        <v>436</v>
      </c>
      <c r="B437" s="398" t="n">
        <v>6456</v>
      </c>
      <c r="C437" s="399" t="inlineStr">
        <is>
          <t>黄金圣树·圣枝</t>
        </is>
      </c>
      <c r="D437" s="399" t="inlineStr">
        <is>
          <t>黄金圣树</t>
        </is>
      </c>
      <c r="E437" s="399" t="n">
        <v>2</v>
      </c>
      <c r="F437" s="399" t="inlineStr">
        <is>
          <t>生肖3</t>
        </is>
      </c>
      <c r="G437" s="398" t="n">
        <v>22</v>
      </c>
      <c r="H437" s="398" t="n">
        <v>42</v>
      </c>
      <c r="I437" s="398" t="n">
        <v>6456</v>
      </c>
      <c r="J437" s="398" t="n">
        <v>0</v>
      </c>
      <c r="K437" s="398" t="n">
        <v>4</v>
      </c>
      <c r="L437" s="398" t="n">
        <v>3</v>
      </c>
      <c r="M437" s="398" t="n">
        <v>6456</v>
      </c>
      <c r="N437" s="398" t="n">
        <v>6456</v>
      </c>
      <c r="O437" s="398" t="n">
        <v>6456</v>
      </c>
      <c r="P437" s="292" t="n"/>
      <c r="Q437" s="292" t="inlineStr">
        <is>
          <t>candidate-preflight-passed</t>
        </is>
      </c>
      <c r="R437" s="323" t="inlineStr">
        <is>
          <t>材料Items已占用：矿脉灯芯</t>
        </is>
      </c>
      <c r="S437" s="292" t="inlineStr">
        <is>
          <t>玄渊二十套全装备代码总表.xlsx</t>
        </is>
      </c>
      <c r="T437" s="292" t="inlineStr">
        <is>
          <t>玄渊20套全装备视觉候选；Items/StateItem/DnItems三库同码；属性待策划填写；OverLap=4; Expand1=3</t>
        </is>
      </c>
      <c r="U437">
        <f>IF(COUNTIF($B$2:$B$1076,B437)&gt;1,"重复","")</f>
        <v/>
      </c>
      <c r="V437">
        <f>IF(AND(OR(M437="",M437=B437),OR(N437="",N437=B437),OR(O437="",O437=B437)),"通过","不一致")</f>
        <v/>
      </c>
    </row>
    <row r="438" ht="22" customHeight="1">
      <c r="A438" s="398" t="n">
        <v>437</v>
      </c>
      <c r="B438" s="398" t="n">
        <v>6457</v>
      </c>
      <c r="C438" s="399" t="inlineStr">
        <is>
          <t>黄金圣树·圣枝</t>
        </is>
      </c>
      <c r="D438" s="399" t="inlineStr">
        <is>
          <t>黄金圣树</t>
        </is>
      </c>
      <c r="E438" s="399" t="n">
        <v>2</v>
      </c>
      <c r="F438" s="399" t="inlineStr">
        <is>
          <t>生肖4</t>
        </is>
      </c>
      <c r="G438" s="398" t="n">
        <v>22</v>
      </c>
      <c r="H438" s="398" t="n">
        <v>43</v>
      </c>
      <c r="I438" s="398" t="n">
        <v>6457</v>
      </c>
      <c r="J438" s="398" t="n">
        <v>0</v>
      </c>
      <c r="K438" s="398" t="n">
        <v>4</v>
      </c>
      <c r="L438" s="398" t="n">
        <v>4</v>
      </c>
      <c r="M438" s="398" t="n">
        <v>6457</v>
      </c>
      <c r="N438" s="398" t="n">
        <v>6457</v>
      </c>
      <c r="O438" s="398" t="n">
        <v>6457</v>
      </c>
      <c r="P438" s="292" t="n"/>
      <c r="Q438" s="292" t="inlineStr">
        <is>
          <t>candidate-preflight-passed</t>
        </is>
      </c>
      <c r="R438" s="323" t="inlineStr">
        <is>
          <t>材料Items已占用：裁文蜡封</t>
        </is>
      </c>
      <c r="S438" s="292" t="inlineStr">
        <is>
          <t>玄渊二十套全装备代码总表.xlsx</t>
        </is>
      </c>
      <c r="T438" s="292" t="inlineStr">
        <is>
          <t>玄渊20套全装备视觉候选；Items/StateItem/DnItems三库同码；属性待策划填写；OverLap=4; Expand1=4</t>
        </is>
      </c>
      <c r="U438">
        <f>IF(COUNTIF($B$2:$B$1076,B438)&gt;1,"重复","")</f>
        <v/>
      </c>
      <c r="V438">
        <f>IF(AND(OR(M438="",M438=B438),OR(N438="",N438=B438),OR(O438="",O438=B438)),"通过","不一致")</f>
        <v/>
      </c>
    </row>
    <row r="439" ht="22" customHeight="1">
      <c r="A439" s="398" t="n">
        <v>438</v>
      </c>
      <c r="B439" s="398" t="n">
        <v>6458</v>
      </c>
      <c r="C439" s="399" t="inlineStr">
        <is>
          <t>黄金圣树·圣枝</t>
        </is>
      </c>
      <c r="D439" s="399" t="inlineStr">
        <is>
          <t>黄金圣树</t>
        </is>
      </c>
      <c r="E439" s="399" t="n">
        <v>2</v>
      </c>
      <c r="F439" s="399" t="inlineStr">
        <is>
          <t>生肖5</t>
        </is>
      </c>
      <c r="G439" s="398" t="n">
        <v>22</v>
      </c>
      <c r="H439" s="398" t="n">
        <v>44</v>
      </c>
      <c r="I439" s="398" t="n">
        <v>6458</v>
      </c>
      <c r="J439" s="398" t="n">
        <v>0</v>
      </c>
      <c r="K439" s="398" t="n">
        <v>4</v>
      </c>
      <c r="L439" s="398" t="n">
        <v>5</v>
      </c>
      <c r="M439" s="398" t="n">
        <v>6458</v>
      </c>
      <c r="N439" s="398" t="n">
        <v>6458</v>
      </c>
      <c r="O439" s="398" t="n">
        <v>6458</v>
      </c>
      <c r="P439" s="292" t="n"/>
      <c r="Q439" s="292" t="inlineStr">
        <is>
          <t>candidate-preflight-passed</t>
        </is>
      </c>
      <c r="R439" s="323" t="inlineStr">
        <is>
          <t>材料Items已占用：高原王诏金版</t>
        </is>
      </c>
      <c r="S439" s="292" t="inlineStr">
        <is>
          <t>玄渊二十套全装备代码总表.xlsx</t>
        </is>
      </c>
      <c r="T439" s="292" t="inlineStr">
        <is>
          <t>玄渊20套全装备视觉候选；Items/StateItem/DnItems三库同码；属性待策划填写；OverLap=4; Expand1=5</t>
        </is>
      </c>
      <c r="U439">
        <f>IF(COUNTIF($B$2:$B$1076,B439)&gt;1,"重复","")</f>
        <v/>
      </c>
      <c r="V439">
        <f>IF(AND(OR(M439="",M439=B439),OR(N439="",N439=B439),OR(O439="",O439=B439)),"通过","不一致")</f>
        <v/>
      </c>
    </row>
    <row r="440" ht="22" customHeight="1">
      <c r="A440" s="398" t="n">
        <v>439</v>
      </c>
      <c r="B440" s="398" t="n">
        <v>6459</v>
      </c>
      <c r="C440" s="399" t="inlineStr">
        <is>
          <t>黄金圣树·圣枝</t>
        </is>
      </c>
      <c r="D440" s="399" t="inlineStr">
        <is>
          <t>黄金圣树</t>
        </is>
      </c>
      <c r="E440" s="399" t="n">
        <v>2</v>
      </c>
      <c r="F440" s="399" t="inlineStr">
        <is>
          <t>生肖6</t>
        </is>
      </c>
      <c r="G440" s="398" t="n">
        <v>22</v>
      </c>
      <c r="H440" s="398" t="n">
        <v>45</v>
      </c>
      <c r="I440" s="398" t="n">
        <v>6459</v>
      </c>
      <c r="J440" s="398" t="n">
        <v>0</v>
      </c>
      <c r="K440" s="398" t="n">
        <v>4</v>
      </c>
      <c r="L440" s="398" t="n">
        <v>6</v>
      </c>
      <c r="M440" s="398" t="n">
        <v>6459</v>
      </c>
      <c r="N440" s="398" t="n">
        <v>6459</v>
      </c>
      <c r="O440" s="398" t="n">
        <v>6459</v>
      </c>
      <c r="P440" s="292" t="n"/>
      <c r="Q440" s="292" t="inlineStr">
        <is>
          <t>candidate-preflight-passed</t>
        </is>
      </c>
      <c r="R440" s="323" t="inlineStr">
        <is>
          <t>材料Items已占用：无名墓钉</t>
        </is>
      </c>
      <c r="S440" s="292" t="inlineStr">
        <is>
          <t>玄渊二十套全装备代码总表.xlsx</t>
        </is>
      </c>
      <c r="T440" s="292" t="inlineStr">
        <is>
          <t>玄渊20套全装备视觉候选；Items/StateItem/DnItems三库同码；属性待策划填写；OverLap=4; Expand1=6</t>
        </is>
      </c>
      <c r="U440">
        <f>IF(COUNTIF($B$2:$B$1076,B440)&gt;1,"重复","")</f>
        <v/>
      </c>
      <c r="V440">
        <f>IF(AND(OR(M440="",M440=B440),OR(N440="",N440=B440),OR(O440="",O440=B440)),"通过","不一致")</f>
        <v/>
      </c>
    </row>
    <row r="441" ht="22" customHeight="1">
      <c r="A441" s="398" t="n">
        <v>440</v>
      </c>
      <c r="B441" s="398" t="n">
        <v>6460</v>
      </c>
      <c r="C441" s="399" t="inlineStr">
        <is>
          <t>黄金圣树·圣枝</t>
        </is>
      </c>
      <c r="D441" s="399" t="inlineStr">
        <is>
          <t>黄金圣树</t>
        </is>
      </c>
      <c r="E441" s="399" t="n">
        <v>2</v>
      </c>
      <c r="F441" s="399" t="inlineStr">
        <is>
          <t>生肖7</t>
        </is>
      </c>
      <c r="G441" s="398" t="n">
        <v>22</v>
      </c>
      <c r="H441" s="398" t="n">
        <v>46</v>
      </c>
      <c r="I441" s="398" t="n">
        <v>6460</v>
      </c>
      <c r="J441" s="398" t="n">
        <v>0</v>
      </c>
      <c r="K441" s="398" t="n">
        <v>4</v>
      </c>
      <c r="L441" s="398" t="n">
        <v>7</v>
      </c>
      <c r="M441" s="398" t="n">
        <v>6460</v>
      </c>
      <c r="N441" s="398" t="n">
        <v>6460</v>
      </c>
      <c r="O441" s="398" t="n">
        <v>6460</v>
      </c>
      <c r="P441" s="292" t="n"/>
      <c r="Q441" s="292" t="inlineStr">
        <is>
          <t>candidate-preflight-passed</t>
        </is>
      </c>
      <c r="R441" s="323" t="inlineStr">
        <is>
          <t>材料Items已占用：旧渠阀芯</t>
        </is>
      </c>
      <c r="S441" s="292" t="inlineStr">
        <is>
          <t>玄渊二十套全装备代码总表.xlsx</t>
        </is>
      </c>
      <c r="T441" s="292" t="inlineStr">
        <is>
          <t>玄渊20套全装备视觉候选；Items/StateItem/DnItems三库同码；属性待策划填写；OverLap=4; Expand1=7</t>
        </is>
      </c>
      <c r="U441">
        <f>IF(COUNTIF($B$2:$B$1076,B441)&gt;1,"重复","")</f>
        <v/>
      </c>
      <c r="V441">
        <f>IF(AND(OR(M441="",M441=B441),OR(N441="",N441=B441),OR(O441="",O441=B441)),"通过","不一致")</f>
        <v/>
      </c>
    </row>
    <row r="442" ht="22" customHeight="1">
      <c r="A442" s="398" t="n">
        <v>441</v>
      </c>
      <c r="B442" s="398" t="n">
        <v>6461</v>
      </c>
      <c r="C442" s="399" t="inlineStr">
        <is>
          <t>黄金圣树·圣枝</t>
        </is>
      </c>
      <c r="D442" s="399" t="inlineStr">
        <is>
          <t>黄金圣树</t>
        </is>
      </c>
      <c r="E442" s="399" t="n">
        <v>2</v>
      </c>
      <c r="F442" s="399" t="inlineStr">
        <is>
          <t>生肖8</t>
        </is>
      </c>
      <c r="G442" s="398" t="n">
        <v>22</v>
      </c>
      <c r="H442" s="398" t="n">
        <v>47</v>
      </c>
      <c r="I442" s="398" t="n">
        <v>6461</v>
      </c>
      <c r="J442" s="398" t="n">
        <v>0</v>
      </c>
      <c r="K442" s="398" t="n">
        <v>4</v>
      </c>
      <c r="L442" s="398" t="n">
        <v>8</v>
      </c>
      <c r="M442" s="398" t="n">
        <v>6461</v>
      </c>
      <c r="N442" s="398" t="n">
        <v>6461</v>
      </c>
      <c r="O442" s="398" t="n">
        <v>6461</v>
      </c>
      <c r="P442" s="292" t="n"/>
      <c r="Q442" s="292" t="inlineStr">
        <is>
          <t>candidate-preflight-passed</t>
        </is>
      </c>
      <c r="R442" s="323" t="inlineStr">
        <is>
          <t>材料Items已占用：失温熔炉楔</t>
        </is>
      </c>
      <c r="S442" s="292" t="inlineStr">
        <is>
          <t>玄渊二十套全装备代码总表.xlsx</t>
        </is>
      </c>
      <c r="T442" s="292" t="inlineStr">
        <is>
          <t>玄渊20套全装备视觉候选；Items/StateItem/DnItems三库同码；属性待策划填写；OverLap=4; Expand1=8</t>
        </is>
      </c>
      <c r="U442">
        <f>IF(COUNTIF($B$2:$B$1076,B442)&gt;1,"重复","")</f>
        <v/>
      </c>
      <c r="V442">
        <f>IF(AND(OR(M442="",M442=B442),OR(N442="",N442=B442),OR(O442="",O442=B442)),"通过","不一致")</f>
        <v/>
      </c>
    </row>
    <row r="443" ht="22" customHeight="1">
      <c r="A443" s="398" t="n">
        <v>442</v>
      </c>
      <c r="B443" s="398" t="n">
        <v>6462</v>
      </c>
      <c r="C443" s="399" t="inlineStr">
        <is>
          <t>黄金圣树·圣枝</t>
        </is>
      </c>
      <c r="D443" s="399" t="inlineStr">
        <is>
          <t>黄金圣树</t>
        </is>
      </c>
      <c r="E443" s="399" t="n">
        <v>2</v>
      </c>
      <c r="F443" s="399" t="inlineStr">
        <is>
          <t>生肖9</t>
        </is>
      </c>
      <c r="G443" s="398" t="n">
        <v>22</v>
      </c>
      <c r="H443" s="398" t="n">
        <v>48</v>
      </c>
      <c r="I443" s="398" t="n">
        <v>6462</v>
      </c>
      <c r="J443" s="398" t="n">
        <v>0</v>
      </c>
      <c r="K443" s="398" t="n">
        <v>4</v>
      </c>
      <c r="L443" s="398" t="n">
        <v>9</v>
      </c>
      <c r="M443" s="398" t="n">
        <v>6462</v>
      </c>
      <c r="N443" s="398" t="n">
        <v>6462</v>
      </c>
      <c r="O443" s="398" t="n">
        <v>6462</v>
      </c>
      <c r="P443" s="292" t="n"/>
      <c r="Q443" s="292" t="inlineStr">
        <is>
          <t>candidate-preflight-passed</t>
        </is>
      </c>
      <c r="R443" s="323" t="inlineStr">
        <is>
          <t>材料Items已占用：王宫断冠片</t>
        </is>
      </c>
      <c r="S443" s="292" t="inlineStr">
        <is>
          <t>玄渊二十套全装备代码总表.xlsx</t>
        </is>
      </c>
      <c r="T443" s="292" t="inlineStr">
        <is>
          <t>玄渊20套全装备视觉候选；Items/StateItem/DnItems三库同码；属性待策划填写；OverLap=4; Expand1=9</t>
        </is>
      </c>
      <c r="U443">
        <f>IF(COUNTIF($B$2:$B$1076,B443)&gt;1,"重复","")</f>
        <v/>
      </c>
      <c r="V443">
        <f>IF(AND(OR(M443="",M443=B443),OR(N443="",N443=B443),OR(O443="",O443=B443)),"通过","不一致")</f>
        <v/>
      </c>
    </row>
    <row r="444" ht="22" customHeight="1">
      <c r="A444" s="398" t="n">
        <v>443</v>
      </c>
      <c r="B444" s="398" t="n">
        <v>6463</v>
      </c>
      <c r="C444" s="399" t="inlineStr">
        <is>
          <t>黄金圣树·圣枝</t>
        </is>
      </c>
      <c r="D444" s="399" t="inlineStr">
        <is>
          <t>黄金圣树</t>
        </is>
      </c>
      <c r="E444" s="399" t="n">
        <v>2</v>
      </c>
      <c r="F444" s="399" t="inlineStr">
        <is>
          <t>生肖10</t>
        </is>
      </c>
      <c r="G444" s="398" t="n">
        <v>22</v>
      </c>
      <c r="H444" s="398" t="n">
        <v>49</v>
      </c>
      <c r="I444" s="398" t="n">
        <v>6463</v>
      </c>
      <c r="J444" s="398" t="n">
        <v>0</v>
      </c>
      <c r="K444" s="398" t="n">
        <v>4</v>
      </c>
      <c r="L444" s="398" t="n">
        <v>10</v>
      </c>
      <c r="M444" s="398" t="n">
        <v>6463</v>
      </c>
      <c r="N444" s="398" t="n">
        <v>6463</v>
      </c>
      <c r="O444" s="398" t="n">
        <v>6463</v>
      </c>
      <c r="P444" s="292" t="n"/>
      <c r="Q444" s="292" t="inlineStr">
        <is>
          <t>candidate-preflight-passed</t>
        </is>
      </c>
      <c r="R444" s="292" t="str"/>
      <c r="S444" s="292" t="inlineStr">
        <is>
          <t>玄渊二十套全装备代码总表.xlsx</t>
        </is>
      </c>
      <c r="T444" s="292" t="inlineStr">
        <is>
          <t>玄渊20套全装备视觉候选；Items/StateItem/DnItems三库同码；属性待策划填写；OverLap=4; Expand1=10</t>
        </is>
      </c>
      <c r="U444">
        <f>IF(COUNTIF($B$2:$B$1076,B444)&gt;1,"重复","")</f>
        <v/>
      </c>
      <c r="V444">
        <f>IF(AND(OR(M444="",M444=B444),OR(N444="",N444=B444),OR(O444="",O444=B444)),"通过","不一致")</f>
        <v/>
      </c>
    </row>
    <row r="445" ht="22" customHeight="1">
      <c r="A445" s="398" t="n">
        <v>444</v>
      </c>
      <c r="B445" s="398" t="n">
        <v>6464</v>
      </c>
      <c r="C445" s="399" t="inlineStr">
        <is>
          <t>黄金圣树·圣枝</t>
        </is>
      </c>
      <c r="D445" s="399" t="inlineStr">
        <is>
          <t>黄金圣树</t>
        </is>
      </c>
      <c r="E445" s="399" t="n">
        <v>2</v>
      </c>
      <c r="F445" s="399" t="inlineStr">
        <is>
          <t>生肖11</t>
        </is>
      </c>
      <c r="G445" s="398" t="n">
        <v>22</v>
      </c>
      <c r="H445" s="398" t="n">
        <v>50</v>
      </c>
      <c r="I445" s="398" t="n">
        <v>6464</v>
      </c>
      <c r="J445" s="398" t="n">
        <v>0</v>
      </c>
      <c r="K445" s="398" t="n">
        <v>4</v>
      </c>
      <c r="L445" s="398" t="n">
        <v>11</v>
      </c>
      <c r="M445" s="398" t="n">
        <v>6464</v>
      </c>
      <c r="N445" s="398" t="n">
        <v>6464</v>
      </c>
      <c r="O445" s="398" t="n">
        <v>6464</v>
      </c>
      <c r="P445" s="292" t="n"/>
      <c r="Q445" s="292" t="inlineStr">
        <is>
          <t>candidate-preflight-passed</t>
        </is>
      </c>
      <c r="R445" s="292" t="str"/>
      <c r="S445" s="292" t="inlineStr">
        <is>
          <t>玄渊二十套全装备代码总表.xlsx</t>
        </is>
      </c>
      <c r="T445" s="292" t="inlineStr">
        <is>
          <t>玄渊20套全装备视觉候选；Items/StateItem/DnItems三库同码；属性待策划填写；OverLap=4; Expand1=11</t>
        </is>
      </c>
      <c r="U445">
        <f>IF(COUNTIF($B$2:$B$1076,B445)&gt;1,"重复","")</f>
        <v/>
      </c>
      <c r="V445">
        <f>IF(AND(OR(M445="",M445=B445),OR(N445="",N445=B445),OR(O445="",O445=B445)),"通过","不一致")</f>
        <v/>
      </c>
    </row>
    <row r="446" ht="22" customHeight="1">
      <c r="A446" s="398" t="n">
        <v>445</v>
      </c>
      <c r="B446" s="398" t="n">
        <v>6465</v>
      </c>
      <c r="C446" s="399" t="inlineStr">
        <is>
          <t>黄金圣树·圣枝</t>
        </is>
      </c>
      <c r="D446" s="399" t="inlineStr">
        <is>
          <t>黄金圣树</t>
        </is>
      </c>
      <c r="E446" s="399" t="n">
        <v>2</v>
      </c>
      <c r="F446" s="399" t="inlineStr">
        <is>
          <t>生肖12</t>
        </is>
      </c>
      <c r="G446" s="398" t="n">
        <v>22</v>
      </c>
      <c r="H446" s="398" t="n">
        <v>51</v>
      </c>
      <c r="I446" s="398" t="n">
        <v>6465</v>
      </c>
      <c r="J446" s="398" t="n">
        <v>0</v>
      </c>
      <c r="K446" s="398" t="n">
        <v>4</v>
      </c>
      <c r="L446" s="398" t="n">
        <v>12</v>
      </c>
      <c r="M446" s="398" t="n">
        <v>6465</v>
      </c>
      <c r="N446" s="398" t="n">
        <v>6465</v>
      </c>
      <c r="O446" s="398" t="n">
        <v>6465</v>
      </c>
      <c r="P446" s="292" t="n"/>
      <c r="Q446" s="292" t="inlineStr">
        <is>
          <t>candidate-preflight-passed</t>
        </is>
      </c>
      <c r="R446" s="292" t="str"/>
      <c r="S446" s="292" t="inlineStr">
        <is>
          <t>玄渊二十套全装备代码总表.xlsx</t>
        </is>
      </c>
      <c r="T446" s="292" t="inlineStr">
        <is>
          <t>玄渊20套全装备视觉候选；Items/StateItem/DnItems三库同码；属性待策划填写；OverLap=4; Expand1=12</t>
        </is>
      </c>
      <c r="U446">
        <f>IF(COUNTIF($B$2:$B$1076,B446)&gt;1,"重复","")</f>
        <v/>
      </c>
      <c r="V446">
        <f>IF(AND(OR(M446="",M446=B446),OR(N446="",N446=B446),OR(O446="",O446=B446)),"通过","不一致")</f>
        <v/>
      </c>
    </row>
    <row r="447" ht="22" customHeight="1">
      <c r="A447" s="398" t="n">
        <v>446</v>
      </c>
      <c r="B447" s="398" t="n">
        <v>6466</v>
      </c>
      <c r="C447" s="399" t="inlineStr">
        <is>
          <t>黄金圣树·王权</t>
        </is>
      </c>
      <c r="D447" s="399" t="inlineStr">
        <is>
          <t>黄金圣树</t>
        </is>
      </c>
      <c r="E447" s="399" t="n">
        <v>3</v>
      </c>
      <c r="F447" s="399" t="inlineStr">
        <is>
          <t>武器</t>
        </is>
      </c>
      <c r="G447" s="398" t="n">
        <v>5</v>
      </c>
      <c r="H447" s="398" t="n">
        <v>1</v>
      </c>
      <c r="I447" s="398" t="n">
        <v>6466</v>
      </c>
      <c r="J447" s="398" t="n">
        <v>16</v>
      </c>
      <c r="K447" s="398" t="n">
        <v>0</v>
      </c>
      <c r="L447" s="398" t="n">
        <v>0</v>
      </c>
      <c r="M447" s="398" t="n">
        <v>6466</v>
      </c>
      <c r="N447" s="398" t="n">
        <v>6466</v>
      </c>
      <c r="O447" s="398" t="n">
        <v>6466</v>
      </c>
      <c r="P447" s="292" t="inlineStr">
        <is>
          <t>Weapon.wzl/wzx（复用现有真实动作）</t>
        </is>
      </c>
      <c r="Q447" s="292" t="inlineStr">
        <is>
          <t>candidate-preflight-passed</t>
        </is>
      </c>
      <c r="R447" s="324" t="inlineStr">
        <is>
          <t>C3-C10规划锁定：裂风战旗刃</t>
        </is>
      </c>
      <c r="S447" s="292" t="inlineStr">
        <is>
          <t>玄渊二十套全装备代码总表.xlsx</t>
        </is>
      </c>
      <c r="T447" s="292" t="inlineStr">
        <is>
          <t>玄渊20套全装备视觉候选；Items/StateItem/DnItems三库同码；属性待策划填写；Weapon Shape=16</t>
        </is>
      </c>
      <c r="U447">
        <f>IF(COUNTIF($B$2:$B$1076,B447)&gt;1,"重复","")</f>
        <v/>
      </c>
      <c r="V447">
        <f>IF(AND(OR(M447="",M447=B447),OR(N447="",N447=B447),OR(O447="",O447=B447)),"通过","不一致")</f>
        <v/>
      </c>
    </row>
    <row r="448" ht="22" customHeight="1">
      <c r="A448" s="398" t="n">
        <v>447</v>
      </c>
      <c r="B448" s="398" t="n">
        <v>6467</v>
      </c>
      <c r="C448" s="399" t="inlineStr">
        <is>
          <t>黄金圣树·王权</t>
        </is>
      </c>
      <c r="D448" s="399" t="inlineStr">
        <is>
          <t>黄金圣树</t>
        </is>
      </c>
      <c r="E448" s="399" t="n">
        <v>3</v>
      </c>
      <c r="F448" s="399" t="inlineStr">
        <is>
          <t>男衣服</t>
        </is>
      </c>
      <c r="G448" s="398" t="n">
        <v>10</v>
      </c>
      <c r="H448" s="398" t="n">
        <v>0</v>
      </c>
      <c r="I448" s="398" t="n">
        <v>6467</v>
      </c>
      <c r="J448" s="398" t="n">
        <v>3</v>
      </c>
      <c r="K448" s="398" t="n">
        <v>0</v>
      </c>
      <c r="L448" s="398" t="n">
        <v>0</v>
      </c>
      <c r="M448" s="398" t="n">
        <v>6467</v>
      </c>
      <c r="N448" s="398" t="n">
        <v>6467</v>
      </c>
      <c r="O448" s="398" t="n">
        <v>6467</v>
      </c>
      <c r="P448" s="292" t="inlineStr">
        <is>
          <t>Hum.wzl/wzx（复用现有真实动作）</t>
        </is>
      </c>
      <c r="Q448" s="292" t="inlineStr">
        <is>
          <t>candidate-preflight-passed</t>
        </is>
      </c>
      <c r="R448" s="324" t="inlineStr">
        <is>
          <t>C3-C10规划锁定：啸海翼铠</t>
        </is>
      </c>
      <c r="S448" s="292" t="inlineStr">
        <is>
          <t>玄渊二十套全装备代码总表.xlsx</t>
        </is>
      </c>
      <c r="T448" s="292" t="inlineStr">
        <is>
          <t>玄渊20套全装备视觉候选；Items/StateItem/DnItems三库同码；属性待策划填写；Hum Shape=3</t>
        </is>
      </c>
      <c r="U448">
        <f>IF(COUNTIF($B$2:$B$1076,B448)&gt;1,"重复","")</f>
        <v/>
      </c>
      <c r="V448">
        <f>IF(AND(OR(M448="",M448=B448),OR(N448="",N448=B448),OR(O448="",O448=B448)),"通过","不一致")</f>
        <v/>
      </c>
    </row>
    <row r="449" ht="22" customHeight="1">
      <c r="A449" s="398" t="n">
        <v>448</v>
      </c>
      <c r="B449" s="398" t="n">
        <v>6468</v>
      </c>
      <c r="C449" s="399" t="inlineStr">
        <is>
          <t>黄金圣树·王权</t>
        </is>
      </c>
      <c r="D449" s="399" t="inlineStr">
        <is>
          <t>黄金圣树</t>
        </is>
      </c>
      <c r="E449" s="399" t="n">
        <v>3</v>
      </c>
      <c r="F449" s="399" t="inlineStr">
        <is>
          <t>女衣服</t>
        </is>
      </c>
      <c r="G449" s="398" t="n">
        <v>11</v>
      </c>
      <c r="H449" s="398" t="n">
        <v>0</v>
      </c>
      <c r="I449" s="398" t="n">
        <v>6468</v>
      </c>
      <c r="J449" s="398" t="n">
        <v>3</v>
      </c>
      <c r="K449" s="398" t="n">
        <v>0</v>
      </c>
      <c r="L449" s="398" t="n">
        <v>0</v>
      </c>
      <c r="M449" s="398" t="n">
        <v>6468</v>
      </c>
      <c r="N449" s="398" t="n">
        <v>6468</v>
      </c>
      <c r="O449" s="398" t="n">
        <v>6468</v>
      </c>
      <c r="P449" s="292" t="inlineStr">
        <is>
          <t>Hum.wzl/wzx（复用现有真实动作）</t>
        </is>
      </c>
      <c r="Q449" s="292" t="inlineStr">
        <is>
          <t>candidate-preflight-passed</t>
        </is>
      </c>
      <c r="R449" s="292" t="str"/>
      <c r="S449" s="292" t="inlineStr">
        <is>
          <t>玄渊二十套全装备代码总表.xlsx</t>
        </is>
      </c>
      <c r="T449" s="292" t="inlineStr">
        <is>
          <t>玄渊20套全装备视觉候选；Items/StateItem/DnItems三库同码；属性待策划填写；Hum Shape=3</t>
        </is>
      </c>
      <c r="U449">
        <f>IF(COUNTIF($B$2:$B$1076,B449)&gt;1,"重复","")</f>
        <v/>
      </c>
      <c r="V449">
        <f>IF(AND(OR(M449="",M449=B449),OR(N449="",N449=B449),OR(O449="",O449=B449)),"通过","不一致")</f>
        <v/>
      </c>
    </row>
    <row r="450" ht="22" customHeight="1">
      <c r="A450" s="398" t="n">
        <v>449</v>
      </c>
      <c r="B450" s="398" t="n">
        <v>6469</v>
      </c>
      <c r="C450" s="399" t="inlineStr">
        <is>
          <t>黄金圣树·王权</t>
        </is>
      </c>
      <c r="D450" s="399" t="inlineStr">
        <is>
          <t>黄金圣树</t>
        </is>
      </c>
      <c r="E450" s="399" t="n">
        <v>3</v>
      </c>
      <c r="F450" s="399" t="inlineStr">
        <is>
          <t>头盔</t>
        </is>
      </c>
      <c r="G450" s="398" t="n">
        <v>15</v>
      </c>
      <c r="H450" s="398" t="n">
        <v>4</v>
      </c>
      <c r="I450" s="398" t="n">
        <v>6469</v>
      </c>
      <c r="J450" s="398" t="n">
        <v>0</v>
      </c>
      <c r="K450" s="398" t="n">
        <v>0</v>
      </c>
      <c r="L450" s="398" t="n">
        <v>0</v>
      </c>
      <c r="M450" s="398" t="n">
        <v>6469</v>
      </c>
      <c r="N450" s="398" t="n">
        <v>6469</v>
      </c>
      <c r="O450" s="398" t="n">
        <v>6469</v>
      </c>
      <c r="P450" s="292" t="n"/>
      <c r="Q450" s="292" t="inlineStr">
        <is>
          <t>candidate-preflight-passed</t>
        </is>
      </c>
      <c r="R450" s="324" t="inlineStr">
        <is>
          <t>C3-C10规划锁定：西境军盔</t>
        </is>
      </c>
      <c r="S450" s="292" t="inlineStr">
        <is>
          <t>玄渊二十套全装备代码总表.xlsx</t>
        </is>
      </c>
      <c r="T450" s="292" t="inlineStr">
        <is>
          <t>玄渊20套全装备视觉候选；Items/StateItem/DnItems三库同码；属性待策划填写</t>
        </is>
      </c>
      <c r="U450">
        <f>IF(COUNTIF($B$2:$B$1076,B450)&gt;1,"重复","")</f>
        <v/>
      </c>
      <c r="V450">
        <f>IF(AND(OR(M450="",M450=B450),OR(N450="",N450=B450),OR(O450="",O450=B450)),"通过","不一致")</f>
        <v/>
      </c>
    </row>
    <row r="451" ht="22" customHeight="1">
      <c r="A451" s="398" t="n">
        <v>450</v>
      </c>
      <c r="B451" s="398" t="n">
        <v>6470</v>
      </c>
      <c r="C451" s="399" t="inlineStr">
        <is>
          <t>黄金圣树·王权</t>
        </is>
      </c>
      <c r="D451" s="399" t="inlineStr">
        <is>
          <t>黄金圣树</t>
        </is>
      </c>
      <c r="E451" s="399" t="n">
        <v>3</v>
      </c>
      <c r="F451" s="399" t="inlineStr">
        <is>
          <t>面巾</t>
        </is>
      </c>
      <c r="G451" s="398" t="n">
        <v>16</v>
      </c>
      <c r="H451" s="398" t="n">
        <v>13</v>
      </c>
      <c r="I451" s="398" t="n">
        <v>6470</v>
      </c>
      <c r="J451" s="398" t="n">
        <v>0</v>
      </c>
      <c r="K451" s="398" t="n">
        <v>0</v>
      </c>
      <c r="L451" s="398" t="n">
        <v>0</v>
      </c>
      <c r="M451" s="398" t="n">
        <v>6470</v>
      </c>
      <c r="N451" s="398" t="n">
        <v>6470</v>
      </c>
      <c r="O451" s="398" t="n">
        <v>6470</v>
      </c>
      <c r="P451" s="292" t="n"/>
      <c r="Q451" s="292" t="inlineStr">
        <is>
          <t>candidate-preflight-passed</t>
        </is>
      </c>
      <c r="R451" s="324" t="inlineStr">
        <is>
          <t>C3-C10规划锁定：灰篷面巾</t>
        </is>
      </c>
      <c r="S451" s="292" t="inlineStr">
        <is>
          <t>玄渊二十套全装备代码总表.xlsx</t>
        </is>
      </c>
      <c r="T451" s="292" t="inlineStr">
        <is>
          <t>玄渊20套全装备视觉候选；Items/StateItem/DnItems三库同码；属性待策划填写</t>
        </is>
      </c>
      <c r="U451">
        <f>IF(COUNTIF($B$2:$B$1076,B451)&gt;1,"重复","")</f>
        <v/>
      </c>
      <c r="V451">
        <f>IF(AND(OR(M451="",M451=B451),OR(N451="",N451=B451),OR(O451="",O451=B451)),"通过","不一致")</f>
        <v/>
      </c>
    </row>
    <row r="452" ht="22" customHeight="1">
      <c r="A452" s="398" t="n">
        <v>451</v>
      </c>
      <c r="B452" s="398" t="n">
        <v>6471</v>
      </c>
      <c r="C452" s="399" t="inlineStr">
        <is>
          <t>黄金圣树·王权</t>
        </is>
      </c>
      <c r="D452" s="399" t="inlineStr">
        <is>
          <t>黄金圣树</t>
        </is>
      </c>
      <c r="E452" s="399" t="n">
        <v>3</v>
      </c>
      <c r="F452" s="399" t="inlineStr">
        <is>
          <t>项链</t>
        </is>
      </c>
      <c r="G452" s="398" t="n">
        <v>19</v>
      </c>
      <c r="H452" s="398" t="n">
        <v>3</v>
      </c>
      <c r="I452" s="398" t="n">
        <v>6471</v>
      </c>
      <c r="J452" s="398" t="n">
        <v>0</v>
      </c>
      <c r="K452" s="398" t="n">
        <v>0</v>
      </c>
      <c r="L452" s="398" t="n">
        <v>0</v>
      </c>
      <c r="M452" s="398" t="n">
        <v>6471</v>
      </c>
      <c r="N452" s="398" t="n">
        <v>6471</v>
      </c>
      <c r="O452" s="398" t="n">
        <v>6471</v>
      </c>
      <c r="P452" s="292" t="n"/>
      <c r="Q452" s="292" t="inlineStr">
        <is>
          <t>candidate-preflight-passed</t>
        </is>
      </c>
      <c r="R452" s="324" t="inlineStr">
        <is>
          <t>C3-C10规划锁定：断旗战链</t>
        </is>
      </c>
      <c r="S452" s="292" t="inlineStr">
        <is>
          <t>玄渊二十套全装备代码总表.xlsx</t>
        </is>
      </c>
      <c r="T452" s="292" t="inlineStr">
        <is>
          <t>玄渊20套全装备视觉候选；Items/StateItem/DnItems三库同码；属性待策划填写</t>
        </is>
      </c>
      <c r="U452">
        <f>IF(COUNTIF($B$2:$B$1076,B452)&gt;1,"重复","")</f>
        <v/>
      </c>
      <c r="V452">
        <f>IF(AND(OR(M452="",M452=B452),OR(N452="",N452=B452),OR(O452="",O452=B452)),"通过","不一致")</f>
        <v/>
      </c>
    </row>
    <row r="453" ht="22" customHeight="1">
      <c r="A453" s="398" t="n">
        <v>452</v>
      </c>
      <c r="B453" s="398" t="n">
        <v>6472</v>
      </c>
      <c r="C453" s="399" t="inlineStr">
        <is>
          <t>黄金圣树·王权</t>
        </is>
      </c>
      <c r="D453" s="399" t="inlineStr">
        <is>
          <t>黄金圣树</t>
        </is>
      </c>
      <c r="E453" s="399" t="n">
        <v>3</v>
      </c>
      <c r="F453" s="399" t="inlineStr">
        <is>
          <t>手镯</t>
        </is>
      </c>
      <c r="G453" s="398" t="n">
        <v>26</v>
      </c>
      <c r="H453" s="398" t="n">
        <v>5</v>
      </c>
      <c r="I453" s="398" t="n">
        <v>6472</v>
      </c>
      <c r="J453" s="398" t="n">
        <v>0</v>
      </c>
      <c r="K453" s="398" t="n">
        <v>0</v>
      </c>
      <c r="L453" s="398" t="n">
        <v>0</v>
      </c>
      <c r="M453" s="398" t="n">
        <v>6472</v>
      </c>
      <c r="N453" s="398" t="n">
        <v>6472</v>
      </c>
      <c r="O453" s="398" t="n">
        <v>6472</v>
      </c>
      <c r="P453" s="292" t="n"/>
      <c r="Q453" s="292" t="inlineStr">
        <is>
          <t>candidate-preflight-passed</t>
        </is>
      </c>
      <c r="R453" s="324" t="inlineStr">
        <is>
          <t>C3-C10规划锁定：掠风护腕</t>
        </is>
      </c>
      <c r="S453" s="292" t="inlineStr">
        <is>
          <t>玄渊二十套全装备代码总表.xlsx</t>
        </is>
      </c>
      <c r="T453" s="292" t="inlineStr">
        <is>
          <t>玄渊20套全装备视觉候选；Items/StateItem/DnItems三库同码；属性待策划填写</t>
        </is>
      </c>
      <c r="U453">
        <f>IF(COUNTIF($B$2:$B$1076,B453)&gt;1,"重复","")</f>
        <v/>
      </c>
      <c r="V453">
        <f>IF(AND(OR(M453="",M453=B453),OR(N453="",N453=B453),OR(O453="",O453=B453)),"通过","不一致")</f>
        <v/>
      </c>
    </row>
    <row r="454" ht="22" customHeight="1">
      <c r="A454" s="398" t="n">
        <v>453</v>
      </c>
      <c r="B454" s="398" t="n">
        <v>6473</v>
      </c>
      <c r="C454" s="399" t="inlineStr">
        <is>
          <t>黄金圣树·王权</t>
        </is>
      </c>
      <c r="D454" s="399" t="inlineStr">
        <is>
          <t>黄金圣树</t>
        </is>
      </c>
      <c r="E454" s="399" t="n">
        <v>3</v>
      </c>
      <c r="F454" s="399" t="inlineStr">
        <is>
          <t>戒指</t>
        </is>
      </c>
      <c r="G454" s="398" t="n">
        <v>22</v>
      </c>
      <c r="H454" s="398" t="n">
        <v>7</v>
      </c>
      <c r="I454" s="398" t="n">
        <v>6473</v>
      </c>
      <c r="J454" s="398" t="n">
        <v>0</v>
      </c>
      <c r="K454" s="398" t="n">
        <v>0</v>
      </c>
      <c r="L454" s="398" t="n">
        <v>0</v>
      </c>
      <c r="M454" s="398" t="n">
        <v>6473</v>
      </c>
      <c r="N454" s="398" t="n">
        <v>6473</v>
      </c>
      <c r="O454" s="398" t="n">
        <v>6473</v>
      </c>
      <c r="P454" s="292" t="n"/>
      <c r="Q454" s="292" t="inlineStr">
        <is>
          <t>candidate-preflight-passed</t>
        </is>
      </c>
      <c r="R454" s="324" t="inlineStr">
        <is>
          <t>C3-C10规划锁定：枯草牙戒</t>
        </is>
      </c>
      <c r="S454" s="292" t="inlineStr">
        <is>
          <t>玄渊二十套全装备代码总表.xlsx</t>
        </is>
      </c>
      <c r="T454" s="292" t="inlineStr">
        <is>
          <t>玄渊20套全装备视觉候选；Items/StateItem/DnItems三库同码；属性待策划填写</t>
        </is>
      </c>
      <c r="U454">
        <f>IF(COUNTIF($B$2:$B$1076,B454)&gt;1,"重复","")</f>
        <v/>
      </c>
      <c r="V454">
        <f>IF(AND(OR(M454="",M454=B454),OR(N454="",N454=B454),OR(O454="",O454=B454)),"通过","不一致")</f>
        <v/>
      </c>
    </row>
    <row r="455" ht="22" customHeight="1">
      <c r="A455" s="398" t="n">
        <v>454</v>
      </c>
      <c r="B455" s="398" t="n">
        <v>6474</v>
      </c>
      <c r="C455" s="399" t="inlineStr">
        <is>
          <t>黄金圣树·王权</t>
        </is>
      </c>
      <c r="D455" s="399" t="inlineStr">
        <is>
          <t>黄金圣树</t>
        </is>
      </c>
      <c r="E455" s="399" t="n">
        <v>3</v>
      </c>
      <c r="F455" s="399" t="inlineStr">
        <is>
          <t>勋章</t>
        </is>
      </c>
      <c r="G455" s="398" t="n">
        <v>30</v>
      </c>
      <c r="H455" s="398" t="n">
        <v>2</v>
      </c>
      <c r="I455" s="398" t="n">
        <v>6474</v>
      </c>
      <c r="J455" s="398" t="n">
        <v>0</v>
      </c>
      <c r="K455" s="398" t="n">
        <v>0</v>
      </c>
      <c r="L455" s="398" t="n">
        <v>0</v>
      </c>
      <c r="M455" s="398" t="n">
        <v>6474</v>
      </c>
      <c r="N455" s="398" t="n">
        <v>6474</v>
      </c>
      <c r="O455" s="398" t="n">
        <v>6474</v>
      </c>
      <c r="P455" s="292" t="n"/>
      <c r="Q455" s="292" t="inlineStr">
        <is>
          <t>candidate-preflight-passed</t>
        </is>
      </c>
      <c r="R455" s="324" t="inlineStr">
        <is>
          <t>C3-C10规划锁定：收尸骨印</t>
        </is>
      </c>
      <c r="S455" s="292" t="inlineStr">
        <is>
          <t>玄渊二十套全装备代码总表.xlsx</t>
        </is>
      </c>
      <c r="T455" s="292" t="inlineStr">
        <is>
          <t>玄渊20套全装备视觉候选；Items/StateItem/DnItems三库同码；属性待策划填写</t>
        </is>
      </c>
      <c r="U455">
        <f>IF(COUNTIF($B$2:$B$1076,B455)&gt;1,"重复","")</f>
        <v/>
      </c>
      <c r="V455">
        <f>IF(AND(OR(M455="",M455=B455),OR(N455="",N455=B455),OR(O455="",O455=B455)),"通过","不一致")</f>
        <v/>
      </c>
    </row>
    <row r="456" ht="22" customHeight="1">
      <c r="A456" s="398" t="n">
        <v>455</v>
      </c>
      <c r="B456" s="398" t="n">
        <v>6475</v>
      </c>
      <c r="C456" s="399" t="inlineStr">
        <is>
          <t>黄金圣树·王权</t>
        </is>
      </c>
      <c r="D456" s="399" t="inlineStr">
        <is>
          <t>黄金圣树</t>
        </is>
      </c>
      <c r="E456" s="399" t="n">
        <v>3</v>
      </c>
      <c r="F456" s="399" t="inlineStr">
        <is>
          <t>盾牌</t>
        </is>
      </c>
      <c r="G456" s="398" t="n">
        <v>12</v>
      </c>
      <c r="H456" s="398" t="n">
        <v>16</v>
      </c>
      <c r="I456" s="398" t="n">
        <v>6475</v>
      </c>
      <c r="J456" s="398" t="n">
        <v>0</v>
      </c>
      <c r="K456" s="398" t="n">
        <v>0</v>
      </c>
      <c r="L456" s="398" t="n">
        <v>0</v>
      </c>
      <c r="M456" s="398" t="n">
        <v>6475</v>
      </c>
      <c r="N456" s="398" t="n">
        <v>6475</v>
      </c>
      <c r="O456" s="398" t="n">
        <v>6475</v>
      </c>
      <c r="P456" s="292" t="n"/>
      <c r="Q456" s="292" t="inlineStr">
        <is>
          <t>candidate-preflight-passed</t>
        </is>
      </c>
      <c r="R456" s="324" t="inlineStr">
        <is>
          <t>C3-C10规划锁定：潮穴石盾</t>
        </is>
      </c>
      <c r="S456" s="292" t="inlineStr">
        <is>
          <t>玄渊二十套全装备代码总表.xlsx</t>
        </is>
      </c>
      <c r="T456" s="292" t="inlineStr">
        <is>
          <t>玄渊20套全装备视觉候选；Items/StateItem/DnItems三库同码；属性待策划填写</t>
        </is>
      </c>
      <c r="U456">
        <f>IF(COUNTIF($B$2:$B$1076,B456)&gt;1,"重复","")</f>
        <v/>
      </c>
      <c r="V456">
        <f>IF(AND(OR(M456="",M456=B456),OR(N456="",N456=B456),OR(O456="",O456=B456)),"通过","不一致")</f>
        <v/>
      </c>
    </row>
    <row r="457" ht="22" customHeight="1">
      <c r="A457" s="398" t="n">
        <v>456</v>
      </c>
      <c r="B457" s="398" t="n">
        <v>6476</v>
      </c>
      <c r="C457" s="399" t="inlineStr">
        <is>
          <t>黄金圣树·王权</t>
        </is>
      </c>
      <c r="D457" s="399" t="inlineStr">
        <is>
          <t>黄金圣树</t>
        </is>
      </c>
      <c r="E457" s="399" t="n">
        <v>3</v>
      </c>
      <c r="F457" s="399" t="inlineStr">
        <is>
          <t>灵玉</t>
        </is>
      </c>
      <c r="G457" s="398" t="n">
        <v>90</v>
      </c>
      <c r="H457" s="398" t="n">
        <v>17</v>
      </c>
      <c r="I457" s="398" t="n">
        <v>6476</v>
      </c>
      <c r="J457" s="398" t="n">
        <v>0</v>
      </c>
      <c r="K457" s="398" t="n">
        <v>0</v>
      </c>
      <c r="L457" s="398" t="n">
        <v>0</v>
      </c>
      <c r="M457" s="398" t="n">
        <v>6476</v>
      </c>
      <c r="N457" s="398" t="n">
        <v>6476</v>
      </c>
      <c r="O457" s="398" t="n">
        <v>6476</v>
      </c>
      <c r="P457" s="292" t="n"/>
      <c r="Q457" s="292" t="inlineStr">
        <is>
          <t>candidate-preflight-passed</t>
        </is>
      </c>
      <c r="R457" s="292" t="str"/>
      <c r="S457" s="292" t="inlineStr">
        <is>
          <t>玄渊二十套全装备代码总表.xlsx</t>
        </is>
      </c>
      <c r="T457" s="292" t="inlineStr">
        <is>
          <t>玄渊20套全装备视觉候选；Items/StateItem/DnItems三库同码；属性待策划填写</t>
        </is>
      </c>
      <c r="U457">
        <f>IF(COUNTIF($B$2:$B$1076,B457)&gt;1,"重复","")</f>
        <v/>
      </c>
      <c r="V457">
        <f>IF(AND(OR(M457="",M457=B457),OR(N457="",N457=B457),OR(O457="",O457=B457)),"通过","不一致")</f>
        <v/>
      </c>
    </row>
    <row r="458" ht="22" customHeight="1">
      <c r="A458" s="398" t="n">
        <v>457</v>
      </c>
      <c r="B458" s="398" t="n">
        <v>6477</v>
      </c>
      <c r="C458" s="399" t="inlineStr">
        <is>
          <t>黄金圣树·王权</t>
        </is>
      </c>
      <c r="D458" s="399" t="inlineStr">
        <is>
          <t>黄金圣树</t>
        </is>
      </c>
      <c r="E458" s="399" t="n">
        <v>3</v>
      </c>
      <c r="F458" s="399" t="inlineStr">
        <is>
          <t>鞋子</t>
        </is>
      </c>
      <c r="G458" s="398" t="n">
        <v>62</v>
      </c>
      <c r="H458" s="398" t="n">
        <v>11</v>
      </c>
      <c r="I458" s="398" t="n">
        <v>6477</v>
      </c>
      <c r="J458" s="398" t="n">
        <v>0</v>
      </c>
      <c r="K458" s="398" t="n">
        <v>0</v>
      </c>
      <c r="L458" s="398" t="n">
        <v>0</v>
      </c>
      <c r="M458" s="398" t="n">
        <v>6477</v>
      </c>
      <c r="N458" s="398" t="n">
        <v>6477</v>
      </c>
      <c r="O458" s="398" t="n">
        <v>6477</v>
      </c>
      <c r="P458" s="292" t="n"/>
      <c r="Q458" s="292" t="inlineStr">
        <is>
          <t>candidate-preflight-passed</t>
        </is>
      </c>
      <c r="R458" s="324" t="inlineStr">
        <is>
          <t>C3-C10规划锁定：铁蹄战靴</t>
        </is>
      </c>
      <c r="S458" s="292" t="inlineStr">
        <is>
          <t>玄渊二十套全装备代码总表.xlsx</t>
        </is>
      </c>
      <c r="T458" s="292" t="inlineStr">
        <is>
          <t>玄渊20套全装备视觉候选；Items/StateItem/DnItems三库同码；属性待策划填写</t>
        </is>
      </c>
      <c r="U458">
        <f>IF(COUNTIF($B$2:$B$1076,B458)&gt;1,"重复","")</f>
        <v/>
      </c>
      <c r="V458">
        <f>IF(AND(OR(M458="",M458=B458),OR(N458="",N458=B458),OR(O458="",O458=B458)),"通过","不一致")</f>
        <v/>
      </c>
    </row>
    <row r="459" ht="22" customHeight="1">
      <c r="A459" s="398" t="n">
        <v>458</v>
      </c>
      <c r="B459" s="398" t="n">
        <v>6478</v>
      </c>
      <c r="C459" s="399" t="inlineStr">
        <is>
          <t>黄金圣树·王权</t>
        </is>
      </c>
      <c r="D459" s="399" t="inlineStr">
        <is>
          <t>黄金圣树</t>
        </is>
      </c>
      <c r="E459" s="399" t="n">
        <v>3</v>
      </c>
      <c r="F459" s="399" t="inlineStr">
        <is>
          <t>腰带</t>
        </is>
      </c>
      <c r="G459" s="398" t="n">
        <v>64</v>
      </c>
      <c r="H459" s="398" t="n">
        <v>10</v>
      </c>
      <c r="I459" s="398" t="n">
        <v>6478</v>
      </c>
      <c r="J459" s="398" t="n">
        <v>0</v>
      </c>
      <c r="K459" s="398" t="n">
        <v>0</v>
      </c>
      <c r="L459" s="398" t="n">
        <v>0</v>
      </c>
      <c r="M459" s="398" t="n">
        <v>6478</v>
      </c>
      <c r="N459" s="398" t="n">
        <v>6478</v>
      </c>
      <c r="O459" s="398" t="n">
        <v>6478</v>
      </c>
      <c r="P459" s="292" t="n"/>
      <c r="Q459" s="292" t="inlineStr">
        <is>
          <t>candidate-preflight-passed</t>
        </is>
      </c>
      <c r="R459" s="324" t="inlineStr">
        <is>
          <t>C3-C10规划锁定：锈甲腰封</t>
        </is>
      </c>
      <c r="S459" s="292" t="inlineStr">
        <is>
          <t>玄渊二十套全装备代码总表.xlsx</t>
        </is>
      </c>
      <c r="T459" s="292" t="inlineStr">
        <is>
          <t>玄渊20套全装备视觉候选；Items/StateItem/DnItems三库同码；属性待策划填写</t>
        </is>
      </c>
      <c r="U459">
        <f>IF(COUNTIF($B$2:$B$1076,B459)&gt;1,"重复","")</f>
        <v/>
      </c>
      <c r="V459">
        <f>IF(AND(OR(M459="",M459=B459),OR(N459="",N459=B459),OR(O459="",O459=B459)),"通过","不一致")</f>
        <v/>
      </c>
    </row>
    <row r="460" ht="22" customHeight="1">
      <c r="A460" s="398" t="n">
        <v>459</v>
      </c>
      <c r="B460" s="398" t="n">
        <v>6479</v>
      </c>
      <c r="C460" s="399" t="inlineStr">
        <is>
          <t>黄金圣树·王权</t>
        </is>
      </c>
      <c r="D460" s="399" t="inlineStr">
        <is>
          <t>黄金圣树</t>
        </is>
      </c>
      <c r="E460" s="399" t="n">
        <v>3</v>
      </c>
      <c r="F460" s="399" t="inlineStr">
        <is>
          <t>护身符</t>
        </is>
      </c>
      <c r="G460" s="398" t="n">
        <v>25</v>
      </c>
      <c r="H460" s="398" t="n">
        <v>9</v>
      </c>
      <c r="I460" s="398" t="n">
        <v>6479</v>
      </c>
      <c r="J460" s="398" t="n">
        <v>0</v>
      </c>
      <c r="K460" s="398" t="n">
        <v>0</v>
      </c>
      <c r="L460" s="398" t="n">
        <v>0</v>
      </c>
      <c r="M460" s="398" t="n">
        <v>6479</v>
      </c>
      <c r="N460" s="398" t="n">
        <v>6479</v>
      </c>
      <c r="O460" s="398" t="n">
        <v>6479</v>
      </c>
      <c r="P460" s="292" t="n"/>
      <c r="Q460" s="292" t="inlineStr">
        <is>
          <t>candidate-preflight-passed</t>
        </is>
      </c>
      <c r="R460" s="292" t="str"/>
      <c r="S460" s="292" t="inlineStr">
        <is>
          <t>玄渊二十套全装备代码总表.xlsx</t>
        </is>
      </c>
      <c r="T460" s="292" t="inlineStr">
        <is>
          <t>玄渊20套全装备视觉候选；Items/StateItem/DnItems三库同码；属性待策划填写</t>
        </is>
      </c>
      <c r="U460">
        <f>IF(COUNTIF($B$2:$B$1076,B460)&gt;1,"重复","")</f>
        <v/>
      </c>
      <c r="V460">
        <f>IF(AND(OR(M460="",M460=B460),OR(N460="",N460=B460),OR(O460="",O460=B460)),"通过","不一致")</f>
        <v/>
      </c>
    </row>
    <row r="461" ht="22" customHeight="1">
      <c r="A461" s="398" t="n">
        <v>460</v>
      </c>
      <c r="B461" s="398" t="n">
        <v>6480</v>
      </c>
      <c r="C461" s="399" t="inlineStr">
        <is>
          <t>黄金圣树·王权</t>
        </is>
      </c>
      <c r="D461" s="399" t="inlineStr">
        <is>
          <t>黄金圣树</t>
        </is>
      </c>
      <c r="E461" s="399" t="n">
        <v>3</v>
      </c>
      <c r="F461" s="399" t="inlineStr">
        <is>
          <t>宝石</t>
        </is>
      </c>
      <c r="G461" s="398" t="n">
        <v>63</v>
      </c>
      <c r="H461" s="398" t="n">
        <v>12</v>
      </c>
      <c r="I461" s="398" t="n">
        <v>6480</v>
      </c>
      <c r="J461" s="398" t="n">
        <v>0</v>
      </c>
      <c r="K461" s="398" t="n">
        <v>0</v>
      </c>
      <c r="L461" s="398" t="n">
        <v>0</v>
      </c>
      <c r="M461" s="398" t="n">
        <v>6480</v>
      </c>
      <c r="N461" s="398" t="n">
        <v>6480</v>
      </c>
      <c r="O461" s="398" t="n">
        <v>6480</v>
      </c>
      <c r="P461" s="292" t="n"/>
      <c r="Q461" s="292" t="inlineStr">
        <is>
          <t>candidate-preflight-passed</t>
        </is>
      </c>
      <c r="R461" s="292" t="str"/>
      <c r="S461" s="292" t="inlineStr">
        <is>
          <t>玄渊二十套全装备代码总表.xlsx</t>
        </is>
      </c>
      <c r="T461" s="292" t="inlineStr">
        <is>
          <t>玄渊20套全装备视觉候选；Items/StateItem/DnItems三库同码；属性待策划填写</t>
        </is>
      </c>
      <c r="U461">
        <f>IF(COUNTIF($B$2:$B$1076,B461)&gt;1,"重复","")</f>
        <v/>
      </c>
      <c r="V461">
        <f>IF(AND(OR(M461="",M461=B461),OR(N461="",N461=B461),OR(O461="",O461=B461)),"通过","不一致")</f>
        <v/>
      </c>
    </row>
    <row r="462" ht="22" customHeight="1">
      <c r="A462" s="398" t="n">
        <v>461</v>
      </c>
      <c r="B462" s="398" t="n">
        <v>6481</v>
      </c>
      <c r="C462" s="399" t="inlineStr">
        <is>
          <t>黄金圣树·王权</t>
        </is>
      </c>
      <c r="D462" s="399" t="inlineStr">
        <is>
          <t>黄金圣树</t>
        </is>
      </c>
      <c r="E462" s="399" t="n">
        <v>3</v>
      </c>
      <c r="F462" s="399" t="inlineStr">
        <is>
          <t>军鼓</t>
        </is>
      </c>
      <c r="G462" s="398" t="n">
        <v>65</v>
      </c>
      <c r="H462" s="398" t="n">
        <v>14</v>
      </c>
      <c r="I462" s="398" t="n">
        <v>6481</v>
      </c>
      <c r="J462" s="398" t="n">
        <v>0</v>
      </c>
      <c r="K462" s="398" t="n">
        <v>0</v>
      </c>
      <c r="L462" s="398" t="n">
        <v>0</v>
      </c>
      <c r="M462" s="398" t="n">
        <v>6481</v>
      </c>
      <c r="N462" s="398" t="n">
        <v>6481</v>
      </c>
      <c r="O462" s="398" t="n">
        <v>6481</v>
      </c>
      <c r="P462" s="292" t="n"/>
      <c r="Q462" s="292" t="inlineStr">
        <is>
          <t>candidate-preflight-passed</t>
        </is>
      </c>
      <c r="R462" s="292" t="str"/>
      <c r="S462" s="292" t="inlineStr">
        <is>
          <t>玄渊二十套全装备代码总表.xlsx</t>
        </is>
      </c>
      <c r="T462" s="292" t="inlineStr">
        <is>
          <t>玄渊20套全装备视觉候选；Items/StateItem/DnItems三库同码；属性待策划填写</t>
        </is>
      </c>
      <c r="U462">
        <f>IF(COUNTIF($B$2:$B$1076,B462)&gt;1,"重复","")</f>
        <v/>
      </c>
      <c r="V462">
        <f>IF(AND(OR(M462="",M462=B462),OR(N462="",N462=B462),OR(O462="",O462=B462)),"通过","不一致")</f>
        <v/>
      </c>
    </row>
    <row r="463" ht="22" customHeight="1">
      <c r="A463" s="398" t="n">
        <v>462</v>
      </c>
      <c r="B463" s="398" t="n">
        <v>6482</v>
      </c>
      <c r="C463" s="399" t="inlineStr">
        <is>
          <t>黄金圣树·王权</t>
        </is>
      </c>
      <c r="D463" s="399" t="inlineStr">
        <is>
          <t>黄金圣树</t>
        </is>
      </c>
      <c r="E463" s="399" t="n">
        <v>3</v>
      </c>
      <c r="F463" s="399" t="inlineStr">
        <is>
          <t>马牌</t>
        </is>
      </c>
      <c r="G463" s="398" t="n">
        <v>28</v>
      </c>
      <c r="H463" s="398" t="n">
        <v>15</v>
      </c>
      <c r="I463" s="398" t="n">
        <v>6482</v>
      </c>
      <c r="J463" s="398" t="n">
        <v>0</v>
      </c>
      <c r="K463" s="398" t="n">
        <v>0</v>
      </c>
      <c r="L463" s="398" t="n">
        <v>0</v>
      </c>
      <c r="M463" s="398" t="n">
        <v>6482</v>
      </c>
      <c r="N463" s="398" t="n">
        <v>6482</v>
      </c>
      <c r="O463" s="398" t="n">
        <v>6482</v>
      </c>
      <c r="P463" s="292" t="n"/>
      <c r="Q463" s="292" t="inlineStr">
        <is>
          <t>candidate-preflight-passed</t>
        </is>
      </c>
      <c r="R463" s="292" t="str"/>
      <c r="S463" s="292" t="inlineStr">
        <is>
          <t>玄渊二十套全装备代码总表.xlsx</t>
        </is>
      </c>
      <c r="T463" s="292" t="inlineStr">
        <is>
          <t>玄渊20套全装备视觉候选；Items/StateItem/DnItems三库同码；属性待策划填写</t>
        </is>
      </c>
      <c r="U463">
        <f>IF(COUNTIF($B$2:$B$1076,B463)&gt;1,"重复","")</f>
        <v/>
      </c>
      <c r="V463">
        <f>IF(AND(OR(M463="",M463=B463),OR(N463="",N463=B463),OR(O463="",O463=B463)),"通过","不一致")</f>
        <v/>
      </c>
    </row>
    <row r="464" ht="22" customHeight="1">
      <c r="A464" s="398" t="n">
        <v>463</v>
      </c>
      <c r="B464" s="398" t="n">
        <v>6483</v>
      </c>
      <c r="C464" s="399" t="inlineStr">
        <is>
          <t>黄金圣树·王权</t>
        </is>
      </c>
      <c r="D464" s="399" t="inlineStr">
        <is>
          <t>黄金圣树</t>
        </is>
      </c>
      <c r="E464" s="399" t="n">
        <v>3</v>
      </c>
      <c r="F464" s="399" t="inlineStr">
        <is>
          <t>首饰盒1</t>
        </is>
      </c>
      <c r="G464" s="398" t="n">
        <v>22</v>
      </c>
      <c r="H464" s="398" t="n">
        <v>30</v>
      </c>
      <c r="I464" s="398" t="n">
        <v>6483</v>
      </c>
      <c r="J464" s="398" t="n">
        <v>0</v>
      </c>
      <c r="K464" s="398" t="n">
        <v>2</v>
      </c>
      <c r="L464" s="398" t="n">
        <v>1</v>
      </c>
      <c r="M464" s="398" t="n">
        <v>6483</v>
      </c>
      <c r="N464" s="398" t="n">
        <v>6483</v>
      </c>
      <c r="O464" s="398" t="n">
        <v>6483</v>
      </c>
      <c r="P464" s="292" t="n"/>
      <c r="Q464" s="292" t="inlineStr">
        <is>
          <t>candidate-preflight-passed</t>
        </is>
      </c>
      <c r="R464" s="292" t="str"/>
      <c r="S464" s="292" t="inlineStr">
        <is>
          <t>玄渊二十套全装备代码总表.xlsx</t>
        </is>
      </c>
      <c r="T464" s="292" t="inlineStr">
        <is>
          <t>玄渊20套全装备视觉候选；Items/StateItem/DnItems三库同码；属性待策划填写；OverLap=2; Expand1=1</t>
        </is>
      </c>
      <c r="U464">
        <f>IF(COUNTIF($B$2:$B$1076,B464)&gt;1,"重复","")</f>
        <v/>
      </c>
      <c r="V464">
        <f>IF(AND(OR(M464="",M464=B464),OR(N464="",N464=B464),OR(O464="",O464=B464)),"通过","不一致")</f>
        <v/>
      </c>
    </row>
    <row r="465" ht="22" customHeight="1">
      <c r="A465" s="398" t="n">
        <v>464</v>
      </c>
      <c r="B465" s="398" t="n">
        <v>6484</v>
      </c>
      <c r="C465" s="399" t="inlineStr">
        <is>
          <t>黄金圣树·王权</t>
        </is>
      </c>
      <c r="D465" s="399" t="inlineStr">
        <is>
          <t>黄金圣树</t>
        </is>
      </c>
      <c r="E465" s="399" t="n">
        <v>3</v>
      </c>
      <c r="F465" s="399" t="inlineStr">
        <is>
          <t>首饰盒2</t>
        </is>
      </c>
      <c r="G465" s="398" t="n">
        <v>22</v>
      </c>
      <c r="H465" s="398" t="n">
        <v>31</v>
      </c>
      <c r="I465" s="398" t="n">
        <v>6484</v>
      </c>
      <c r="J465" s="398" t="n">
        <v>0</v>
      </c>
      <c r="K465" s="398" t="n">
        <v>2</v>
      </c>
      <c r="L465" s="398" t="n">
        <v>2</v>
      </c>
      <c r="M465" s="398" t="n">
        <v>6484</v>
      </c>
      <c r="N465" s="398" t="n">
        <v>6484</v>
      </c>
      <c r="O465" s="398" t="n">
        <v>6484</v>
      </c>
      <c r="P465" s="292" t="n"/>
      <c r="Q465" s="292" t="inlineStr">
        <is>
          <t>candidate-preflight-passed</t>
        </is>
      </c>
      <c r="R465" s="292" t="str"/>
      <c r="S465" s="292" t="inlineStr">
        <is>
          <t>玄渊二十套全装备代码总表.xlsx</t>
        </is>
      </c>
      <c r="T465" s="292" t="inlineStr">
        <is>
          <t>玄渊20套全装备视觉候选；Items/StateItem/DnItems三库同码；属性待策划填写；OverLap=2; Expand1=2</t>
        </is>
      </c>
      <c r="U465">
        <f>IF(COUNTIF($B$2:$B$1076,B465)&gt;1,"重复","")</f>
        <v/>
      </c>
      <c r="V465">
        <f>IF(AND(OR(M465="",M465=B465),OR(N465="",N465=B465),OR(O465="",O465=B465)),"通过","不一致")</f>
        <v/>
      </c>
    </row>
    <row r="466" ht="22" customHeight="1">
      <c r="A466" s="398" t="n">
        <v>465</v>
      </c>
      <c r="B466" s="398" t="n">
        <v>6485</v>
      </c>
      <c r="C466" s="399" t="inlineStr">
        <is>
          <t>黄金圣树·王权</t>
        </is>
      </c>
      <c r="D466" s="399" t="inlineStr">
        <is>
          <t>黄金圣树</t>
        </is>
      </c>
      <c r="E466" s="399" t="n">
        <v>3</v>
      </c>
      <c r="F466" s="399" t="inlineStr">
        <is>
          <t>首饰盒3</t>
        </is>
      </c>
      <c r="G466" s="398" t="n">
        <v>22</v>
      </c>
      <c r="H466" s="398" t="n">
        <v>32</v>
      </c>
      <c r="I466" s="398" t="n">
        <v>6485</v>
      </c>
      <c r="J466" s="398" t="n">
        <v>0</v>
      </c>
      <c r="K466" s="398" t="n">
        <v>2</v>
      </c>
      <c r="L466" s="398" t="n">
        <v>3</v>
      </c>
      <c r="M466" s="398" t="n">
        <v>6485</v>
      </c>
      <c r="N466" s="398" t="n">
        <v>6485</v>
      </c>
      <c r="O466" s="398" t="n">
        <v>6485</v>
      </c>
      <c r="P466" s="292" t="n"/>
      <c r="Q466" s="292" t="inlineStr">
        <is>
          <t>candidate-preflight-passed</t>
        </is>
      </c>
      <c r="R466" s="292" t="str"/>
      <c r="S466" s="292" t="inlineStr">
        <is>
          <t>玄渊二十套全装备代码总表.xlsx</t>
        </is>
      </c>
      <c r="T466" s="292" t="inlineStr">
        <is>
          <t>玄渊20套全装备视觉候选；Items/StateItem/DnItems三库同码；属性待策划填写；OverLap=2; Expand1=3</t>
        </is>
      </c>
      <c r="U466">
        <f>IF(COUNTIF($B$2:$B$1076,B466)&gt;1,"重复","")</f>
        <v/>
      </c>
      <c r="V466">
        <f>IF(AND(OR(M466="",M466=B466),OR(N466="",N466=B466),OR(O466="",O466=B466)),"通过","不一致")</f>
        <v/>
      </c>
    </row>
    <row r="467" ht="22" customHeight="1">
      <c r="A467" s="398" t="n">
        <v>466</v>
      </c>
      <c r="B467" s="398" t="n">
        <v>6486</v>
      </c>
      <c r="C467" s="399" t="inlineStr">
        <is>
          <t>黄金圣树·王权</t>
        </is>
      </c>
      <c r="D467" s="399" t="inlineStr">
        <is>
          <t>黄金圣树</t>
        </is>
      </c>
      <c r="E467" s="399" t="n">
        <v>3</v>
      </c>
      <c r="F467" s="399" t="inlineStr">
        <is>
          <t>首饰盒4</t>
        </is>
      </c>
      <c r="G467" s="398" t="n">
        <v>22</v>
      </c>
      <c r="H467" s="398" t="n">
        <v>33</v>
      </c>
      <c r="I467" s="398" t="n">
        <v>6486</v>
      </c>
      <c r="J467" s="398" t="n">
        <v>0</v>
      </c>
      <c r="K467" s="398" t="n">
        <v>2</v>
      </c>
      <c r="L467" s="398" t="n">
        <v>4</v>
      </c>
      <c r="M467" s="398" t="n">
        <v>6486</v>
      </c>
      <c r="N467" s="398" t="n">
        <v>6486</v>
      </c>
      <c r="O467" s="398" t="n">
        <v>6486</v>
      </c>
      <c r="P467" s="292" t="n"/>
      <c r="Q467" s="292" t="inlineStr">
        <is>
          <t>candidate-preflight-passed</t>
        </is>
      </c>
      <c r="R467" s="292" t="str"/>
      <c r="S467" s="292" t="inlineStr">
        <is>
          <t>玄渊二十套全装备代码总表.xlsx</t>
        </is>
      </c>
      <c r="T467" s="292" t="inlineStr">
        <is>
          <t>玄渊20套全装备视觉候选；Items/StateItem/DnItems三库同码；属性待策划填写；OverLap=2; Expand1=4</t>
        </is>
      </c>
      <c r="U467">
        <f>IF(COUNTIF($B$2:$B$1076,B467)&gt;1,"重复","")</f>
        <v/>
      </c>
      <c r="V467">
        <f>IF(AND(OR(M467="",M467=B467),OR(N467="",N467=B467),OR(O467="",O467=B467)),"通过","不一致")</f>
        <v/>
      </c>
    </row>
    <row r="468" ht="22" customHeight="1">
      <c r="A468" s="398" t="n">
        <v>467</v>
      </c>
      <c r="B468" s="398" t="n">
        <v>6487</v>
      </c>
      <c r="C468" s="399" t="inlineStr">
        <is>
          <t>黄金圣树·王权</t>
        </is>
      </c>
      <c r="D468" s="399" t="inlineStr">
        <is>
          <t>黄金圣树</t>
        </is>
      </c>
      <c r="E468" s="399" t="n">
        <v>3</v>
      </c>
      <c r="F468" s="399" t="inlineStr">
        <is>
          <t>首饰盒5</t>
        </is>
      </c>
      <c r="G468" s="398" t="n">
        <v>22</v>
      </c>
      <c r="H468" s="398" t="n">
        <v>34</v>
      </c>
      <c r="I468" s="398" t="n">
        <v>6487</v>
      </c>
      <c r="J468" s="398" t="n">
        <v>0</v>
      </c>
      <c r="K468" s="398" t="n">
        <v>2</v>
      </c>
      <c r="L468" s="398" t="n">
        <v>5</v>
      </c>
      <c r="M468" s="398" t="n">
        <v>6487</v>
      </c>
      <c r="N468" s="398" t="n">
        <v>6487</v>
      </c>
      <c r="O468" s="398" t="n">
        <v>6487</v>
      </c>
      <c r="P468" s="292" t="n"/>
      <c r="Q468" s="292" t="inlineStr">
        <is>
          <t>candidate-preflight-passed</t>
        </is>
      </c>
      <c r="R468" s="292" t="str"/>
      <c r="S468" s="292" t="inlineStr">
        <is>
          <t>玄渊二十套全装备代码总表.xlsx</t>
        </is>
      </c>
      <c r="T468" s="292" t="inlineStr">
        <is>
          <t>玄渊20套全装备视觉候选；Items/StateItem/DnItems三库同码；属性待策划填写；OverLap=2; Expand1=5</t>
        </is>
      </c>
      <c r="U468">
        <f>IF(COUNTIF($B$2:$B$1076,B468)&gt;1,"重复","")</f>
        <v/>
      </c>
      <c r="V468">
        <f>IF(AND(OR(M468="",M468=B468),OR(N468="",N468=B468),OR(O468="",O468=B468)),"通过","不一致")</f>
        <v/>
      </c>
    </row>
    <row r="469" ht="22" customHeight="1">
      <c r="A469" s="398" t="n">
        <v>468</v>
      </c>
      <c r="B469" s="398" t="n">
        <v>6488</v>
      </c>
      <c r="C469" s="399" t="inlineStr">
        <is>
          <t>黄金圣树·王权</t>
        </is>
      </c>
      <c r="D469" s="399" t="inlineStr">
        <is>
          <t>黄金圣树</t>
        </is>
      </c>
      <c r="E469" s="399" t="n">
        <v>3</v>
      </c>
      <c r="F469" s="399" t="inlineStr">
        <is>
          <t>首饰盒6</t>
        </is>
      </c>
      <c r="G469" s="398" t="n">
        <v>22</v>
      </c>
      <c r="H469" s="398" t="n">
        <v>35</v>
      </c>
      <c r="I469" s="398" t="n">
        <v>6488</v>
      </c>
      <c r="J469" s="398" t="n">
        <v>0</v>
      </c>
      <c r="K469" s="398" t="n">
        <v>2</v>
      </c>
      <c r="L469" s="398" t="n">
        <v>6</v>
      </c>
      <c r="M469" s="398" t="n">
        <v>6488</v>
      </c>
      <c r="N469" s="398" t="n">
        <v>6488</v>
      </c>
      <c r="O469" s="398" t="n">
        <v>6488</v>
      </c>
      <c r="P469" s="292" t="n"/>
      <c r="Q469" s="292" t="inlineStr">
        <is>
          <t>candidate-preflight-passed</t>
        </is>
      </c>
      <c r="R469" s="292" t="str"/>
      <c r="S469" s="292" t="inlineStr">
        <is>
          <t>玄渊二十套全装备代码总表.xlsx</t>
        </is>
      </c>
      <c r="T469" s="292" t="inlineStr">
        <is>
          <t>玄渊20套全装备视觉候选；Items/StateItem/DnItems三库同码；属性待策划填写；OverLap=2; Expand1=6</t>
        </is>
      </c>
      <c r="U469">
        <f>IF(COUNTIF($B$2:$B$1076,B469)&gt;1,"重复","")</f>
        <v/>
      </c>
      <c r="V469">
        <f>IF(AND(OR(M469="",M469=B469),OR(N469="",N469=B469),OR(O469="",O469=B469)),"通过","不一致")</f>
        <v/>
      </c>
    </row>
    <row r="470" ht="22" customHeight="1">
      <c r="A470" s="398" t="n">
        <v>469</v>
      </c>
      <c r="B470" s="398" t="n">
        <v>6489</v>
      </c>
      <c r="C470" s="399" t="inlineStr">
        <is>
          <t>黄金圣树·王权</t>
        </is>
      </c>
      <c r="D470" s="399" t="inlineStr">
        <is>
          <t>黄金圣树</t>
        </is>
      </c>
      <c r="E470" s="399" t="n">
        <v>3</v>
      </c>
      <c r="F470" s="399" t="inlineStr">
        <is>
          <t>生肖1</t>
        </is>
      </c>
      <c r="G470" s="398" t="n">
        <v>22</v>
      </c>
      <c r="H470" s="398" t="n">
        <v>40</v>
      </c>
      <c r="I470" s="398" t="n">
        <v>6489</v>
      </c>
      <c r="J470" s="398" t="n">
        <v>0</v>
      </c>
      <c r="K470" s="398" t="n">
        <v>4</v>
      </c>
      <c r="L470" s="398" t="n">
        <v>1</v>
      </c>
      <c r="M470" s="398" t="n">
        <v>6489</v>
      </c>
      <c r="N470" s="398" t="n">
        <v>6489</v>
      </c>
      <c r="O470" s="398" t="n">
        <v>6489</v>
      </c>
      <c r="P470" s="292" t="n"/>
      <c r="Q470" s="292" t="inlineStr">
        <is>
          <t>candidate-preflight-passed</t>
        </is>
      </c>
      <c r="R470" s="292" t="str"/>
      <c r="S470" s="292" t="inlineStr">
        <is>
          <t>玄渊二十套全装备代码总表.xlsx</t>
        </is>
      </c>
      <c r="T470" s="292" t="inlineStr">
        <is>
          <t>玄渊20套全装备视觉候选；Items/StateItem/DnItems三库同码；属性待策划填写；OverLap=4; Expand1=1</t>
        </is>
      </c>
      <c r="U470">
        <f>IF(COUNTIF($B$2:$B$1076,B470)&gt;1,"重复","")</f>
        <v/>
      </c>
      <c r="V470">
        <f>IF(AND(OR(M470="",M470=B470),OR(N470="",N470=B470),OR(O470="",O470=B470)),"通过","不一致")</f>
        <v/>
      </c>
    </row>
    <row r="471" ht="22" customHeight="1">
      <c r="A471" s="398" t="n">
        <v>470</v>
      </c>
      <c r="B471" s="398" t="n">
        <v>6490</v>
      </c>
      <c r="C471" s="399" t="inlineStr">
        <is>
          <t>黄金圣树·王权</t>
        </is>
      </c>
      <c r="D471" s="399" t="inlineStr">
        <is>
          <t>黄金圣树</t>
        </is>
      </c>
      <c r="E471" s="399" t="n">
        <v>3</v>
      </c>
      <c r="F471" s="399" t="inlineStr">
        <is>
          <t>生肖2</t>
        </is>
      </c>
      <c r="G471" s="398" t="n">
        <v>22</v>
      </c>
      <c r="H471" s="398" t="n">
        <v>41</v>
      </c>
      <c r="I471" s="398" t="n">
        <v>6490</v>
      </c>
      <c r="J471" s="398" t="n">
        <v>0</v>
      </c>
      <c r="K471" s="398" t="n">
        <v>4</v>
      </c>
      <c r="L471" s="398" t="n">
        <v>2</v>
      </c>
      <c r="M471" s="398" t="n">
        <v>6490</v>
      </c>
      <c r="N471" s="398" t="n">
        <v>6490</v>
      </c>
      <c r="O471" s="398" t="n">
        <v>6490</v>
      </c>
      <c r="P471" s="292" t="n"/>
      <c r="Q471" s="292" t="inlineStr">
        <is>
          <t>candidate-preflight-passed</t>
        </is>
      </c>
      <c r="R471" s="292" t="str"/>
      <c r="S471" s="292" t="inlineStr">
        <is>
          <t>玄渊二十套全装备代码总表.xlsx</t>
        </is>
      </c>
      <c r="T471" s="292" t="inlineStr">
        <is>
          <t>玄渊20套全装备视觉候选；Items/StateItem/DnItems三库同码；属性待策划填写；OverLap=4; Expand1=2</t>
        </is>
      </c>
      <c r="U471">
        <f>IF(COUNTIF($B$2:$B$1076,B471)&gt;1,"重复","")</f>
        <v/>
      </c>
      <c r="V471">
        <f>IF(AND(OR(M471="",M471=B471),OR(N471="",N471=B471),OR(O471="",O471=B471)),"通过","不一致")</f>
        <v/>
      </c>
    </row>
    <row r="472" ht="22" customHeight="1">
      <c r="A472" s="398" t="n">
        <v>471</v>
      </c>
      <c r="B472" s="398" t="n">
        <v>6491</v>
      </c>
      <c r="C472" s="399" t="inlineStr">
        <is>
          <t>黄金圣树·王权</t>
        </is>
      </c>
      <c r="D472" s="399" t="inlineStr">
        <is>
          <t>黄金圣树</t>
        </is>
      </c>
      <c r="E472" s="399" t="n">
        <v>3</v>
      </c>
      <c r="F472" s="399" t="inlineStr">
        <is>
          <t>生肖3</t>
        </is>
      </c>
      <c r="G472" s="398" t="n">
        <v>22</v>
      </c>
      <c r="H472" s="398" t="n">
        <v>42</v>
      </c>
      <c r="I472" s="398" t="n">
        <v>6491</v>
      </c>
      <c r="J472" s="398" t="n">
        <v>0</v>
      </c>
      <c r="K472" s="398" t="n">
        <v>4</v>
      </c>
      <c r="L472" s="398" t="n">
        <v>3</v>
      </c>
      <c r="M472" s="398" t="n">
        <v>6491</v>
      </c>
      <c r="N472" s="398" t="n">
        <v>6491</v>
      </c>
      <c r="O472" s="398" t="n">
        <v>6491</v>
      </c>
      <c r="P472" s="292" t="n"/>
      <c r="Q472" s="292" t="inlineStr">
        <is>
          <t>candidate-preflight-passed</t>
        </is>
      </c>
      <c r="R472" s="292" t="str"/>
      <c r="S472" s="292" t="inlineStr">
        <is>
          <t>玄渊二十套全装备代码总表.xlsx</t>
        </is>
      </c>
      <c r="T472" s="292" t="inlineStr">
        <is>
          <t>玄渊20套全装备视觉候选；Items/StateItem/DnItems三库同码；属性待策划填写；OverLap=4; Expand1=3</t>
        </is>
      </c>
      <c r="U472">
        <f>IF(COUNTIF($B$2:$B$1076,B472)&gt;1,"重复","")</f>
        <v/>
      </c>
      <c r="V472">
        <f>IF(AND(OR(M472="",M472=B472),OR(N472="",N472=B472),OR(O472="",O472=B472)),"通过","不一致")</f>
        <v/>
      </c>
    </row>
    <row r="473" ht="22" customHeight="1">
      <c r="A473" s="398" t="n">
        <v>472</v>
      </c>
      <c r="B473" s="398" t="n">
        <v>6492</v>
      </c>
      <c r="C473" s="399" t="inlineStr">
        <is>
          <t>黄金圣树·王权</t>
        </is>
      </c>
      <c r="D473" s="399" t="inlineStr">
        <is>
          <t>黄金圣树</t>
        </is>
      </c>
      <c r="E473" s="399" t="n">
        <v>3</v>
      </c>
      <c r="F473" s="399" t="inlineStr">
        <is>
          <t>生肖4</t>
        </is>
      </c>
      <c r="G473" s="398" t="n">
        <v>22</v>
      </c>
      <c r="H473" s="398" t="n">
        <v>43</v>
      </c>
      <c r="I473" s="398" t="n">
        <v>6492</v>
      </c>
      <c r="J473" s="398" t="n">
        <v>0</v>
      </c>
      <c r="K473" s="398" t="n">
        <v>4</v>
      </c>
      <c r="L473" s="398" t="n">
        <v>4</v>
      </c>
      <c r="M473" s="398" t="n">
        <v>6492</v>
      </c>
      <c r="N473" s="398" t="n">
        <v>6492</v>
      </c>
      <c r="O473" s="398" t="n">
        <v>6492</v>
      </c>
      <c r="P473" s="292" t="n"/>
      <c r="Q473" s="292" t="inlineStr">
        <is>
          <t>candidate-preflight-passed</t>
        </is>
      </c>
      <c r="R473" s="292" t="str"/>
      <c r="S473" s="292" t="inlineStr">
        <is>
          <t>玄渊二十套全装备代码总表.xlsx</t>
        </is>
      </c>
      <c r="T473" s="292" t="inlineStr">
        <is>
          <t>玄渊20套全装备视觉候选；Items/StateItem/DnItems三库同码；属性待策划填写；OverLap=4; Expand1=4</t>
        </is>
      </c>
      <c r="U473">
        <f>IF(COUNTIF($B$2:$B$1076,B473)&gt;1,"重复","")</f>
        <v/>
      </c>
      <c r="V473">
        <f>IF(AND(OR(M473="",M473=B473),OR(N473="",N473=B473),OR(O473="",O473=B473)),"通过","不一致")</f>
        <v/>
      </c>
    </row>
    <row r="474" ht="22" customHeight="1">
      <c r="A474" s="398" t="n">
        <v>473</v>
      </c>
      <c r="B474" s="398" t="n">
        <v>6493</v>
      </c>
      <c r="C474" s="399" t="inlineStr">
        <is>
          <t>黄金圣树·王权</t>
        </is>
      </c>
      <c r="D474" s="399" t="inlineStr">
        <is>
          <t>黄金圣树</t>
        </is>
      </c>
      <c r="E474" s="399" t="n">
        <v>3</v>
      </c>
      <c r="F474" s="399" t="inlineStr">
        <is>
          <t>生肖5</t>
        </is>
      </c>
      <c r="G474" s="398" t="n">
        <v>22</v>
      </c>
      <c r="H474" s="398" t="n">
        <v>44</v>
      </c>
      <c r="I474" s="398" t="n">
        <v>6493</v>
      </c>
      <c r="J474" s="398" t="n">
        <v>0</v>
      </c>
      <c r="K474" s="398" t="n">
        <v>4</v>
      </c>
      <c r="L474" s="398" t="n">
        <v>5</v>
      </c>
      <c r="M474" s="398" t="n">
        <v>6493</v>
      </c>
      <c r="N474" s="398" t="n">
        <v>6493</v>
      </c>
      <c r="O474" s="398" t="n">
        <v>6493</v>
      </c>
      <c r="P474" s="292" t="n"/>
      <c r="Q474" s="292" t="inlineStr">
        <is>
          <t>candidate-preflight-passed</t>
        </is>
      </c>
      <c r="R474" s="292" t="str"/>
      <c r="S474" s="292" t="inlineStr">
        <is>
          <t>玄渊二十套全装备代码总表.xlsx</t>
        </is>
      </c>
      <c r="T474" s="292" t="inlineStr">
        <is>
          <t>玄渊20套全装备视觉候选；Items/StateItem/DnItems三库同码；属性待策划填写；OverLap=4; Expand1=5</t>
        </is>
      </c>
      <c r="U474">
        <f>IF(COUNTIF($B$2:$B$1076,B474)&gt;1,"重复","")</f>
        <v/>
      </c>
      <c r="V474">
        <f>IF(AND(OR(M474="",M474=B474),OR(N474="",N474=B474),OR(O474="",O474=B474)),"通过","不一致")</f>
        <v/>
      </c>
    </row>
    <row r="475" ht="22" customHeight="1">
      <c r="A475" s="398" t="n">
        <v>474</v>
      </c>
      <c r="B475" s="398" t="n">
        <v>6494</v>
      </c>
      <c r="C475" s="399" t="inlineStr">
        <is>
          <t>黄金圣树·王权</t>
        </is>
      </c>
      <c r="D475" s="399" t="inlineStr">
        <is>
          <t>黄金圣树</t>
        </is>
      </c>
      <c r="E475" s="399" t="n">
        <v>3</v>
      </c>
      <c r="F475" s="399" t="inlineStr">
        <is>
          <t>生肖6</t>
        </is>
      </c>
      <c r="G475" s="398" t="n">
        <v>22</v>
      </c>
      <c r="H475" s="398" t="n">
        <v>45</v>
      </c>
      <c r="I475" s="398" t="n">
        <v>6494</v>
      </c>
      <c r="J475" s="398" t="n">
        <v>0</v>
      </c>
      <c r="K475" s="398" t="n">
        <v>4</v>
      </c>
      <c r="L475" s="398" t="n">
        <v>6</v>
      </c>
      <c r="M475" s="398" t="n">
        <v>6494</v>
      </c>
      <c r="N475" s="398" t="n">
        <v>6494</v>
      </c>
      <c r="O475" s="398" t="n">
        <v>6494</v>
      </c>
      <c r="P475" s="292" t="n"/>
      <c r="Q475" s="292" t="inlineStr">
        <is>
          <t>candidate-preflight-passed</t>
        </is>
      </c>
      <c r="R475" s="292" t="str"/>
      <c r="S475" s="292" t="inlineStr">
        <is>
          <t>玄渊二十套全装备代码总表.xlsx</t>
        </is>
      </c>
      <c r="T475" s="292" t="inlineStr">
        <is>
          <t>玄渊20套全装备视觉候选；Items/StateItem/DnItems三库同码；属性待策划填写；OverLap=4; Expand1=6</t>
        </is>
      </c>
      <c r="U475">
        <f>IF(COUNTIF($B$2:$B$1076,B475)&gt;1,"重复","")</f>
        <v/>
      </c>
      <c r="V475">
        <f>IF(AND(OR(M475="",M475=B475),OR(N475="",N475=B475),OR(O475="",O475=B475)),"通过","不一致")</f>
        <v/>
      </c>
    </row>
    <row r="476" ht="22" customHeight="1">
      <c r="A476" s="398" t="n">
        <v>475</v>
      </c>
      <c r="B476" s="398" t="n">
        <v>6495</v>
      </c>
      <c r="C476" s="399" t="inlineStr">
        <is>
          <t>黄金圣树·王权</t>
        </is>
      </c>
      <c r="D476" s="399" t="inlineStr">
        <is>
          <t>黄金圣树</t>
        </is>
      </c>
      <c r="E476" s="399" t="n">
        <v>3</v>
      </c>
      <c r="F476" s="399" t="inlineStr">
        <is>
          <t>生肖7</t>
        </is>
      </c>
      <c r="G476" s="398" t="n">
        <v>22</v>
      </c>
      <c r="H476" s="398" t="n">
        <v>46</v>
      </c>
      <c r="I476" s="398" t="n">
        <v>6495</v>
      </c>
      <c r="J476" s="398" t="n">
        <v>0</v>
      </c>
      <c r="K476" s="398" t="n">
        <v>4</v>
      </c>
      <c r="L476" s="398" t="n">
        <v>7</v>
      </c>
      <c r="M476" s="398" t="n">
        <v>6495</v>
      </c>
      <c r="N476" s="398" t="n">
        <v>6495</v>
      </c>
      <c r="O476" s="398" t="n">
        <v>6495</v>
      </c>
      <c r="P476" s="292" t="n"/>
      <c r="Q476" s="292" t="inlineStr">
        <is>
          <t>candidate-preflight-passed</t>
        </is>
      </c>
      <c r="R476" s="292" t="str"/>
      <c r="S476" s="292" t="inlineStr">
        <is>
          <t>玄渊二十套全装备代码总表.xlsx</t>
        </is>
      </c>
      <c r="T476" s="292" t="inlineStr">
        <is>
          <t>玄渊20套全装备视觉候选；Items/StateItem/DnItems三库同码；属性待策划填写；OverLap=4; Expand1=7</t>
        </is>
      </c>
      <c r="U476">
        <f>IF(COUNTIF($B$2:$B$1076,B476)&gt;1,"重复","")</f>
        <v/>
      </c>
      <c r="V476">
        <f>IF(AND(OR(M476="",M476=B476),OR(N476="",N476=B476),OR(O476="",O476=B476)),"通过","不一致")</f>
        <v/>
      </c>
    </row>
    <row r="477" ht="22" customHeight="1">
      <c r="A477" s="398" t="n">
        <v>476</v>
      </c>
      <c r="B477" s="398" t="n">
        <v>6496</v>
      </c>
      <c r="C477" s="399" t="inlineStr">
        <is>
          <t>黄金圣树·王权</t>
        </is>
      </c>
      <c r="D477" s="399" t="inlineStr">
        <is>
          <t>黄金圣树</t>
        </is>
      </c>
      <c r="E477" s="399" t="n">
        <v>3</v>
      </c>
      <c r="F477" s="399" t="inlineStr">
        <is>
          <t>生肖8</t>
        </is>
      </c>
      <c r="G477" s="398" t="n">
        <v>22</v>
      </c>
      <c r="H477" s="398" t="n">
        <v>47</v>
      </c>
      <c r="I477" s="398" t="n">
        <v>6496</v>
      </c>
      <c r="J477" s="398" t="n">
        <v>0</v>
      </c>
      <c r="K477" s="398" t="n">
        <v>4</v>
      </c>
      <c r="L477" s="398" t="n">
        <v>8</v>
      </c>
      <c r="M477" s="398" t="n">
        <v>6496</v>
      </c>
      <c r="N477" s="398" t="n">
        <v>6496</v>
      </c>
      <c r="O477" s="398" t="n">
        <v>6496</v>
      </c>
      <c r="P477" s="292" t="n"/>
      <c r="Q477" s="292" t="inlineStr">
        <is>
          <t>candidate-preflight-passed</t>
        </is>
      </c>
      <c r="R477" s="292" t="str"/>
      <c r="S477" s="292" t="inlineStr">
        <is>
          <t>玄渊二十套全装备代码总表.xlsx</t>
        </is>
      </c>
      <c r="T477" s="292" t="inlineStr">
        <is>
          <t>玄渊20套全装备视觉候选；Items/StateItem/DnItems三库同码；属性待策划填写；OverLap=4; Expand1=8</t>
        </is>
      </c>
      <c r="U477">
        <f>IF(COUNTIF($B$2:$B$1076,B477)&gt;1,"重复","")</f>
        <v/>
      </c>
      <c r="V477">
        <f>IF(AND(OR(M477="",M477=B477),OR(N477="",N477=B477),OR(O477="",O477=B477)),"通过","不一致")</f>
        <v/>
      </c>
    </row>
    <row r="478" ht="22" customHeight="1">
      <c r="A478" s="398" t="n">
        <v>477</v>
      </c>
      <c r="B478" s="398" t="n">
        <v>6497</v>
      </c>
      <c r="C478" s="399" t="inlineStr">
        <is>
          <t>黄金圣树·王权</t>
        </is>
      </c>
      <c r="D478" s="399" t="inlineStr">
        <is>
          <t>黄金圣树</t>
        </is>
      </c>
      <c r="E478" s="399" t="n">
        <v>3</v>
      </c>
      <c r="F478" s="399" t="inlineStr">
        <is>
          <t>生肖9</t>
        </is>
      </c>
      <c r="G478" s="398" t="n">
        <v>22</v>
      </c>
      <c r="H478" s="398" t="n">
        <v>48</v>
      </c>
      <c r="I478" s="398" t="n">
        <v>6497</v>
      </c>
      <c r="J478" s="398" t="n">
        <v>0</v>
      </c>
      <c r="K478" s="398" t="n">
        <v>4</v>
      </c>
      <c r="L478" s="398" t="n">
        <v>9</v>
      </c>
      <c r="M478" s="398" t="n">
        <v>6497</v>
      </c>
      <c r="N478" s="398" t="n">
        <v>6497</v>
      </c>
      <c r="O478" s="398" t="n">
        <v>6497</v>
      </c>
      <c r="P478" s="292" t="n"/>
      <c r="Q478" s="292" t="inlineStr">
        <is>
          <t>candidate-preflight-passed</t>
        </is>
      </c>
      <c r="R478" s="292" t="str"/>
      <c r="S478" s="292" t="inlineStr">
        <is>
          <t>玄渊二十套全装备代码总表.xlsx</t>
        </is>
      </c>
      <c r="T478" s="292" t="inlineStr">
        <is>
          <t>玄渊20套全装备视觉候选；Items/StateItem/DnItems三库同码；属性待策划填写；OverLap=4; Expand1=9</t>
        </is>
      </c>
      <c r="U478">
        <f>IF(COUNTIF($B$2:$B$1076,B478)&gt;1,"重复","")</f>
        <v/>
      </c>
      <c r="V478">
        <f>IF(AND(OR(M478="",M478=B478),OR(N478="",N478=B478),OR(O478="",O478=B478)),"通过","不一致")</f>
        <v/>
      </c>
    </row>
    <row r="479" ht="22" customHeight="1">
      <c r="A479" s="398" t="n">
        <v>478</v>
      </c>
      <c r="B479" s="398" t="n">
        <v>6498</v>
      </c>
      <c r="C479" s="399" t="inlineStr">
        <is>
          <t>黄金圣树·王权</t>
        </is>
      </c>
      <c r="D479" s="399" t="inlineStr">
        <is>
          <t>黄金圣树</t>
        </is>
      </c>
      <c r="E479" s="399" t="n">
        <v>3</v>
      </c>
      <c r="F479" s="399" t="inlineStr">
        <is>
          <t>生肖10</t>
        </is>
      </c>
      <c r="G479" s="398" t="n">
        <v>22</v>
      </c>
      <c r="H479" s="398" t="n">
        <v>49</v>
      </c>
      <c r="I479" s="398" t="n">
        <v>6498</v>
      </c>
      <c r="J479" s="398" t="n">
        <v>0</v>
      </c>
      <c r="K479" s="398" t="n">
        <v>4</v>
      </c>
      <c r="L479" s="398" t="n">
        <v>10</v>
      </c>
      <c r="M479" s="398" t="n">
        <v>6498</v>
      </c>
      <c r="N479" s="398" t="n">
        <v>6498</v>
      </c>
      <c r="O479" s="398" t="n">
        <v>6498</v>
      </c>
      <c r="P479" s="292" t="n"/>
      <c r="Q479" s="292" t="inlineStr">
        <is>
          <t>candidate-preflight-passed</t>
        </is>
      </c>
      <c r="R479" s="292" t="str"/>
      <c r="S479" s="292" t="inlineStr">
        <is>
          <t>玄渊二十套全装备代码总表.xlsx</t>
        </is>
      </c>
      <c r="T479" s="292" t="inlineStr">
        <is>
          <t>玄渊20套全装备视觉候选；Items/StateItem/DnItems三库同码；属性待策划填写；OverLap=4; Expand1=10</t>
        </is>
      </c>
      <c r="U479">
        <f>IF(COUNTIF($B$2:$B$1076,B479)&gt;1,"重复","")</f>
        <v/>
      </c>
      <c r="V479">
        <f>IF(AND(OR(M479="",M479=B479),OR(N479="",N479=B479),OR(O479="",O479=B479)),"通过","不一致")</f>
        <v/>
      </c>
    </row>
    <row r="480" ht="22" customHeight="1">
      <c r="A480" s="398" t="n">
        <v>479</v>
      </c>
      <c r="B480" s="398" t="n">
        <v>6499</v>
      </c>
      <c r="C480" s="399" t="inlineStr">
        <is>
          <t>黄金圣树·王权</t>
        </is>
      </c>
      <c r="D480" s="399" t="inlineStr">
        <is>
          <t>黄金圣树</t>
        </is>
      </c>
      <c r="E480" s="399" t="n">
        <v>3</v>
      </c>
      <c r="F480" s="399" t="inlineStr">
        <is>
          <t>生肖11</t>
        </is>
      </c>
      <c r="G480" s="398" t="n">
        <v>22</v>
      </c>
      <c r="H480" s="398" t="n">
        <v>50</v>
      </c>
      <c r="I480" s="398" t="n">
        <v>6499</v>
      </c>
      <c r="J480" s="398" t="n">
        <v>0</v>
      </c>
      <c r="K480" s="398" t="n">
        <v>4</v>
      </c>
      <c r="L480" s="398" t="n">
        <v>11</v>
      </c>
      <c r="M480" s="398" t="n">
        <v>6499</v>
      </c>
      <c r="N480" s="398" t="n">
        <v>6499</v>
      </c>
      <c r="O480" s="398" t="n">
        <v>6499</v>
      </c>
      <c r="P480" s="292" t="n"/>
      <c r="Q480" s="292" t="inlineStr">
        <is>
          <t>candidate-preflight-passed</t>
        </is>
      </c>
      <c r="R480" s="292" t="str"/>
      <c r="S480" s="292" t="inlineStr">
        <is>
          <t>玄渊二十套全装备代码总表.xlsx</t>
        </is>
      </c>
      <c r="T480" s="292" t="inlineStr">
        <is>
          <t>玄渊20套全装备视觉候选；Items/StateItem/DnItems三库同码；属性待策划填写；OverLap=4; Expand1=11</t>
        </is>
      </c>
      <c r="U480">
        <f>IF(COUNTIF($B$2:$B$1076,B480)&gt;1,"重复","")</f>
        <v/>
      </c>
      <c r="V480">
        <f>IF(AND(OR(M480="",M480=B480),OR(N480="",N480=B480),OR(O480="",O480=B480)),"通过","不一致")</f>
        <v/>
      </c>
    </row>
    <row r="481" ht="22" customHeight="1">
      <c r="A481" s="398" t="n">
        <v>480</v>
      </c>
      <c r="B481" s="398" t="n">
        <v>6500</v>
      </c>
      <c r="C481" s="399" t="inlineStr">
        <is>
          <t>黄金圣树·王权</t>
        </is>
      </c>
      <c r="D481" s="399" t="inlineStr">
        <is>
          <t>黄金圣树</t>
        </is>
      </c>
      <c r="E481" s="399" t="n">
        <v>3</v>
      </c>
      <c r="F481" s="399" t="inlineStr">
        <is>
          <t>生肖12</t>
        </is>
      </c>
      <c r="G481" s="398" t="n">
        <v>22</v>
      </c>
      <c r="H481" s="398" t="n">
        <v>51</v>
      </c>
      <c r="I481" s="398" t="n">
        <v>6500</v>
      </c>
      <c r="J481" s="398" t="n">
        <v>0</v>
      </c>
      <c r="K481" s="398" t="n">
        <v>4</v>
      </c>
      <c r="L481" s="398" t="n">
        <v>12</v>
      </c>
      <c r="M481" s="398" t="n">
        <v>6500</v>
      </c>
      <c r="N481" s="398" t="n">
        <v>6500</v>
      </c>
      <c r="O481" s="398" t="n">
        <v>6500</v>
      </c>
      <c r="P481" s="292" t="n"/>
      <c r="Q481" s="292" t="inlineStr">
        <is>
          <t>candidate-preflight-passed</t>
        </is>
      </c>
      <c r="R481" s="292" t="str"/>
      <c r="S481" s="292" t="inlineStr">
        <is>
          <t>玄渊二十套全装备代码总表.xlsx</t>
        </is>
      </c>
      <c r="T481" s="292" t="inlineStr">
        <is>
          <t>玄渊20套全装备视觉候选；Items/StateItem/DnItems三库同码；属性待策划填写；OverLap=4; Expand1=12</t>
        </is>
      </c>
      <c r="U481">
        <f>IF(COUNTIF($B$2:$B$1076,B481)&gt;1,"重复","")</f>
        <v/>
      </c>
      <c r="V481">
        <f>IF(AND(OR(M481="",M481=B481),OR(N481="",N481=B481),OR(O481="",O481=B481)),"通过","不一致")</f>
        <v/>
      </c>
    </row>
    <row r="482" ht="22" customHeight="1">
      <c r="A482" s="398" t="n">
        <v>481</v>
      </c>
      <c r="B482" s="398" t="n">
        <v>6501</v>
      </c>
      <c r="C482" s="399" t="inlineStr">
        <is>
          <t>黄金圣树·律法</t>
        </is>
      </c>
      <c r="D482" s="399" t="inlineStr">
        <is>
          <t>黄金圣树</t>
        </is>
      </c>
      <c r="E482" s="399" t="n">
        <v>4</v>
      </c>
      <c r="F482" s="399" t="inlineStr">
        <is>
          <t>武器</t>
        </is>
      </c>
      <c r="G482" s="398" t="n">
        <v>5</v>
      </c>
      <c r="H482" s="398" t="n">
        <v>1</v>
      </c>
      <c r="I482" s="398" t="n">
        <v>6501</v>
      </c>
      <c r="J482" s="398" t="n">
        <v>17</v>
      </c>
      <c r="K482" s="398" t="n">
        <v>0</v>
      </c>
      <c r="L482" s="398" t="n">
        <v>0</v>
      </c>
      <c r="M482" s="398" t="n">
        <v>6501</v>
      </c>
      <c r="N482" s="398" t="n">
        <v>6501</v>
      </c>
      <c r="O482" s="398" t="n">
        <v>6501</v>
      </c>
      <c r="P482" s="292" t="inlineStr">
        <is>
          <t>Weapon.wzl/wzx（复用现有真实动作）</t>
        </is>
      </c>
      <c r="Q482" s="292" t="inlineStr">
        <is>
          <t>candidate-preflight-passed</t>
        </is>
      </c>
      <c r="R482" s="324" t="inlineStr">
        <is>
          <t>C3-C10规划锁定：无路王剑</t>
        </is>
      </c>
      <c r="S482" s="292" t="inlineStr">
        <is>
          <t>玄渊二十套全装备代码总表.xlsx</t>
        </is>
      </c>
      <c r="T482" s="292" t="inlineStr">
        <is>
          <t>玄渊20套全装备视觉候选；Items/StateItem/DnItems三库同码；属性待策划填写；Weapon Shape=17</t>
        </is>
      </c>
      <c r="U482">
        <f>IF(COUNTIF($B$2:$B$1076,B482)&gt;1,"重复","")</f>
        <v/>
      </c>
      <c r="V482">
        <f>IF(AND(OR(M482="",M482=B482),OR(N482="",N482=B482),OR(O482="",O482=B482)),"通过","不一致")</f>
        <v/>
      </c>
    </row>
    <row r="483" ht="22" customHeight="1">
      <c r="A483" s="398" t="n">
        <v>482</v>
      </c>
      <c r="B483" s="398" t="n">
        <v>6502</v>
      </c>
      <c r="C483" s="399" t="inlineStr">
        <is>
          <t>黄金圣树·律法</t>
        </is>
      </c>
      <c r="D483" s="399" t="inlineStr">
        <is>
          <t>黄金圣树</t>
        </is>
      </c>
      <c r="E483" s="399" t="n">
        <v>4</v>
      </c>
      <c r="F483" s="399" t="inlineStr">
        <is>
          <t>男衣服</t>
        </is>
      </c>
      <c r="G483" s="398" t="n">
        <v>10</v>
      </c>
      <c r="H483" s="398" t="n">
        <v>0</v>
      </c>
      <c r="I483" s="398" t="n">
        <v>6502</v>
      </c>
      <c r="J483" s="398" t="n">
        <v>4</v>
      </c>
      <c r="K483" s="398" t="n">
        <v>0</v>
      </c>
      <c r="L483" s="398" t="n">
        <v>0</v>
      </c>
      <c r="M483" s="398" t="n">
        <v>6502</v>
      </c>
      <c r="N483" s="398" t="n">
        <v>6502</v>
      </c>
      <c r="O483" s="398" t="n">
        <v>6502</v>
      </c>
      <c r="P483" s="292" t="inlineStr">
        <is>
          <t>Hum.wzl/wzx（复用现有真实动作）</t>
        </is>
      </c>
      <c r="Q483" s="292" t="inlineStr">
        <is>
          <t>candidate-preflight-passed</t>
        </is>
      </c>
      <c r="R483" s="324" t="inlineStr">
        <is>
          <t>C3-C10规划锁定：赤篷铁衣</t>
        </is>
      </c>
      <c r="S483" s="292" t="inlineStr">
        <is>
          <t>玄渊二十套全装备代码总表.xlsx</t>
        </is>
      </c>
      <c r="T483" s="292" t="inlineStr">
        <is>
          <t>玄渊20套全装备视觉候选；Items/StateItem/DnItems三库同码；属性待策划填写；Hum Shape=4</t>
        </is>
      </c>
      <c r="U483">
        <f>IF(COUNTIF($B$2:$B$1076,B483)&gt;1,"重复","")</f>
        <v/>
      </c>
      <c r="V483">
        <f>IF(AND(OR(M483="",M483=B483),OR(N483="",N483=B483),OR(O483="",O483=B483)),"通过","不一致")</f>
        <v/>
      </c>
    </row>
    <row r="484" ht="22" customHeight="1">
      <c r="A484" s="398" t="n">
        <v>483</v>
      </c>
      <c r="B484" s="398" t="n">
        <v>6503</v>
      </c>
      <c r="C484" s="399" t="inlineStr">
        <is>
          <t>黄金圣树·律法</t>
        </is>
      </c>
      <c r="D484" s="399" t="inlineStr">
        <is>
          <t>黄金圣树</t>
        </is>
      </c>
      <c r="E484" s="399" t="n">
        <v>4</v>
      </c>
      <c r="F484" s="399" t="inlineStr">
        <is>
          <t>女衣服</t>
        </is>
      </c>
      <c r="G484" s="398" t="n">
        <v>11</v>
      </c>
      <c r="H484" s="398" t="n">
        <v>0</v>
      </c>
      <c r="I484" s="398" t="n">
        <v>6503</v>
      </c>
      <c r="J484" s="398" t="n">
        <v>4</v>
      </c>
      <c r="K484" s="398" t="n">
        <v>0</v>
      </c>
      <c r="L484" s="398" t="n">
        <v>0</v>
      </c>
      <c r="M484" s="398" t="n">
        <v>6503</v>
      </c>
      <c r="N484" s="398" t="n">
        <v>6503</v>
      </c>
      <c r="O484" s="398" t="n">
        <v>6503</v>
      </c>
      <c r="P484" s="292" t="inlineStr">
        <is>
          <t>Hum.wzl/wzx（复用现有真实动作）</t>
        </is>
      </c>
      <c r="Q484" s="292" t="inlineStr">
        <is>
          <t>candidate-preflight-passed</t>
        </is>
      </c>
      <c r="R484" s="292" t="str"/>
      <c r="S484" s="292" t="inlineStr">
        <is>
          <t>玄渊二十套全装备代码总表.xlsx</t>
        </is>
      </c>
      <c r="T484" s="292" t="inlineStr">
        <is>
          <t>玄渊20套全装备视觉候选；Items/StateItem/DnItems三库同码；属性待策划填写；Hum Shape=4</t>
        </is>
      </c>
      <c r="U484">
        <f>IF(COUNTIF($B$2:$B$1076,B484)&gt;1,"重复","")</f>
        <v/>
      </c>
      <c r="V484">
        <f>IF(AND(OR(M484="",M484=B484),OR(N484="",N484=B484),OR(O484="",O484=B484)),"通过","不一致")</f>
        <v/>
      </c>
    </row>
    <row r="485" ht="22" customHeight="1">
      <c r="A485" s="398" t="n">
        <v>484</v>
      </c>
      <c r="B485" s="398" t="n">
        <v>6504</v>
      </c>
      <c r="C485" s="399" t="inlineStr">
        <is>
          <t>黄金圣树·律法</t>
        </is>
      </c>
      <c r="D485" s="399" t="inlineStr">
        <is>
          <t>黄金圣树</t>
        </is>
      </c>
      <c r="E485" s="399" t="n">
        <v>4</v>
      </c>
      <c r="F485" s="399" t="inlineStr">
        <is>
          <t>头盔</t>
        </is>
      </c>
      <c r="G485" s="398" t="n">
        <v>15</v>
      </c>
      <c r="H485" s="398" t="n">
        <v>4</v>
      </c>
      <c r="I485" s="398" t="n">
        <v>6504</v>
      </c>
      <c r="J485" s="398" t="n">
        <v>0</v>
      </c>
      <c r="K485" s="398" t="n">
        <v>0</v>
      </c>
      <c r="L485" s="398" t="n">
        <v>0</v>
      </c>
      <c r="M485" s="398" t="n">
        <v>6504</v>
      </c>
      <c r="N485" s="398" t="n">
        <v>6504</v>
      </c>
      <c r="O485" s="398" t="n">
        <v>6504</v>
      </c>
      <c r="P485" s="292" t="n"/>
      <c r="Q485" s="292" t="inlineStr">
        <is>
          <t>candidate-preflight-passed</t>
        </is>
      </c>
      <c r="R485" s="324" t="inlineStr">
        <is>
          <t>C3-C10规划锁定：风蚀眺盔</t>
        </is>
      </c>
      <c r="S485" s="292" t="inlineStr">
        <is>
          <t>玄渊二十套全装备代码总表.xlsx</t>
        </is>
      </c>
      <c r="T485" s="292" t="inlineStr">
        <is>
          <t>玄渊20套全装备视觉候选；Items/StateItem/DnItems三库同码；属性待策划填写</t>
        </is>
      </c>
      <c r="U485">
        <f>IF(COUNTIF($B$2:$B$1076,B485)&gt;1,"重复","")</f>
        <v/>
      </c>
      <c r="V485">
        <f>IF(AND(OR(M485="",M485=B485),OR(N485="",N485=B485),OR(O485="",O485=B485)),"通过","不一致")</f>
        <v/>
      </c>
    </row>
    <row r="486" ht="22" customHeight="1">
      <c r="A486" s="398" t="n">
        <v>485</v>
      </c>
      <c r="B486" s="398" t="n">
        <v>6505</v>
      </c>
      <c r="C486" s="399" t="inlineStr">
        <is>
          <t>黄金圣树·律法</t>
        </is>
      </c>
      <c r="D486" s="399" t="inlineStr">
        <is>
          <t>黄金圣树</t>
        </is>
      </c>
      <c r="E486" s="399" t="n">
        <v>4</v>
      </c>
      <c r="F486" s="399" t="inlineStr">
        <is>
          <t>面巾</t>
        </is>
      </c>
      <c r="G486" s="398" t="n">
        <v>16</v>
      </c>
      <c r="H486" s="398" t="n">
        <v>13</v>
      </c>
      <c r="I486" s="398" t="n">
        <v>6505</v>
      </c>
      <c r="J486" s="398" t="n">
        <v>0</v>
      </c>
      <c r="K486" s="398" t="n">
        <v>0</v>
      </c>
      <c r="L486" s="398" t="n">
        <v>0</v>
      </c>
      <c r="M486" s="398" t="n">
        <v>6505</v>
      </c>
      <c r="N486" s="398" t="n">
        <v>6505</v>
      </c>
      <c r="O486" s="398" t="n">
        <v>6505</v>
      </c>
      <c r="P486" s="292" t="n"/>
      <c r="Q486" s="292" t="inlineStr">
        <is>
          <t>candidate-preflight-passed</t>
        </is>
      </c>
      <c r="R486" s="324" t="inlineStr">
        <is>
          <t>C3-C10规划锁定：水巫雾纱笠</t>
        </is>
      </c>
      <c r="S486" s="292" t="inlineStr">
        <is>
          <t>玄渊二十套全装备代码总表.xlsx</t>
        </is>
      </c>
      <c r="T486" s="292" t="inlineStr">
        <is>
          <t>玄渊20套全装备视觉候选；Items/StateItem/DnItems三库同码；属性待策划填写</t>
        </is>
      </c>
      <c r="U486">
        <f>IF(COUNTIF($B$2:$B$1076,B486)&gt;1,"重复","")</f>
        <v/>
      </c>
      <c r="V486">
        <f>IF(AND(OR(M486="",M486=B486),OR(N486="",N486=B486),OR(O486="",O486=B486)),"通过","不一致")</f>
        <v/>
      </c>
    </row>
    <row r="487" ht="22" customHeight="1">
      <c r="A487" s="398" t="n">
        <v>486</v>
      </c>
      <c r="B487" s="398" t="n">
        <v>6506</v>
      </c>
      <c r="C487" s="399" t="inlineStr">
        <is>
          <t>黄金圣树·律法</t>
        </is>
      </c>
      <c r="D487" s="399" t="inlineStr">
        <is>
          <t>黄金圣树</t>
        </is>
      </c>
      <c r="E487" s="399" t="n">
        <v>4</v>
      </c>
      <c r="F487" s="399" t="inlineStr">
        <is>
          <t>项链</t>
        </is>
      </c>
      <c r="G487" s="398" t="n">
        <v>19</v>
      </c>
      <c r="H487" s="398" t="n">
        <v>3</v>
      </c>
      <c r="I487" s="398" t="n">
        <v>6506</v>
      </c>
      <c r="J487" s="398" t="n">
        <v>0</v>
      </c>
      <c r="K487" s="398" t="n">
        <v>0</v>
      </c>
      <c r="L487" s="398" t="n">
        <v>0</v>
      </c>
      <c r="M487" s="398" t="n">
        <v>6506</v>
      </c>
      <c r="N487" s="398" t="n">
        <v>6506</v>
      </c>
      <c r="O487" s="398" t="n">
        <v>6506</v>
      </c>
      <c r="P487" s="292" t="n"/>
      <c r="Q487" s="292" t="inlineStr">
        <is>
          <t>candidate-preflight-passed</t>
        </is>
      </c>
      <c r="R487" s="324" t="inlineStr">
        <is>
          <t>C3-C10规划锁定：独眼鹰坠</t>
        </is>
      </c>
      <c r="S487" s="292" t="inlineStr">
        <is>
          <t>玄渊二十套全装备代码总表.xlsx</t>
        </is>
      </c>
      <c r="T487" s="292" t="inlineStr">
        <is>
          <t>玄渊20套全装备视觉候选；Items/StateItem/DnItems三库同码；属性待策划填写</t>
        </is>
      </c>
      <c r="U487">
        <f>IF(COUNTIF($B$2:$B$1076,B487)&gt;1,"重复","")</f>
        <v/>
      </c>
      <c r="V487">
        <f>IF(AND(OR(M487="",M487=B487),OR(N487="",N487=B487),OR(O487="",O487=B487)),"通过","不一致")</f>
        <v/>
      </c>
    </row>
    <row r="488" ht="22" customHeight="1">
      <c r="A488" s="398" t="n">
        <v>487</v>
      </c>
      <c r="B488" s="398" t="n">
        <v>6507</v>
      </c>
      <c r="C488" s="399" t="inlineStr">
        <is>
          <t>黄金圣树·律法</t>
        </is>
      </c>
      <c r="D488" s="399" t="inlineStr">
        <is>
          <t>黄金圣树</t>
        </is>
      </c>
      <c r="E488" s="399" t="n">
        <v>4</v>
      </c>
      <c r="F488" s="399" t="inlineStr">
        <is>
          <t>手镯</t>
        </is>
      </c>
      <c r="G488" s="398" t="n">
        <v>26</v>
      </c>
      <c r="H488" s="398" t="n">
        <v>5</v>
      </c>
      <c r="I488" s="398" t="n">
        <v>6507</v>
      </c>
      <c r="J488" s="398" t="n">
        <v>0</v>
      </c>
      <c r="K488" s="398" t="n">
        <v>0</v>
      </c>
      <c r="L488" s="398" t="n">
        <v>0</v>
      </c>
      <c r="M488" s="398" t="n">
        <v>6507</v>
      </c>
      <c r="N488" s="398" t="n">
        <v>6507</v>
      </c>
      <c r="O488" s="398" t="n">
        <v>6507</v>
      </c>
      <c r="P488" s="292" t="n"/>
      <c r="Q488" s="292" t="inlineStr">
        <is>
          <t>candidate-preflight-passed</t>
        </is>
      </c>
      <c r="R488" s="324" t="inlineStr">
        <is>
          <t>C3-C10规划锁定：裂羽护腕</t>
        </is>
      </c>
      <c r="S488" s="292" t="inlineStr">
        <is>
          <t>玄渊二十套全装备代码总表.xlsx</t>
        </is>
      </c>
      <c r="T488" s="292" t="inlineStr">
        <is>
          <t>玄渊20套全装备视觉候选；Items/StateItem/DnItems三库同码；属性待策划填写</t>
        </is>
      </c>
      <c r="U488">
        <f>IF(COUNTIF($B$2:$B$1076,B488)&gt;1,"重复","")</f>
        <v/>
      </c>
      <c r="V488">
        <f>IF(AND(OR(M488="",M488=B488),OR(N488="",N488=B488),OR(O488="",O488=B488)),"通过","不一致")</f>
        <v/>
      </c>
    </row>
    <row r="489" ht="22" customHeight="1">
      <c r="A489" s="398" t="n">
        <v>488</v>
      </c>
      <c r="B489" s="398" t="n">
        <v>6508</v>
      </c>
      <c r="C489" s="399" t="inlineStr">
        <is>
          <t>黄金圣树·律法</t>
        </is>
      </c>
      <c r="D489" s="399" t="inlineStr">
        <is>
          <t>黄金圣树</t>
        </is>
      </c>
      <c r="E489" s="399" t="n">
        <v>4</v>
      </c>
      <c r="F489" s="399" t="inlineStr">
        <is>
          <t>戒指</t>
        </is>
      </c>
      <c r="G489" s="398" t="n">
        <v>22</v>
      </c>
      <c r="H489" s="398" t="n">
        <v>7</v>
      </c>
      <c r="I489" s="398" t="n">
        <v>6508</v>
      </c>
      <c r="J489" s="398" t="n">
        <v>0</v>
      </c>
      <c r="K489" s="398" t="n">
        <v>0</v>
      </c>
      <c r="L489" s="398" t="n">
        <v>0</v>
      </c>
      <c r="M489" s="398" t="n">
        <v>6508</v>
      </c>
      <c r="N489" s="398" t="n">
        <v>6508</v>
      </c>
      <c r="O489" s="398" t="n">
        <v>6508</v>
      </c>
      <c r="P489" s="292" t="n"/>
      <c r="Q489" s="292" t="inlineStr">
        <is>
          <t>candidate-preflight-passed</t>
        </is>
      </c>
      <c r="R489" s="324" t="inlineStr">
        <is>
          <t>C3-C10规划锁定：海雾猎戒</t>
        </is>
      </c>
      <c r="S489" s="292" t="inlineStr">
        <is>
          <t>玄渊二十套全装备代码总表.xlsx</t>
        </is>
      </c>
      <c r="T489" s="292" t="inlineStr">
        <is>
          <t>玄渊20套全装备视觉候选；Items/StateItem/DnItems三库同码；属性待策划填写</t>
        </is>
      </c>
      <c r="U489">
        <f>IF(COUNTIF($B$2:$B$1076,B489)&gt;1,"重复","")</f>
        <v/>
      </c>
      <c r="V489">
        <f>IF(AND(OR(M489="",M489=B489),OR(N489="",N489=B489),OR(O489="",O489=B489)),"通过","不一致")</f>
        <v/>
      </c>
    </row>
    <row r="490" ht="22" customHeight="1">
      <c r="A490" s="398" t="n">
        <v>489</v>
      </c>
      <c r="B490" s="398" t="n">
        <v>6509</v>
      </c>
      <c r="C490" s="399" t="inlineStr">
        <is>
          <t>黄金圣树·律法</t>
        </is>
      </c>
      <c r="D490" s="399" t="inlineStr">
        <is>
          <t>黄金圣树</t>
        </is>
      </c>
      <c r="E490" s="399" t="n">
        <v>4</v>
      </c>
      <c r="F490" s="399" t="inlineStr">
        <is>
          <t>勋章</t>
        </is>
      </c>
      <c r="G490" s="398" t="n">
        <v>30</v>
      </c>
      <c r="H490" s="398" t="n">
        <v>2</v>
      </c>
      <c r="I490" s="398" t="n">
        <v>6509</v>
      </c>
      <c r="J490" s="398" t="n">
        <v>0</v>
      </c>
      <c r="K490" s="398" t="n">
        <v>0</v>
      </c>
      <c r="L490" s="398" t="n">
        <v>0</v>
      </c>
      <c r="M490" s="398" t="n">
        <v>6509</v>
      </c>
      <c r="N490" s="398" t="n">
        <v>6509</v>
      </c>
      <c r="O490" s="398" t="n">
        <v>6509</v>
      </c>
      <c r="P490" s="292" t="n"/>
      <c r="Q490" s="292" t="inlineStr">
        <is>
          <t>candidate-preflight-passed</t>
        </is>
      </c>
      <c r="R490" s="324" t="inlineStr">
        <is>
          <t>C3-C10规划锁定：火漆追缉令</t>
        </is>
      </c>
      <c r="S490" s="292" t="inlineStr">
        <is>
          <t>玄渊二十套全装备代码总表.xlsx</t>
        </is>
      </c>
      <c r="T490" s="292" t="inlineStr">
        <is>
          <t>玄渊20套全装备视觉候选；Items/StateItem/DnItems三库同码；属性待策划填写</t>
        </is>
      </c>
      <c r="U490">
        <f>IF(COUNTIF($B$2:$B$1076,B490)&gt;1,"重复","")</f>
        <v/>
      </c>
      <c r="V490">
        <f>IF(AND(OR(M490="",M490=B490),OR(N490="",N490=B490),OR(O490="",O490=B490)),"通过","不一致")</f>
        <v/>
      </c>
    </row>
    <row r="491" ht="22" customHeight="1">
      <c r="A491" s="398" t="n">
        <v>490</v>
      </c>
      <c r="B491" s="398" t="n">
        <v>6510</v>
      </c>
      <c r="C491" s="399" t="inlineStr">
        <is>
          <t>黄金圣树·律法</t>
        </is>
      </c>
      <c r="D491" s="399" t="inlineStr">
        <is>
          <t>黄金圣树</t>
        </is>
      </c>
      <c r="E491" s="399" t="n">
        <v>4</v>
      </c>
      <c r="F491" s="399" t="inlineStr">
        <is>
          <t>盾牌</t>
        </is>
      </c>
      <c r="G491" s="398" t="n">
        <v>12</v>
      </c>
      <c r="H491" s="398" t="n">
        <v>16</v>
      </c>
      <c r="I491" s="398" t="n">
        <v>6510</v>
      </c>
      <c r="J491" s="398" t="n">
        <v>0</v>
      </c>
      <c r="K491" s="398" t="n">
        <v>0</v>
      </c>
      <c r="L491" s="398" t="n">
        <v>0</v>
      </c>
      <c r="M491" s="398" t="n">
        <v>6510</v>
      </c>
      <c r="N491" s="398" t="n">
        <v>6510</v>
      </c>
      <c r="O491" s="398" t="n">
        <v>6510</v>
      </c>
      <c r="P491" s="292" t="n"/>
      <c r="Q491" s="292" t="inlineStr">
        <is>
          <t>candidate-preflight-passed</t>
        </is>
      </c>
      <c r="R491" s="324" t="inlineStr">
        <is>
          <t>C3-C10规划锁定：誓死王盾</t>
        </is>
      </c>
      <c r="S491" s="292" t="inlineStr">
        <is>
          <t>玄渊二十套全装备代码总表.xlsx</t>
        </is>
      </c>
      <c r="T491" s="292" t="inlineStr">
        <is>
          <t>玄渊20套全装备视觉候选；Items/StateItem/DnItems三库同码；属性待策划填写</t>
        </is>
      </c>
      <c r="U491">
        <f>IF(COUNTIF($B$2:$B$1076,B491)&gt;1,"重复","")</f>
        <v/>
      </c>
      <c r="V491">
        <f>IF(AND(OR(M491="",M491=B491),OR(N491="",N491=B491),OR(O491="",O491=B491)),"通过","不一致")</f>
        <v/>
      </c>
    </row>
    <row r="492" ht="22" customHeight="1">
      <c r="A492" s="398" t="n">
        <v>491</v>
      </c>
      <c r="B492" s="398" t="n">
        <v>6511</v>
      </c>
      <c r="C492" s="399" t="inlineStr">
        <is>
          <t>黄金圣树·律法</t>
        </is>
      </c>
      <c r="D492" s="399" t="inlineStr">
        <is>
          <t>黄金圣树</t>
        </is>
      </c>
      <c r="E492" s="399" t="n">
        <v>4</v>
      </c>
      <c r="F492" s="399" t="inlineStr">
        <is>
          <t>灵玉</t>
        </is>
      </c>
      <c r="G492" s="398" t="n">
        <v>90</v>
      </c>
      <c r="H492" s="398" t="n">
        <v>17</v>
      </c>
      <c r="I492" s="398" t="n">
        <v>6511</v>
      </c>
      <c r="J492" s="398" t="n">
        <v>0</v>
      </c>
      <c r="K492" s="398" t="n">
        <v>0</v>
      </c>
      <c r="L492" s="398" t="n">
        <v>0</v>
      </c>
      <c r="M492" s="398" t="n">
        <v>6511</v>
      </c>
      <c r="N492" s="398" t="n">
        <v>6511</v>
      </c>
      <c r="O492" s="398" t="n">
        <v>6511</v>
      </c>
      <c r="P492" s="292" t="n"/>
      <c r="Q492" s="292" t="inlineStr">
        <is>
          <t>candidate-preflight-passed</t>
        </is>
      </c>
      <c r="R492" s="292" t="str"/>
      <c r="S492" s="292" t="inlineStr">
        <is>
          <t>玄渊二十套全装备代码总表.xlsx</t>
        </is>
      </c>
      <c r="T492" s="292" t="inlineStr">
        <is>
          <t>玄渊20套全装备视觉候选；Items/StateItem/DnItems三库同码；属性待策划填写</t>
        </is>
      </c>
      <c r="U492">
        <f>IF(COUNTIF($B$2:$B$1076,B492)&gt;1,"重复","")</f>
        <v/>
      </c>
      <c r="V492">
        <f>IF(AND(OR(M492="",M492=B492),OR(N492="",N492=B492),OR(O492="",O492=B492)),"通过","不一致")</f>
        <v/>
      </c>
    </row>
    <row r="493" ht="22" customHeight="1">
      <c r="A493" s="398" t="n">
        <v>492</v>
      </c>
      <c r="B493" s="398" t="n">
        <v>6512</v>
      </c>
      <c r="C493" s="399" t="inlineStr">
        <is>
          <t>黄金圣树·律法</t>
        </is>
      </c>
      <c r="D493" s="399" t="inlineStr">
        <is>
          <t>黄金圣树</t>
        </is>
      </c>
      <c r="E493" s="399" t="n">
        <v>4</v>
      </c>
      <c r="F493" s="399" t="inlineStr">
        <is>
          <t>鞋子</t>
        </is>
      </c>
      <c r="G493" s="398" t="n">
        <v>62</v>
      </c>
      <c r="H493" s="398" t="n">
        <v>11</v>
      </c>
      <c r="I493" s="398" t="n">
        <v>6512</v>
      </c>
      <c r="J493" s="398" t="n">
        <v>0</v>
      </c>
      <c r="K493" s="398" t="n">
        <v>0</v>
      </c>
      <c r="L493" s="398" t="n">
        <v>0</v>
      </c>
      <c r="M493" s="398" t="n">
        <v>6512</v>
      </c>
      <c r="N493" s="398" t="n">
        <v>6512</v>
      </c>
      <c r="O493" s="398" t="n">
        <v>6512</v>
      </c>
      <c r="P493" s="292" t="n"/>
      <c r="Q493" s="292" t="inlineStr">
        <is>
          <t>candidate-preflight-passed</t>
        </is>
      </c>
      <c r="R493" s="324" t="inlineStr">
        <is>
          <t>C3-C10规划锁定：叛骑战靴</t>
        </is>
      </c>
      <c r="S493" s="292" t="inlineStr">
        <is>
          <t>玄渊二十套全装备代码总表.xlsx</t>
        </is>
      </c>
      <c r="T493" s="292" t="inlineStr">
        <is>
          <t>玄渊20套全装备视觉候选；Items/StateItem/DnItems三库同码；属性待策划填写</t>
        </is>
      </c>
      <c r="U493">
        <f>IF(COUNTIF($B$2:$B$1076,B493)&gt;1,"重复","")</f>
        <v/>
      </c>
      <c r="V493">
        <f>IF(AND(OR(M493="",M493=B493),OR(N493="",N493=B493),OR(O493="",O493=B493)),"通过","不一致")</f>
        <v/>
      </c>
    </row>
    <row r="494" ht="22" customHeight="1">
      <c r="A494" s="398" t="n">
        <v>493</v>
      </c>
      <c r="B494" s="398" t="n">
        <v>6513</v>
      </c>
      <c r="C494" s="399" t="inlineStr">
        <is>
          <t>黄金圣树·律法</t>
        </is>
      </c>
      <c r="D494" s="399" t="inlineStr">
        <is>
          <t>黄金圣树</t>
        </is>
      </c>
      <c r="E494" s="399" t="n">
        <v>4</v>
      </c>
      <c r="F494" s="399" t="inlineStr">
        <is>
          <t>腰带</t>
        </is>
      </c>
      <c r="G494" s="398" t="n">
        <v>64</v>
      </c>
      <c r="H494" s="398" t="n">
        <v>10</v>
      </c>
      <c r="I494" s="398" t="n">
        <v>6513</v>
      </c>
      <c r="J494" s="398" t="n">
        <v>0</v>
      </c>
      <c r="K494" s="398" t="n">
        <v>0</v>
      </c>
      <c r="L494" s="398" t="n">
        <v>0</v>
      </c>
      <c r="M494" s="398" t="n">
        <v>6513</v>
      </c>
      <c r="N494" s="398" t="n">
        <v>6513</v>
      </c>
      <c r="O494" s="398" t="n">
        <v>6513</v>
      </c>
      <c r="P494" s="292" t="n"/>
      <c r="Q494" s="292" t="inlineStr">
        <is>
          <t>candidate-preflight-passed</t>
        </is>
      </c>
      <c r="R494" s="324" t="inlineStr">
        <is>
          <t>C3-C10规划锁定：断索束带</t>
        </is>
      </c>
      <c r="S494" s="292" t="inlineStr">
        <is>
          <t>玄渊二十套全装备代码总表.xlsx</t>
        </is>
      </c>
      <c r="T494" s="292" t="inlineStr">
        <is>
          <t>玄渊20套全装备视觉候选；Items/StateItem/DnItems三库同码；属性待策划填写</t>
        </is>
      </c>
      <c r="U494">
        <f>IF(COUNTIF($B$2:$B$1076,B494)&gt;1,"重复","")</f>
        <v/>
      </c>
      <c r="V494">
        <f>IF(AND(OR(M494="",M494=B494),OR(N494="",N494=B494),OR(O494="",O494=B494)),"通过","不一致")</f>
        <v/>
      </c>
    </row>
    <row r="495" ht="22" customHeight="1">
      <c r="A495" s="398" t="n">
        <v>494</v>
      </c>
      <c r="B495" s="398" t="n">
        <v>6514</v>
      </c>
      <c r="C495" s="399" t="inlineStr">
        <is>
          <t>黄金圣树·律法</t>
        </is>
      </c>
      <c r="D495" s="399" t="inlineStr">
        <is>
          <t>黄金圣树</t>
        </is>
      </c>
      <c r="E495" s="399" t="n">
        <v>4</v>
      </c>
      <c r="F495" s="399" t="inlineStr">
        <is>
          <t>护身符</t>
        </is>
      </c>
      <c r="G495" s="398" t="n">
        <v>25</v>
      </c>
      <c r="H495" s="398" t="n">
        <v>9</v>
      </c>
      <c r="I495" s="398" t="n">
        <v>6514</v>
      </c>
      <c r="J495" s="398" t="n">
        <v>0</v>
      </c>
      <c r="K495" s="398" t="n">
        <v>0</v>
      </c>
      <c r="L495" s="398" t="n">
        <v>0</v>
      </c>
      <c r="M495" s="398" t="n">
        <v>6514</v>
      </c>
      <c r="N495" s="398" t="n">
        <v>6514</v>
      </c>
      <c r="O495" s="398" t="n">
        <v>6514</v>
      </c>
      <c r="P495" s="292" t="n"/>
      <c r="Q495" s="292" t="inlineStr">
        <is>
          <t>candidate-preflight-passed</t>
        </is>
      </c>
      <c r="R495" s="292" t="str"/>
      <c r="S495" s="292" t="inlineStr">
        <is>
          <t>玄渊二十套全装备代码总表.xlsx</t>
        </is>
      </c>
      <c r="T495" s="292" t="inlineStr">
        <is>
          <t>玄渊20套全装备视觉候选；Items/StateItem/DnItems三库同码；属性待策划填写</t>
        </is>
      </c>
      <c r="U495">
        <f>IF(COUNTIF($B$2:$B$1076,B495)&gt;1,"重复","")</f>
        <v/>
      </c>
      <c r="V495">
        <f>IF(AND(OR(M495="",M495=B495),OR(N495="",N495=B495),OR(O495="",O495=B495)),"通过","不一致")</f>
        <v/>
      </c>
    </row>
    <row r="496" ht="22" customHeight="1">
      <c r="A496" s="398" t="n">
        <v>495</v>
      </c>
      <c r="B496" s="398" t="n">
        <v>6515</v>
      </c>
      <c r="C496" s="399" t="inlineStr">
        <is>
          <t>黄金圣树·律法</t>
        </is>
      </c>
      <c r="D496" s="399" t="inlineStr">
        <is>
          <t>黄金圣树</t>
        </is>
      </c>
      <c r="E496" s="399" t="n">
        <v>4</v>
      </c>
      <c r="F496" s="399" t="inlineStr">
        <is>
          <t>宝石</t>
        </is>
      </c>
      <c r="G496" s="398" t="n">
        <v>63</v>
      </c>
      <c r="H496" s="398" t="n">
        <v>12</v>
      </c>
      <c r="I496" s="398" t="n">
        <v>6515</v>
      </c>
      <c r="J496" s="398" t="n">
        <v>0</v>
      </c>
      <c r="K496" s="398" t="n">
        <v>0</v>
      </c>
      <c r="L496" s="398" t="n">
        <v>0</v>
      </c>
      <c r="M496" s="398" t="n">
        <v>6515</v>
      </c>
      <c r="N496" s="398" t="n">
        <v>6515</v>
      </c>
      <c r="O496" s="398" t="n">
        <v>6515</v>
      </c>
      <c r="P496" s="292" t="n"/>
      <c r="Q496" s="292" t="inlineStr">
        <is>
          <t>candidate-preflight-passed</t>
        </is>
      </c>
      <c r="R496" s="292" t="str"/>
      <c r="S496" s="292" t="inlineStr">
        <is>
          <t>玄渊二十套全装备代码总表.xlsx</t>
        </is>
      </c>
      <c r="T496" s="292" t="inlineStr">
        <is>
          <t>玄渊20套全装备视觉候选；Items/StateItem/DnItems三库同码；属性待策划填写</t>
        </is>
      </c>
      <c r="U496">
        <f>IF(COUNTIF($B$2:$B$1076,B496)&gt;1,"重复","")</f>
        <v/>
      </c>
      <c r="V496">
        <f>IF(AND(OR(M496="",M496=B496),OR(N496="",N496=B496),OR(O496="",O496=B496)),"通过","不一致")</f>
        <v/>
      </c>
    </row>
    <row r="497" ht="22" customHeight="1">
      <c r="A497" s="398" t="n">
        <v>496</v>
      </c>
      <c r="B497" s="398" t="n">
        <v>6516</v>
      </c>
      <c r="C497" s="399" t="inlineStr">
        <is>
          <t>黄金圣树·律法</t>
        </is>
      </c>
      <c r="D497" s="399" t="inlineStr">
        <is>
          <t>黄金圣树</t>
        </is>
      </c>
      <c r="E497" s="399" t="n">
        <v>4</v>
      </c>
      <c r="F497" s="399" t="inlineStr">
        <is>
          <t>军鼓</t>
        </is>
      </c>
      <c r="G497" s="398" t="n">
        <v>65</v>
      </c>
      <c r="H497" s="398" t="n">
        <v>14</v>
      </c>
      <c r="I497" s="398" t="n">
        <v>6516</v>
      </c>
      <c r="J497" s="398" t="n">
        <v>0</v>
      </c>
      <c r="K497" s="398" t="n">
        <v>0</v>
      </c>
      <c r="L497" s="398" t="n">
        <v>0</v>
      </c>
      <c r="M497" s="398" t="n">
        <v>6516</v>
      </c>
      <c r="N497" s="398" t="n">
        <v>6516</v>
      </c>
      <c r="O497" s="398" t="n">
        <v>6516</v>
      </c>
      <c r="P497" s="292" t="n"/>
      <c r="Q497" s="292" t="inlineStr">
        <is>
          <t>candidate-preflight-passed</t>
        </is>
      </c>
      <c r="R497" s="292" t="str"/>
      <c r="S497" s="292" t="inlineStr">
        <is>
          <t>玄渊二十套全装备代码总表.xlsx</t>
        </is>
      </c>
      <c r="T497" s="292" t="inlineStr">
        <is>
          <t>玄渊20套全装备视觉候选；Items/StateItem/DnItems三库同码；属性待策划填写</t>
        </is>
      </c>
      <c r="U497">
        <f>IF(COUNTIF($B$2:$B$1076,B497)&gt;1,"重复","")</f>
        <v/>
      </c>
      <c r="V497">
        <f>IF(AND(OR(M497="",M497=B497),OR(N497="",N497=B497),OR(O497="",O497=B497)),"通过","不一致")</f>
        <v/>
      </c>
    </row>
    <row r="498" ht="22" customHeight="1">
      <c r="A498" s="398" t="n">
        <v>497</v>
      </c>
      <c r="B498" s="398" t="n">
        <v>6517</v>
      </c>
      <c r="C498" s="399" t="inlineStr">
        <is>
          <t>黄金圣树·律法</t>
        </is>
      </c>
      <c r="D498" s="399" t="inlineStr">
        <is>
          <t>黄金圣树</t>
        </is>
      </c>
      <c r="E498" s="399" t="n">
        <v>4</v>
      </c>
      <c r="F498" s="399" t="inlineStr">
        <is>
          <t>马牌</t>
        </is>
      </c>
      <c r="G498" s="398" t="n">
        <v>28</v>
      </c>
      <c r="H498" s="398" t="n">
        <v>15</v>
      </c>
      <c r="I498" s="398" t="n">
        <v>6517</v>
      </c>
      <c r="J498" s="398" t="n">
        <v>0</v>
      </c>
      <c r="K498" s="398" t="n">
        <v>0</v>
      </c>
      <c r="L498" s="398" t="n">
        <v>0</v>
      </c>
      <c r="M498" s="398" t="n">
        <v>6517</v>
      </c>
      <c r="N498" s="398" t="n">
        <v>6517</v>
      </c>
      <c r="O498" s="398" t="n">
        <v>6517</v>
      </c>
      <c r="P498" s="292" t="n"/>
      <c r="Q498" s="292" t="inlineStr">
        <is>
          <t>candidate-preflight-passed</t>
        </is>
      </c>
      <c r="R498" s="292" t="str"/>
      <c r="S498" s="292" t="inlineStr">
        <is>
          <t>玄渊二十套全装备代码总表.xlsx</t>
        </is>
      </c>
      <c r="T498" s="292" t="inlineStr">
        <is>
          <t>玄渊20套全装备视觉候选；Items/StateItem/DnItems三库同码；属性待策划填写</t>
        </is>
      </c>
      <c r="U498">
        <f>IF(COUNTIF($B$2:$B$1076,B498)&gt;1,"重复","")</f>
        <v/>
      </c>
      <c r="V498">
        <f>IF(AND(OR(M498="",M498=B498),OR(N498="",N498=B498),OR(O498="",O498=B498)),"通过","不一致")</f>
        <v/>
      </c>
    </row>
    <row r="499" ht="22" customHeight="1">
      <c r="A499" s="398" t="n">
        <v>498</v>
      </c>
      <c r="B499" s="398" t="n">
        <v>6518</v>
      </c>
      <c r="C499" s="399" t="inlineStr">
        <is>
          <t>黄金圣树·律法</t>
        </is>
      </c>
      <c r="D499" s="399" t="inlineStr">
        <is>
          <t>黄金圣树</t>
        </is>
      </c>
      <c r="E499" s="399" t="n">
        <v>4</v>
      </c>
      <c r="F499" s="399" t="inlineStr">
        <is>
          <t>首饰盒1</t>
        </is>
      </c>
      <c r="G499" s="398" t="n">
        <v>22</v>
      </c>
      <c r="H499" s="398" t="n">
        <v>30</v>
      </c>
      <c r="I499" s="398" t="n">
        <v>6518</v>
      </c>
      <c r="J499" s="398" t="n">
        <v>0</v>
      </c>
      <c r="K499" s="398" t="n">
        <v>2</v>
      </c>
      <c r="L499" s="398" t="n">
        <v>1</v>
      </c>
      <c r="M499" s="398" t="n">
        <v>6518</v>
      </c>
      <c r="N499" s="398" t="n">
        <v>6518</v>
      </c>
      <c r="O499" s="398" t="n">
        <v>6518</v>
      </c>
      <c r="P499" s="292" t="n"/>
      <c r="Q499" s="292" t="inlineStr">
        <is>
          <t>candidate-preflight-passed</t>
        </is>
      </c>
      <c r="R499" s="292" t="str"/>
      <c r="S499" s="292" t="inlineStr">
        <is>
          <t>玄渊二十套全装备代码总表.xlsx</t>
        </is>
      </c>
      <c r="T499" s="292" t="inlineStr">
        <is>
          <t>玄渊20套全装备视觉候选；Items/StateItem/DnItems三库同码；属性待策划填写；OverLap=2; Expand1=1</t>
        </is>
      </c>
      <c r="U499">
        <f>IF(COUNTIF($B$2:$B$1076,B499)&gt;1,"重复","")</f>
        <v/>
      </c>
      <c r="V499">
        <f>IF(AND(OR(M499="",M499=B499),OR(N499="",N499=B499),OR(O499="",O499=B499)),"通过","不一致")</f>
        <v/>
      </c>
    </row>
    <row r="500" ht="22" customHeight="1">
      <c r="A500" s="398" t="n">
        <v>499</v>
      </c>
      <c r="B500" s="398" t="n">
        <v>6519</v>
      </c>
      <c r="C500" s="399" t="inlineStr">
        <is>
          <t>黄金圣树·律法</t>
        </is>
      </c>
      <c r="D500" s="399" t="inlineStr">
        <is>
          <t>黄金圣树</t>
        </is>
      </c>
      <c r="E500" s="399" t="n">
        <v>4</v>
      </c>
      <c r="F500" s="399" t="inlineStr">
        <is>
          <t>首饰盒2</t>
        </is>
      </c>
      <c r="G500" s="398" t="n">
        <v>22</v>
      </c>
      <c r="H500" s="398" t="n">
        <v>31</v>
      </c>
      <c r="I500" s="398" t="n">
        <v>6519</v>
      </c>
      <c r="J500" s="398" t="n">
        <v>0</v>
      </c>
      <c r="K500" s="398" t="n">
        <v>2</v>
      </c>
      <c r="L500" s="398" t="n">
        <v>2</v>
      </c>
      <c r="M500" s="398" t="n">
        <v>6519</v>
      </c>
      <c r="N500" s="398" t="n">
        <v>6519</v>
      </c>
      <c r="O500" s="398" t="n">
        <v>6519</v>
      </c>
      <c r="P500" s="292" t="n"/>
      <c r="Q500" s="292" t="inlineStr">
        <is>
          <t>candidate-preflight-passed</t>
        </is>
      </c>
      <c r="R500" s="292" t="str"/>
      <c r="S500" s="292" t="inlineStr">
        <is>
          <t>玄渊二十套全装备代码总表.xlsx</t>
        </is>
      </c>
      <c r="T500" s="292" t="inlineStr">
        <is>
          <t>玄渊20套全装备视觉候选；Items/StateItem/DnItems三库同码；属性待策划填写；OverLap=2; Expand1=2</t>
        </is>
      </c>
      <c r="U500">
        <f>IF(COUNTIF($B$2:$B$1076,B500)&gt;1,"重复","")</f>
        <v/>
      </c>
      <c r="V500">
        <f>IF(AND(OR(M500="",M500=B500),OR(N500="",N500=B500),OR(O500="",O500=B500)),"通过","不一致")</f>
        <v/>
      </c>
    </row>
    <row r="501" ht="22" customHeight="1">
      <c r="A501" s="398" t="n">
        <v>500</v>
      </c>
      <c r="B501" s="398" t="n">
        <v>6520</v>
      </c>
      <c r="C501" s="399" t="inlineStr">
        <is>
          <t>黄金圣树·律法</t>
        </is>
      </c>
      <c r="D501" s="399" t="inlineStr">
        <is>
          <t>黄金圣树</t>
        </is>
      </c>
      <c r="E501" s="399" t="n">
        <v>4</v>
      </c>
      <c r="F501" s="399" t="inlineStr">
        <is>
          <t>首饰盒3</t>
        </is>
      </c>
      <c r="G501" s="398" t="n">
        <v>22</v>
      </c>
      <c r="H501" s="398" t="n">
        <v>32</v>
      </c>
      <c r="I501" s="398" t="n">
        <v>6520</v>
      </c>
      <c r="J501" s="398" t="n">
        <v>0</v>
      </c>
      <c r="K501" s="398" t="n">
        <v>2</v>
      </c>
      <c r="L501" s="398" t="n">
        <v>3</v>
      </c>
      <c r="M501" s="398" t="n">
        <v>6520</v>
      </c>
      <c r="N501" s="398" t="n">
        <v>6520</v>
      </c>
      <c r="O501" s="398" t="n">
        <v>6520</v>
      </c>
      <c r="P501" s="292" t="n"/>
      <c r="Q501" s="292" t="inlineStr">
        <is>
          <t>candidate-preflight-passed</t>
        </is>
      </c>
      <c r="R501" s="292" t="str"/>
      <c r="S501" s="292" t="inlineStr">
        <is>
          <t>玄渊二十套全装备代码总表.xlsx</t>
        </is>
      </c>
      <c r="T501" s="292" t="inlineStr">
        <is>
          <t>玄渊20套全装备视觉候选；Items/StateItem/DnItems三库同码；属性待策划填写；OverLap=2; Expand1=3</t>
        </is>
      </c>
      <c r="U501">
        <f>IF(COUNTIF($B$2:$B$1076,B501)&gt;1,"重复","")</f>
        <v/>
      </c>
      <c r="V501">
        <f>IF(AND(OR(M501="",M501=B501),OR(N501="",N501=B501),OR(O501="",O501=B501)),"通过","不一致")</f>
        <v/>
      </c>
    </row>
    <row r="502" ht="22" customHeight="1">
      <c r="A502" s="398" t="n">
        <v>501</v>
      </c>
      <c r="B502" s="398" t="n">
        <v>6521</v>
      </c>
      <c r="C502" s="399" t="inlineStr">
        <is>
          <t>黄金圣树·律法</t>
        </is>
      </c>
      <c r="D502" s="399" t="inlineStr">
        <is>
          <t>黄金圣树</t>
        </is>
      </c>
      <c r="E502" s="399" t="n">
        <v>4</v>
      </c>
      <c r="F502" s="399" t="inlineStr">
        <is>
          <t>首饰盒4</t>
        </is>
      </c>
      <c r="G502" s="398" t="n">
        <v>22</v>
      </c>
      <c r="H502" s="398" t="n">
        <v>33</v>
      </c>
      <c r="I502" s="398" t="n">
        <v>6521</v>
      </c>
      <c r="J502" s="398" t="n">
        <v>0</v>
      </c>
      <c r="K502" s="398" t="n">
        <v>2</v>
      </c>
      <c r="L502" s="398" t="n">
        <v>4</v>
      </c>
      <c r="M502" s="398" t="n">
        <v>6521</v>
      </c>
      <c r="N502" s="398" t="n">
        <v>6521</v>
      </c>
      <c r="O502" s="398" t="n">
        <v>6521</v>
      </c>
      <c r="P502" s="292" t="n"/>
      <c r="Q502" s="292" t="inlineStr">
        <is>
          <t>candidate-preflight-passed</t>
        </is>
      </c>
      <c r="R502" s="292" t="str"/>
      <c r="S502" s="292" t="inlineStr">
        <is>
          <t>玄渊二十套全装备代码总表.xlsx</t>
        </is>
      </c>
      <c r="T502" s="292" t="inlineStr">
        <is>
          <t>玄渊20套全装备视觉候选；Items/StateItem/DnItems三库同码；属性待策划填写；OverLap=2; Expand1=4</t>
        </is>
      </c>
      <c r="U502">
        <f>IF(COUNTIF($B$2:$B$1076,B502)&gt;1,"重复","")</f>
        <v/>
      </c>
      <c r="V502">
        <f>IF(AND(OR(M502="",M502=B502),OR(N502="",N502=B502),OR(O502="",O502=B502)),"通过","不一致")</f>
        <v/>
      </c>
    </row>
    <row r="503" ht="22" customHeight="1">
      <c r="A503" s="398" t="n">
        <v>502</v>
      </c>
      <c r="B503" s="398" t="n">
        <v>6522</v>
      </c>
      <c r="C503" s="399" t="inlineStr">
        <is>
          <t>黄金圣树·律法</t>
        </is>
      </c>
      <c r="D503" s="399" t="inlineStr">
        <is>
          <t>黄金圣树</t>
        </is>
      </c>
      <c r="E503" s="399" t="n">
        <v>4</v>
      </c>
      <c r="F503" s="399" t="inlineStr">
        <is>
          <t>首饰盒5</t>
        </is>
      </c>
      <c r="G503" s="398" t="n">
        <v>22</v>
      </c>
      <c r="H503" s="398" t="n">
        <v>34</v>
      </c>
      <c r="I503" s="398" t="n">
        <v>6522</v>
      </c>
      <c r="J503" s="398" t="n">
        <v>0</v>
      </c>
      <c r="K503" s="398" t="n">
        <v>2</v>
      </c>
      <c r="L503" s="398" t="n">
        <v>5</v>
      </c>
      <c r="M503" s="398" t="n">
        <v>6522</v>
      </c>
      <c r="N503" s="398" t="n">
        <v>6522</v>
      </c>
      <c r="O503" s="398" t="n">
        <v>6522</v>
      </c>
      <c r="P503" s="292" t="n"/>
      <c r="Q503" s="292" t="inlineStr">
        <is>
          <t>candidate-preflight-passed</t>
        </is>
      </c>
      <c r="R503" s="292" t="str"/>
      <c r="S503" s="292" t="inlineStr">
        <is>
          <t>玄渊二十套全装备代码总表.xlsx</t>
        </is>
      </c>
      <c r="T503" s="292" t="inlineStr">
        <is>
          <t>玄渊20套全装备视觉候选；Items/StateItem/DnItems三库同码；属性待策划填写；OverLap=2; Expand1=5</t>
        </is>
      </c>
      <c r="U503">
        <f>IF(COUNTIF($B$2:$B$1076,B503)&gt;1,"重复","")</f>
        <v/>
      </c>
      <c r="V503">
        <f>IF(AND(OR(M503="",M503=B503),OR(N503="",N503=B503),OR(O503="",O503=B503)),"通过","不一致")</f>
        <v/>
      </c>
    </row>
    <row r="504" ht="22" customHeight="1">
      <c r="A504" s="398" t="n">
        <v>503</v>
      </c>
      <c r="B504" s="398" t="n">
        <v>6523</v>
      </c>
      <c r="C504" s="399" t="inlineStr">
        <is>
          <t>黄金圣树·律法</t>
        </is>
      </c>
      <c r="D504" s="399" t="inlineStr">
        <is>
          <t>黄金圣树</t>
        </is>
      </c>
      <c r="E504" s="399" t="n">
        <v>4</v>
      </c>
      <c r="F504" s="399" t="inlineStr">
        <is>
          <t>首饰盒6</t>
        </is>
      </c>
      <c r="G504" s="398" t="n">
        <v>22</v>
      </c>
      <c r="H504" s="398" t="n">
        <v>35</v>
      </c>
      <c r="I504" s="398" t="n">
        <v>6523</v>
      </c>
      <c r="J504" s="398" t="n">
        <v>0</v>
      </c>
      <c r="K504" s="398" t="n">
        <v>2</v>
      </c>
      <c r="L504" s="398" t="n">
        <v>6</v>
      </c>
      <c r="M504" s="398" t="n">
        <v>6523</v>
      </c>
      <c r="N504" s="398" t="n">
        <v>6523</v>
      </c>
      <c r="O504" s="398" t="n">
        <v>6523</v>
      </c>
      <c r="P504" s="292" t="n"/>
      <c r="Q504" s="292" t="inlineStr">
        <is>
          <t>candidate-preflight-passed</t>
        </is>
      </c>
      <c r="R504" s="292" t="str"/>
      <c r="S504" s="292" t="inlineStr">
        <is>
          <t>玄渊二十套全装备代码总表.xlsx</t>
        </is>
      </c>
      <c r="T504" s="292" t="inlineStr">
        <is>
          <t>玄渊20套全装备视觉候选；Items/StateItem/DnItems三库同码；属性待策划填写；OverLap=2; Expand1=6</t>
        </is>
      </c>
      <c r="U504">
        <f>IF(COUNTIF($B$2:$B$1076,B504)&gt;1,"重复","")</f>
        <v/>
      </c>
      <c r="V504">
        <f>IF(AND(OR(M504="",M504=B504),OR(N504="",N504=B504),OR(O504="",O504=B504)),"通过","不一致")</f>
        <v/>
      </c>
    </row>
    <row r="505" ht="22" customHeight="1">
      <c r="A505" s="398" t="n">
        <v>504</v>
      </c>
      <c r="B505" s="398" t="n">
        <v>6524</v>
      </c>
      <c r="C505" s="399" t="inlineStr">
        <is>
          <t>黄金圣树·律法</t>
        </is>
      </c>
      <c r="D505" s="399" t="inlineStr">
        <is>
          <t>黄金圣树</t>
        </is>
      </c>
      <c r="E505" s="399" t="n">
        <v>4</v>
      </c>
      <c r="F505" s="399" t="inlineStr">
        <is>
          <t>生肖1</t>
        </is>
      </c>
      <c r="G505" s="398" t="n">
        <v>22</v>
      </c>
      <c r="H505" s="398" t="n">
        <v>40</v>
      </c>
      <c r="I505" s="398" t="n">
        <v>6524</v>
      </c>
      <c r="J505" s="398" t="n">
        <v>0</v>
      </c>
      <c r="K505" s="398" t="n">
        <v>4</v>
      </c>
      <c r="L505" s="398" t="n">
        <v>1</v>
      </c>
      <c r="M505" s="398" t="n">
        <v>6524</v>
      </c>
      <c r="N505" s="398" t="n">
        <v>6524</v>
      </c>
      <c r="O505" s="398" t="n">
        <v>6524</v>
      </c>
      <c r="P505" s="292" t="n"/>
      <c r="Q505" s="292" t="inlineStr">
        <is>
          <t>candidate-preflight-passed</t>
        </is>
      </c>
      <c r="R505" s="292" t="str"/>
      <c r="S505" s="292" t="inlineStr">
        <is>
          <t>玄渊二十套全装备代码总表.xlsx</t>
        </is>
      </c>
      <c r="T505" s="292" t="inlineStr">
        <is>
          <t>玄渊20套全装备视觉候选；Items/StateItem/DnItems三库同码；属性待策划填写；OverLap=4; Expand1=1</t>
        </is>
      </c>
      <c r="U505">
        <f>IF(COUNTIF($B$2:$B$1076,B505)&gt;1,"重复","")</f>
        <v/>
      </c>
      <c r="V505">
        <f>IF(AND(OR(M505="",M505=B505),OR(N505="",N505=B505),OR(O505="",O505=B505)),"通过","不一致")</f>
        <v/>
      </c>
    </row>
    <row r="506" ht="22" customHeight="1">
      <c r="A506" s="398" t="n">
        <v>505</v>
      </c>
      <c r="B506" s="398" t="n">
        <v>6525</v>
      </c>
      <c r="C506" s="399" t="inlineStr">
        <is>
          <t>黄金圣树·律法</t>
        </is>
      </c>
      <c r="D506" s="399" t="inlineStr">
        <is>
          <t>黄金圣树</t>
        </is>
      </c>
      <c r="E506" s="399" t="n">
        <v>4</v>
      </c>
      <c r="F506" s="399" t="inlineStr">
        <is>
          <t>生肖2</t>
        </is>
      </c>
      <c r="G506" s="398" t="n">
        <v>22</v>
      </c>
      <c r="H506" s="398" t="n">
        <v>41</v>
      </c>
      <c r="I506" s="398" t="n">
        <v>6525</v>
      </c>
      <c r="J506" s="398" t="n">
        <v>0</v>
      </c>
      <c r="K506" s="398" t="n">
        <v>4</v>
      </c>
      <c r="L506" s="398" t="n">
        <v>2</v>
      </c>
      <c r="M506" s="398" t="n">
        <v>6525</v>
      </c>
      <c r="N506" s="398" t="n">
        <v>6525</v>
      </c>
      <c r="O506" s="398" t="n">
        <v>6525</v>
      </c>
      <c r="P506" s="292" t="n"/>
      <c r="Q506" s="292" t="inlineStr">
        <is>
          <t>candidate-preflight-passed</t>
        </is>
      </c>
      <c r="R506" s="292" t="str"/>
      <c r="S506" s="292" t="inlineStr">
        <is>
          <t>玄渊二十套全装备代码总表.xlsx</t>
        </is>
      </c>
      <c r="T506" s="292" t="inlineStr">
        <is>
          <t>玄渊20套全装备视觉候选；Items/StateItem/DnItems三库同码；属性待策划填写；OverLap=4; Expand1=2</t>
        </is>
      </c>
      <c r="U506">
        <f>IF(COUNTIF($B$2:$B$1076,B506)&gt;1,"重复","")</f>
        <v/>
      </c>
      <c r="V506">
        <f>IF(AND(OR(M506="",M506=B506),OR(N506="",N506=B506),OR(O506="",O506=B506)),"通过","不一致")</f>
        <v/>
      </c>
    </row>
    <row r="507" ht="22" customHeight="1">
      <c r="A507" s="398" t="n">
        <v>506</v>
      </c>
      <c r="B507" s="398" t="n">
        <v>6526</v>
      </c>
      <c r="C507" s="399" t="inlineStr">
        <is>
          <t>黄金圣树·律法</t>
        </is>
      </c>
      <c r="D507" s="399" t="inlineStr">
        <is>
          <t>黄金圣树</t>
        </is>
      </c>
      <c r="E507" s="399" t="n">
        <v>4</v>
      </c>
      <c r="F507" s="399" t="inlineStr">
        <is>
          <t>生肖3</t>
        </is>
      </c>
      <c r="G507" s="398" t="n">
        <v>22</v>
      </c>
      <c r="H507" s="398" t="n">
        <v>42</v>
      </c>
      <c r="I507" s="398" t="n">
        <v>6526</v>
      </c>
      <c r="J507" s="398" t="n">
        <v>0</v>
      </c>
      <c r="K507" s="398" t="n">
        <v>4</v>
      </c>
      <c r="L507" s="398" t="n">
        <v>3</v>
      </c>
      <c r="M507" s="398" t="n">
        <v>6526</v>
      </c>
      <c r="N507" s="398" t="n">
        <v>6526</v>
      </c>
      <c r="O507" s="398" t="n">
        <v>6526</v>
      </c>
      <c r="P507" s="292" t="n"/>
      <c r="Q507" s="292" t="inlineStr">
        <is>
          <t>candidate-preflight-passed</t>
        </is>
      </c>
      <c r="R507" s="292" t="str"/>
      <c r="S507" s="292" t="inlineStr">
        <is>
          <t>玄渊二十套全装备代码总表.xlsx</t>
        </is>
      </c>
      <c r="T507" s="292" t="inlineStr">
        <is>
          <t>玄渊20套全装备视觉候选；Items/StateItem/DnItems三库同码；属性待策划填写；OverLap=4; Expand1=3</t>
        </is>
      </c>
      <c r="U507">
        <f>IF(COUNTIF($B$2:$B$1076,B507)&gt;1,"重复","")</f>
        <v/>
      </c>
      <c r="V507">
        <f>IF(AND(OR(M507="",M507=B507),OR(N507="",N507=B507),OR(O507="",O507=B507)),"通过","不一致")</f>
        <v/>
      </c>
    </row>
    <row r="508" ht="22" customHeight="1">
      <c r="A508" s="398" t="n">
        <v>507</v>
      </c>
      <c r="B508" s="398" t="n">
        <v>6527</v>
      </c>
      <c r="C508" s="399" t="inlineStr">
        <is>
          <t>黄金圣树·律法</t>
        </is>
      </c>
      <c r="D508" s="399" t="inlineStr">
        <is>
          <t>黄金圣树</t>
        </is>
      </c>
      <c r="E508" s="399" t="n">
        <v>4</v>
      </c>
      <c r="F508" s="399" t="inlineStr">
        <is>
          <t>生肖4</t>
        </is>
      </c>
      <c r="G508" s="398" t="n">
        <v>22</v>
      </c>
      <c r="H508" s="398" t="n">
        <v>43</v>
      </c>
      <c r="I508" s="398" t="n">
        <v>6527</v>
      </c>
      <c r="J508" s="398" t="n">
        <v>0</v>
      </c>
      <c r="K508" s="398" t="n">
        <v>4</v>
      </c>
      <c r="L508" s="398" t="n">
        <v>4</v>
      </c>
      <c r="M508" s="398" t="n">
        <v>6527</v>
      </c>
      <c r="N508" s="398" t="n">
        <v>6527</v>
      </c>
      <c r="O508" s="398" t="n">
        <v>6527</v>
      </c>
      <c r="P508" s="292" t="n"/>
      <c r="Q508" s="292" t="inlineStr">
        <is>
          <t>candidate-preflight-passed</t>
        </is>
      </c>
      <c r="R508" s="292" t="str"/>
      <c r="S508" s="292" t="inlineStr">
        <is>
          <t>玄渊二十套全装备代码总表.xlsx</t>
        </is>
      </c>
      <c r="T508" s="292" t="inlineStr">
        <is>
          <t>玄渊20套全装备视觉候选；Items/StateItem/DnItems三库同码；属性待策划填写；OverLap=4; Expand1=4</t>
        </is>
      </c>
      <c r="U508">
        <f>IF(COUNTIF($B$2:$B$1076,B508)&gt;1,"重复","")</f>
        <v/>
      </c>
      <c r="V508">
        <f>IF(AND(OR(M508="",M508=B508),OR(N508="",N508=B508),OR(O508="",O508=B508)),"通过","不一致")</f>
        <v/>
      </c>
    </row>
    <row r="509" ht="22" customHeight="1">
      <c r="A509" s="398" t="n">
        <v>508</v>
      </c>
      <c r="B509" s="398" t="n">
        <v>6528</v>
      </c>
      <c r="C509" s="399" t="inlineStr">
        <is>
          <t>黄金圣树·律法</t>
        </is>
      </c>
      <c r="D509" s="399" t="inlineStr">
        <is>
          <t>黄金圣树</t>
        </is>
      </c>
      <c r="E509" s="399" t="n">
        <v>4</v>
      </c>
      <c r="F509" s="399" t="inlineStr">
        <is>
          <t>生肖5</t>
        </is>
      </c>
      <c r="G509" s="398" t="n">
        <v>22</v>
      </c>
      <c r="H509" s="398" t="n">
        <v>44</v>
      </c>
      <c r="I509" s="398" t="n">
        <v>6528</v>
      </c>
      <c r="J509" s="398" t="n">
        <v>0</v>
      </c>
      <c r="K509" s="398" t="n">
        <v>4</v>
      </c>
      <c r="L509" s="398" t="n">
        <v>5</v>
      </c>
      <c r="M509" s="398" t="n">
        <v>6528</v>
      </c>
      <c r="N509" s="398" t="n">
        <v>6528</v>
      </c>
      <c r="O509" s="398" t="n">
        <v>6528</v>
      </c>
      <c r="P509" s="292" t="n"/>
      <c r="Q509" s="292" t="inlineStr">
        <is>
          <t>candidate-preflight-passed</t>
        </is>
      </c>
      <c r="R509" s="292" t="str"/>
      <c r="S509" s="292" t="inlineStr">
        <is>
          <t>玄渊二十套全装备代码总表.xlsx</t>
        </is>
      </c>
      <c r="T509" s="292" t="inlineStr">
        <is>
          <t>玄渊20套全装备视觉候选；Items/StateItem/DnItems三库同码；属性待策划填写；OverLap=4; Expand1=5</t>
        </is>
      </c>
      <c r="U509">
        <f>IF(COUNTIF($B$2:$B$1076,B509)&gt;1,"重复","")</f>
        <v/>
      </c>
      <c r="V509">
        <f>IF(AND(OR(M509="",M509=B509),OR(N509="",N509=B509),OR(O509="",O509=B509)),"通过","不一致")</f>
        <v/>
      </c>
    </row>
    <row r="510" ht="22" customHeight="1">
      <c r="A510" s="398" t="n">
        <v>509</v>
      </c>
      <c r="B510" s="398" t="n">
        <v>6529</v>
      </c>
      <c r="C510" s="399" t="inlineStr">
        <is>
          <t>黄金圣树·律法</t>
        </is>
      </c>
      <c r="D510" s="399" t="inlineStr">
        <is>
          <t>黄金圣树</t>
        </is>
      </c>
      <c r="E510" s="399" t="n">
        <v>4</v>
      </c>
      <c r="F510" s="399" t="inlineStr">
        <is>
          <t>生肖6</t>
        </is>
      </c>
      <c r="G510" s="398" t="n">
        <v>22</v>
      </c>
      <c r="H510" s="398" t="n">
        <v>45</v>
      </c>
      <c r="I510" s="398" t="n">
        <v>6529</v>
      </c>
      <c r="J510" s="398" t="n">
        <v>0</v>
      </c>
      <c r="K510" s="398" t="n">
        <v>4</v>
      </c>
      <c r="L510" s="398" t="n">
        <v>6</v>
      </c>
      <c r="M510" s="398" t="n">
        <v>6529</v>
      </c>
      <c r="N510" s="398" t="n">
        <v>6529</v>
      </c>
      <c r="O510" s="398" t="n">
        <v>6529</v>
      </c>
      <c r="P510" s="292" t="n"/>
      <c r="Q510" s="292" t="inlineStr">
        <is>
          <t>candidate-preflight-passed</t>
        </is>
      </c>
      <c r="R510" s="292" t="str"/>
      <c r="S510" s="292" t="inlineStr">
        <is>
          <t>玄渊二十套全装备代码总表.xlsx</t>
        </is>
      </c>
      <c r="T510" s="292" t="inlineStr">
        <is>
          <t>玄渊20套全装备视觉候选；Items/StateItem/DnItems三库同码；属性待策划填写；OverLap=4; Expand1=6</t>
        </is>
      </c>
      <c r="U510">
        <f>IF(COUNTIF($B$2:$B$1076,B510)&gt;1,"重复","")</f>
        <v/>
      </c>
      <c r="V510">
        <f>IF(AND(OR(M510="",M510=B510),OR(N510="",N510=B510),OR(O510="",O510=B510)),"通过","不一致")</f>
        <v/>
      </c>
    </row>
    <row r="511" ht="22" customHeight="1">
      <c r="A511" s="398" t="n">
        <v>510</v>
      </c>
      <c r="B511" s="398" t="n">
        <v>6530</v>
      </c>
      <c r="C511" s="399" t="inlineStr">
        <is>
          <t>黄金圣树·律法</t>
        </is>
      </c>
      <c r="D511" s="399" t="inlineStr">
        <is>
          <t>黄金圣树</t>
        </is>
      </c>
      <c r="E511" s="399" t="n">
        <v>4</v>
      </c>
      <c r="F511" s="399" t="inlineStr">
        <is>
          <t>生肖7</t>
        </is>
      </c>
      <c r="G511" s="398" t="n">
        <v>22</v>
      </c>
      <c r="H511" s="398" t="n">
        <v>46</v>
      </c>
      <c r="I511" s="398" t="n">
        <v>6530</v>
      </c>
      <c r="J511" s="398" t="n">
        <v>0</v>
      </c>
      <c r="K511" s="398" t="n">
        <v>4</v>
      </c>
      <c r="L511" s="398" t="n">
        <v>7</v>
      </c>
      <c r="M511" s="398" t="n">
        <v>6530</v>
      </c>
      <c r="N511" s="398" t="n">
        <v>6530</v>
      </c>
      <c r="O511" s="398" t="n">
        <v>6530</v>
      </c>
      <c r="P511" s="292" t="n"/>
      <c r="Q511" s="292" t="inlineStr">
        <is>
          <t>candidate-preflight-passed</t>
        </is>
      </c>
      <c r="R511" s="292" t="str"/>
      <c r="S511" s="292" t="inlineStr">
        <is>
          <t>玄渊二十套全装备代码总表.xlsx</t>
        </is>
      </c>
      <c r="T511" s="292" t="inlineStr">
        <is>
          <t>玄渊20套全装备视觉候选；Items/StateItem/DnItems三库同码；属性待策划填写；OverLap=4; Expand1=7</t>
        </is>
      </c>
      <c r="U511">
        <f>IF(COUNTIF($B$2:$B$1076,B511)&gt;1,"重复","")</f>
        <v/>
      </c>
      <c r="V511">
        <f>IF(AND(OR(M511="",M511=B511),OR(N511="",N511=B511),OR(O511="",O511=B511)),"通过","不一致")</f>
        <v/>
      </c>
    </row>
    <row r="512" ht="22" customHeight="1">
      <c r="A512" s="398" t="n">
        <v>511</v>
      </c>
      <c r="B512" s="398" t="n">
        <v>6531</v>
      </c>
      <c r="C512" s="399" t="inlineStr">
        <is>
          <t>黄金圣树·律法</t>
        </is>
      </c>
      <c r="D512" s="399" t="inlineStr">
        <is>
          <t>黄金圣树</t>
        </is>
      </c>
      <c r="E512" s="399" t="n">
        <v>4</v>
      </c>
      <c r="F512" s="399" t="inlineStr">
        <is>
          <t>生肖8</t>
        </is>
      </c>
      <c r="G512" s="398" t="n">
        <v>22</v>
      </c>
      <c r="H512" s="398" t="n">
        <v>47</v>
      </c>
      <c r="I512" s="398" t="n">
        <v>6531</v>
      </c>
      <c r="J512" s="398" t="n">
        <v>0</v>
      </c>
      <c r="K512" s="398" t="n">
        <v>4</v>
      </c>
      <c r="L512" s="398" t="n">
        <v>8</v>
      </c>
      <c r="M512" s="398" t="n">
        <v>6531</v>
      </c>
      <c r="N512" s="398" t="n">
        <v>6531</v>
      </c>
      <c r="O512" s="398" t="n">
        <v>6531</v>
      </c>
      <c r="P512" s="292" t="n"/>
      <c r="Q512" s="292" t="inlineStr">
        <is>
          <t>candidate-preflight-passed</t>
        </is>
      </c>
      <c r="R512" s="292" t="str"/>
      <c r="S512" s="292" t="inlineStr">
        <is>
          <t>玄渊二十套全装备代码总表.xlsx</t>
        </is>
      </c>
      <c r="T512" s="292" t="inlineStr">
        <is>
          <t>玄渊20套全装备视觉候选；Items/StateItem/DnItems三库同码；属性待策划填写；OverLap=4; Expand1=8</t>
        </is>
      </c>
      <c r="U512">
        <f>IF(COUNTIF($B$2:$B$1076,B512)&gt;1,"重复","")</f>
        <v/>
      </c>
      <c r="V512">
        <f>IF(AND(OR(M512="",M512=B512),OR(N512="",N512=B512),OR(O512="",O512=B512)),"通过","不一致")</f>
        <v/>
      </c>
    </row>
    <row r="513" ht="22" customHeight="1">
      <c r="A513" s="398" t="n">
        <v>512</v>
      </c>
      <c r="B513" s="398" t="n">
        <v>6532</v>
      </c>
      <c r="C513" s="399" t="inlineStr">
        <is>
          <t>黄金圣树·律法</t>
        </is>
      </c>
      <c r="D513" s="399" t="inlineStr">
        <is>
          <t>黄金圣树</t>
        </is>
      </c>
      <c r="E513" s="399" t="n">
        <v>4</v>
      </c>
      <c r="F513" s="399" t="inlineStr">
        <is>
          <t>生肖9</t>
        </is>
      </c>
      <c r="G513" s="398" t="n">
        <v>22</v>
      </c>
      <c r="H513" s="398" t="n">
        <v>48</v>
      </c>
      <c r="I513" s="398" t="n">
        <v>6532</v>
      </c>
      <c r="J513" s="398" t="n">
        <v>0</v>
      </c>
      <c r="K513" s="398" t="n">
        <v>4</v>
      </c>
      <c r="L513" s="398" t="n">
        <v>9</v>
      </c>
      <c r="M513" s="398" t="n">
        <v>6532</v>
      </c>
      <c r="N513" s="398" t="n">
        <v>6532</v>
      </c>
      <c r="O513" s="398" t="n">
        <v>6532</v>
      </c>
      <c r="P513" s="292" t="n"/>
      <c r="Q513" s="292" t="inlineStr">
        <is>
          <t>candidate-preflight-passed</t>
        </is>
      </c>
      <c r="R513" s="292" t="str"/>
      <c r="S513" s="292" t="inlineStr">
        <is>
          <t>玄渊二十套全装备代码总表.xlsx</t>
        </is>
      </c>
      <c r="T513" s="292" t="inlineStr">
        <is>
          <t>玄渊20套全装备视觉候选；Items/StateItem/DnItems三库同码；属性待策划填写；OverLap=4; Expand1=9</t>
        </is>
      </c>
      <c r="U513">
        <f>IF(COUNTIF($B$2:$B$1076,B513)&gt;1,"重复","")</f>
        <v/>
      </c>
      <c r="V513">
        <f>IF(AND(OR(M513="",M513=B513),OR(N513="",N513=B513),OR(O513="",O513=B513)),"通过","不一致")</f>
        <v/>
      </c>
    </row>
    <row r="514" ht="22" customHeight="1">
      <c r="A514" s="398" t="n">
        <v>513</v>
      </c>
      <c r="B514" s="398" t="n">
        <v>6533</v>
      </c>
      <c r="C514" s="399" t="inlineStr">
        <is>
          <t>黄金圣树·律法</t>
        </is>
      </c>
      <c r="D514" s="399" t="inlineStr">
        <is>
          <t>黄金圣树</t>
        </is>
      </c>
      <c r="E514" s="399" t="n">
        <v>4</v>
      </c>
      <c r="F514" s="399" t="inlineStr">
        <is>
          <t>生肖10</t>
        </is>
      </c>
      <c r="G514" s="398" t="n">
        <v>22</v>
      </c>
      <c r="H514" s="398" t="n">
        <v>49</v>
      </c>
      <c r="I514" s="398" t="n">
        <v>6533</v>
      </c>
      <c r="J514" s="398" t="n">
        <v>0</v>
      </c>
      <c r="K514" s="398" t="n">
        <v>4</v>
      </c>
      <c r="L514" s="398" t="n">
        <v>10</v>
      </c>
      <c r="M514" s="398" t="n">
        <v>6533</v>
      </c>
      <c r="N514" s="398" t="n">
        <v>6533</v>
      </c>
      <c r="O514" s="398" t="n">
        <v>6533</v>
      </c>
      <c r="P514" s="292" t="n"/>
      <c r="Q514" s="292" t="inlineStr">
        <is>
          <t>candidate-preflight-passed</t>
        </is>
      </c>
      <c r="R514" s="292" t="str"/>
      <c r="S514" s="292" t="inlineStr">
        <is>
          <t>玄渊二十套全装备代码总表.xlsx</t>
        </is>
      </c>
      <c r="T514" s="292" t="inlineStr">
        <is>
          <t>玄渊20套全装备视觉候选；Items/StateItem/DnItems三库同码；属性待策划填写；OverLap=4; Expand1=10</t>
        </is>
      </c>
      <c r="U514">
        <f>IF(COUNTIF($B$2:$B$1076,B514)&gt;1,"重复","")</f>
        <v/>
      </c>
      <c r="V514">
        <f>IF(AND(OR(M514="",M514=B514),OR(N514="",N514=B514),OR(O514="",O514=B514)),"通过","不一致")</f>
        <v/>
      </c>
    </row>
    <row r="515" ht="22" customHeight="1">
      <c r="A515" s="398" t="n">
        <v>514</v>
      </c>
      <c r="B515" s="398" t="n">
        <v>6534</v>
      </c>
      <c r="C515" s="399" t="inlineStr">
        <is>
          <t>黄金圣树·律法</t>
        </is>
      </c>
      <c r="D515" s="399" t="inlineStr">
        <is>
          <t>黄金圣树</t>
        </is>
      </c>
      <c r="E515" s="399" t="n">
        <v>4</v>
      </c>
      <c r="F515" s="399" t="inlineStr">
        <is>
          <t>生肖11</t>
        </is>
      </c>
      <c r="G515" s="398" t="n">
        <v>22</v>
      </c>
      <c r="H515" s="398" t="n">
        <v>50</v>
      </c>
      <c r="I515" s="398" t="n">
        <v>6534</v>
      </c>
      <c r="J515" s="398" t="n">
        <v>0</v>
      </c>
      <c r="K515" s="398" t="n">
        <v>4</v>
      </c>
      <c r="L515" s="398" t="n">
        <v>11</v>
      </c>
      <c r="M515" s="398" t="n">
        <v>6534</v>
      </c>
      <c r="N515" s="398" t="n">
        <v>6534</v>
      </c>
      <c r="O515" s="398" t="n">
        <v>6534</v>
      </c>
      <c r="P515" s="292" t="n"/>
      <c r="Q515" s="292" t="inlineStr">
        <is>
          <t>candidate-preflight-passed</t>
        </is>
      </c>
      <c r="R515" s="292" t="str"/>
      <c r="S515" s="292" t="inlineStr">
        <is>
          <t>玄渊二十套全装备代码总表.xlsx</t>
        </is>
      </c>
      <c r="T515" s="292" t="inlineStr">
        <is>
          <t>玄渊20套全装备视觉候选；Items/StateItem/DnItems三库同码；属性待策划填写；OverLap=4; Expand1=11</t>
        </is>
      </c>
      <c r="U515">
        <f>IF(COUNTIF($B$2:$B$1076,B515)&gt;1,"重复","")</f>
        <v/>
      </c>
      <c r="V515">
        <f>IF(AND(OR(M515="",M515=B515),OR(N515="",N515=B515),OR(O515="",O515=B515)),"通过","不一致")</f>
        <v/>
      </c>
    </row>
    <row r="516" ht="22" customHeight="1">
      <c r="A516" s="398" t="n">
        <v>515</v>
      </c>
      <c r="B516" s="398" t="n">
        <v>6535</v>
      </c>
      <c r="C516" s="399" t="inlineStr">
        <is>
          <t>黄金圣树·律法</t>
        </is>
      </c>
      <c r="D516" s="399" t="inlineStr">
        <is>
          <t>黄金圣树</t>
        </is>
      </c>
      <c r="E516" s="399" t="n">
        <v>4</v>
      </c>
      <c r="F516" s="399" t="inlineStr">
        <is>
          <t>生肖12</t>
        </is>
      </c>
      <c r="G516" s="398" t="n">
        <v>22</v>
      </c>
      <c r="H516" s="398" t="n">
        <v>51</v>
      </c>
      <c r="I516" s="398" t="n">
        <v>6535</v>
      </c>
      <c r="J516" s="398" t="n">
        <v>0</v>
      </c>
      <c r="K516" s="398" t="n">
        <v>4</v>
      </c>
      <c r="L516" s="398" t="n">
        <v>12</v>
      </c>
      <c r="M516" s="398" t="n">
        <v>6535</v>
      </c>
      <c r="N516" s="398" t="n">
        <v>6535</v>
      </c>
      <c r="O516" s="398" t="n">
        <v>6535</v>
      </c>
      <c r="P516" s="292" t="n"/>
      <c r="Q516" s="292" t="inlineStr">
        <is>
          <t>candidate-preflight-passed</t>
        </is>
      </c>
      <c r="R516" s="292" t="str"/>
      <c r="S516" s="292" t="inlineStr">
        <is>
          <t>玄渊二十套全装备代码总表.xlsx</t>
        </is>
      </c>
      <c r="T516" s="292" t="inlineStr">
        <is>
          <t>玄渊20套全装备视觉候选；Items/StateItem/DnItems三库同码；属性待策划填写；OverLap=4; Expand1=12</t>
        </is>
      </c>
      <c r="U516">
        <f>IF(COUNTIF($B$2:$B$1076,B516)&gt;1,"重复","")</f>
        <v/>
      </c>
      <c r="V516">
        <f>IF(AND(OR(M516="",M516=B516),OR(N516="",N516=B516),OR(O516="",O516=B516)),"通过","不一致")</f>
        <v/>
      </c>
    </row>
    <row r="517" ht="22" customHeight="1">
      <c r="A517" s="398" t="n">
        <v>516</v>
      </c>
      <c r="B517" s="398" t="n">
        <v>6536</v>
      </c>
      <c r="C517" s="399" t="inlineStr">
        <is>
          <t>黄金圣树·永恒</t>
        </is>
      </c>
      <c r="D517" s="399" t="inlineStr">
        <is>
          <t>黄金圣树</t>
        </is>
      </c>
      <c r="E517" s="399" t="n">
        <v>5</v>
      </c>
      <c r="F517" s="399" t="inlineStr">
        <is>
          <t>武器</t>
        </is>
      </c>
      <c r="G517" s="398" t="n">
        <v>5</v>
      </c>
      <c r="H517" s="398" t="n">
        <v>1</v>
      </c>
      <c r="I517" s="398" t="n">
        <v>6536</v>
      </c>
      <c r="J517" s="398" t="n">
        <v>20</v>
      </c>
      <c r="K517" s="398" t="n">
        <v>0</v>
      </c>
      <c r="L517" s="398" t="n">
        <v>0</v>
      </c>
      <c r="M517" s="398" t="n">
        <v>6536</v>
      </c>
      <c r="N517" s="398" t="n">
        <v>6536</v>
      </c>
      <c r="O517" s="398" t="n">
        <v>6536</v>
      </c>
      <c r="P517" s="292" t="inlineStr">
        <is>
          <t>Weapon.wzl/wzx（复用现有真实动作）</t>
        </is>
      </c>
      <c r="Q517" s="292" t="inlineStr">
        <is>
          <t>candidate-preflight-passed</t>
        </is>
      </c>
      <c r="R517" s="324" t="inlineStr">
        <is>
          <t>C3-C10规划锁定：雷戈古戟</t>
        </is>
      </c>
      <c r="S517" s="292" t="inlineStr">
        <is>
          <t>玄渊二十套全装备代码总表.xlsx</t>
        </is>
      </c>
      <c r="T517" s="292" t="inlineStr">
        <is>
          <t>玄渊20套全装备视觉候选；Items/StateItem/DnItems三库同码；属性待策划填写；Weapon Shape=20</t>
        </is>
      </c>
      <c r="U517">
        <f>IF(COUNTIF($B$2:$B$1076,B517)&gt;1,"重复","")</f>
        <v/>
      </c>
      <c r="V517">
        <f>IF(AND(OR(M517="",M517=B517),OR(N517="",N517=B517),OR(O517="",O517=B517)),"通过","不一致")</f>
        <v/>
      </c>
    </row>
    <row r="518" ht="22" customHeight="1">
      <c r="A518" s="398" t="n">
        <v>517</v>
      </c>
      <c r="B518" s="398" t="n">
        <v>6537</v>
      </c>
      <c r="C518" s="399" t="inlineStr">
        <is>
          <t>黄金圣树·永恒</t>
        </is>
      </c>
      <c r="D518" s="399" t="inlineStr">
        <is>
          <t>黄金圣树</t>
        </is>
      </c>
      <c r="E518" s="399" t="n">
        <v>5</v>
      </c>
      <c r="F518" s="399" t="inlineStr">
        <is>
          <t>男衣服</t>
        </is>
      </c>
      <c r="G518" s="398" t="n">
        <v>10</v>
      </c>
      <c r="H518" s="398" t="n">
        <v>0</v>
      </c>
      <c r="I518" s="398" t="n">
        <v>6537</v>
      </c>
      <c r="J518" s="398" t="n">
        <v>5</v>
      </c>
      <c r="K518" s="398" t="n">
        <v>0</v>
      </c>
      <c r="L518" s="398" t="n">
        <v>0</v>
      </c>
      <c r="M518" s="398" t="n">
        <v>6537</v>
      </c>
      <c r="N518" s="398" t="n">
        <v>6537</v>
      </c>
      <c r="O518" s="398" t="n">
        <v>6537</v>
      </c>
      <c r="P518" s="292" t="inlineStr">
        <is>
          <t>Hum.wzl/wzx（复用现有真实动作）</t>
        </is>
      </c>
      <c r="Q518" s="292" t="inlineStr">
        <is>
          <t>candidate-preflight-passed</t>
        </is>
      </c>
      <c r="R518" s="324" t="inlineStr">
        <is>
          <t>C3-C10规划锁定：千军魂衣</t>
        </is>
      </c>
      <c r="S518" s="292" t="inlineStr">
        <is>
          <t>玄渊二十套全装备代码总表.xlsx</t>
        </is>
      </c>
      <c r="T518" s="292" t="inlineStr">
        <is>
          <t>玄渊20套全装备视觉候选；Items/StateItem/DnItems三库同码；属性待策划填写；Hum Shape=5</t>
        </is>
      </c>
      <c r="U518">
        <f>IF(COUNTIF($B$2:$B$1076,B518)&gt;1,"重复","")</f>
        <v/>
      </c>
      <c r="V518">
        <f>IF(AND(OR(M518="",M518=B518),OR(N518="",N518=B518),OR(O518="",O518=B518)),"通过","不一致")</f>
        <v/>
      </c>
    </row>
    <row r="519" ht="22" customHeight="1">
      <c r="A519" s="398" t="n">
        <v>518</v>
      </c>
      <c r="B519" s="398" t="n">
        <v>6538</v>
      </c>
      <c r="C519" s="399" t="inlineStr">
        <is>
          <t>黄金圣树·永恒</t>
        </is>
      </c>
      <c r="D519" s="399" t="inlineStr">
        <is>
          <t>黄金圣树</t>
        </is>
      </c>
      <c r="E519" s="399" t="n">
        <v>5</v>
      </c>
      <c r="F519" s="399" t="inlineStr">
        <is>
          <t>女衣服</t>
        </is>
      </c>
      <c r="G519" s="398" t="n">
        <v>11</v>
      </c>
      <c r="H519" s="398" t="n">
        <v>0</v>
      </c>
      <c r="I519" s="398" t="n">
        <v>6538</v>
      </c>
      <c r="J519" s="398" t="n">
        <v>5</v>
      </c>
      <c r="K519" s="398" t="n">
        <v>0</v>
      </c>
      <c r="L519" s="398" t="n">
        <v>0</v>
      </c>
      <c r="M519" s="398" t="n">
        <v>6538</v>
      </c>
      <c r="N519" s="398" t="n">
        <v>6538</v>
      </c>
      <c r="O519" s="398" t="n">
        <v>6538</v>
      </c>
      <c r="P519" s="292" t="inlineStr">
        <is>
          <t>Hum.wzl/wzx（复用现有真实动作）</t>
        </is>
      </c>
      <c r="Q519" s="292" t="inlineStr">
        <is>
          <t>candidate-preflight-passed</t>
        </is>
      </c>
      <c r="R519" s="292" t="str"/>
      <c r="S519" s="292" t="inlineStr">
        <is>
          <t>玄渊二十套全装备代码总表.xlsx</t>
        </is>
      </c>
      <c r="T519" s="292" t="inlineStr">
        <is>
          <t>玄渊20套全装备视觉候选；Items/StateItem/DnItems三库同码；属性待策划填写；Hum Shape=5</t>
        </is>
      </c>
      <c r="U519">
        <f>IF(COUNTIF($B$2:$B$1076,B519)&gt;1,"重复","")</f>
        <v/>
      </c>
      <c r="V519">
        <f>IF(AND(OR(M519="",M519=B519),OR(N519="",N519=B519),OR(O519="",O519=B519)),"通过","不一致")</f>
        <v/>
      </c>
    </row>
    <row r="520" ht="22" customHeight="1">
      <c r="A520" s="398" t="n">
        <v>519</v>
      </c>
      <c r="B520" s="398" t="n">
        <v>6539</v>
      </c>
      <c r="C520" s="399" t="inlineStr">
        <is>
          <t>黄金圣树·永恒</t>
        </is>
      </c>
      <c r="D520" s="399" t="inlineStr">
        <is>
          <t>黄金圣树</t>
        </is>
      </c>
      <c r="E520" s="399" t="n">
        <v>5</v>
      </c>
      <c r="F520" s="399" t="inlineStr">
        <is>
          <t>头盔</t>
        </is>
      </c>
      <c r="G520" s="398" t="n">
        <v>15</v>
      </c>
      <c r="H520" s="398" t="n">
        <v>4</v>
      </c>
      <c r="I520" s="398" t="n">
        <v>6539</v>
      </c>
      <c r="J520" s="398" t="n">
        <v>0</v>
      </c>
      <c r="K520" s="398" t="n">
        <v>0</v>
      </c>
      <c r="L520" s="398" t="n">
        <v>0</v>
      </c>
      <c r="M520" s="398" t="n">
        <v>6539</v>
      </c>
      <c r="N520" s="398" t="n">
        <v>6539</v>
      </c>
      <c r="O520" s="398" t="n">
        <v>6539</v>
      </c>
      <c r="P520" s="292" t="n"/>
      <c r="Q520" s="292" t="inlineStr">
        <is>
          <t>candidate-preflight-passed</t>
        </is>
      </c>
      <c r="R520" s="324" t="inlineStr">
        <is>
          <t>C3-C10规划锁定：霆崖祭冠</t>
        </is>
      </c>
      <c r="S520" s="292" t="inlineStr">
        <is>
          <t>玄渊二十套全装备代码总表.xlsx</t>
        </is>
      </c>
      <c r="T520" s="292" t="inlineStr">
        <is>
          <t>玄渊20套全装备视觉候选；Items/StateItem/DnItems三库同码；属性待策划填写</t>
        </is>
      </c>
      <c r="U520">
        <f>IF(COUNTIF($B$2:$B$1076,B520)&gt;1,"重复","")</f>
        <v/>
      </c>
      <c r="V520">
        <f>IF(AND(OR(M520="",M520=B520),OR(N520="",N520=B520),OR(O520="",O520=B520)),"通过","不一致")</f>
        <v/>
      </c>
    </row>
    <row r="521" ht="22" customHeight="1">
      <c r="A521" s="398" t="n">
        <v>520</v>
      </c>
      <c r="B521" s="398" t="n">
        <v>6540</v>
      </c>
      <c r="C521" s="399" t="inlineStr">
        <is>
          <t>黄金圣树·永恒</t>
        </is>
      </c>
      <c r="D521" s="399" t="inlineStr">
        <is>
          <t>黄金圣树</t>
        </is>
      </c>
      <c r="E521" s="399" t="n">
        <v>5</v>
      </c>
      <c r="F521" s="399" t="inlineStr">
        <is>
          <t>面巾</t>
        </is>
      </c>
      <c r="G521" s="398" t="n">
        <v>16</v>
      </c>
      <c r="H521" s="398" t="n">
        <v>13</v>
      </c>
      <c r="I521" s="398" t="n">
        <v>6540</v>
      </c>
      <c r="J521" s="398" t="n">
        <v>0</v>
      </c>
      <c r="K521" s="398" t="n">
        <v>0</v>
      </c>
      <c r="L521" s="398" t="n">
        <v>0</v>
      </c>
      <c r="M521" s="398" t="n">
        <v>6540</v>
      </c>
      <c r="N521" s="398" t="n">
        <v>6540</v>
      </c>
      <c r="O521" s="398" t="n">
        <v>6540</v>
      </c>
      <c r="P521" s="292" t="n"/>
      <c r="Q521" s="292" t="inlineStr">
        <is>
          <t>candidate-preflight-passed</t>
        </is>
      </c>
      <c r="R521" s="324" t="inlineStr">
        <is>
          <t>C3-C10规划锁定：白鳍浪客笠</t>
        </is>
      </c>
      <c r="S521" s="292" t="inlineStr">
        <is>
          <t>玄渊二十套全装备代码总表.xlsx</t>
        </is>
      </c>
      <c r="T521" s="292" t="inlineStr">
        <is>
          <t>玄渊20套全装备视觉候选；Items/StateItem/DnItems三库同码；属性待策划填写</t>
        </is>
      </c>
      <c r="U521">
        <f>IF(COUNTIF($B$2:$B$1076,B521)&gt;1,"重复","")</f>
        <v/>
      </c>
      <c r="V521">
        <f>IF(AND(OR(M521="",M521=B521),OR(N521="",N521=B521),OR(O521="",O521=B521)),"通过","不一致")</f>
        <v/>
      </c>
    </row>
    <row r="522" ht="22" customHeight="1">
      <c r="A522" s="398" t="n">
        <v>521</v>
      </c>
      <c r="B522" s="398" t="n">
        <v>6541</v>
      </c>
      <c r="C522" s="399" t="inlineStr">
        <is>
          <t>黄金圣树·永恒</t>
        </is>
      </c>
      <c r="D522" s="399" t="inlineStr">
        <is>
          <t>黄金圣树</t>
        </is>
      </c>
      <c r="E522" s="399" t="n">
        <v>5</v>
      </c>
      <c r="F522" s="399" t="inlineStr">
        <is>
          <t>项链</t>
        </is>
      </c>
      <c r="G522" s="398" t="n">
        <v>19</v>
      </c>
      <c r="H522" s="398" t="n">
        <v>3</v>
      </c>
      <c r="I522" s="398" t="n">
        <v>6541</v>
      </c>
      <c r="J522" s="398" t="n">
        <v>0</v>
      </c>
      <c r="K522" s="398" t="n">
        <v>0</v>
      </c>
      <c r="L522" s="398" t="n">
        <v>0</v>
      </c>
      <c r="M522" s="398" t="n">
        <v>6541</v>
      </c>
      <c r="N522" s="398" t="n">
        <v>6541</v>
      </c>
      <c r="O522" s="398" t="n">
        <v>6541</v>
      </c>
      <c r="P522" s="292" t="n"/>
      <c r="Q522" s="292" t="inlineStr">
        <is>
          <t>candidate-preflight-passed</t>
        </is>
      </c>
      <c r="R522" s="324" t="inlineStr">
        <is>
          <t>C3-C10规划锁定：海崖祷链</t>
        </is>
      </c>
      <c r="S522" s="292" t="inlineStr">
        <is>
          <t>玄渊二十套全装备代码总表.xlsx</t>
        </is>
      </c>
      <c r="T522" s="292" t="inlineStr">
        <is>
          <t>玄渊20套全装备视觉候选；Items/StateItem/DnItems三库同码；属性待策划填写</t>
        </is>
      </c>
      <c r="U522">
        <f>IF(COUNTIF($B$2:$B$1076,B522)&gt;1,"重复","")</f>
        <v/>
      </c>
      <c r="V522">
        <f>IF(AND(OR(M522="",M522=B522),OR(N522="",N522=B522),OR(O522="",O522=B522)),"通过","不一致")</f>
        <v/>
      </c>
    </row>
    <row r="523" ht="22" customHeight="1">
      <c r="A523" s="398" t="n">
        <v>522</v>
      </c>
      <c r="B523" s="398" t="n">
        <v>6542</v>
      </c>
      <c r="C523" s="399" t="inlineStr">
        <is>
          <t>黄金圣树·永恒</t>
        </is>
      </c>
      <c r="D523" s="399" t="inlineStr">
        <is>
          <t>黄金圣树</t>
        </is>
      </c>
      <c r="E523" s="399" t="n">
        <v>5</v>
      </c>
      <c r="F523" s="399" t="inlineStr">
        <is>
          <t>手镯</t>
        </is>
      </c>
      <c r="G523" s="398" t="n">
        <v>26</v>
      </c>
      <c r="H523" s="398" t="n">
        <v>5</v>
      </c>
      <c r="I523" s="398" t="n">
        <v>6542</v>
      </c>
      <c r="J523" s="398" t="n">
        <v>0</v>
      </c>
      <c r="K523" s="398" t="n">
        <v>0</v>
      </c>
      <c r="L523" s="398" t="n">
        <v>0</v>
      </c>
      <c r="M523" s="398" t="n">
        <v>6542</v>
      </c>
      <c r="N523" s="398" t="n">
        <v>6542</v>
      </c>
      <c r="O523" s="398" t="n">
        <v>6542</v>
      </c>
      <c r="P523" s="292" t="n"/>
      <c r="Q523" s="292" t="inlineStr">
        <is>
          <t>candidate-preflight-passed</t>
        </is>
      </c>
      <c r="R523" s="324" t="inlineStr">
        <is>
          <t>C3-C10规划锁定：百战腕甲</t>
        </is>
      </c>
      <c r="S523" s="292" t="inlineStr">
        <is>
          <t>玄渊二十套全装备代码总表.xlsx</t>
        </is>
      </c>
      <c r="T523" s="292" t="inlineStr">
        <is>
          <t>玄渊20套全装备视觉候选；Items/StateItem/DnItems三库同码；属性待策划填写</t>
        </is>
      </c>
      <c r="U523">
        <f>IF(COUNTIF($B$2:$B$1076,B523)&gt;1,"重复","")</f>
        <v/>
      </c>
      <c r="V523">
        <f>IF(AND(OR(M523="",M523=B523),OR(N523="",N523=B523),OR(O523="",O523=B523)),"通过","不一致")</f>
        <v/>
      </c>
    </row>
    <row r="524" ht="22" customHeight="1">
      <c r="A524" s="398" t="n">
        <v>523</v>
      </c>
      <c r="B524" s="398" t="n">
        <v>6543</v>
      </c>
      <c r="C524" s="399" t="inlineStr">
        <is>
          <t>黄金圣树·永恒</t>
        </is>
      </c>
      <c r="D524" s="399" t="inlineStr">
        <is>
          <t>黄金圣树</t>
        </is>
      </c>
      <c r="E524" s="399" t="n">
        <v>5</v>
      </c>
      <c r="F524" s="399" t="inlineStr">
        <is>
          <t>戒指</t>
        </is>
      </c>
      <c r="G524" s="398" t="n">
        <v>22</v>
      </c>
      <c r="H524" s="398" t="n">
        <v>7</v>
      </c>
      <c r="I524" s="398" t="n">
        <v>6543</v>
      </c>
      <c r="J524" s="398" t="n">
        <v>0</v>
      </c>
      <c r="K524" s="398" t="n">
        <v>0</v>
      </c>
      <c r="L524" s="398" t="n">
        <v>0</v>
      </c>
      <c r="M524" s="398" t="n">
        <v>6543</v>
      </c>
      <c r="N524" s="398" t="n">
        <v>6543</v>
      </c>
      <c r="O524" s="398" t="n">
        <v>6543</v>
      </c>
      <c r="P524" s="292" t="n"/>
      <c r="Q524" s="292" t="inlineStr">
        <is>
          <t>candidate-preflight-passed</t>
        </is>
      </c>
      <c r="R524" s="324" t="inlineStr">
        <is>
          <t>C3-C10规划锁定：营火牙戒</t>
        </is>
      </c>
      <c r="S524" s="292" t="inlineStr">
        <is>
          <t>玄渊二十套全装备代码总表.xlsx</t>
        </is>
      </c>
      <c r="T524" s="292" t="inlineStr">
        <is>
          <t>玄渊20套全装备视觉候选；Items/StateItem/DnItems三库同码；属性待策划填写</t>
        </is>
      </c>
      <c r="U524">
        <f>IF(COUNTIF($B$2:$B$1076,B524)&gt;1,"重复","")</f>
        <v/>
      </c>
      <c r="V524">
        <f>IF(AND(OR(M524="",M524=B524),OR(N524="",N524=B524),OR(O524="",O524=B524)),"通过","不一致")</f>
        <v/>
      </c>
    </row>
    <row r="525" ht="22" customHeight="1">
      <c r="A525" s="398" t="n">
        <v>524</v>
      </c>
      <c r="B525" s="398" t="n">
        <v>6544</v>
      </c>
      <c r="C525" s="399" t="inlineStr">
        <is>
          <t>黄金圣树·永恒</t>
        </is>
      </c>
      <c r="D525" s="399" t="inlineStr">
        <is>
          <t>黄金圣树</t>
        </is>
      </c>
      <c r="E525" s="399" t="n">
        <v>5</v>
      </c>
      <c r="F525" s="399" t="inlineStr">
        <is>
          <t>勋章</t>
        </is>
      </c>
      <c r="G525" s="398" t="n">
        <v>30</v>
      </c>
      <c r="H525" s="398" t="n">
        <v>2</v>
      </c>
      <c r="I525" s="398" t="n">
        <v>6544</v>
      </c>
      <c r="J525" s="398" t="n">
        <v>0</v>
      </c>
      <c r="K525" s="398" t="n">
        <v>0</v>
      </c>
      <c r="L525" s="398" t="n">
        <v>0</v>
      </c>
      <c r="M525" s="398" t="n">
        <v>6544</v>
      </c>
      <c r="N525" s="398" t="n">
        <v>6544</v>
      </c>
      <c r="O525" s="398" t="n">
        <v>6544</v>
      </c>
      <c r="P525" s="292" t="n"/>
      <c r="Q525" s="292" t="inlineStr">
        <is>
          <t>candidate-preflight-passed</t>
        </is>
      </c>
      <c r="R525" s="324" t="inlineStr">
        <is>
          <t>C3-C10规划锁定：无首号角</t>
        </is>
      </c>
      <c r="S525" s="292" t="inlineStr">
        <is>
          <t>玄渊二十套全装备代码总表.xlsx</t>
        </is>
      </c>
      <c r="T525" s="292" t="inlineStr">
        <is>
          <t>玄渊20套全装备视觉候选；Items/StateItem/DnItems三库同码；属性待策划填写</t>
        </is>
      </c>
      <c r="U525">
        <f>IF(COUNTIF($B$2:$B$1076,B525)&gt;1,"重复","")</f>
        <v/>
      </c>
      <c r="V525">
        <f>IF(AND(OR(M525="",M525=B525),OR(N525="",N525=B525),OR(O525="",O525=B525)),"通过","不一致")</f>
        <v/>
      </c>
    </row>
    <row r="526" ht="22" customHeight="1">
      <c r="A526" s="398" t="n">
        <v>525</v>
      </c>
      <c r="B526" s="398" t="n">
        <v>6545</v>
      </c>
      <c r="C526" s="399" t="inlineStr">
        <is>
          <t>黄金圣树·永恒</t>
        </is>
      </c>
      <c r="D526" s="399" t="inlineStr">
        <is>
          <t>黄金圣树</t>
        </is>
      </c>
      <c r="E526" s="399" t="n">
        <v>5</v>
      </c>
      <c r="F526" s="399" t="inlineStr">
        <is>
          <t>盾牌</t>
        </is>
      </c>
      <c r="G526" s="398" t="n">
        <v>12</v>
      </c>
      <c r="H526" s="398" t="n">
        <v>16</v>
      </c>
      <c r="I526" s="398" t="n">
        <v>6545</v>
      </c>
      <c r="J526" s="398" t="n">
        <v>0</v>
      </c>
      <c r="K526" s="398" t="n">
        <v>0</v>
      </c>
      <c r="L526" s="398" t="n">
        <v>0</v>
      </c>
      <c r="M526" s="398" t="n">
        <v>6545</v>
      </c>
      <c r="N526" s="398" t="n">
        <v>6545</v>
      </c>
      <c r="O526" s="398" t="n">
        <v>6545</v>
      </c>
      <c r="P526" s="292" t="n"/>
      <c r="Q526" s="292" t="inlineStr">
        <is>
          <t>candidate-preflight-passed</t>
        </is>
      </c>
      <c r="R526" s="324" t="inlineStr">
        <is>
          <t>C3-C10规划锁定：边境塔盾</t>
        </is>
      </c>
      <c r="S526" s="292" t="inlineStr">
        <is>
          <t>玄渊二十套全装备代码总表.xlsx</t>
        </is>
      </c>
      <c r="T526" s="292" t="inlineStr">
        <is>
          <t>玄渊20套全装备视觉候选；Items/StateItem/DnItems三库同码；属性待策划填写</t>
        </is>
      </c>
      <c r="U526">
        <f>IF(COUNTIF($B$2:$B$1076,B526)&gt;1,"重复","")</f>
        <v/>
      </c>
      <c r="V526">
        <f>IF(AND(OR(M526="",M526=B526),OR(N526="",N526=B526),OR(O526="",O526=B526)),"通过","不一致")</f>
        <v/>
      </c>
    </row>
    <row r="527" ht="22" customHeight="1">
      <c r="A527" s="398" t="n">
        <v>526</v>
      </c>
      <c r="B527" s="398" t="n">
        <v>6546</v>
      </c>
      <c r="C527" s="399" t="inlineStr">
        <is>
          <t>黄金圣树·永恒</t>
        </is>
      </c>
      <c r="D527" s="399" t="inlineStr">
        <is>
          <t>黄金圣树</t>
        </is>
      </c>
      <c r="E527" s="399" t="n">
        <v>5</v>
      </c>
      <c r="F527" s="399" t="inlineStr">
        <is>
          <t>灵玉</t>
        </is>
      </c>
      <c r="G527" s="398" t="n">
        <v>90</v>
      </c>
      <c r="H527" s="398" t="n">
        <v>17</v>
      </c>
      <c r="I527" s="398" t="n">
        <v>6546</v>
      </c>
      <c r="J527" s="398" t="n">
        <v>0</v>
      </c>
      <c r="K527" s="398" t="n">
        <v>0</v>
      </c>
      <c r="L527" s="398" t="n">
        <v>0</v>
      </c>
      <c r="M527" s="398" t="n">
        <v>6546</v>
      </c>
      <c r="N527" s="398" t="n">
        <v>6546</v>
      </c>
      <c r="O527" s="398" t="n">
        <v>6546</v>
      </c>
      <c r="P527" s="292" t="n"/>
      <c r="Q527" s="292" t="inlineStr">
        <is>
          <t>candidate-preflight-passed</t>
        </is>
      </c>
      <c r="R527" s="292" t="str"/>
      <c r="S527" s="292" t="inlineStr">
        <is>
          <t>玄渊二十套全装备代码总表.xlsx</t>
        </is>
      </c>
      <c r="T527" s="292" t="inlineStr">
        <is>
          <t>玄渊20套全装备视觉候选；Items/StateItem/DnItems三库同码；属性待策划填写</t>
        </is>
      </c>
      <c r="U527">
        <f>IF(COUNTIF($B$2:$B$1076,B527)&gt;1,"重复","")</f>
        <v/>
      </c>
      <c r="V527">
        <f>IF(AND(OR(M527="",M527=B527),OR(N527="",N527=B527),OR(O527="",O527=B527)),"通过","不一致")</f>
        <v/>
      </c>
    </row>
    <row r="528" ht="22" customHeight="1">
      <c r="A528" s="398" t="n">
        <v>527</v>
      </c>
      <c r="B528" s="398" t="n">
        <v>6547</v>
      </c>
      <c r="C528" s="399" t="inlineStr">
        <is>
          <t>黄金圣树·永恒</t>
        </is>
      </c>
      <c r="D528" s="399" t="inlineStr">
        <is>
          <t>黄金圣树</t>
        </is>
      </c>
      <c r="E528" s="399" t="n">
        <v>5</v>
      </c>
      <c r="F528" s="399" t="inlineStr">
        <is>
          <t>鞋子</t>
        </is>
      </c>
      <c r="G528" s="398" t="n">
        <v>62</v>
      </c>
      <c r="H528" s="398" t="n">
        <v>11</v>
      </c>
      <c r="I528" s="398" t="n">
        <v>6547</v>
      </c>
      <c r="J528" s="398" t="n">
        <v>0</v>
      </c>
      <c r="K528" s="398" t="n">
        <v>0</v>
      </c>
      <c r="L528" s="398" t="n">
        <v>0</v>
      </c>
      <c r="M528" s="398" t="n">
        <v>6547</v>
      </c>
      <c r="N528" s="398" t="n">
        <v>6547</v>
      </c>
      <c r="O528" s="398" t="n">
        <v>6547</v>
      </c>
      <c r="P528" s="292" t="n"/>
      <c r="Q528" s="292" t="inlineStr">
        <is>
          <t>candidate-preflight-passed</t>
        </is>
      </c>
      <c r="R528" s="324" t="inlineStr">
        <is>
          <t>C3-C10规划锁定：英灵马靴</t>
        </is>
      </c>
      <c r="S528" s="292" t="inlineStr">
        <is>
          <t>玄渊二十套全装备代码总表.xlsx</t>
        </is>
      </c>
      <c r="T528" s="292" t="inlineStr">
        <is>
          <t>玄渊20套全装备视觉候选；Items/StateItem/DnItems三库同码；属性待策划填写</t>
        </is>
      </c>
      <c r="U528">
        <f>IF(COUNTIF($B$2:$B$1076,B528)&gt;1,"重复","")</f>
        <v/>
      </c>
      <c r="V528">
        <f>IF(AND(OR(M528="",M528=B528),OR(N528="",N528=B528),OR(O528="",O528=B528)),"通过","不一致")</f>
        <v/>
      </c>
    </row>
    <row r="529" ht="22" customHeight="1">
      <c r="A529" s="398" t="n">
        <v>528</v>
      </c>
      <c r="B529" s="398" t="n">
        <v>6548</v>
      </c>
      <c r="C529" s="399" t="inlineStr">
        <is>
          <t>黄金圣树·永恒</t>
        </is>
      </c>
      <c r="D529" s="399" t="inlineStr">
        <is>
          <t>黄金圣树</t>
        </is>
      </c>
      <c r="E529" s="399" t="n">
        <v>5</v>
      </c>
      <c r="F529" s="399" t="inlineStr">
        <is>
          <t>腰带</t>
        </is>
      </c>
      <c r="G529" s="398" t="n">
        <v>64</v>
      </c>
      <c r="H529" s="398" t="n">
        <v>10</v>
      </c>
      <c r="I529" s="398" t="n">
        <v>6548</v>
      </c>
      <c r="J529" s="398" t="n">
        <v>0</v>
      </c>
      <c r="K529" s="398" t="n">
        <v>0</v>
      </c>
      <c r="L529" s="398" t="n">
        <v>0</v>
      </c>
      <c r="M529" s="398" t="n">
        <v>6548</v>
      </c>
      <c r="N529" s="398" t="n">
        <v>6548</v>
      </c>
      <c r="O529" s="398" t="n">
        <v>6548</v>
      </c>
      <c r="P529" s="292" t="n"/>
      <c r="Q529" s="292" t="inlineStr">
        <is>
          <t>candidate-preflight-passed</t>
        </is>
      </c>
      <c r="R529" s="324" t="inlineStr">
        <is>
          <t>C3-C10规划锁定：铜门束带</t>
        </is>
      </c>
      <c r="S529" s="292" t="inlineStr">
        <is>
          <t>玄渊二十套全装备代码总表.xlsx</t>
        </is>
      </c>
      <c r="T529" s="292" t="inlineStr">
        <is>
          <t>玄渊20套全装备视觉候选；Items/StateItem/DnItems三库同码；属性待策划填写</t>
        </is>
      </c>
      <c r="U529">
        <f>IF(COUNTIF($B$2:$B$1076,B529)&gt;1,"重复","")</f>
        <v/>
      </c>
      <c r="V529">
        <f>IF(AND(OR(M529="",M529=B529),OR(N529="",N529=B529),OR(O529="",O529=B529)),"通过","不一致")</f>
        <v/>
      </c>
    </row>
    <row r="530" ht="22" customHeight="1">
      <c r="A530" s="398" t="n">
        <v>529</v>
      </c>
      <c r="B530" s="398" t="n">
        <v>6549</v>
      </c>
      <c r="C530" s="399" t="inlineStr">
        <is>
          <t>黄金圣树·永恒</t>
        </is>
      </c>
      <c r="D530" s="399" t="inlineStr">
        <is>
          <t>黄金圣树</t>
        </is>
      </c>
      <c r="E530" s="399" t="n">
        <v>5</v>
      </c>
      <c r="F530" s="399" t="inlineStr">
        <is>
          <t>护身符</t>
        </is>
      </c>
      <c r="G530" s="398" t="n">
        <v>25</v>
      </c>
      <c r="H530" s="398" t="n">
        <v>9</v>
      </c>
      <c r="I530" s="398" t="n">
        <v>6549</v>
      </c>
      <c r="J530" s="398" t="n">
        <v>0</v>
      </c>
      <c r="K530" s="398" t="n">
        <v>0</v>
      </c>
      <c r="L530" s="398" t="n">
        <v>0</v>
      </c>
      <c r="M530" s="398" t="n">
        <v>6549</v>
      </c>
      <c r="N530" s="398" t="n">
        <v>6549</v>
      </c>
      <c r="O530" s="398" t="n">
        <v>6549</v>
      </c>
      <c r="P530" s="292" t="n"/>
      <c r="Q530" s="292" t="inlineStr">
        <is>
          <t>candidate-preflight-passed</t>
        </is>
      </c>
      <c r="R530" s="292" t="str"/>
      <c r="S530" s="292" t="inlineStr">
        <is>
          <t>玄渊二十套全装备代码总表.xlsx</t>
        </is>
      </c>
      <c r="T530" s="292" t="inlineStr">
        <is>
          <t>玄渊20套全装备视觉候选；Items/StateItem/DnItems三库同码；属性待策划填写</t>
        </is>
      </c>
      <c r="U530">
        <f>IF(COUNTIF($B$2:$B$1076,B530)&gt;1,"重复","")</f>
        <v/>
      </c>
      <c r="V530">
        <f>IF(AND(OR(M530="",M530=B530),OR(N530="",N530=B530),OR(O530="",O530=B530)),"通过","不一致")</f>
        <v/>
      </c>
    </row>
    <row r="531" ht="22" customHeight="1">
      <c r="A531" s="398" t="n">
        <v>530</v>
      </c>
      <c r="B531" s="398" t="n">
        <v>6550</v>
      </c>
      <c r="C531" s="399" t="inlineStr">
        <is>
          <t>黄金圣树·永恒</t>
        </is>
      </c>
      <c r="D531" s="399" t="inlineStr">
        <is>
          <t>黄金圣树</t>
        </is>
      </c>
      <c r="E531" s="399" t="n">
        <v>5</v>
      </c>
      <c r="F531" s="399" t="inlineStr">
        <is>
          <t>宝石</t>
        </is>
      </c>
      <c r="G531" s="398" t="n">
        <v>63</v>
      </c>
      <c r="H531" s="398" t="n">
        <v>12</v>
      </c>
      <c r="I531" s="398" t="n">
        <v>6550</v>
      </c>
      <c r="J531" s="398" t="n">
        <v>0</v>
      </c>
      <c r="K531" s="398" t="n">
        <v>0</v>
      </c>
      <c r="L531" s="398" t="n">
        <v>0</v>
      </c>
      <c r="M531" s="398" t="n">
        <v>6550</v>
      </c>
      <c r="N531" s="398" t="n">
        <v>6550</v>
      </c>
      <c r="O531" s="398" t="n">
        <v>6550</v>
      </c>
      <c r="P531" s="292" t="n"/>
      <c r="Q531" s="292" t="inlineStr">
        <is>
          <t>candidate-preflight-passed</t>
        </is>
      </c>
      <c r="R531" s="292" t="str"/>
      <c r="S531" s="292" t="inlineStr">
        <is>
          <t>玄渊二十套全装备代码总表.xlsx</t>
        </is>
      </c>
      <c r="T531" s="292" t="inlineStr">
        <is>
          <t>玄渊20套全装备视觉候选；Items/StateItem/DnItems三库同码；属性待策划填写</t>
        </is>
      </c>
      <c r="U531">
        <f>IF(COUNTIF($B$2:$B$1076,B531)&gt;1,"重复","")</f>
        <v/>
      </c>
      <c r="V531">
        <f>IF(AND(OR(M531="",M531=B531),OR(N531="",N531=B531),OR(O531="",O531=B531)),"通过","不一致")</f>
        <v/>
      </c>
    </row>
    <row r="532" ht="22" customHeight="1">
      <c r="A532" s="398" t="n">
        <v>531</v>
      </c>
      <c r="B532" s="398" t="n">
        <v>6551</v>
      </c>
      <c r="C532" s="399" t="inlineStr">
        <is>
          <t>黄金圣树·永恒</t>
        </is>
      </c>
      <c r="D532" s="399" t="inlineStr">
        <is>
          <t>黄金圣树</t>
        </is>
      </c>
      <c r="E532" s="399" t="n">
        <v>5</v>
      </c>
      <c r="F532" s="399" t="inlineStr">
        <is>
          <t>军鼓</t>
        </is>
      </c>
      <c r="G532" s="398" t="n">
        <v>65</v>
      </c>
      <c r="H532" s="398" t="n">
        <v>14</v>
      </c>
      <c r="I532" s="398" t="n">
        <v>6551</v>
      </c>
      <c r="J532" s="398" t="n">
        <v>0</v>
      </c>
      <c r="K532" s="398" t="n">
        <v>0</v>
      </c>
      <c r="L532" s="398" t="n">
        <v>0</v>
      </c>
      <c r="M532" s="398" t="n">
        <v>6551</v>
      </c>
      <c r="N532" s="398" t="n">
        <v>6551</v>
      </c>
      <c r="O532" s="398" t="n">
        <v>6551</v>
      </c>
      <c r="P532" s="292" t="n"/>
      <c r="Q532" s="292" t="inlineStr">
        <is>
          <t>candidate-preflight-passed</t>
        </is>
      </c>
      <c r="R532" s="292" t="str"/>
      <c r="S532" s="292" t="inlineStr">
        <is>
          <t>玄渊二十套全装备代码总表.xlsx</t>
        </is>
      </c>
      <c r="T532" s="292" t="inlineStr">
        <is>
          <t>玄渊20套全装备视觉候选；Items/StateItem/DnItems三库同码；属性待策划填写</t>
        </is>
      </c>
      <c r="U532">
        <f>IF(COUNTIF($B$2:$B$1076,B532)&gt;1,"重复","")</f>
        <v/>
      </c>
      <c r="V532">
        <f>IF(AND(OR(M532="",M532=B532),OR(N532="",N532=B532),OR(O532="",O532=B532)),"通过","不一致")</f>
        <v/>
      </c>
    </row>
    <row r="533" ht="22" customHeight="1">
      <c r="A533" s="398" t="n">
        <v>532</v>
      </c>
      <c r="B533" s="398" t="n">
        <v>6552</v>
      </c>
      <c r="C533" s="399" t="inlineStr">
        <is>
          <t>黄金圣树·永恒</t>
        </is>
      </c>
      <c r="D533" s="399" t="inlineStr">
        <is>
          <t>黄金圣树</t>
        </is>
      </c>
      <c r="E533" s="399" t="n">
        <v>5</v>
      </c>
      <c r="F533" s="399" t="inlineStr">
        <is>
          <t>马牌</t>
        </is>
      </c>
      <c r="G533" s="398" t="n">
        <v>28</v>
      </c>
      <c r="H533" s="398" t="n">
        <v>15</v>
      </c>
      <c r="I533" s="398" t="n">
        <v>6552</v>
      </c>
      <c r="J533" s="398" t="n">
        <v>0</v>
      </c>
      <c r="K533" s="398" t="n">
        <v>0</v>
      </c>
      <c r="L533" s="398" t="n">
        <v>0</v>
      </c>
      <c r="M533" s="398" t="n">
        <v>6552</v>
      </c>
      <c r="N533" s="398" t="n">
        <v>6552</v>
      </c>
      <c r="O533" s="398" t="n">
        <v>6552</v>
      </c>
      <c r="P533" s="292" t="n"/>
      <c r="Q533" s="292" t="inlineStr">
        <is>
          <t>candidate-preflight-passed</t>
        </is>
      </c>
      <c r="R533" s="292" t="str"/>
      <c r="S533" s="292" t="inlineStr">
        <is>
          <t>玄渊二十套全装备代码总表.xlsx</t>
        </is>
      </c>
      <c r="T533" s="292" t="inlineStr">
        <is>
          <t>玄渊20套全装备视觉候选；Items/StateItem/DnItems三库同码；属性待策划填写</t>
        </is>
      </c>
      <c r="U533">
        <f>IF(COUNTIF($B$2:$B$1076,B533)&gt;1,"重复","")</f>
        <v/>
      </c>
      <c r="V533">
        <f>IF(AND(OR(M533="",M533=B533),OR(N533="",N533=B533),OR(O533="",O533=B533)),"通过","不一致")</f>
        <v/>
      </c>
    </row>
    <row r="534" ht="22" customHeight="1">
      <c r="A534" s="398" t="n">
        <v>533</v>
      </c>
      <c r="B534" s="398" t="n">
        <v>6553</v>
      </c>
      <c r="C534" s="399" t="inlineStr">
        <is>
          <t>黄金圣树·永恒</t>
        </is>
      </c>
      <c r="D534" s="399" t="inlineStr">
        <is>
          <t>黄金圣树</t>
        </is>
      </c>
      <c r="E534" s="399" t="n">
        <v>5</v>
      </c>
      <c r="F534" s="399" t="inlineStr">
        <is>
          <t>首饰盒1</t>
        </is>
      </c>
      <c r="G534" s="398" t="n">
        <v>22</v>
      </c>
      <c r="H534" s="398" t="n">
        <v>30</v>
      </c>
      <c r="I534" s="398" t="n">
        <v>6553</v>
      </c>
      <c r="J534" s="398" t="n">
        <v>0</v>
      </c>
      <c r="K534" s="398" t="n">
        <v>2</v>
      </c>
      <c r="L534" s="398" t="n">
        <v>1</v>
      </c>
      <c r="M534" s="398" t="n">
        <v>6553</v>
      </c>
      <c r="N534" s="398" t="n">
        <v>6553</v>
      </c>
      <c r="O534" s="398" t="n">
        <v>6553</v>
      </c>
      <c r="P534" s="292" t="n"/>
      <c r="Q534" s="292" t="inlineStr">
        <is>
          <t>candidate-preflight-passed</t>
        </is>
      </c>
      <c r="R534" s="292" t="str"/>
      <c r="S534" s="292" t="inlineStr">
        <is>
          <t>玄渊二十套全装备代码总表.xlsx</t>
        </is>
      </c>
      <c r="T534" s="292" t="inlineStr">
        <is>
          <t>玄渊20套全装备视觉候选；Items/StateItem/DnItems三库同码；属性待策划填写；OverLap=2; Expand1=1</t>
        </is>
      </c>
      <c r="U534">
        <f>IF(COUNTIF($B$2:$B$1076,B534)&gt;1,"重复","")</f>
        <v/>
      </c>
      <c r="V534">
        <f>IF(AND(OR(M534="",M534=B534),OR(N534="",N534=B534),OR(O534="",O534=B534)),"通过","不一致")</f>
        <v/>
      </c>
    </row>
    <row r="535" ht="22" customHeight="1">
      <c r="A535" s="398" t="n">
        <v>534</v>
      </c>
      <c r="B535" s="398" t="n">
        <v>6554</v>
      </c>
      <c r="C535" s="399" t="inlineStr">
        <is>
          <t>黄金圣树·永恒</t>
        </is>
      </c>
      <c r="D535" s="399" t="inlineStr">
        <is>
          <t>黄金圣树</t>
        </is>
      </c>
      <c r="E535" s="399" t="n">
        <v>5</v>
      </c>
      <c r="F535" s="399" t="inlineStr">
        <is>
          <t>首饰盒2</t>
        </is>
      </c>
      <c r="G535" s="398" t="n">
        <v>22</v>
      </c>
      <c r="H535" s="398" t="n">
        <v>31</v>
      </c>
      <c r="I535" s="398" t="n">
        <v>6554</v>
      </c>
      <c r="J535" s="398" t="n">
        <v>0</v>
      </c>
      <c r="K535" s="398" t="n">
        <v>2</v>
      </c>
      <c r="L535" s="398" t="n">
        <v>2</v>
      </c>
      <c r="M535" s="398" t="n">
        <v>6554</v>
      </c>
      <c r="N535" s="398" t="n">
        <v>6554</v>
      </c>
      <c r="O535" s="398" t="n">
        <v>6554</v>
      </c>
      <c r="P535" s="292" t="n"/>
      <c r="Q535" s="292" t="inlineStr">
        <is>
          <t>candidate-preflight-passed</t>
        </is>
      </c>
      <c r="R535" s="292" t="str"/>
      <c r="S535" s="292" t="inlineStr">
        <is>
          <t>玄渊二十套全装备代码总表.xlsx</t>
        </is>
      </c>
      <c r="T535" s="292" t="inlineStr">
        <is>
          <t>玄渊20套全装备视觉候选；Items/StateItem/DnItems三库同码；属性待策划填写；OverLap=2; Expand1=2</t>
        </is>
      </c>
      <c r="U535">
        <f>IF(COUNTIF($B$2:$B$1076,B535)&gt;1,"重复","")</f>
        <v/>
      </c>
      <c r="V535">
        <f>IF(AND(OR(M535="",M535=B535),OR(N535="",N535=B535),OR(O535="",O535=B535)),"通过","不一致")</f>
        <v/>
      </c>
    </row>
    <row r="536" ht="22" customHeight="1">
      <c r="A536" s="398" t="n">
        <v>535</v>
      </c>
      <c r="B536" s="398" t="n">
        <v>6555</v>
      </c>
      <c r="C536" s="399" t="inlineStr">
        <is>
          <t>黄金圣树·永恒</t>
        </is>
      </c>
      <c r="D536" s="399" t="inlineStr">
        <is>
          <t>黄金圣树</t>
        </is>
      </c>
      <c r="E536" s="399" t="n">
        <v>5</v>
      </c>
      <c r="F536" s="399" t="inlineStr">
        <is>
          <t>首饰盒3</t>
        </is>
      </c>
      <c r="G536" s="398" t="n">
        <v>22</v>
      </c>
      <c r="H536" s="398" t="n">
        <v>32</v>
      </c>
      <c r="I536" s="398" t="n">
        <v>6555</v>
      </c>
      <c r="J536" s="398" t="n">
        <v>0</v>
      </c>
      <c r="K536" s="398" t="n">
        <v>2</v>
      </c>
      <c r="L536" s="398" t="n">
        <v>3</v>
      </c>
      <c r="M536" s="398" t="n">
        <v>6555</v>
      </c>
      <c r="N536" s="398" t="n">
        <v>6555</v>
      </c>
      <c r="O536" s="398" t="n">
        <v>6555</v>
      </c>
      <c r="P536" s="292" t="n"/>
      <c r="Q536" s="292" t="inlineStr">
        <is>
          <t>candidate-preflight-passed</t>
        </is>
      </c>
      <c r="R536" s="292" t="str"/>
      <c r="S536" s="292" t="inlineStr">
        <is>
          <t>玄渊二十套全装备代码总表.xlsx</t>
        </is>
      </c>
      <c r="T536" s="292" t="inlineStr">
        <is>
          <t>玄渊20套全装备视觉候选；Items/StateItem/DnItems三库同码；属性待策划填写；OverLap=2; Expand1=3</t>
        </is>
      </c>
      <c r="U536">
        <f>IF(COUNTIF($B$2:$B$1076,B536)&gt;1,"重复","")</f>
        <v/>
      </c>
      <c r="V536">
        <f>IF(AND(OR(M536="",M536=B536),OR(N536="",N536=B536),OR(O536="",O536=B536)),"通过","不一致")</f>
        <v/>
      </c>
    </row>
    <row r="537" ht="22" customHeight="1">
      <c r="A537" s="398" t="n">
        <v>536</v>
      </c>
      <c r="B537" s="398" t="n">
        <v>6556</v>
      </c>
      <c r="C537" s="399" t="inlineStr">
        <is>
          <t>黄金圣树·永恒</t>
        </is>
      </c>
      <c r="D537" s="399" t="inlineStr">
        <is>
          <t>黄金圣树</t>
        </is>
      </c>
      <c r="E537" s="399" t="n">
        <v>5</v>
      </c>
      <c r="F537" s="399" t="inlineStr">
        <is>
          <t>首饰盒4</t>
        </is>
      </c>
      <c r="G537" s="398" t="n">
        <v>22</v>
      </c>
      <c r="H537" s="398" t="n">
        <v>33</v>
      </c>
      <c r="I537" s="398" t="n">
        <v>6556</v>
      </c>
      <c r="J537" s="398" t="n">
        <v>0</v>
      </c>
      <c r="K537" s="398" t="n">
        <v>2</v>
      </c>
      <c r="L537" s="398" t="n">
        <v>4</v>
      </c>
      <c r="M537" s="398" t="n">
        <v>6556</v>
      </c>
      <c r="N537" s="398" t="n">
        <v>6556</v>
      </c>
      <c r="O537" s="398" t="n">
        <v>6556</v>
      </c>
      <c r="P537" s="292" t="n"/>
      <c r="Q537" s="292" t="inlineStr">
        <is>
          <t>candidate-preflight-passed</t>
        </is>
      </c>
      <c r="R537" s="292" t="str"/>
      <c r="S537" s="292" t="inlineStr">
        <is>
          <t>玄渊二十套全装备代码总表.xlsx</t>
        </is>
      </c>
      <c r="T537" s="292" t="inlineStr">
        <is>
          <t>玄渊20套全装备视觉候选；Items/StateItem/DnItems三库同码；属性待策划填写；OverLap=2; Expand1=4</t>
        </is>
      </c>
      <c r="U537">
        <f>IF(COUNTIF($B$2:$B$1076,B537)&gt;1,"重复","")</f>
        <v/>
      </c>
      <c r="V537">
        <f>IF(AND(OR(M537="",M537=B537),OR(N537="",N537=B537),OR(O537="",O537=B537)),"通过","不一致")</f>
        <v/>
      </c>
    </row>
    <row r="538" ht="22" customHeight="1">
      <c r="A538" s="398" t="n">
        <v>537</v>
      </c>
      <c r="B538" s="398" t="n">
        <v>6557</v>
      </c>
      <c r="C538" s="399" t="inlineStr">
        <is>
          <t>黄金圣树·永恒</t>
        </is>
      </c>
      <c r="D538" s="399" t="inlineStr">
        <is>
          <t>黄金圣树</t>
        </is>
      </c>
      <c r="E538" s="399" t="n">
        <v>5</v>
      </c>
      <c r="F538" s="399" t="inlineStr">
        <is>
          <t>首饰盒5</t>
        </is>
      </c>
      <c r="G538" s="398" t="n">
        <v>22</v>
      </c>
      <c r="H538" s="398" t="n">
        <v>34</v>
      </c>
      <c r="I538" s="398" t="n">
        <v>6557</v>
      </c>
      <c r="J538" s="398" t="n">
        <v>0</v>
      </c>
      <c r="K538" s="398" t="n">
        <v>2</v>
      </c>
      <c r="L538" s="398" t="n">
        <v>5</v>
      </c>
      <c r="M538" s="398" t="n">
        <v>6557</v>
      </c>
      <c r="N538" s="398" t="n">
        <v>6557</v>
      </c>
      <c r="O538" s="398" t="n">
        <v>6557</v>
      </c>
      <c r="P538" s="292" t="n"/>
      <c r="Q538" s="292" t="inlineStr">
        <is>
          <t>candidate-preflight-passed</t>
        </is>
      </c>
      <c r="R538" s="292" t="str"/>
      <c r="S538" s="292" t="inlineStr">
        <is>
          <t>玄渊二十套全装备代码总表.xlsx</t>
        </is>
      </c>
      <c r="T538" s="292" t="inlineStr">
        <is>
          <t>玄渊20套全装备视觉候选；Items/StateItem/DnItems三库同码；属性待策划填写；OverLap=2; Expand1=5</t>
        </is>
      </c>
      <c r="U538">
        <f>IF(COUNTIF($B$2:$B$1076,B538)&gt;1,"重复","")</f>
        <v/>
      </c>
      <c r="V538">
        <f>IF(AND(OR(M538="",M538=B538),OR(N538="",N538=B538),OR(O538="",O538=B538)),"通过","不一致")</f>
        <v/>
      </c>
    </row>
    <row r="539" ht="22" customHeight="1">
      <c r="A539" s="398" t="n">
        <v>538</v>
      </c>
      <c r="B539" s="398" t="n">
        <v>6558</v>
      </c>
      <c r="C539" s="399" t="inlineStr">
        <is>
          <t>黄金圣树·永恒</t>
        </is>
      </c>
      <c r="D539" s="399" t="inlineStr">
        <is>
          <t>黄金圣树</t>
        </is>
      </c>
      <c r="E539" s="399" t="n">
        <v>5</v>
      </c>
      <c r="F539" s="399" t="inlineStr">
        <is>
          <t>首饰盒6</t>
        </is>
      </c>
      <c r="G539" s="398" t="n">
        <v>22</v>
      </c>
      <c r="H539" s="398" t="n">
        <v>35</v>
      </c>
      <c r="I539" s="398" t="n">
        <v>6558</v>
      </c>
      <c r="J539" s="398" t="n">
        <v>0</v>
      </c>
      <c r="K539" s="398" t="n">
        <v>2</v>
      </c>
      <c r="L539" s="398" t="n">
        <v>6</v>
      </c>
      <c r="M539" s="398" t="n">
        <v>6558</v>
      </c>
      <c r="N539" s="398" t="n">
        <v>6558</v>
      </c>
      <c r="O539" s="398" t="n">
        <v>6558</v>
      </c>
      <c r="P539" s="292" t="n"/>
      <c r="Q539" s="292" t="inlineStr">
        <is>
          <t>candidate-preflight-passed</t>
        </is>
      </c>
      <c r="R539" s="292" t="str"/>
      <c r="S539" s="292" t="inlineStr">
        <is>
          <t>玄渊二十套全装备代码总表.xlsx</t>
        </is>
      </c>
      <c r="T539" s="292" t="inlineStr">
        <is>
          <t>玄渊20套全装备视觉候选；Items/StateItem/DnItems三库同码；属性待策划填写；OverLap=2; Expand1=6</t>
        </is>
      </c>
      <c r="U539">
        <f>IF(COUNTIF($B$2:$B$1076,B539)&gt;1,"重复","")</f>
        <v/>
      </c>
      <c r="V539">
        <f>IF(AND(OR(M539="",M539=B539),OR(N539="",N539=B539),OR(O539="",O539=B539)),"通过","不一致")</f>
        <v/>
      </c>
    </row>
    <row r="540" ht="22" customHeight="1">
      <c r="A540" s="398" t="n">
        <v>539</v>
      </c>
      <c r="B540" s="398" t="n">
        <v>6559</v>
      </c>
      <c r="C540" s="399" t="inlineStr">
        <is>
          <t>黄金圣树·永恒</t>
        </is>
      </c>
      <c r="D540" s="399" t="inlineStr">
        <is>
          <t>黄金圣树</t>
        </is>
      </c>
      <c r="E540" s="399" t="n">
        <v>5</v>
      </c>
      <c r="F540" s="399" t="inlineStr">
        <is>
          <t>生肖1</t>
        </is>
      </c>
      <c r="G540" s="398" t="n">
        <v>22</v>
      </c>
      <c r="H540" s="398" t="n">
        <v>40</v>
      </c>
      <c r="I540" s="398" t="n">
        <v>6559</v>
      </c>
      <c r="J540" s="398" t="n">
        <v>0</v>
      </c>
      <c r="K540" s="398" t="n">
        <v>4</v>
      </c>
      <c r="L540" s="398" t="n">
        <v>1</v>
      </c>
      <c r="M540" s="398" t="n">
        <v>6559</v>
      </c>
      <c r="N540" s="398" t="n">
        <v>6559</v>
      </c>
      <c r="O540" s="398" t="n">
        <v>6559</v>
      </c>
      <c r="P540" s="292" t="n"/>
      <c r="Q540" s="292" t="inlineStr">
        <is>
          <t>candidate-preflight-passed</t>
        </is>
      </c>
      <c r="R540" s="292" t="str"/>
      <c r="S540" s="292" t="inlineStr">
        <is>
          <t>玄渊二十套全装备代码总表.xlsx</t>
        </is>
      </c>
      <c r="T540" s="292" t="inlineStr">
        <is>
          <t>玄渊20套全装备视觉候选；Items/StateItem/DnItems三库同码；属性待策划填写；OverLap=4; Expand1=1</t>
        </is>
      </c>
      <c r="U540">
        <f>IF(COUNTIF($B$2:$B$1076,B540)&gt;1,"重复","")</f>
        <v/>
      </c>
      <c r="V540">
        <f>IF(AND(OR(M540="",M540=B540),OR(N540="",N540=B540),OR(O540="",O540=B540)),"通过","不一致")</f>
        <v/>
      </c>
    </row>
    <row r="541" ht="22" customHeight="1">
      <c r="A541" s="398" t="n">
        <v>540</v>
      </c>
      <c r="B541" s="398" t="n">
        <v>6560</v>
      </c>
      <c r="C541" s="399" t="inlineStr">
        <is>
          <t>黄金圣树·永恒</t>
        </is>
      </c>
      <c r="D541" s="399" t="inlineStr">
        <is>
          <t>黄金圣树</t>
        </is>
      </c>
      <c r="E541" s="399" t="n">
        <v>5</v>
      </c>
      <c r="F541" s="399" t="inlineStr">
        <is>
          <t>生肖2</t>
        </is>
      </c>
      <c r="G541" s="398" t="n">
        <v>22</v>
      </c>
      <c r="H541" s="398" t="n">
        <v>41</v>
      </c>
      <c r="I541" s="398" t="n">
        <v>6560</v>
      </c>
      <c r="J541" s="398" t="n">
        <v>0</v>
      </c>
      <c r="K541" s="398" t="n">
        <v>4</v>
      </c>
      <c r="L541" s="398" t="n">
        <v>2</v>
      </c>
      <c r="M541" s="398" t="n">
        <v>6560</v>
      </c>
      <c r="N541" s="398" t="n">
        <v>6560</v>
      </c>
      <c r="O541" s="398" t="n">
        <v>6560</v>
      </c>
      <c r="P541" s="292" t="n"/>
      <c r="Q541" s="292" t="inlineStr">
        <is>
          <t>candidate-preflight-passed</t>
        </is>
      </c>
      <c r="R541" s="292" t="str"/>
      <c r="S541" s="292" t="inlineStr">
        <is>
          <t>玄渊二十套全装备代码总表.xlsx</t>
        </is>
      </c>
      <c r="T541" s="292" t="inlineStr">
        <is>
          <t>玄渊20套全装备视觉候选；Items/StateItem/DnItems三库同码；属性待策划填写；OverLap=4; Expand1=2</t>
        </is>
      </c>
      <c r="U541">
        <f>IF(COUNTIF($B$2:$B$1076,B541)&gt;1,"重复","")</f>
        <v/>
      </c>
      <c r="V541">
        <f>IF(AND(OR(M541="",M541=B541),OR(N541="",N541=B541),OR(O541="",O541=B541)),"通过","不一致")</f>
        <v/>
      </c>
    </row>
    <row r="542" ht="22" customHeight="1">
      <c r="A542" s="398" t="n">
        <v>541</v>
      </c>
      <c r="B542" s="398" t="n">
        <v>6561</v>
      </c>
      <c r="C542" s="399" t="inlineStr">
        <is>
          <t>黄金圣树·永恒</t>
        </is>
      </c>
      <c r="D542" s="399" t="inlineStr">
        <is>
          <t>黄金圣树</t>
        </is>
      </c>
      <c r="E542" s="399" t="n">
        <v>5</v>
      </c>
      <c r="F542" s="399" t="inlineStr">
        <is>
          <t>生肖3</t>
        </is>
      </c>
      <c r="G542" s="398" t="n">
        <v>22</v>
      </c>
      <c r="H542" s="398" t="n">
        <v>42</v>
      </c>
      <c r="I542" s="398" t="n">
        <v>6561</v>
      </c>
      <c r="J542" s="398" t="n">
        <v>0</v>
      </c>
      <c r="K542" s="398" t="n">
        <v>4</v>
      </c>
      <c r="L542" s="398" t="n">
        <v>3</v>
      </c>
      <c r="M542" s="398" t="n">
        <v>6561</v>
      </c>
      <c r="N542" s="398" t="n">
        <v>6561</v>
      </c>
      <c r="O542" s="398" t="n">
        <v>6561</v>
      </c>
      <c r="P542" s="292" t="n"/>
      <c r="Q542" s="292" t="inlineStr">
        <is>
          <t>candidate-preflight-passed</t>
        </is>
      </c>
      <c r="R542" s="292" t="str"/>
      <c r="S542" s="292" t="inlineStr">
        <is>
          <t>玄渊二十套全装备代码总表.xlsx</t>
        </is>
      </c>
      <c r="T542" s="292" t="inlineStr">
        <is>
          <t>玄渊20套全装备视觉候选；Items/StateItem/DnItems三库同码；属性待策划填写；OverLap=4; Expand1=3</t>
        </is>
      </c>
      <c r="U542">
        <f>IF(COUNTIF($B$2:$B$1076,B542)&gt;1,"重复","")</f>
        <v/>
      </c>
      <c r="V542">
        <f>IF(AND(OR(M542="",M542=B542),OR(N542="",N542=B542),OR(O542="",O542=B542)),"通过","不一致")</f>
        <v/>
      </c>
    </row>
    <row r="543" ht="22" customHeight="1">
      <c r="A543" s="398" t="n">
        <v>542</v>
      </c>
      <c r="B543" s="398" t="n">
        <v>6562</v>
      </c>
      <c r="C543" s="399" t="inlineStr">
        <is>
          <t>黄金圣树·永恒</t>
        </is>
      </c>
      <c r="D543" s="399" t="inlineStr">
        <is>
          <t>黄金圣树</t>
        </is>
      </c>
      <c r="E543" s="399" t="n">
        <v>5</v>
      </c>
      <c r="F543" s="399" t="inlineStr">
        <is>
          <t>生肖4</t>
        </is>
      </c>
      <c r="G543" s="398" t="n">
        <v>22</v>
      </c>
      <c r="H543" s="398" t="n">
        <v>43</v>
      </c>
      <c r="I543" s="398" t="n">
        <v>6562</v>
      </c>
      <c r="J543" s="398" t="n">
        <v>0</v>
      </c>
      <c r="K543" s="398" t="n">
        <v>4</v>
      </c>
      <c r="L543" s="398" t="n">
        <v>4</v>
      </c>
      <c r="M543" s="398" t="n">
        <v>6562</v>
      </c>
      <c r="N543" s="398" t="n">
        <v>6562</v>
      </c>
      <c r="O543" s="398" t="n">
        <v>6562</v>
      </c>
      <c r="P543" s="292" t="n"/>
      <c r="Q543" s="292" t="inlineStr">
        <is>
          <t>candidate-preflight-passed</t>
        </is>
      </c>
      <c r="R543" s="292" t="str"/>
      <c r="S543" s="292" t="inlineStr">
        <is>
          <t>玄渊二十套全装备代码总表.xlsx</t>
        </is>
      </c>
      <c r="T543" s="292" t="inlineStr">
        <is>
          <t>玄渊20套全装备视觉候选；Items/StateItem/DnItems三库同码；属性待策划填写；OverLap=4; Expand1=4</t>
        </is>
      </c>
      <c r="U543">
        <f>IF(COUNTIF($B$2:$B$1076,B543)&gt;1,"重复","")</f>
        <v/>
      </c>
      <c r="V543">
        <f>IF(AND(OR(M543="",M543=B543),OR(N543="",N543=B543),OR(O543="",O543=B543)),"通过","不一致")</f>
        <v/>
      </c>
    </row>
    <row r="544" ht="22" customHeight="1">
      <c r="A544" s="398" t="n">
        <v>543</v>
      </c>
      <c r="B544" s="398" t="n">
        <v>6563</v>
      </c>
      <c r="C544" s="399" t="inlineStr">
        <is>
          <t>黄金圣树·永恒</t>
        </is>
      </c>
      <c r="D544" s="399" t="inlineStr">
        <is>
          <t>黄金圣树</t>
        </is>
      </c>
      <c r="E544" s="399" t="n">
        <v>5</v>
      </c>
      <c r="F544" s="399" t="inlineStr">
        <is>
          <t>生肖5</t>
        </is>
      </c>
      <c r="G544" s="398" t="n">
        <v>22</v>
      </c>
      <c r="H544" s="398" t="n">
        <v>44</v>
      </c>
      <c r="I544" s="398" t="n">
        <v>6563</v>
      </c>
      <c r="J544" s="398" t="n">
        <v>0</v>
      </c>
      <c r="K544" s="398" t="n">
        <v>4</v>
      </c>
      <c r="L544" s="398" t="n">
        <v>5</v>
      </c>
      <c r="M544" s="398" t="n">
        <v>6563</v>
      </c>
      <c r="N544" s="398" t="n">
        <v>6563</v>
      </c>
      <c r="O544" s="398" t="n">
        <v>6563</v>
      </c>
      <c r="P544" s="292" t="n"/>
      <c r="Q544" s="292" t="inlineStr">
        <is>
          <t>candidate-preflight-passed</t>
        </is>
      </c>
      <c r="R544" s="292" t="str"/>
      <c r="S544" s="292" t="inlineStr">
        <is>
          <t>玄渊二十套全装备代码总表.xlsx</t>
        </is>
      </c>
      <c r="T544" s="292" t="inlineStr">
        <is>
          <t>玄渊20套全装备视觉候选；Items/StateItem/DnItems三库同码；属性待策划填写；OverLap=4; Expand1=5</t>
        </is>
      </c>
      <c r="U544">
        <f>IF(COUNTIF($B$2:$B$1076,B544)&gt;1,"重复","")</f>
        <v/>
      </c>
      <c r="V544">
        <f>IF(AND(OR(M544="",M544=B544),OR(N544="",N544=B544),OR(O544="",O544=B544)),"通过","不一致")</f>
        <v/>
      </c>
    </row>
    <row r="545" ht="22" customHeight="1">
      <c r="A545" s="398" t="n">
        <v>544</v>
      </c>
      <c r="B545" s="398" t="n">
        <v>6564</v>
      </c>
      <c r="C545" s="399" t="inlineStr">
        <is>
          <t>黄金圣树·永恒</t>
        </is>
      </c>
      <c r="D545" s="399" t="inlineStr">
        <is>
          <t>黄金圣树</t>
        </is>
      </c>
      <c r="E545" s="399" t="n">
        <v>5</v>
      </c>
      <c r="F545" s="399" t="inlineStr">
        <is>
          <t>生肖6</t>
        </is>
      </c>
      <c r="G545" s="398" t="n">
        <v>22</v>
      </c>
      <c r="H545" s="398" t="n">
        <v>45</v>
      </c>
      <c r="I545" s="398" t="n">
        <v>6564</v>
      </c>
      <c r="J545" s="398" t="n">
        <v>0</v>
      </c>
      <c r="K545" s="398" t="n">
        <v>4</v>
      </c>
      <c r="L545" s="398" t="n">
        <v>6</v>
      </c>
      <c r="M545" s="398" t="n">
        <v>6564</v>
      </c>
      <c r="N545" s="398" t="n">
        <v>6564</v>
      </c>
      <c r="O545" s="398" t="n">
        <v>6564</v>
      </c>
      <c r="P545" s="292" t="n"/>
      <c r="Q545" s="292" t="inlineStr">
        <is>
          <t>candidate-preflight-passed</t>
        </is>
      </c>
      <c r="R545" s="292" t="str"/>
      <c r="S545" s="292" t="inlineStr">
        <is>
          <t>玄渊二十套全装备代码总表.xlsx</t>
        </is>
      </c>
      <c r="T545" s="292" t="inlineStr">
        <is>
          <t>玄渊20套全装备视觉候选；Items/StateItem/DnItems三库同码；属性待策划填写；OverLap=4; Expand1=6</t>
        </is>
      </c>
      <c r="U545">
        <f>IF(COUNTIF($B$2:$B$1076,B545)&gt;1,"重复","")</f>
        <v/>
      </c>
      <c r="V545">
        <f>IF(AND(OR(M545="",M545=B545),OR(N545="",N545=B545),OR(O545="",O545=B545)),"通过","不一致")</f>
        <v/>
      </c>
    </row>
    <row r="546" ht="22" customHeight="1">
      <c r="A546" s="398" t="n">
        <v>545</v>
      </c>
      <c r="B546" s="398" t="n">
        <v>6565</v>
      </c>
      <c r="C546" s="399" t="inlineStr">
        <is>
          <t>黄金圣树·永恒</t>
        </is>
      </c>
      <c r="D546" s="399" t="inlineStr">
        <is>
          <t>黄金圣树</t>
        </is>
      </c>
      <c r="E546" s="399" t="n">
        <v>5</v>
      </c>
      <c r="F546" s="399" t="inlineStr">
        <is>
          <t>生肖7</t>
        </is>
      </c>
      <c r="G546" s="398" t="n">
        <v>22</v>
      </c>
      <c r="H546" s="398" t="n">
        <v>46</v>
      </c>
      <c r="I546" s="398" t="n">
        <v>6565</v>
      </c>
      <c r="J546" s="398" t="n">
        <v>0</v>
      </c>
      <c r="K546" s="398" t="n">
        <v>4</v>
      </c>
      <c r="L546" s="398" t="n">
        <v>7</v>
      </c>
      <c r="M546" s="398" t="n">
        <v>6565</v>
      </c>
      <c r="N546" s="398" t="n">
        <v>6565</v>
      </c>
      <c r="O546" s="398" t="n">
        <v>6565</v>
      </c>
      <c r="P546" s="292" t="n"/>
      <c r="Q546" s="292" t="inlineStr">
        <is>
          <t>candidate-preflight-passed</t>
        </is>
      </c>
      <c r="R546" s="292" t="str"/>
      <c r="S546" s="292" t="inlineStr">
        <is>
          <t>玄渊二十套全装备代码总表.xlsx</t>
        </is>
      </c>
      <c r="T546" s="292" t="inlineStr">
        <is>
          <t>玄渊20套全装备视觉候选；Items/StateItem/DnItems三库同码；属性待策划填写；OverLap=4; Expand1=7</t>
        </is>
      </c>
      <c r="U546">
        <f>IF(COUNTIF($B$2:$B$1076,B546)&gt;1,"重复","")</f>
        <v/>
      </c>
      <c r="V546">
        <f>IF(AND(OR(M546="",M546=B546),OR(N546="",N546=B546),OR(O546="",O546=B546)),"通过","不一致")</f>
        <v/>
      </c>
    </row>
    <row r="547" ht="22" customHeight="1">
      <c r="A547" s="398" t="n">
        <v>546</v>
      </c>
      <c r="B547" s="398" t="n">
        <v>6566</v>
      </c>
      <c r="C547" s="399" t="inlineStr">
        <is>
          <t>黄金圣树·永恒</t>
        </is>
      </c>
      <c r="D547" s="399" t="inlineStr">
        <is>
          <t>黄金圣树</t>
        </is>
      </c>
      <c r="E547" s="399" t="n">
        <v>5</v>
      </c>
      <c r="F547" s="399" t="inlineStr">
        <is>
          <t>生肖8</t>
        </is>
      </c>
      <c r="G547" s="398" t="n">
        <v>22</v>
      </c>
      <c r="H547" s="398" t="n">
        <v>47</v>
      </c>
      <c r="I547" s="398" t="n">
        <v>6566</v>
      </c>
      <c r="J547" s="398" t="n">
        <v>0</v>
      </c>
      <c r="K547" s="398" t="n">
        <v>4</v>
      </c>
      <c r="L547" s="398" t="n">
        <v>8</v>
      </c>
      <c r="M547" s="398" t="n">
        <v>6566</v>
      </c>
      <c r="N547" s="398" t="n">
        <v>6566</v>
      </c>
      <c r="O547" s="398" t="n">
        <v>6566</v>
      </c>
      <c r="P547" s="292" t="n"/>
      <c r="Q547" s="292" t="inlineStr">
        <is>
          <t>candidate-preflight-passed</t>
        </is>
      </c>
      <c r="R547" s="292" t="str"/>
      <c r="S547" s="292" t="inlineStr">
        <is>
          <t>玄渊二十套全装备代码总表.xlsx</t>
        </is>
      </c>
      <c r="T547" s="292" t="inlineStr">
        <is>
          <t>玄渊20套全装备视觉候选；Items/StateItem/DnItems三库同码；属性待策划填写；OverLap=4; Expand1=8</t>
        </is>
      </c>
      <c r="U547">
        <f>IF(COUNTIF($B$2:$B$1076,B547)&gt;1,"重复","")</f>
        <v/>
      </c>
      <c r="V547">
        <f>IF(AND(OR(M547="",M547=B547),OR(N547="",N547=B547),OR(O547="",O547=B547)),"通过","不一致")</f>
        <v/>
      </c>
    </row>
    <row r="548" ht="22" customHeight="1">
      <c r="A548" s="398" t="n">
        <v>547</v>
      </c>
      <c r="B548" s="398" t="n">
        <v>6567</v>
      </c>
      <c r="C548" s="399" t="inlineStr">
        <is>
          <t>黄金圣树·永恒</t>
        </is>
      </c>
      <c r="D548" s="399" t="inlineStr">
        <is>
          <t>黄金圣树</t>
        </is>
      </c>
      <c r="E548" s="399" t="n">
        <v>5</v>
      </c>
      <c r="F548" s="399" t="inlineStr">
        <is>
          <t>生肖9</t>
        </is>
      </c>
      <c r="G548" s="398" t="n">
        <v>22</v>
      </c>
      <c r="H548" s="398" t="n">
        <v>48</v>
      </c>
      <c r="I548" s="398" t="n">
        <v>6567</v>
      </c>
      <c r="J548" s="398" t="n">
        <v>0</v>
      </c>
      <c r="K548" s="398" t="n">
        <v>4</v>
      </c>
      <c r="L548" s="398" t="n">
        <v>9</v>
      </c>
      <c r="M548" s="398" t="n">
        <v>6567</v>
      </c>
      <c r="N548" s="398" t="n">
        <v>6567</v>
      </c>
      <c r="O548" s="398" t="n">
        <v>6567</v>
      </c>
      <c r="P548" s="292" t="n"/>
      <c r="Q548" s="292" t="inlineStr">
        <is>
          <t>candidate-preflight-passed</t>
        </is>
      </c>
      <c r="R548" s="292" t="str"/>
      <c r="S548" s="292" t="inlineStr">
        <is>
          <t>玄渊二十套全装备代码总表.xlsx</t>
        </is>
      </c>
      <c r="T548" s="292" t="inlineStr">
        <is>
          <t>玄渊20套全装备视觉候选；Items/StateItem/DnItems三库同码；属性待策划填写；OverLap=4; Expand1=9</t>
        </is>
      </c>
      <c r="U548">
        <f>IF(COUNTIF($B$2:$B$1076,B548)&gt;1,"重复","")</f>
        <v/>
      </c>
      <c r="V548">
        <f>IF(AND(OR(M548="",M548=B548),OR(N548="",N548=B548),OR(O548="",O548=B548)),"通过","不一致")</f>
        <v/>
      </c>
    </row>
    <row r="549" ht="22" customHeight="1">
      <c r="A549" s="398" t="n">
        <v>548</v>
      </c>
      <c r="B549" s="398" t="n">
        <v>6568</v>
      </c>
      <c r="C549" s="399" t="inlineStr">
        <is>
          <t>黄金圣树·永恒</t>
        </is>
      </c>
      <c r="D549" s="399" t="inlineStr">
        <is>
          <t>黄金圣树</t>
        </is>
      </c>
      <c r="E549" s="399" t="n">
        <v>5</v>
      </c>
      <c r="F549" s="399" t="inlineStr">
        <is>
          <t>生肖10</t>
        </is>
      </c>
      <c r="G549" s="398" t="n">
        <v>22</v>
      </c>
      <c r="H549" s="398" t="n">
        <v>49</v>
      </c>
      <c r="I549" s="398" t="n">
        <v>6568</v>
      </c>
      <c r="J549" s="398" t="n">
        <v>0</v>
      </c>
      <c r="K549" s="398" t="n">
        <v>4</v>
      </c>
      <c r="L549" s="398" t="n">
        <v>10</v>
      </c>
      <c r="M549" s="398" t="n">
        <v>6568</v>
      </c>
      <c r="N549" s="398" t="n">
        <v>6568</v>
      </c>
      <c r="O549" s="398" t="n">
        <v>6568</v>
      </c>
      <c r="P549" s="292" t="n"/>
      <c r="Q549" s="292" t="inlineStr">
        <is>
          <t>candidate-preflight-passed</t>
        </is>
      </c>
      <c r="R549" s="292" t="str"/>
      <c r="S549" s="292" t="inlineStr">
        <is>
          <t>玄渊二十套全装备代码总表.xlsx</t>
        </is>
      </c>
      <c r="T549" s="292" t="inlineStr">
        <is>
          <t>玄渊20套全装备视觉候选；Items/StateItem/DnItems三库同码；属性待策划填写；OverLap=4; Expand1=10</t>
        </is>
      </c>
      <c r="U549">
        <f>IF(COUNTIF($B$2:$B$1076,B549)&gt;1,"重复","")</f>
        <v/>
      </c>
      <c r="V549">
        <f>IF(AND(OR(M549="",M549=B549),OR(N549="",N549=B549),OR(O549="",O549=B549)),"通过","不一致")</f>
        <v/>
      </c>
    </row>
    <row r="550" ht="22" customHeight="1">
      <c r="A550" s="398" t="n">
        <v>549</v>
      </c>
      <c r="B550" s="398" t="n">
        <v>6569</v>
      </c>
      <c r="C550" s="399" t="inlineStr">
        <is>
          <t>黄金圣树·永恒</t>
        </is>
      </c>
      <c r="D550" s="399" t="inlineStr">
        <is>
          <t>黄金圣树</t>
        </is>
      </c>
      <c r="E550" s="399" t="n">
        <v>5</v>
      </c>
      <c r="F550" s="399" t="inlineStr">
        <is>
          <t>生肖11</t>
        </is>
      </c>
      <c r="G550" s="398" t="n">
        <v>22</v>
      </c>
      <c r="H550" s="398" t="n">
        <v>50</v>
      </c>
      <c r="I550" s="398" t="n">
        <v>6569</v>
      </c>
      <c r="J550" s="398" t="n">
        <v>0</v>
      </c>
      <c r="K550" s="398" t="n">
        <v>4</v>
      </c>
      <c r="L550" s="398" t="n">
        <v>11</v>
      </c>
      <c r="M550" s="398" t="n">
        <v>6569</v>
      </c>
      <c r="N550" s="398" t="n">
        <v>6569</v>
      </c>
      <c r="O550" s="398" t="n">
        <v>6569</v>
      </c>
      <c r="P550" s="292" t="n"/>
      <c r="Q550" s="292" t="inlineStr">
        <is>
          <t>candidate-preflight-passed</t>
        </is>
      </c>
      <c r="R550" s="292" t="str"/>
      <c r="S550" s="292" t="inlineStr">
        <is>
          <t>玄渊二十套全装备代码总表.xlsx</t>
        </is>
      </c>
      <c r="T550" s="292" t="inlineStr">
        <is>
          <t>玄渊20套全装备视觉候选；Items/StateItem/DnItems三库同码；属性待策划填写；OverLap=4; Expand1=11</t>
        </is>
      </c>
      <c r="U550">
        <f>IF(COUNTIF($B$2:$B$1076,B550)&gt;1,"重复","")</f>
        <v/>
      </c>
      <c r="V550">
        <f>IF(AND(OR(M550="",M550=B550),OR(N550="",N550=B550),OR(O550="",O550=B550)),"通过","不一致")</f>
        <v/>
      </c>
    </row>
    <row r="551" ht="22" customHeight="1">
      <c r="A551" s="398" t="n">
        <v>550</v>
      </c>
      <c r="B551" s="398" t="n">
        <v>6570</v>
      </c>
      <c r="C551" s="399" t="inlineStr">
        <is>
          <t>黄金圣树·永恒</t>
        </is>
      </c>
      <c r="D551" s="399" t="inlineStr">
        <is>
          <t>黄金圣树</t>
        </is>
      </c>
      <c r="E551" s="399" t="n">
        <v>5</v>
      </c>
      <c r="F551" s="399" t="inlineStr">
        <is>
          <t>生肖12</t>
        </is>
      </c>
      <c r="G551" s="398" t="n">
        <v>22</v>
      </c>
      <c r="H551" s="398" t="n">
        <v>51</v>
      </c>
      <c r="I551" s="398" t="n">
        <v>6570</v>
      </c>
      <c r="J551" s="398" t="n">
        <v>0</v>
      </c>
      <c r="K551" s="398" t="n">
        <v>4</v>
      </c>
      <c r="L551" s="398" t="n">
        <v>12</v>
      </c>
      <c r="M551" s="398" t="n">
        <v>6570</v>
      </c>
      <c r="N551" s="398" t="n">
        <v>6570</v>
      </c>
      <c r="O551" s="398" t="n">
        <v>6570</v>
      </c>
      <c r="P551" s="292" t="n"/>
      <c r="Q551" s="292" t="inlineStr">
        <is>
          <t>candidate-preflight-passed</t>
        </is>
      </c>
      <c r="R551" s="292" t="str"/>
      <c r="S551" s="292" t="inlineStr">
        <is>
          <t>玄渊二十套全装备代码总表.xlsx</t>
        </is>
      </c>
      <c r="T551" s="292" t="inlineStr">
        <is>
          <t>玄渊20套全装备视觉候选；Items/StateItem/DnItems三库同码；属性待策划填写；OverLap=4; Expand1=12</t>
        </is>
      </c>
      <c r="U551">
        <f>IF(COUNTIF($B$2:$B$1076,B551)&gt;1,"重复","")</f>
        <v/>
      </c>
      <c r="V551">
        <f>IF(AND(OR(M551="",M551=B551),OR(N551="",N551=B551),OR(O551="",O551=B551)),"通过","不一致")</f>
        <v/>
      </c>
    </row>
    <row r="552" ht="22" customHeight="1">
      <c r="A552" s="398" t="n">
        <v>551</v>
      </c>
      <c r="B552" s="398" t="n">
        <v>6571</v>
      </c>
      <c r="C552" s="399" t="inlineStr">
        <is>
          <t>血月荆棘·血痕</t>
        </is>
      </c>
      <c r="D552" s="399" t="inlineStr">
        <is>
          <t>血月荆棘</t>
        </is>
      </c>
      <c r="E552" s="399" t="n">
        <v>1</v>
      </c>
      <c r="F552" s="399" t="inlineStr">
        <is>
          <t>武器</t>
        </is>
      </c>
      <c r="G552" s="398" t="n">
        <v>5</v>
      </c>
      <c r="H552" s="398" t="n">
        <v>1</v>
      </c>
      <c r="I552" s="398" t="n">
        <v>6571</v>
      </c>
      <c r="J552" s="398" t="n">
        <v>21</v>
      </c>
      <c r="K552" s="398" t="n">
        <v>0</v>
      </c>
      <c r="L552" s="398" t="n">
        <v>0</v>
      </c>
      <c r="M552" s="398" t="n">
        <v>6571</v>
      </c>
      <c r="N552" s="398" t="n">
        <v>6571</v>
      </c>
      <c r="O552" s="398" t="n">
        <v>6571</v>
      </c>
      <c r="P552" s="292" t="inlineStr">
        <is>
          <t>Weapon.wzl/wzx（复用现有真实动作）</t>
        </is>
      </c>
      <c r="Q552" s="292" t="inlineStr">
        <is>
          <t>candidate-preflight-passed</t>
        </is>
      </c>
      <c r="R552" s="324" t="inlineStr">
        <is>
          <t>C3-C10规划锁定：布兰守城枪</t>
        </is>
      </c>
      <c r="S552" s="292" t="inlineStr">
        <is>
          <t>玄渊二十套全装备代码总表.xlsx</t>
        </is>
      </c>
      <c r="T552" s="292" t="inlineStr">
        <is>
          <t>玄渊20套全装备视觉候选；Items/StateItem/DnItems三库同码；属性待策划填写；Weapon Shape=21</t>
        </is>
      </c>
      <c r="U552">
        <f>IF(COUNTIF($B$2:$B$1076,B552)&gt;1,"重复","")</f>
        <v/>
      </c>
      <c r="V552">
        <f>IF(AND(OR(M552="",M552=B552),OR(N552="",N552=B552),OR(O552="",O552=B552)),"通过","不一致")</f>
        <v/>
      </c>
    </row>
    <row r="553" ht="22" customHeight="1">
      <c r="A553" s="398" t="n">
        <v>552</v>
      </c>
      <c r="B553" s="398" t="n">
        <v>6572</v>
      </c>
      <c r="C553" s="399" t="inlineStr">
        <is>
          <t>血月荆棘·血痕</t>
        </is>
      </c>
      <c r="D553" s="399" t="inlineStr">
        <is>
          <t>血月荆棘</t>
        </is>
      </c>
      <c r="E553" s="399" t="n">
        <v>1</v>
      </c>
      <c r="F553" s="399" t="inlineStr">
        <is>
          <t>男衣服</t>
        </is>
      </c>
      <c r="G553" s="398" t="n">
        <v>10</v>
      </c>
      <c r="H553" s="398" t="n">
        <v>0</v>
      </c>
      <c r="I553" s="398" t="n">
        <v>6572</v>
      </c>
      <c r="J553" s="398" t="n">
        <v>6</v>
      </c>
      <c r="K553" s="398" t="n">
        <v>0</v>
      </c>
      <c r="L553" s="398" t="n">
        <v>0</v>
      </c>
      <c r="M553" s="398" t="n">
        <v>6572</v>
      </c>
      <c r="N553" s="398" t="n">
        <v>6572</v>
      </c>
      <c r="O553" s="398" t="n">
        <v>6572</v>
      </c>
      <c r="P553" s="292" t="inlineStr">
        <is>
          <t>Hum.wzl/wzx（复用现有真实动作）</t>
        </is>
      </c>
      <c r="Q553" s="292" t="inlineStr">
        <is>
          <t>candidate-preflight-passed</t>
        </is>
      </c>
      <c r="R553" s="324" t="inlineStr">
        <is>
          <t>C3-C10规划锁定：石王古铠</t>
        </is>
      </c>
      <c r="S553" s="292" t="inlineStr">
        <is>
          <t>玄渊二十套全装备代码总表.xlsx</t>
        </is>
      </c>
      <c r="T553" s="292" t="inlineStr">
        <is>
          <t>玄渊20套全装备视觉候选；Items/StateItem/DnItems三库同码；属性待策划填写；Hum Shape=6</t>
        </is>
      </c>
      <c r="U553">
        <f>IF(COUNTIF($B$2:$B$1076,B553)&gt;1,"重复","")</f>
        <v/>
      </c>
      <c r="V553">
        <f>IF(AND(OR(M553="",M553=B553),OR(N553="",N553=B553),OR(O553="",O553=B553)),"通过","不一致")</f>
        <v/>
      </c>
    </row>
    <row r="554" ht="22" customHeight="1">
      <c r="A554" s="398" t="n">
        <v>553</v>
      </c>
      <c r="B554" s="398" t="n">
        <v>6573</v>
      </c>
      <c r="C554" s="399" t="inlineStr">
        <is>
          <t>血月荆棘·血痕</t>
        </is>
      </c>
      <c r="D554" s="399" t="inlineStr">
        <is>
          <t>血月荆棘</t>
        </is>
      </c>
      <c r="E554" s="399" t="n">
        <v>1</v>
      </c>
      <c r="F554" s="399" t="inlineStr">
        <is>
          <t>女衣服</t>
        </is>
      </c>
      <c r="G554" s="398" t="n">
        <v>11</v>
      </c>
      <c r="H554" s="398" t="n">
        <v>0</v>
      </c>
      <c r="I554" s="398" t="n">
        <v>6573</v>
      </c>
      <c r="J554" s="398" t="n">
        <v>6</v>
      </c>
      <c r="K554" s="398" t="n">
        <v>0</v>
      </c>
      <c r="L554" s="398" t="n">
        <v>0</v>
      </c>
      <c r="M554" s="398" t="n">
        <v>6573</v>
      </c>
      <c r="N554" s="398" t="n">
        <v>6573</v>
      </c>
      <c r="O554" s="398" t="n">
        <v>6573</v>
      </c>
      <c r="P554" s="292" t="inlineStr">
        <is>
          <t>Hum.wzl/wzx（复用现有真实动作）</t>
        </is>
      </c>
      <c r="Q554" s="292" t="inlineStr">
        <is>
          <t>candidate-preflight-passed</t>
        </is>
      </c>
      <c r="R554" s="292" t="str"/>
      <c r="S554" s="292" t="inlineStr">
        <is>
          <t>玄渊二十套全装备代码总表.xlsx</t>
        </is>
      </c>
      <c r="T554" s="292" t="inlineStr">
        <is>
          <t>玄渊20套全装备视觉候选；Items/StateItem/DnItems三库同码；属性待策划填写；Hum Shape=6</t>
        </is>
      </c>
      <c r="U554">
        <f>IF(COUNTIF($B$2:$B$1076,B554)&gt;1,"重复","")</f>
        <v/>
      </c>
      <c r="V554">
        <f>IF(AND(OR(M554="",M554=B554),OR(N554="",N554=B554),OR(O554="",O554=B554)),"通过","不一致")</f>
        <v/>
      </c>
    </row>
    <row r="555" ht="22" customHeight="1">
      <c r="A555" s="398" t="n">
        <v>554</v>
      </c>
      <c r="B555" s="398" t="n">
        <v>6574</v>
      </c>
      <c r="C555" s="399" t="inlineStr">
        <is>
          <t>血月荆棘·血痕</t>
        </is>
      </c>
      <c r="D555" s="399" t="inlineStr">
        <is>
          <t>血月荆棘</t>
        </is>
      </c>
      <c r="E555" s="399" t="n">
        <v>1</v>
      </c>
      <c r="F555" s="399" t="inlineStr">
        <is>
          <t>头盔</t>
        </is>
      </c>
      <c r="G555" s="398" t="n">
        <v>15</v>
      </c>
      <c r="H555" s="398" t="n">
        <v>4</v>
      </c>
      <c r="I555" s="398" t="n">
        <v>6574</v>
      </c>
      <c r="J555" s="398" t="n">
        <v>0</v>
      </c>
      <c r="K555" s="398" t="n">
        <v>0</v>
      </c>
      <c r="L555" s="398" t="n">
        <v>0</v>
      </c>
      <c r="M555" s="398" t="n">
        <v>6574</v>
      </c>
      <c r="N555" s="398" t="n">
        <v>6574</v>
      </c>
      <c r="O555" s="398" t="n">
        <v>6574</v>
      </c>
      <c r="P555" s="292" t="n"/>
      <c r="Q555" s="292" t="inlineStr">
        <is>
          <t>candidate-preflight-passed</t>
        </is>
      </c>
      <c r="R555" s="324" t="inlineStr">
        <is>
          <t>C3-C10规划锁定：墓旗头冠</t>
        </is>
      </c>
      <c r="S555" s="292" t="inlineStr">
        <is>
          <t>玄渊二十套全装备代码总表.xlsx</t>
        </is>
      </c>
      <c r="T555" s="292" t="inlineStr">
        <is>
          <t>玄渊20套全装备视觉候选；Items/StateItem/DnItems三库同码；属性待策划填写</t>
        </is>
      </c>
      <c r="U555">
        <f>IF(COUNTIF($B$2:$B$1076,B555)&gt;1,"重复","")</f>
        <v/>
      </c>
      <c r="V555">
        <f>IF(AND(OR(M555="",M555=B555),OR(N555="",N555=B555),OR(O555="",O555=B555)),"通过","不一致")</f>
        <v/>
      </c>
    </row>
    <row r="556" ht="22" customHeight="1">
      <c r="A556" s="398" t="n">
        <v>555</v>
      </c>
      <c r="B556" s="398" t="n">
        <v>6575</v>
      </c>
      <c r="C556" s="399" t="inlineStr">
        <is>
          <t>血月荆棘·血痕</t>
        </is>
      </c>
      <c r="D556" s="399" t="inlineStr">
        <is>
          <t>血月荆棘</t>
        </is>
      </c>
      <c r="E556" s="399" t="n">
        <v>1</v>
      </c>
      <c r="F556" s="399" t="inlineStr">
        <is>
          <t>面巾</t>
        </is>
      </c>
      <c r="G556" s="398" t="n">
        <v>16</v>
      </c>
      <c r="H556" s="398" t="n">
        <v>13</v>
      </c>
      <c r="I556" s="398" t="n">
        <v>6575</v>
      </c>
      <c r="J556" s="398" t="n">
        <v>0</v>
      </c>
      <c r="K556" s="398" t="n">
        <v>0</v>
      </c>
      <c r="L556" s="398" t="n">
        <v>0</v>
      </c>
      <c r="M556" s="398" t="n">
        <v>6575</v>
      </c>
      <c r="N556" s="398" t="n">
        <v>6575</v>
      </c>
      <c r="O556" s="398" t="n">
        <v>6575</v>
      </c>
      <c r="P556" s="292" t="n"/>
      <c r="Q556" s="292" t="inlineStr">
        <is>
          <t>candidate-preflight-passed</t>
        </is>
      </c>
      <c r="R556" s="324" t="inlineStr">
        <is>
          <t>C3-C10规划锁定：倒桅瞭望笠</t>
        </is>
      </c>
      <c r="S556" s="292" t="inlineStr">
        <is>
          <t>玄渊二十套全装备代码总表.xlsx</t>
        </is>
      </c>
      <c r="T556" s="292" t="inlineStr">
        <is>
          <t>玄渊20套全装备视觉候选；Items/StateItem/DnItems三库同码；属性待策划填写</t>
        </is>
      </c>
      <c r="U556">
        <f>IF(COUNTIF($B$2:$B$1076,B556)&gt;1,"重复","")</f>
        <v/>
      </c>
      <c r="V556">
        <f>IF(AND(OR(M556="",M556=B556),OR(N556="",N556=B556),OR(O556="",O556=B556)),"通过","不一致")</f>
        <v/>
      </c>
    </row>
    <row r="557" ht="22" customHeight="1">
      <c r="A557" s="398" t="n">
        <v>556</v>
      </c>
      <c r="B557" s="398" t="n">
        <v>6576</v>
      </c>
      <c r="C557" s="399" t="inlineStr">
        <is>
          <t>血月荆棘·血痕</t>
        </is>
      </c>
      <c r="D557" s="399" t="inlineStr">
        <is>
          <t>血月荆棘</t>
        </is>
      </c>
      <c r="E557" s="399" t="n">
        <v>1</v>
      </c>
      <c r="F557" s="399" t="inlineStr">
        <is>
          <t>项链</t>
        </is>
      </c>
      <c r="G557" s="398" t="n">
        <v>19</v>
      </c>
      <c r="H557" s="398" t="n">
        <v>3</v>
      </c>
      <c r="I557" s="398" t="n">
        <v>6576</v>
      </c>
      <c r="J557" s="398" t="n">
        <v>0</v>
      </c>
      <c r="K557" s="398" t="n">
        <v>0</v>
      </c>
      <c r="L557" s="398" t="n">
        <v>0</v>
      </c>
      <c r="M557" s="398" t="n">
        <v>6576</v>
      </c>
      <c r="N557" s="398" t="n">
        <v>6576</v>
      </c>
      <c r="O557" s="398" t="n">
        <v>6576</v>
      </c>
      <c r="P557" s="292" t="n"/>
      <c r="Q557" s="292" t="inlineStr">
        <is>
          <t>candidate-preflight-passed</t>
        </is>
      </c>
      <c r="R557" s="324" t="inlineStr">
        <is>
          <t>C3-C10规划锁定：荒商护符</t>
        </is>
      </c>
      <c r="S557" s="292" t="inlineStr">
        <is>
          <t>玄渊二十套全装备代码总表.xlsx</t>
        </is>
      </c>
      <c r="T557" s="292" t="inlineStr">
        <is>
          <t>玄渊20套全装备视觉候选；Items/StateItem/DnItems三库同码；属性待策划填写</t>
        </is>
      </c>
      <c r="U557">
        <f>IF(COUNTIF($B$2:$B$1076,B557)&gt;1,"重复","")</f>
        <v/>
      </c>
      <c r="V557">
        <f>IF(AND(OR(M557="",M557=B557),OR(N557="",N557=B557),OR(O557="",O557=B557)),"通过","不一致")</f>
        <v/>
      </c>
    </row>
    <row r="558" ht="22" customHeight="1">
      <c r="A558" s="398" t="n">
        <v>557</v>
      </c>
      <c r="B558" s="398" t="n">
        <v>6577</v>
      </c>
      <c r="C558" s="399" t="inlineStr">
        <is>
          <t>血月荆棘·血痕</t>
        </is>
      </c>
      <c r="D558" s="399" t="inlineStr">
        <is>
          <t>血月荆棘</t>
        </is>
      </c>
      <c r="E558" s="399" t="n">
        <v>1</v>
      </c>
      <c r="F558" s="399" t="inlineStr">
        <is>
          <t>手镯</t>
        </is>
      </c>
      <c r="G558" s="398" t="n">
        <v>26</v>
      </c>
      <c r="H558" s="398" t="n">
        <v>5</v>
      </c>
      <c r="I558" s="398" t="n">
        <v>6577</v>
      </c>
      <c r="J558" s="398" t="n">
        <v>0</v>
      </c>
      <c r="K558" s="398" t="n">
        <v>0</v>
      </c>
      <c r="L558" s="398" t="n">
        <v>0</v>
      </c>
      <c r="M558" s="398" t="n">
        <v>6577</v>
      </c>
      <c r="N558" s="398" t="n">
        <v>6577</v>
      </c>
      <c r="O558" s="398" t="n">
        <v>6577</v>
      </c>
      <c r="P558" s="292" t="n"/>
      <c r="Q558" s="292" t="inlineStr">
        <is>
          <t>candidate-preflight-passed</t>
        </is>
      </c>
      <c r="R558" s="324" t="inlineStr">
        <is>
          <t>C3-C10规划锁定：掘墓铁镯</t>
        </is>
      </c>
      <c r="S558" s="292" t="inlineStr">
        <is>
          <t>玄渊二十套全装备代码总表.xlsx</t>
        </is>
      </c>
      <c r="T558" s="292" t="inlineStr">
        <is>
          <t>玄渊20套全装备视觉候选；Items/StateItem/DnItems三库同码；属性待策划填写</t>
        </is>
      </c>
      <c r="U558">
        <f>IF(COUNTIF($B$2:$B$1076,B558)&gt;1,"重复","")</f>
        <v/>
      </c>
      <c r="V558">
        <f>IF(AND(OR(M558="",M558=B558),OR(N558="",N558=B558),OR(O558="",O558=B558)),"通过","不一致")</f>
        <v/>
      </c>
    </row>
    <row r="559" ht="22" customHeight="1">
      <c r="A559" s="398" t="n">
        <v>558</v>
      </c>
      <c r="B559" s="398" t="n">
        <v>6578</v>
      </c>
      <c r="C559" s="399" t="inlineStr">
        <is>
          <t>血月荆棘·血痕</t>
        </is>
      </c>
      <c r="D559" s="399" t="inlineStr">
        <is>
          <t>血月荆棘</t>
        </is>
      </c>
      <c r="E559" s="399" t="n">
        <v>1</v>
      </c>
      <c r="F559" s="399" t="inlineStr">
        <is>
          <t>戒指</t>
        </is>
      </c>
      <c r="G559" s="398" t="n">
        <v>22</v>
      </c>
      <c r="H559" s="398" t="n">
        <v>7</v>
      </c>
      <c r="I559" s="398" t="n">
        <v>6578</v>
      </c>
      <c r="J559" s="398" t="n">
        <v>0</v>
      </c>
      <c r="K559" s="398" t="n">
        <v>0</v>
      </c>
      <c r="L559" s="398" t="n">
        <v>0</v>
      </c>
      <c r="M559" s="398" t="n">
        <v>6578</v>
      </c>
      <c r="N559" s="398" t="n">
        <v>6578</v>
      </c>
      <c r="O559" s="398" t="n">
        <v>6578</v>
      </c>
      <c r="P559" s="292" t="n"/>
      <c r="Q559" s="292" t="inlineStr">
        <is>
          <t>candidate-preflight-passed</t>
        </is>
      </c>
      <c r="R559" s="324" t="inlineStr">
        <is>
          <t>C3-C10规划锁定：黯幕咒戒</t>
        </is>
      </c>
      <c r="S559" s="292" t="inlineStr">
        <is>
          <t>玄渊二十套全装备代码总表.xlsx</t>
        </is>
      </c>
      <c r="T559" s="292" t="inlineStr">
        <is>
          <t>玄渊20套全装备视觉候选；Items/StateItem/DnItems三库同码；属性待策划填写</t>
        </is>
      </c>
      <c r="U559">
        <f>IF(COUNTIF($B$2:$B$1076,B559)&gt;1,"重复","")</f>
        <v/>
      </c>
      <c r="V559">
        <f>IF(AND(OR(M559="",M559=B559),OR(N559="",N559=B559),OR(O559="",O559=B559)),"通过","不一致")</f>
        <v/>
      </c>
    </row>
    <row r="560" ht="22" customHeight="1">
      <c r="A560" s="398" t="n">
        <v>559</v>
      </c>
      <c r="B560" s="398" t="n">
        <v>6579</v>
      </c>
      <c r="C560" s="399" t="inlineStr">
        <is>
          <t>血月荆棘·血痕</t>
        </is>
      </c>
      <c r="D560" s="399" t="inlineStr">
        <is>
          <t>血月荆棘</t>
        </is>
      </c>
      <c r="E560" s="399" t="n">
        <v>1</v>
      </c>
      <c r="F560" s="399" t="inlineStr">
        <is>
          <t>勋章</t>
        </is>
      </c>
      <c r="G560" s="398" t="n">
        <v>30</v>
      </c>
      <c r="H560" s="398" t="n">
        <v>2</v>
      </c>
      <c r="I560" s="398" t="n">
        <v>6579</v>
      </c>
      <c r="J560" s="398" t="n">
        <v>0</v>
      </c>
      <c r="K560" s="398" t="n">
        <v>0</v>
      </c>
      <c r="L560" s="398" t="n">
        <v>0</v>
      </c>
      <c r="M560" s="398" t="n">
        <v>6579</v>
      </c>
      <c r="N560" s="398" t="n">
        <v>6579</v>
      </c>
      <c r="O560" s="398" t="n">
        <v>6579</v>
      </c>
      <c r="P560" s="292" t="n"/>
      <c r="Q560" s="292" t="inlineStr">
        <is>
          <t>candidate-preflight-passed</t>
        </is>
      </c>
      <c r="R560" s="324" t="inlineStr">
        <is>
          <t>C3-C10规划锁定：亡阵旗印</t>
        </is>
      </c>
      <c r="S560" s="292" t="inlineStr">
        <is>
          <t>玄渊二十套全装备代码总表.xlsx</t>
        </is>
      </c>
      <c r="T560" s="292" t="inlineStr">
        <is>
          <t>玄渊20套全装备视觉候选；Items/StateItem/DnItems三库同码；属性待策划填写</t>
        </is>
      </c>
      <c r="U560">
        <f>IF(COUNTIF($B$2:$B$1076,B560)&gt;1,"重复","")</f>
        <v/>
      </c>
      <c r="V560">
        <f>IF(AND(OR(M560="",M560=B560),OR(N560="",N560=B560),OR(O560="",O560=B560)),"通过","不一致")</f>
        <v/>
      </c>
    </row>
    <row r="561" ht="22" customHeight="1">
      <c r="A561" s="398" t="n">
        <v>560</v>
      </c>
      <c r="B561" s="398" t="n">
        <v>6580</v>
      </c>
      <c r="C561" s="399" t="inlineStr">
        <is>
          <t>血月荆棘·血痕</t>
        </is>
      </c>
      <c r="D561" s="399" t="inlineStr">
        <is>
          <t>血月荆棘</t>
        </is>
      </c>
      <c r="E561" s="399" t="n">
        <v>1</v>
      </c>
      <c r="F561" s="399" t="inlineStr">
        <is>
          <t>盾牌</t>
        </is>
      </c>
      <c r="G561" s="398" t="n">
        <v>12</v>
      </c>
      <c r="H561" s="398" t="n">
        <v>16</v>
      </c>
      <c r="I561" s="398" t="n">
        <v>6580</v>
      </c>
      <c r="J561" s="398" t="n">
        <v>0</v>
      </c>
      <c r="K561" s="398" t="n">
        <v>0</v>
      </c>
      <c r="L561" s="398" t="n">
        <v>0</v>
      </c>
      <c r="M561" s="398" t="n">
        <v>6580</v>
      </c>
      <c r="N561" s="398" t="n">
        <v>6580</v>
      </c>
      <c r="O561" s="398" t="n">
        <v>6580</v>
      </c>
      <c r="P561" s="292" t="n"/>
      <c r="Q561" s="292" t="inlineStr">
        <is>
          <t>candidate-preflight-passed</t>
        </is>
      </c>
      <c r="R561" s="324" t="inlineStr">
        <is>
          <t>C3-C10规划锁定：守门王盾</t>
        </is>
      </c>
      <c r="S561" s="292" t="inlineStr">
        <is>
          <t>玄渊二十套全装备代码总表.xlsx</t>
        </is>
      </c>
      <c r="T561" s="292" t="inlineStr">
        <is>
          <t>玄渊20套全装备视觉候选；Items/StateItem/DnItems三库同码；属性待策划填写</t>
        </is>
      </c>
      <c r="U561">
        <f>IF(COUNTIF($B$2:$B$1076,B561)&gt;1,"重复","")</f>
        <v/>
      </c>
      <c r="V561">
        <f>IF(AND(OR(M561="",M561=B561),OR(N561="",N561=B561),OR(O561="",O561=B561)),"通过","不一致")</f>
        <v/>
      </c>
    </row>
    <row r="562" ht="22" customHeight="1">
      <c r="A562" s="398" t="n">
        <v>561</v>
      </c>
      <c r="B562" s="398" t="n">
        <v>6581</v>
      </c>
      <c r="C562" s="399" t="inlineStr">
        <is>
          <t>血月荆棘·血痕</t>
        </is>
      </c>
      <c r="D562" s="399" t="inlineStr">
        <is>
          <t>血月荆棘</t>
        </is>
      </c>
      <c r="E562" s="399" t="n">
        <v>1</v>
      </c>
      <c r="F562" s="399" t="inlineStr">
        <is>
          <t>灵玉</t>
        </is>
      </c>
      <c r="G562" s="398" t="n">
        <v>90</v>
      </c>
      <c r="H562" s="398" t="n">
        <v>17</v>
      </c>
      <c r="I562" s="398" t="n">
        <v>6581</v>
      </c>
      <c r="J562" s="398" t="n">
        <v>0</v>
      </c>
      <c r="K562" s="398" t="n">
        <v>0</v>
      </c>
      <c r="L562" s="398" t="n">
        <v>0</v>
      </c>
      <c r="M562" s="398" t="n">
        <v>6581</v>
      </c>
      <c r="N562" s="398" t="n">
        <v>6581</v>
      </c>
      <c r="O562" s="398" t="n">
        <v>6581</v>
      </c>
      <c r="P562" s="292" t="n"/>
      <c r="Q562" s="292" t="inlineStr">
        <is>
          <t>candidate-preflight-passed</t>
        </is>
      </c>
      <c r="R562" s="292" t="str"/>
      <c r="S562" s="292" t="inlineStr">
        <is>
          <t>玄渊二十套全装备代码总表.xlsx</t>
        </is>
      </c>
      <c r="T562" s="292" t="inlineStr">
        <is>
          <t>玄渊20套全装备视觉候选；Items/StateItem/DnItems三库同码；属性待策划填写</t>
        </is>
      </c>
      <c r="U562">
        <f>IF(COUNTIF($B$2:$B$1076,B562)&gt;1,"重复","")</f>
        <v/>
      </c>
      <c r="V562">
        <f>IF(AND(OR(M562="",M562=B562),OR(N562="",N562=B562),OR(O562="",O562=B562)),"通过","不一致")</f>
        <v/>
      </c>
    </row>
    <row r="563" ht="22" customHeight="1">
      <c r="A563" s="398" t="n">
        <v>562</v>
      </c>
      <c r="B563" s="398" t="n">
        <v>6582</v>
      </c>
      <c r="C563" s="399" t="inlineStr">
        <is>
          <t>血月荆棘·血痕</t>
        </is>
      </c>
      <c r="D563" s="399" t="inlineStr">
        <is>
          <t>血月荆棘</t>
        </is>
      </c>
      <c r="E563" s="399" t="n">
        <v>1</v>
      </c>
      <c r="F563" s="399" t="inlineStr">
        <is>
          <t>鞋子</t>
        </is>
      </c>
      <c r="G563" s="398" t="n">
        <v>62</v>
      </c>
      <c r="H563" s="398" t="n">
        <v>11</v>
      </c>
      <c r="I563" s="398" t="n">
        <v>6582</v>
      </c>
      <c r="J563" s="398" t="n">
        <v>0</v>
      </c>
      <c r="K563" s="398" t="n">
        <v>0</v>
      </c>
      <c r="L563" s="398" t="n">
        <v>0</v>
      </c>
      <c r="M563" s="398" t="n">
        <v>6582</v>
      </c>
      <c r="N563" s="398" t="n">
        <v>6582</v>
      </c>
      <c r="O563" s="398" t="n">
        <v>6582</v>
      </c>
      <c r="P563" s="292" t="n"/>
      <c r="Q563" s="292" t="inlineStr">
        <is>
          <t>candidate-preflight-passed</t>
        </is>
      </c>
      <c r="R563" s="324" t="inlineStr">
        <is>
          <t>C3-C10规划锁定：百夫战靴</t>
        </is>
      </c>
      <c r="S563" s="292" t="inlineStr">
        <is>
          <t>玄渊二十套全装备代码总表.xlsx</t>
        </is>
      </c>
      <c r="T563" s="292" t="inlineStr">
        <is>
          <t>玄渊20套全装备视觉候选；Items/StateItem/DnItems三库同码；属性待策划填写</t>
        </is>
      </c>
      <c r="U563">
        <f>IF(COUNTIF($B$2:$B$1076,B563)&gt;1,"重复","")</f>
        <v/>
      </c>
      <c r="V563">
        <f>IF(AND(OR(M563="",M563=B563),OR(N563="",N563=B563),OR(O563="",O563=B563)),"通过","不一致")</f>
        <v/>
      </c>
    </row>
    <row r="564" ht="22" customHeight="1">
      <c r="A564" s="398" t="n">
        <v>563</v>
      </c>
      <c r="B564" s="398" t="n">
        <v>6583</v>
      </c>
      <c r="C564" s="399" t="inlineStr">
        <is>
          <t>血月荆棘·血痕</t>
        </is>
      </c>
      <c r="D564" s="399" t="inlineStr">
        <is>
          <t>血月荆棘</t>
        </is>
      </c>
      <c r="E564" s="399" t="n">
        <v>1</v>
      </c>
      <c r="F564" s="399" t="inlineStr">
        <is>
          <t>腰带</t>
        </is>
      </c>
      <c r="G564" s="398" t="n">
        <v>64</v>
      </c>
      <c r="H564" s="398" t="n">
        <v>10</v>
      </c>
      <c r="I564" s="398" t="n">
        <v>6583</v>
      </c>
      <c r="J564" s="398" t="n">
        <v>0</v>
      </c>
      <c r="K564" s="398" t="n">
        <v>0</v>
      </c>
      <c r="L564" s="398" t="n">
        <v>0</v>
      </c>
      <c r="M564" s="398" t="n">
        <v>6583</v>
      </c>
      <c r="N564" s="398" t="n">
        <v>6583</v>
      </c>
      <c r="O564" s="398" t="n">
        <v>6583</v>
      </c>
      <c r="P564" s="292" t="n"/>
      <c r="Q564" s="292" t="inlineStr">
        <is>
          <t>candidate-preflight-passed</t>
        </is>
      </c>
      <c r="R564" s="324" t="inlineStr">
        <is>
          <t>C3-C10规划锁定：孢母菌带</t>
        </is>
      </c>
      <c r="S564" s="292" t="inlineStr">
        <is>
          <t>玄渊二十套全装备代码总表.xlsx</t>
        </is>
      </c>
      <c r="T564" s="292" t="inlineStr">
        <is>
          <t>玄渊20套全装备视觉候选；Items/StateItem/DnItems三库同码；属性待策划填写</t>
        </is>
      </c>
      <c r="U564">
        <f>IF(COUNTIF($B$2:$B$1076,B564)&gt;1,"重复","")</f>
        <v/>
      </c>
      <c r="V564">
        <f>IF(AND(OR(M564="",M564=B564),OR(N564="",N564=B564),OR(O564="",O564=B564)),"通过","不一致")</f>
        <v/>
      </c>
    </row>
    <row r="565" ht="22" customHeight="1">
      <c r="A565" s="398" t="n">
        <v>564</v>
      </c>
      <c r="B565" s="398" t="n">
        <v>6584</v>
      </c>
      <c r="C565" s="399" t="inlineStr">
        <is>
          <t>血月荆棘·血痕</t>
        </is>
      </c>
      <c r="D565" s="399" t="inlineStr">
        <is>
          <t>血月荆棘</t>
        </is>
      </c>
      <c r="E565" s="399" t="n">
        <v>1</v>
      </c>
      <c r="F565" s="399" t="inlineStr">
        <is>
          <t>护身符</t>
        </is>
      </c>
      <c r="G565" s="398" t="n">
        <v>25</v>
      </c>
      <c r="H565" s="398" t="n">
        <v>9</v>
      </c>
      <c r="I565" s="398" t="n">
        <v>6584</v>
      </c>
      <c r="J565" s="398" t="n">
        <v>0</v>
      </c>
      <c r="K565" s="398" t="n">
        <v>0</v>
      </c>
      <c r="L565" s="398" t="n">
        <v>0</v>
      </c>
      <c r="M565" s="398" t="n">
        <v>6584</v>
      </c>
      <c r="N565" s="398" t="n">
        <v>6584</v>
      </c>
      <c r="O565" s="398" t="n">
        <v>6584</v>
      </c>
      <c r="P565" s="292" t="n"/>
      <c r="Q565" s="292" t="inlineStr">
        <is>
          <t>candidate-preflight-passed</t>
        </is>
      </c>
      <c r="R565" s="292" t="str"/>
      <c r="S565" s="292" t="inlineStr">
        <is>
          <t>玄渊二十套全装备代码总表.xlsx</t>
        </is>
      </c>
      <c r="T565" s="292" t="inlineStr">
        <is>
          <t>玄渊20套全装备视觉候选；Items/StateItem/DnItems三库同码；属性待策划填写</t>
        </is>
      </c>
      <c r="U565">
        <f>IF(COUNTIF($B$2:$B$1076,B565)&gt;1,"重复","")</f>
        <v/>
      </c>
      <c r="V565">
        <f>IF(AND(OR(M565="",M565=B565),OR(N565="",N565=B565),OR(O565="",O565=B565)),"通过","不一致")</f>
        <v/>
      </c>
    </row>
    <row r="566" ht="22" customHeight="1">
      <c r="A566" s="398" t="n">
        <v>565</v>
      </c>
      <c r="B566" s="398" t="n">
        <v>6585</v>
      </c>
      <c r="C566" s="399" t="inlineStr">
        <is>
          <t>血月荆棘·血痕</t>
        </is>
      </c>
      <c r="D566" s="399" t="inlineStr">
        <is>
          <t>血月荆棘</t>
        </is>
      </c>
      <c r="E566" s="399" t="n">
        <v>1</v>
      </c>
      <c r="F566" s="399" t="inlineStr">
        <is>
          <t>宝石</t>
        </is>
      </c>
      <c r="G566" s="398" t="n">
        <v>63</v>
      </c>
      <c r="H566" s="398" t="n">
        <v>12</v>
      </c>
      <c r="I566" s="398" t="n">
        <v>6585</v>
      </c>
      <c r="J566" s="398" t="n">
        <v>0</v>
      </c>
      <c r="K566" s="398" t="n">
        <v>0</v>
      </c>
      <c r="L566" s="398" t="n">
        <v>0</v>
      </c>
      <c r="M566" s="398" t="n">
        <v>6585</v>
      </c>
      <c r="N566" s="398" t="n">
        <v>6585</v>
      </c>
      <c r="O566" s="398" t="n">
        <v>6585</v>
      </c>
      <c r="P566" s="292" t="n"/>
      <c r="Q566" s="292" t="inlineStr">
        <is>
          <t>candidate-preflight-passed</t>
        </is>
      </c>
      <c r="R566" s="292" t="str"/>
      <c r="S566" s="292" t="inlineStr">
        <is>
          <t>玄渊二十套全装备代码总表.xlsx</t>
        </is>
      </c>
      <c r="T566" s="292" t="inlineStr">
        <is>
          <t>玄渊20套全装备视觉候选；Items/StateItem/DnItems三库同码；属性待策划填写</t>
        </is>
      </c>
      <c r="U566">
        <f>IF(COUNTIF($B$2:$B$1076,B566)&gt;1,"重复","")</f>
        <v/>
      </c>
      <c r="V566">
        <f>IF(AND(OR(M566="",M566=B566),OR(N566="",N566=B566),OR(O566="",O566=B566)),"通过","不一致")</f>
        <v/>
      </c>
    </row>
    <row r="567" ht="22" customHeight="1">
      <c r="A567" s="398" t="n">
        <v>566</v>
      </c>
      <c r="B567" s="398" t="n">
        <v>6586</v>
      </c>
      <c r="C567" s="399" t="inlineStr">
        <is>
          <t>血月荆棘·血痕</t>
        </is>
      </c>
      <c r="D567" s="399" t="inlineStr">
        <is>
          <t>血月荆棘</t>
        </is>
      </c>
      <c r="E567" s="399" t="n">
        <v>1</v>
      </c>
      <c r="F567" s="399" t="inlineStr">
        <is>
          <t>军鼓</t>
        </is>
      </c>
      <c r="G567" s="398" t="n">
        <v>65</v>
      </c>
      <c r="H567" s="398" t="n">
        <v>14</v>
      </c>
      <c r="I567" s="398" t="n">
        <v>6586</v>
      </c>
      <c r="J567" s="398" t="n">
        <v>0</v>
      </c>
      <c r="K567" s="398" t="n">
        <v>0</v>
      </c>
      <c r="L567" s="398" t="n">
        <v>0</v>
      </c>
      <c r="M567" s="398" t="n">
        <v>6586</v>
      </c>
      <c r="N567" s="398" t="n">
        <v>6586</v>
      </c>
      <c r="O567" s="398" t="n">
        <v>6586</v>
      </c>
      <c r="P567" s="292" t="n"/>
      <c r="Q567" s="292" t="inlineStr">
        <is>
          <t>candidate-preflight-passed</t>
        </is>
      </c>
      <c r="R567" s="292" t="str"/>
      <c r="S567" s="292" t="inlineStr">
        <is>
          <t>玄渊二十套全装备代码总表.xlsx</t>
        </is>
      </c>
      <c r="T567" s="292" t="inlineStr">
        <is>
          <t>玄渊20套全装备视觉候选；Items/StateItem/DnItems三库同码；属性待策划填写</t>
        </is>
      </c>
      <c r="U567">
        <f>IF(COUNTIF($B$2:$B$1076,B567)&gt;1,"重复","")</f>
        <v/>
      </c>
      <c r="V567">
        <f>IF(AND(OR(M567="",M567=B567),OR(N567="",N567=B567),OR(O567="",O567=B567)),"通过","不一致")</f>
        <v/>
      </c>
    </row>
    <row r="568" ht="22" customHeight="1">
      <c r="A568" s="398" t="n">
        <v>567</v>
      </c>
      <c r="B568" s="398" t="n">
        <v>6587</v>
      </c>
      <c r="C568" s="399" t="inlineStr">
        <is>
          <t>血月荆棘·血痕</t>
        </is>
      </c>
      <c r="D568" s="399" t="inlineStr">
        <is>
          <t>血月荆棘</t>
        </is>
      </c>
      <c r="E568" s="399" t="n">
        <v>1</v>
      </c>
      <c r="F568" s="399" t="inlineStr">
        <is>
          <t>马牌</t>
        </is>
      </c>
      <c r="G568" s="398" t="n">
        <v>28</v>
      </c>
      <c r="H568" s="398" t="n">
        <v>15</v>
      </c>
      <c r="I568" s="398" t="n">
        <v>6587</v>
      </c>
      <c r="J568" s="398" t="n">
        <v>0</v>
      </c>
      <c r="K568" s="398" t="n">
        <v>0</v>
      </c>
      <c r="L568" s="398" t="n">
        <v>0</v>
      </c>
      <c r="M568" s="398" t="n">
        <v>6587</v>
      </c>
      <c r="N568" s="398" t="n">
        <v>6587</v>
      </c>
      <c r="O568" s="398" t="n">
        <v>6587</v>
      </c>
      <c r="P568" s="292" t="n"/>
      <c r="Q568" s="292" t="inlineStr">
        <is>
          <t>candidate-preflight-passed</t>
        </is>
      </c>
      <c r="R568" s="292" t="str"/>
      <c r="S568" s="292" t="inlineStr">
        <is>
          <t>玄渊二十套全装备代码总表.xlsx</t>
        </is>
      </c>
      <c r="T568" s="292" t="inlineStr">
        <is>
          <t>玄渊20套全装备视觉候选；Items/StateItem/DnItems三库同码；属性待策划填写</t>
        </is>
      </c>
      <c r="U568">
        <f>IF(COUNTIF($B$2:$B$1076,B568)&gt;1,"重复","")</f>
        <v/>
      </c>
      <c r="V568">
        <f>IF(AND(OR(M568="",M568=B568),OR(N568="",N568=B568),OR(O568="",O568=B568)),"通过","不一致")</f>
        <v/>
      </c>
    </row>
    <row r="569" ht="22" customHeight="1">
      <c r="A569" s="398" t="n">
        <v>568</v>
      </c>
      <c r="B569" s="398" t="n">
        <v>6588</v>
      </c>
      <c r="C569" s="399" t="inlineStr">
        <is>
          <t>血月荆棘·血痕</t>
        </is>
      </c>
      <c r="D569" s="399" t="inlineStr">
        <is>
          <t>血月荆棘</t>
        </is>
      </c>
      <c r="E569" s="399" t="n">
        <v>1</v>
      </c>
      <c r="F569" s="399" t="inlineStr">
        <is>
          <t>首饰盒1</t>
        </is>
      </c>
      <c r="G569" s="398" t="n">
        <v>22</v>
      </c>
      <c r="H569" s="398" t="n">
        <v>30</v>
      </c>
      <c r="I569" s="398" t="n">
        <v>6588</v>
      </c>
      <c r="J569" s="398" t="n">
        <v>0</v>
      </c>
      <c r="K569" s="398" t="n">
        <v>2</v>
      </c>
      <c r="L569" s="398" t="n">
        <v>1</v>
      </c>
      <c r="M569" s="398" t="n">
        <v>6588</v>
      </c>
      <c r="N569" s="398" t="n">
        <v>6588</v>
      </c>
      <c r="O569" s="398" t="n">
        <v>6588</v>
      </c>
      <c r="P569" s="292" t="n"/>
      <c r="Q569" s="292" t="inlineStr">
        <is>
          <t>candidate-preflight-passed</t>
        </is>
      </c>
      <c r="R569" s="292" t="str"/>
      <c r="S569" s="292" t="inlineStr">
        <is>
          <t>玄渊二十套全装备代码总表.xlsx</t>
        </is>
      </c>
      <c r="T569" s="292" t="inlineStr">
        <is>
          <t>玄渊20套全装备视觉候选；Items/StateItem/DnItems三库同码；属性待策划填写；OverLap=2; Expand1=1</t>
        </is>
      </c>
      <c r="U569">
        <f>IF(COUNTIF($B$2:$B$1076,B569)&gt;1,"重复","")</f>
        <v/>
      </c>
      <c r="V569">
        <f>IF(AND(OR(M569="",M569=B569),OR(N569="",N569=B569),OR(O569="",O569=B569)),"通过","不一致")</f>
        <v/>
      </c>
    </row>
    <row r="570" ht="22" customHeight="1">
      <c r="A570" s="398" t="n">
        <v>569</v>
      </c>
      <c r="B570" s="398" t="n">
        <v>6589</v>
      </c>
      <c r="C570" s="399" t="inlineStr">
        <is>
          <t>血月荆棘·血痕</t>
        </is>
      </c>
      <c r="D570" s="399" t="inlineStr">
        <is>
          <t>血月荆棘</t>
        </is>
      </c>
      <c r="E570" s="399" t="n">
        <v>1</v>
      </c>
      <c r="F570" s="399" t="inlineStr">
        <is>
          <t>首饰盒2</t>
        </is>
      </c>
      <c r="G570" s="398" t="n">
        <v>22</v>
      </c>
      <c r="H570" s="398" t="n">
        <v>31</v>
      </c>
      <c r="I570" s="398" t="n">
        <v>6589</v>
      </c>
      <c r="J570" s="398" t="n">
        <v>0</v>
      </c>
      <c r="K570" s="398" t="n">
        <v>2</v>
      </c>
      <c r="L570" s="398" t="n">
        <v>2</v>
      </c>
      <c r="M570" s="398" t="n">
        <v>6589</v>
      </c>
      <c r="N570" s="398" t="n">
        <v>6589</v>
      </c>
      <c r="O570" s="398" t="n">
        <v>6589</v>
      </c>
      <c r="P570" s="292" t="n"/>
      <c r="Q570" s="292" t="inlineStr">
        <is>
          <t>candidate-preflight-passed</t>
        </is>
      </c>
      <c r="R570" s="292" t="str"/>
      <c r="S570" s="292" t="inlineStr">
        <is>
          <t>玄渊二十套全装备代码总表.xlsx</t>
        </is>
      </c>
      <c r="T570" s="292" t="inlineStr">
        <is>
          <t>玄渊20套全装备视觉候选；Items/StateItem/DnItems三库同码；属性待策划填写；OverLap=2; Expand1=2</t>
        </is>
      </c>
      <c r="U570">
        <f>IF(COUNTIF($B$2:$B$1076,B570)&gt;1,"重复","")</f>
        <v/>
      </c>
      <c r="V570">
        <f>IF(AND(OR(M570="",M570=B570),OR(N570="",N570=B570),OR(O570="",O570=B570)),"通过","不一致")</f>
        <v/>
      </c>
    </row>
    <row r="571" ht="22" customHeight="1">
      <c r="A571" s="398" t="n">
        <v>570</v>
      </c>
      <c r="B571" s="398" t="n">
        <v>6590</v>
      </c>
      <c r="C571" s="399" t="inlineStr">
        <is>
          <t>血月荆棘·血痕</t>
        </is>
      </c>
      <c r="D571" s="399" t="inlineStr">
        <is>
          <t>血月荆棘</t>
        </is>
      </c>
      <c r="E571" s="399" t="n">
        <v>1</v>
      </c>
      <c r="F571" s="399" t="inlineStr">
        <is>
          <t>首饰盒3</t>
        </is>
      </c>
      <c r="G571" s="398" t="n">
        <v>22</v>
      </c>
      <c r="H571" s="398" t="n">
        <v>32</v>
      </c>
      <c r="I571" s="398" t="n">
        <v>6590</v>
      </c>
      <c r="J571" s="398" t="n">
        <v>0</v>
      </c>
      <c r="K571" s="398" t="n">
        <v>2</v>
      </c>
      <c r="L571" s="398" t="n">
        <v>3</v>
      </c>
      <c r="M571" s="398" t="n">
        <v>6590</v>
      </c>
      <c r="N571" s="398" t="n">
        <v>6590</v>
      </c>
      <c r="O571" s="398" t="n">
        <v>6590</v>
      </c>
      <c r="P571" s="292" t="n"/>
      <c r="Q571" s="292" t="inlineStr">
        <is>
          <t>candidate-preflight-passed</t>
        </is>
      </c>
      <c r="R571" s="292" t="str"/>
      <c r="S571" s="292" t="inlineStr">
        <is>
          <t>玄渊二十套全装备代码总表.xlsx</t>
        </is>
      </c>
      <c r="T571" s="292" t="inlineStr">
        <is>
          <t>玄渊20套全装备视觉候选；Items/StateItem/DnItems三库同码；属性待策划填写；OverLap=2; Expand1=3</t>
        </is>
      </c>
      <c r="U571">
        <f>IF(COUNTIF($B$2:$B$1076,B571)&gt;1,"重复","")</f>
        <v/>
      </c>
      <c r="V571">
        <f>IF(AND(OR(M571="",M571=B571),OR(N571="",N571=B571),OR(O571="",O571=B571)),"通过","不一致")</f>
        <v/>
      </c>
    </row>
    <row r="572" ht="22" customHeight="1">
      <c r="A572" s="398" t="n">
        <v>571</v>
      </c>
      <c r="B572" s="398" t="n">
        <v>6591</v>
      </c>
      <c r="C572" s="399" t="inlineStr">
        <is>
          <t>血月荆棘·血痕</t>
        </is>
      </c>
      <c r="D572" s="399" t="inlineStr">
        <is>
          <t>血月荆棘</t>
        </is>
      </c>
      <c r="E572" s="399" t="n">
        <v>1</v>
      </c>
      <c r="F572" s="399" t="inlineStr">
        <is>
          <t>首饰盒4</t>
        </is>
      </c>
      <c r="G572" s="398" t="n">
        <v>22</v>
      </c>
      <c r="H572" s="398" t="n">
        <v>33</v>
      </c>
      <c r="I572" s="398" t="n">
        <v>6591</v>
      </c>
      <c r="J572" s="398" t="n">
        <v>0</v>
      </c>
      <c r="K572" s="398" t="n">
        <v>2</v>
      </c>
      <c r="L572" s="398" t="n">
        <v>4</v>
      </c>
      <c r="M572" s="398" t="n">
        <v>6591</v>
      </c>
      <c r="N572" s="398" t="n">
        <v>6591</v>
      </c>
      <c r="O572" s="398" t="n">
        <v>6591</v>
      </c>
      <c r="P572" s="292" t="n"/>
      <c r="Q572" s="292" t="inlineStr">
        <is>
          <t>candidate-preflight-passed</t>
        </is>
      </c>
      <c r="R572" s="292" t="str"/>
      <c r="S572" s="292" t="inlineStr">
        <is>
          <t>玄渊二十套全装备代码总表.xlsx</t>
        </is>
      </c>
      <c r="T572" s="292" t="inlineStr">
        <is>
          <t>玄渊20套全装备视觉候选；Items/StateItem/DnItems三库同码；属性待策划填写；OverLap=2; Expand1=4</t>
        </is>
      </c>
      <c r="U572">
        <f>IF(COUNTIF($B$2:$B$1076,B572)&gt;1,"重复","")</f>
        <v/>
      </c>
      <c r="V572">
        <f>IF(AND(OR(M572="",M572=B572),OR(N572="",N572=B572),OR(O572="",O572=B572)),"通过","不一致")</f>
        <v/>
      </c>
    </row>
    <row r="573" ht="22" customHeight="1">
      <c r="A573" s="398" t="n">
        <v>572</v>
      </c>
      <c r="B573" s="398" t="n">
        <v>6592</v>
      </c>
      <c r="C573" s="399" t="inlineStr">
        <is>
          <t>血月荆棘·血痕</t>
        </is>
      </c>
      <c r="D573" s="399" t="inlineStr">
        <is>
          <t>血月荆棘</t>
        </is>
      </c>
      <c r="E573" s="399" t="n">
        <v>1</v>
      </c>
      <c r="F573" s="399" t="inlineStr">
        <is>
          <t>首饰盒5</t>
        </is>
      </c>
      <c r="G573" s="398" t="n">
        <v>22</v>
      </c>
      <c r="H573" s="398" t="n">
        <v>34</v>
      </c>
      <c r="I573" s="398" t="n">
        <v>6592</v>
      </c>
      <c r="J573" s="398" t="n">
        <v>0</v>
      </c>
      <c r="K573" s="398" t="n">
        <v>2</v>
      </c>
      <c r="L573" s="398" t="n">
        <v>5</v>
      </c>
      <c r="M573" s="398" t="n">
        <v>6592</v>
      </c>
      <c r="N573" s="398" t="n">
        <v>6592</v>
      </c>
      <c r="O573" s="398" t="n">
        <v>6592</v>
      </c>
      <c r="P573" s="292" t="n"/>
      <c r="Q573" s="292" t="inlineStr">
        <is>
          <t>candidate-preflight-passed</t>
        </is>
      </c>
      <c r="R573" s="292" t="str"/>
      <c r="S573" s="292" t="inlineStr">
        <is>
          <t>玄渊二十套全装备代码总表.xlsx</t>
        </is>
      </c>
      <c r="T573" s="292" t="inlineStr">
        <is>
          <t>玄渊20套全装备视觉候选；Items/StateItem/DnItems三库同码；属性待策划填写；OverLap=2; Expand1=5</t>
        </is>
      </c>
      <c r="U573">
        <f>IF(COUNTIF($B$2:$B$1076,B573)&gt;1,"重复","")</f>
        <v/>
      </c>
      <c r="V573">
        <f>IF(AND(OR(M573="",M573=B573),OR(N573="",N573=B573),OR(O573="",O573=B573)),"通过","不一致")</f>
        <v/>
      </c>
    </row>
    <row r="574" ht="22" customHeight="1">
      <c r="A574" s="398" t="n">
        <v>573</v>
      </c>
      <c r="B574" s="398" t="n">
        <v>6593</v>
      </c>
      <c r="C574" s="399" t="inlineStr">
        <is>
          <t>血月荆棘·血痕</t>
        </is>
      </c>
      <c r="D574" s="399" t="inlineStr">
        <is>
          <t>血月荆棘</t>
        </is>
      </c>
      <c r="E574" s="399" t="n">
        <v>1</v>
      </c>
      <c r="F574" s="399" t="inlineStr">
        <is>
          <t>首饰盒6</t>
        </is>
      </c>
      <c r="G574" s="398" t="n">
        <v>22</v>
      </c>
      <c r="H574" s="398" t="n">
        <v>35</v>
      </c>
      <c r="I574" s="398" t="n">
        <v>6593</v>
      </c>
      <c r="J574" s="398" t="n">
        <v>0</v>
      </c>
      <c r="K574" s="398" t="n">
        <v>2</v>
      </c>
      <c r="L574" s="398" t="n">
        <v>6</v>
      </c>
      <c r="M574" s="398" t="n">
        <v>6593</v>
      </c>
      <c r="N574" s="398" t="n">
        <v>6593</v>
      </c>
      <c r="O574" s="398" t="n">
        <v>6593</v>
      </c>
      <c r="P574" s="292" t="n"/>
      <c r="Q574" s="292" t="inlineStr">
        <is>
          <t>candidate-preflight-passed</t>
        </is>
      </c>
      <c r="R574" s="292" t="str"/>
      <c r="S574" s="292" t="inlineStr">
        <is>
          <t>玄渊二十套全装备代码总表.xlsx</t>
        </is>
      </c>
      <c r="T574" s="292" t="inlineStr">
        <is>
          <t>玄渊20套全装备视觉候选；Items/StateItem/DnItems三库同码；属性待策划填写；OverLap=2; Expand1=6</t>
        </is>
      </c>
      <c r="U574">
        <f>IF(COUNTIF($B$2:$B$1076,B574)&gt;1,"重复","")</f>
        <v/>
      </c>
      <c r="V574">
        <f>IF(AND(OR(M574="",M574=B574),OR(N574="",N574=B574),OR(O574="",O574=B574)),"通过","不一致")</f>
        <v/>
      </c>
    </row>
    <row r="575" ht="22" customHeight="1">
      <c r="A575" s="398" t="n">
        <v>574</v>
      </c>
      <c r="B575" s="398" t="n">
        <v>6594</v>
      </c>
      <c r="C575" s="399" t="inlineStr">
        <is>
          <t>血月荆棘·血痕</t>
        </is>
      </c>
      <c r="D575" s="399" t="inlineStr">
        <is>
          <t>血月荆棘</t>
        </is>
      </c>
      <c r="E575" s="399" t="n">
        <v>1</v>
      </c>
      <c r="F575" s="399" t="inlineStr">
        <is>
          <t>生肖1</t>
        </is>
      </c>
      <c r="G575" s="398" t="n">
        <v>22</v>
      </c>
      <c r="H575" s="398" t="n">
        <v>40</v>
      </c>
      <c r="I575" s="398" t="n">
        <v>6594</v>
      </c>
      <c r="J575" s="398" t="n">
        <v>0</v>
      </c>
      <c r="K575" s="398" t="n">
        <v>4</v>
      </c>
      <c r="L575" s="398" t="n">
        <v>1</v>
      </c>
      <c r="M575" s="398" t="n">
        <v>6594</v>
      </c>
      <c r="N575" s="398" t="n">
        <v>6594</v>
      </c>
      <c r="O575" s="398" t="n">
        <v>6594</v>
      </c>
      <c r="P575" s="292" t="n"/>
      <c r="Q575" s="292" t="inlineStr">
        <is>
          <t>candidate-preflight-passed</t>
        </is>
      </c>
      <c r="R575" s="292" t="str"/>
      <c r="S575" s="292" t="inlineStr">
        <is>
          <t>玄渊二十套全装备代码总表.xlsx</t>
        </is>
      </c>
      <c r="T575" s="292" t="inlineStr">
        <is>
          <t>玄渊20套全装备视觉候选；Items/StateItem/DnItems三库同码；属性待策划填写；OverLap=4; Expand1=1</t>
        </is>
      </c>
      <c r="U575">
        <f>IF(COUNTIF($B$2:$B$1076,B575)&gt;1,"重复","")</f>
        <v/>
      </c>
      <c r="V575">
        <f>IF(AND(OR(M575="",M575=B575),OR(N575="",N575=B575),OR(O575="",O575=B575)),"通过","不一致")</f>
        <v/>
      </c>
    </row>
    <row r="576" ht="22" customHeight="1">
      <c r="A576" s="398" t="n">
        <v>575</v>
      </c>
      <c r="B576" s="398" t="n">
        <v>6595</v>
      </c>
      <c r="C576" s="399" t="inlineStr">
        <is>
          <t>血月荆棘·血痕</t>
        </is>
      </c>
      <c r="D576" s="399" t="inlineStr">
        <is>
          <t>血月荆棘</t>
        </is>
      </c>
      <c r="E576" s="399" t="n">
        <v>1</v>
      </c>
      <c r="F576" s="399" t="inlineStr">
        <is>
          <t>生肖2</t>
        </is>
      </c>
      <c r="G576" s="398" t="n">
        <v>22</v>
      </c>
      <c r="H576" s="398" t="n">
        <v>41</v>
      </c>
      <c r="I576" s="398" t="n">
        <v>6595</v>
      </c>
      <c r="J576" s="398" t="n">
        <v>0</v>
      </c>
      <c r="K576" s="398" t="n">
        <v>4</v>
      </c>
      <c r="L576" s="398" t="n">
        <v>2</v>
      </c>
      <c r="M576" s="398" t="n">
        <v>6595</v>
      </c>
      <c r="N576" s="398" t="n">
        <v>6595</v>
      </c>
      <c r="O576" s="398" t="n">
        <v>6595</v>
      </c>
      <c r="P576" s="292" t="n"/>
      <c r="Q576" s="292" t="inlineStr">
        <is>
          <t>candidate-preflight-passed</t>
        </is>
      </c>
      <c r="R576" s="292" t="str"/>
      <c r="S576" s="292" t="inlineStr">
        <is>
          <t>玄渊二十套全装备代码总表.xlsx</t>
        </is>
      </c>
      <c r="T576" s="292" t="inlineStr">
        <is>
          <t>玄渊20套全装备视觉候选；Items/StateItem/DnItems三库同码；属性待策划填写；OverLap=4; Expand1=2</t>
        </is>
      </c>
      <c r="U576">
        <f>IF(COUNTIF($B$2:$B$1076,B576)&gt;1,"重复","")</f>
        <v/>
      </c>
      <c r="V576">
        <f>IF(AND(OR(M576="",M576=B576),OR(N576="",N576=B576),OR(O576="",O576=B576)),"通过","不一致")</f>
        <v/>
      </c>
    </row>
    <row r="577" ht="22" customHeight="1">
      <c r="A577" s="398" t="n">
        <v>576</v>
      </c>
      <c r="B577" s="398" t="n">
        <v>6596</v>
      </c>
      <c r="C577" s="399" t="inlineStr">
        <is>
          <t>血月荆棘·血痕</t>
        </is>
      </c>
      <c r="D577" s="399" t="inlineStr">
        <is>
          <t>血月荆棘</t>
        </is>
      </c>
      <c r="E577" s="399" t="n">
        <v>1</v>
      </c>
      <c r="F577" s="399" t="inlineStr">
        <is>
          <t>生肖3</t>
        </is>
      </c>
      <c r="G577" s="398" t="n">
        <v>22</v>
      </c>
      <c r="H577" s="398" t="n">
        <v>42</v>
      </c>
      <c r="I577" s="398" t="n">
        <v>6596</v>
      </c>
      <c r="J577" s="398" t="n">
        <v>0</v>
      </c>
      <c r="K577" s="398" t="n">
        <v>4</v>
      </c>
      <c r="L577" s="398" t="n">
        <v>3</v>
      </c>
      <c r="M577" s="398" t="n">
        <v>6596</v>
      </c>
      <c r="N577" s="398" t="n">
        <v>6596</v>
      </c>
      <c r="O577" s="398" t="n">
        <v>6596</v>
      </c>
      <c r="P577" s="292" t="n"/>
      <c r="Q577" s="292" t="inlineStr">
        <is>
          <t>candidate-preflight-passed</t>
        </is>
      </c>
      <c r="R577" s="292" t="str"/>
      <c r="S577" s="292" t="inlineStr">
        <is>
          <t>玄渊二十套全装备代码总表.xlsx</t>
        </is>
      </c>
      <c r="T577" s="292" t="inlineStr">
        <is>
          <t>玄渊20套全装备视觉候选；Items/StateItem/DnItems三库同码；属性待策划填写；OverLap=4; Expand1=3</t>
        </is>
      </c>
      <c r="U577">
        <f>IF(COUNTIF($B$2:$B$1076,B577)&gt;1,"重复","")</f>
        <v/>
      </c>
      <c r="V577">
        <f>IF(AND(OR(M577="",M577=B577),OR(N577="",N577=B577),OR(O577="",O577=B577)),"通过","不一致")</f>
        <v/>
      </c>
    </row>
    <row r="578" ht="22" customHeight="1">
      <c r="A578" s="398" t="n">
        <v>577</v>
      </c>
      <c r="B578" s="398" t="n">
        <v>6597</v>
      </c>
      <c r="C578" s="399" t="inlineStr">
        <is>
          <t>血月荆棘·血痕</t>
        </is>
      </c>
      <c r="D578" s="399" t="inlineStr">
        <is>
          <t>血月荆棘</t>
        </is>
      </c>
      <c r="E578" s="399" t="n">
        <v>1</v>
      </c>
      <c r="F578" s="399" t="inlineStr">
        <is>
          <t>生肖4</t>
        </is>
      </c>
      <c r="G578" s="398" t="n">
        <v>22</v>
      </c>
      <c r="H578" s="398" t="n">
        <v>43</v>
      </c>
      <c r="I578" s="398" t="n">
        <v>6597</v>
      </c>
      <c r="J578" s="398" t="n">
        <v>0</v>
      </c>
      <c r="K578" s="398" t="n">
        <v>4</v>
      </c>
      <c r="L578" s="398" t="n">
        <v>4</v>
      </c>
      <c r="M578" s="398" t="n">
        <v>6597</v>
      </c>
      <c r="N578" s="398" t="n">
        <v>6597</v>
      </c>
      <c r="O578" s="398" t="n">
        <v>6597</v>
      </c>
      <c r="P578" s="292" t="n"/>
      <c r="Q578" s="292" t="inlineStr">
        <is>
          <t>candidate-preflight-passed</t>
        </is>
      </c>
      <c r="R578" s="292" t="str"/>
      <c r="S578" s="292" t="inlineStr">
        <is>
          <t>玄渊二十套全装备代码总表.xlsx</t>
        </is>
      </c>
      <c r="T578" s="292" t="inlineStr">
        <is>
          <t>玄渊20套全装备视觉候选；Items/StateItem/DnItems三库同码；属性待策划填写；OverLap=4; Expand1=4</t>
        </is>
      </c>
      <c r="U578">
        <f>IF(COUNTIF($B$2:$B$1076,B578)&gt;1,"重复","")</f>
        <v/>
      </c>
      <c r="V578">
        <f>IF(AND(OR(M578="",M578=B578),OR(N578="",N578=B578),OR(O578="",O578=B578)),"通过","不一致")</f>
        <v/>
      </c>
    </row>
    <row r="579" ht="22" customHeight="1">
      <c r="A579" s="398" t="n">
        <v>578</v>
      </c>
      <c r="B579" s="398" t="n">
        <v>6598</v>
      </c>
      <c r="C579" s="399" t="inlineStr">
        <is>
          <t>血月荆棘·血痕</t>
        </is>
      </c>
      <c r="D579" s="399" t="inlineStr">
        <is>
          <t>血月荆棘</t>
        </is>
      </c>
      <c r="E579" s="399" t="n">
        <v>1</v>
      </c>
      <c r="F579" s="399" t="inlineStr">
        <is>
          <t>生肖5</t>
        </is>
      </c>
      <c r="G579" s="398" t="n">
        <v>22</v>
      </c>
      <c r="H579" s="398" t="n">
        <v>44</v>
      </c>
      <c r="I579" s="398" t="n">
        <v>6598</v>
      </c>
      <c r="J579" s="398" t="n">
        <v>0</v>
      </c>
      <c r="K579" s="398" t="n">
        <v>4</v>
      </c>
      <c r="L579" s="398" t="n">
        <v>5</v>
      </c>
      <c r="M579" s="398" t="n">
        <v>6598</v>
      </c>
      <c r="N579" s="398" t="n">
        <v>6598</v>
      </c>
      <c r="O579" s="398" t="n">
        <v>6598</v>
      </c>
      <c r="P579" s="292" t="n"/>
      <c r="Q579" s="292" t="inlineStr">
        <is>
          <t>candidate-preflight-passed</t>
        </is>
      </c>
      <c r="R579" s="292" t="str"/>
      <c r="S579" s="292" t="inlineStr">
        <is>
          <t>玄渊二十套全装备代码总表.xlsx</t>
        </is>
      </c>
      <c r="T579" s="292" t="inlineStr">
        <is>
          <t>玄渊20套全装备视觉候选；Items/StateItem/DnItems三库同码；属性待策划填写；OverLap=4; Expand1=5</t>
        </is>
      </c>
      <c r="U579">
        <f>IF(COUNTIF($B$2:$B$1076,B579)&gt;1,"重复","")</f>
        <v/>
      </c>
      <c r="V579">
        <f>IF(AND(OR(M579="",M579=B579),OR(N579="",N579=B579),OR(O579="",O579=B579)),"通过","不一致")</f>
        <v/>
      </c>
    </row>
    <row r="580" ht="22" customHeight="1">
      <c r="A580" s="398" t="n">
        <v>579</v>
      </c>
      <c r="B580" s="398" t="n">
        <v>6599</v>
      </c>
      <c r="C580" s="399" t="inlineStr">
        <is>
          <t>血月荆棘·血痕</t>
        </is>
      </c>
      <c r="D580" s="399" t="inlineStr">
        <is>
          <t>血月荆棘</t>
        </is>
      </c>
      <c r="E580" s="399" t="n">
        <v>1</v>
      </c>
      <c r="F580" s="399" t="inlineStr">
        <is>
          <t>生肖6</t>
        </is>
      </c>
      <c r="G580" s="398" t="n">
        <v>22</v>
      </c>
      <c r="H580" s="398" t="n">
        <v>45</v>
      </c>
      <c r="I580" s="398" t="n">
        <v>6599</v>
      </c>
      <c r="J580" s="398" t="n">
        <v>0</v>
      </c>
      <c r="K580" s="398" t="n">
        <v>4</v>
      </c>
      <c r="L580" s="398" t="n">
        <v>6</v>
      </c>
      <c r="M580" s="398" t="n">
        <v>6599</v>
      </c>
      <c r="N580" s="398" t="n">
        <v>6599</v>
      </c>
      <c r="O580" s="398" t="n">
        <v>6599</v>
      </c>
      <c r="P580" s="292" t="n"/>
      <c r="Q580" s="292" t="inlineStr">
        <is>
          <t>candidate-preflight-passed</t>
        </is>
      </c>
      <c r="R580" s="292" t="str"/>
      <c r="S580" s="292" t="inlineStr">
        <is>
          <t>玄渊二十套全装备代码总表.xlsx</t>
        </is>
      </c>
      <c r="T580" s="292" t="inlineStr">
        <is>
          <t>玄渊20套全装备视觉候选；Items/StateItem/DnItems三库同码；属性待策划填写；OverLap=4; Expand1=6</t>
        </is>
      </c>
      <c r="U580">
        <f>IF(COUNTIF($B$2:$B$1076,B580)&gt;1,"重复","")</f>
        <v/>
      </c>
      <c r="V580">
        <f>IF(AND(OR(M580="",M580=B580),OR(N580="",N580=B580),OR(O580="",O580=B580)),"通过","不一致")</f>
        <v/>
      </c>
    </row>
    <row r="581" ht="22" customHeight="1">
      <c r="A581" s="398" t="n">
        <v>580</v>
      </c>
      <c r="B581" s="398" t="n">
        <v>6600</v>
      </c>
      <c r="C581" s="399" t="inlineStr">
        <is>
          <t>血月荆棘·血痕</t>
        </is>
      </c>
      <c r="D581" s="399" t="inlineStr">
        <is>
          <t>血月荆棘</t>
        </is>
      </c>
      <c r="E581" s="399" t="n">
        <v>1</v>
      </c>
      <c r="F581" s="399" t="inlineStr">
        <is>
          <t>生肖7</t>
        </is>
      </c>
      <c r="G581" s="398" t="n">
        <v>22</v>
      </c>
      <c r="H581" s="398" t="n">
        <v>46</v>
      </c>
      <c r="I581" s="398" t="n">
        <v>6600</v>
      </c>
      <c r="J581" s="398" t="n">
        <v>0</v>
      </c>
      <c r="K581" s="398" t="n">
        <v>4</v>
      </c>
      <c r="L581" s="398" t="n">
        <v>7</v>
      </c>
      <c r="M581" s="398" t="n">
        <v>6600</v>
      </c>
      <c r="N581" s="398" t="n">
        <v>6600</v>
      </c>
      <c r="O581" s="398" t="n">
        <v>6600</v>
      </c>
      <c r="P581" s="292" t="n"/>
      <c r="Q581" s="292" t="inlineStr">
        <is>
          <t>candidate-preflight-passed</t>
        </is>
      </c>
      <c r="R581" s="292" t="str"/>
      <c r="S581" s="292" t="inlineStr">
        <is>
          <t>玄渊二十套全装备代码总表.xlsx</t>
        </is>
      </c>
      <c r="T581" s="292" t="inlineStr">
        <is>
          <t>玄渊20套全装备视觉候选；Items/StateItem/DnItems三库同码；属性待策划填写；OverLap=4; Expand1=7</t>
        </is>
      </c>
      <c r="U581">
        <f>IF(COUNTIF($B$2:$B$1076,B581)&gt;1,"重复","")</f>
        <v/>
      </c>
      <c r="V581">
        <f>IF(AND(OR(M581="",M581=B581),OR(N581="",N581=B581),OR(O581="",O581=B581)),"通过","不一致")</f>
        <v/>
      </c>
    </row>
    <row r="582" ht="22" customHeight="1">
      <c r="A582" s="398" t="n">
        <v>581</v>
      </c>
      <c r="B582" s="398" t="n">
        <v>6601</v>
      </c>
      <c r="C582" s="399" t="inlineStr">
        <is>
          <t>血月荆棘·血痕</t>
        </is>
      </c>
      <c r="D582" s="399" t="inlineStr">
        <is>
          <t>血月荆棘</t>
        </is>
      </c>
      <c r="E582" s="399" t="n">
        <v>1</v>
      </c>
      <c r="F582" s="399" t="inlineStr">
        <is>
          <t>生肖8</t>
        </is>
      </c>
      <c r="G582" s="398" t="n">
        <v>22</v>
      </c>
      <c r="H582" s="398" t="n">
        <v>47</v>
      </c>
      <c r="I582" s="398" t="n">
        <v>6601</v>
      </c>
      <c r="J582" s="398" t="n">
        <v>0</v>
      </c>
      <c r="K582" s="398" t="n">
        <v>4</v>
      </c>
      <c r="L582" s="398" t="n">
        <v>8</v>
      </c>
      <c r="M582" s="398" t="n">
        <v>6601</v>
      </c>
      <c r="N582" s="398" t="n">
        <v>6601</v>
      </c>
      <c r="O582" s="398" t="n">
        <v>6601</v>
      </c>
      <c r="P582" s="292" t="n"/>
      <c r="Q582" s="292" t="inlineStr">
        <is>
          <t>candidate-preflight-passed</t>
        </is>
      </c>
      <c r="R582" s="292" t="str"/>
      <c r="S582" s="292" t="inlineStr">
        <is>
          <t>玄渊二十套全装备代码总表.xlsx</t>
        </is>
      </c>
      <c r="T582" s="292" t="inlineStr">
        <is>
          <t>玄渊20套全装备视觉候选；Items/StateItem/DnItems三库同码；属性待策划填写；OverLap=4; Expand1=8</t>
        </is>
      </c>
      <c r="U582">
        <f>IF(COUNTIF($B$2:$B$1076,B582)&gt;1,"重复","")</f>
        <v/>
      </c>
      <c r="V582">
        <f>IF(AND(OR(M582="",M582=B582),OR(N582="",N582=B582),OR(O582="",O582=B582)),"通过","不一致")</f>
        <v/>
      </c>
    </row>
    <row r="583" ht="22" customHeight="1">
      <c r="A583" s="398" t="n">
        <v>582</v>
      </c>
      <c r="B583" s="398" t="n">
        <v>6602</v>
      </c>
      <c r="C583" s="399" t="inlineStr">
        <is>
          <t>血月荆棘·血痕</t>
        </is>
      </c>
      <c r="D583" s="399" t="inlineStr">
        <is>
          <t>血月荆棘</t>
        </is>
      </c>
      <c r="E583" s="399" t="n">
        <v>1</v>
      </c>
      <c r="F583" s="399" t="inlineStr">
        <is>
          <t>生肖9</t>
        </is>
      </c>
      <c r="G583" s="398" t="n">
        <v>22</v>
      </c>
      <c r="H583" s="398" t="n">
        <v>48</v>
      </c>
      <c r="I583" s="398" t="n">
        <v>6602</v>
      </c>
      <c r="J583" s="398" t="n">
        <v>0</v>
      </c>
      <c r="K583" s="398" t="n">
        <v>4</v>
      </c>
      <c r="L583" s="398" t="n">
        <v>9</v>
      </c>
      <c r="M583" s="398" t="n">
        <v>6602</v>
      </c>
      <c r="N583" s="398" t="n">
        <v>6602</v>
      </c>
      <c r="O583" s="398" t="n">
        <v>6602</v>
      </c>
      <c r="P583" s="292" t="n"/>
      <c r="Q583" s="292" t="inlineStr">
        <is>
          <t>candidate-preflight-passed</t>
        </is>
      </c>
      <c r="R583" s="292" t="str"/>
      <c r="S583" s="292" t="inlineStr">
        <is>
          <t>玄渊二十套全装备代码总表.xlsx</t>
        </is>
      </c>
      <c r="T583" s="292" t="inlineStr">
        <is>
          <t>玄渊20套全装备视觉候选；Items/StateItem/DnItems三库同码；属性待策划填写；OverLap=4; Expand1=9</t>
        </is>
      </c>
      <c r="U583">
        <f>IF(COUNTIF($B$2:$B$1076,B583)&gt;1,"重复","")</f>
        <v/>
      </c>
      <c r="V583">
        <f>IF(AND(OR(M583="",M583=B583),OR(N583="",N583=B583),OR(O583="",O583=B583)),"通过","不一致")</f>
        <v/>
      </c>
    </row>
    <row r="584" ht="22" customHeight="1">
      <c r="A584" s="398" t="n">
        <v>583</v>
      </c>
      <c r="B584" s="398" t="n">
        <v>6603</v>
      </c>
      <c r="C584" s="399" t="inlineStr">
        <is>
          <t>血月荆棘·血痕</t>
        </is>
      </c>
      <c r="D584" s="399" t="inlineStr">
        <is>
          <t>血月荆棘</t>
        </is>
      </c>
      <c r="E584" s="399" t="n">
        <v>1</v>
      </c>
      <c r="F584" s="399" t="inlineStr">
        <is>
          <t>生肖10</t>
        </is>
      </c>
      <c r="G584" s="398" t="n">
        <v>22</v>
      </c>
      <c r="H584" s="398" t="n">
        <v>49</v>
      </c>
      <c r="I584" s="398" t="n">
        <v>6603</v>
      </c>
      <c r="J584" s="398" t="n">
        <v>0</v>
      </c>
      <c r="K584" s="398" t="n">
        <v>4</v>
      </c>
      <c r="L584" s="398" t="n">
        <v>10</v>
      </c>
      <c r="M584" s="398" t="n">
        <v>6603</v>
      </c>
      <c r="N584" s="398" t="n">
        <v>6603</v>
      </c>
      <c r="O584" s="398" t="n">
        <v>6603</v>
      </c>
      <c r="P584" s="292" t="n"/>
      <c r="Q584" s="292" t="inlineStr">
        <is>
          <t>candidate-preflight-passed</t>
        </is>
      </c>
      <c r="R584" s="292" t="str"/>
      <c r="S584" s="292" t="inlineStr">
        <is>
          <t>玄渊二十套全装备代码总表.xlsx</t>
        </is>
      </c>
      <c r="T584" s="292" t="inlineStr">
        <is>
          <t>玄渊20套全装备视觉候选；Items/StateItem/DnItems三库同码；属性待策划填写；OverLap=4; Expand1=10</t>
        </is>
      </c>
      <c r="U584">
        <f>IF(COUNTIF($B$2:$B$1076,B584)&gt;1,"重复","")</f>
        <v/>
      </c>
      <c r="V584">
        <f>IF(AND(OR(M584="",M584=B584),OR(N584="",N584=B584),OR(O584="",O584=B584)),"通过","不一致")</f>
        <v/>
      </c>
    </row>
    <row r="585" ht="22" customHeight="1">
      <c r="A585" s="398" t="n">
        <v>584</v>
      </c>
      <c r="B585" s="398" t="n">
        <v>6604</v>
      </c>
      <c r="C585" s="399" t="inlineStr">
        <is>
          <t>血月荆棘·血痕</t>
        </is>
      </c>
      <c r="D585" s="399" t="inlineStr">
        <is>
          <t>血月荆棘</t>
        </is>
      </c>
      <c r="E585" s="399" t="n">
        <v>1</v>
      </c>
      <c r="F585" s="399" t="inlineStr">
        <is>
          <t>生肖11</t>
        </is>
      </c>
      <c r="G585" s="398" t="n">
        <v>22</v>
      </c>
      <c r="H585" s="398" t="n">
        <v>50</v>
      </c>
      <c r="I585" s="398" t="n">
        <v>6604</v>
      </c>
      <c r="J585" s="398" t="n">
        <v>0</v>
      </c>
      <c r="K585" s="398" t="n">
        <v>4</v>
      </c>
      <c r="L585" s="398" t="n">
        <v>11</v>
      </c>
      <c r="M585" s="398" t="n">
        <v>6604</v>
      </c>
      <c r="N585" s="398" t="n">
        <v>6604</v>
      </c>
      <c r="O585" s="398" t="n">
        <v>6604</v>
      </c>
      <c r="P585" s="292" t="n"/>
      <c r="Q585" s="292" t="inlineStr">
        <is>
          <t>candidate-preflight-passed</t>
        </is>
      </c>
      <c r="R585" s="292" t="str"/>
      <c r="S585" s="292" t="inlineStr">
        <is>
          <t>玄渊二十套全装备代码总表.xlsx</t>
        </is>
      </c>
      <c r="T585" s="292" t="inlineStr">
        <is>
          <t>玄渊20套全装备视觉候选；Items/StateItem/DnItems三库同码；属性待策划填写；OverLap=4; Expand1=11</t>
        </is>
      </c>
      <c r="U585">
        <f>IF(COUNTIF($B$2:$B$1076,B585)&gt;1,"重复","")</f>
        <v/>
      </c>
      <c r="V585">
        <f>IF(AND(OR(M585="",M585=B585),OR(N585="",N585=B585),OR(O585="",O585=B585)),"通过","不一致")</f>
        <v/>
      </c>
    </row>
    <row r="586" ht="22" customHeight="1">
      <c r="A586" s="398" t="n">
        <v>585</v>
      </c>
      <c r="B586" s="398" t="n">
        <v>6605</v>
      </c>
      <c r="C586" s="399" t="inlineStr">
        <is>
          <t>血月荆棘·血痕</t>
        </is>
      </c>
      <c r="D586" s="399" t="inlineStr">
        <is>
          <t>血月荆棘</t>
        </is>
      </c>
      <c r="E586" s="399" t="n">
        <v>1</v>
      </c>
      <c r="F586" s="399" t="inlineStr">
        <is>
          <t>生肖12</t>
        </is>
      </c>
      <c r="G586" s="398" t="n">
        <v>22</v>
      </c>
      <c r="H586" s="398" t="n">
        <v>51</v>
      </c>
      <c r="I586" s="398" t="n">
        <v>6605</v>
      </c>
      <c r="J586" s="398" t="n">
        <v>0</v>
      </c>
      <c r="K586" s="398" t="n">
        <v>4</v>
      </c>
      <c r="L586" s="398" t="n">
        <v>12</v>
      </c>
      <c r="M586" s="398" t="n">
        <v>6605</v>
      </c>
      <c r="N586" s="398" t="n">
        <v>6605</v>
      </c>
      <c r="O586" s="398" t="n">
        <v>6605</v>
      </c>
      <c r="P586" s="292" t="n"/>
      <c r="Q586" s="292" t="inlineStr">
        <is>
          <t>candidate-preflight-passed</t>
        </is>
      </c>
      <c r="R586" s="292" t="str"/>
      <c r="S586" s="292" t="inlineStr">
        <is>
          <t>玄渊二十套全装备代码总表.xlsx</t>
        </is>
      </c>
      <c r="T586" s="292" t="inlineStr">
        <is>
          <t>玄渊20套全装备视觉候选；Items/StateItem/DnItems三库同码；属性待策划填写；OverLap=4; Expand1=12</t>
        </is>
      </c>
      <c r="U586">
        <f>IF(COUNTIF($B$2:$B$1076,B586)&gt;1,"重复","")</f>
        <v/>
      </c>
      <c r="V586">
        <f>IF(AND(OR(M586="",M586=B586),OR(N586="",N586=B586),OR(O586="",O586=B586)),"通过","不一致")</f>
        <v/>
      </c>
    </row>
    <row r="587" ht="22" customHeight="1">
      <c r="A587" s="398" t="n">
        <v>586</v>
      </c>
      <c r="B587" s="398" t="n">
        <v>6606</v>
      </c>
      <c r="C587" s="399" t="inlineStr">
        <is>
          <t>血月荆棘·荆冠</t>
        </is>
      </c>
      <c r="D587" s="399" t="inlineStr">
        <is>
          <t>血月荆棘</t>
        </is>
      </c>
      <c r="E587" s="399" t="n">
        <v>2</v>
      </c>
      <c r="F587" s="399" t="inlineStr">
        <is>
          <t>武器</t>
        </is>
      </c>
      <c r="G587" s="398" t="n">
        <v>5</v>
      </c>
      <c r="H587" s="398" t="n">
        <v>1</v>
      </c>
      <c r="I587" s="398" t="n">
        <v>6606</v>
      </c>
      <c r="J587" s="398" t="n">
        <v>22</v>
      </c>
      <c r="K587" s="398" t="n">
        <v>0</v>
      </c>
      <c r="L587" s="398" t="n">
        <v>0</v>
      </c>
      <c r="M587" s="398" t="n">
        <v>6606</v>
      </c>
      <c r="N587" s="398" t="n">
        <v>6606</v>
      </c>
      <c r="O587" s="398" t="n">
        <v>6606</v>
      </c>
      <c r="P587" s="292" t="inlineStr">
        <is>
          <t>Weapon.wzl/wzx（复用现有真实动作）</t>
        </is>
      </c>
      <c r="Q587" s="292" t="inlineStr">
        <is>
          <t>candidate-preflight-passed</t>
        </is>
      </c>
      <c r="R587" s="324" t="inlineStr">
        <is>
          <t>C3-C10规划锁定：艾德统帅剑</t>
        </is>
      </c>
      <c r="S587" s="292" t="inlineStr">
        <is>
          <t>玄渊二十套全装备代码总表.xlsx</t>
        </is>
      </c>
      <c r="T587" s="292" t="inlineStr">
        <is>
          <t>玄渊20套全装备视觉候选；Items/StateItem/DnItems三库同码；属性待策划填写；Weapon Shape=22</t>
        </is>
      </c>
      <c r="U587">
        <f>IF(COUNTIF($B$2:$B$1076,B587)&gt;1,"重复","")</f>
        <v/>
      </c>
      <c r="V587">
        <f>IF(AND(OR(M587="",M587=B587),OR(N587="",N587=B587),OR(O587="",O587=B587)),"通过","不一致")</f>
        <v/>
      </c>
    </row>
    <row r="588" ht="22" customHeight="1">
      <c r="A588" s="398" t="n">
        <v>587</v>
      </c>
      <c r="B588" s="398" t="n">
        <v>6607</v>
      </c>
      <c r="C588" s="399" t="inlineStr">
        <is>
          <t>血月荆棘·荆冠</t>
        </is>
      </c>
      <c r="D588" s="399" t="inlineStr">
        <is>
          <t>血月荆棘</t>
        </is>
      </c>
      <c r="E588" s="399" t="n">
        <v>2</v>
      </c>
      <c r="F588" s="399" t="inlineStr">
        <is>
          <t>男衣服</t>
        </is>
      </c>
      <c r="G588" s="398" t="n">
        <v>10</v>
      </c>
      <c r="H588" s="398" t="n">
        <v>0</v>
      </c>
      <c r="I588" s="398" t="n">
        <v>6607</v>
      </c>
      <c r="J588" s="398" t="n">
        <v>7</v>
      </c>
      <c r="K588" s="398" t="n">
        <v>0</v>
      </c>
      <c r="L588" s="398" t="n">
        <v>0</v>
      </c>
      <c r="M588" s="398" t="n">
        <v>6607</v>
      </c>
      <c r="N588" s="398" t="n">
        <v>6607</v>
      </c>
      <c r="O588" s="398" t="n">
        <v>6607</v>
      </c>
      <c r="P588" s="292" t="inlineStr">
        <is>
          <t>Hum.wzl/wzx（复用现有真实动作）</t>
        </is>
      </c>
      <c r="Q588" s="292" t="inlineStr">
        <is>
          <t>candidate-preflight-passed</t>
        </is>
      </c>
      <c r="R588" s="324" t="inlineStr">
        <is>
          <t>C3-C10规划锁定：洛恩树心甲</t>
        </is>
      </c>
      <c r="S588" s="292" t="inlineStr">
        <is>
          <t>玄渊二十套全装备代码总表.xlsx</t>
        </is>
      </c>
      <c r="T588" s="292" t="inlineStr">
        <is>
          <t>玄渊20套全装备视觉候选；Items/StateItem/DnItems三库同码；属性待策划填写；Hum Shape=7</t>
        </is>
      </c>
      <c r="U588">
        <f>IF(COUNTIF($B$2:$B$1076,B588)&gt;1,"重复","")</f>
        <v/>
      </c>
      <c r="V588">
        <f>IF(AND(OR(M588="",M588=B588),OR(N588="",N588=B588),OR(O588="",O588=B588)),"通过","不一致")</f>
        <v/>
      </c>
    </row>
    <row r="589" ht="22" customHeight="1">
      <c r="A589" s="398" t="n">
        <v>588</v>
      </c>
      <c r="B589" s="398" t="n">
        <v>6608</v>
      </c>
      <c r="C589" s="399" t="inlineStr">
        <is>
          <t>血月荆棘·荆冠</t>
        </is>
      </c>
      <c r="D589" s="399" t="inlineStr">
        <is>
          <t>血月荆棘</t>
        </is>
      </c>
      <c r="E589" s="399" t="n">
        <v>2</v>
      </c>
      <c r="F589" s="399" t="inlineStr">
        <is>
          <t>女衣服</t>
        </is>
      </c>
      <c r="G589" s="398" t="n">
        <v>11</v>
      </c>
      <c r="H589" s="398" t="n">
        <v>0</v>
      </c>
      <c r="I589" s="398" t="n">
        <v>6608</v>
      </c>
      <c r="J589" s="398" t="n">
        <v>7</v>
      </c>
      <c r="K589" s="398" t="n">
        <v>0</v>
      </c>
      <c r="L589" s="398" t="n">
        <v>0</v>
      </c>
      <c r="M589" s="398" t="n">
        <v>6608</v>
      </c>
      <c r="N589" s="398" t="n">
        <v>6608</v>
      </c>
      <c r="O589" s="398" t="n">
        <v>6608</v>
      </c>
      <c r="P589" s="292" t="inlineStr">
        <is>
          <t>Hum.wzl/wzx（复用现有真实动作）</t>
        </is>
      </c>
      <c r="Q589" s="292" t="inlineStr">
        <is>
          <t>candidate-preflight-passed</t>
        </is>
      </c>
      <c r="R589" s="292" t="str"/>
      <c r="S589" s="292" t="inlineStr">
        <is>
          <t>玄渊二十套全装备代码总表.xlsx</t>
        </is>
      </c>
      <c r="T589" s="292" t="inlineStr">
        <is>
          <t>玄渊20套全装备视觉候选；Items/StateItem/DnItems三库同码；属性待策划填写；Hum Shape=7</t>
        </is>
      </c>
      <c r="U589">
        <f>IF(COUNTIF($B$2:$B$1076,B589)&gt;1,"重复","")</f>
        <v/>
      </c>
      <c r="V589">
        <f>IF(AND(OR(M589="",M589=B589),OR(N589="",N589=B589),OR(O589="",O589=B589)),"通过","不一致")</f>
        <v/>
      </c>
    </row>
    <row r="590" ht="22" customHeight="1">
      <c r="A590" s="398" t="n">
        <v>589</v>
      </c>
      <c r="B590" s="398" t="n">
        <v>6609</v>
      </c>
      <c r="C590" s="399" t="inlineStr">
        <is>
          <t>血月荆棘·荆冠</t>
        </is>
      </c>
      <c r="D590" s="399" t="inlineStr">
        <is>
          <t>血月荆棘</t>
        </is>
      </c>
      <c r="E590" s="399" t="n">
        <v>2</v>
      </c>
      <c r="F590" s="399" t="inlineStr">
        <is>
          <t>头盔</t>
        </is>
      </c>
      <c r="G590" s="398" t="n">
        <v>15</v>
      </c>
      <c r="H590" s="398" t="n">
        <v>4</v>
      </c>
      <c r="I590" s="398" t="n">
        <v>6609</v>
      </c>
      <c r="J590" s="398" t="n">
        <v>0</v>
      </c>
      <c r="K590" s="398" t="n">
        <v>0</v>
      </c>
      <c r="L590" s="398" t="n">
        <v>0</v>
      </c>
      <c r="M590" s="398" t="n">
        <v>6609</v>
      </c>
      <c r="N590" s="398" t="n">
        <v>6609</v>
      </c>
      <c r="O590" s="398" t="n">
        <v>6609</v>
      </c>
      <c r="P590" s="292" t="n"/>
      <c r="Q590" s="292" t="inlineStr">
        <is>
          <t>candidate-preflight-passed</t>
        </is>
      </c>
      <c r="R590" s="324" t="inlineStr">
        <is>
          <t>C3-C10规划锁定：回廊石盔</t>
        </is>
      </c>
      <c r="S590" s="292" t="inlineStr">
        <is>
          <t>玄渊二十套全装备代码总表.xlsx</t>
        </is>
      </c>
      <c r="T590" s="292" t="inlineStr">
        <is>
          <t>玄渊20套全装备视觉候选；Items/StateItem/DnItems三库同码；属性待策划填写</t>
        </is>
      </c>
      <c r="U590">
        <f>IF(COUNTIF($B$2:$B$1076,B590)&gt;1,"重复","")</f>
        <v/>
      </c>
      <c r="V590">
        <f>IF(AND(OR(M590="",M590=B590),OR(N590="",N590=B590),OR(O590="",O590=B590)),"通过","不一致")</f>
        <v/>
      </c>
    </row>
    <row r="591" ht="22" customHeight="1">
      <c r="A591" s="398" t="n">
        <v>590</v>
      </c>
      <c r="B591" s="398" t="n">
        <v>6610</v>
      </c>
      <c r="C591" s="399" t="inlineStr">
        <is>
          <t>血月荆棘·荆冠</t>
        </is>
      </c>
      <c r="D591" s="399" t="inlineStr">
        <is>
          <t>血月荆棘</t>
        </is>
      </c>
      <c r="E591" s="399" t="n">
        <v>2</v>
      </c>
      <c r="F591" s="399" t="inlineStr">
        <is>
          <t>面巾</t>
        </is>
      </c>
      <c r="G591" s="398" t="n">
        <v>16</v>
      </c>
      <c r="H591" s="398" t="n">
        <v>13</v>
      </c>
      <c r="I591" s="398" t="n">
        <v>6610</v>
      </c>
      <c r="J591" s="398" t="n">
        <v>0</v>
      </c>
      <c r="K591" s="398" t="n">
        <v>0</v>
      </c>
      <c r="L591" s="398" t="n">
        <v>0</v>
      </c>
      <c r="M591" s="398" t="n">
        <v>6610</v>
      </c>
      <c r="N591" s="398" t="n">
        <v>6610</v>
      </c>
      <c r="O591" s="398" t="n">
        <v>6610</v>
      </c>
      <c r="P591" s="292" t="n"/>
      <c r="Q591" s="292" t="inlineStr">
        <is>
          <t>candidate-preflight-passed</t>
        </is>
      </c>
      <c r="R591" s="324" t="inlineStr">
        <is>
          <t>C3-C10规划锁定：回声盗墓笠</t>
        </is>
      </c>
      <c r="S591" s="292" t="inlineStr">
        <is>
          <t>玄渊二十套全装备代码总表.xlsx</t>
        </is>
      </c>
      <c r="T591" s="292" t="inlineStr">
        <is>
          <t>玄渊20套全装备视觉候选；Items/StateItem/DnItems三库同码；属性待策划填写</t>
        </is>
      </c>
      <c r="U591">
        <f>IF(COUNTIF($B$2:$B$1076,B591)&gt;1,"重复","")</f>
        <v/>
      </c>
      <c r="V591">
        <f>IF(AND(OR(M591="",M591=B591),OR(N591="",N591=B591),OR(O591="",O591=B591)),"通过","不一致")</f>
        <v/>
      </c>
    </row>
    <row r="592" ht="22" customHeight="1">
      <c r="A592" s="398" t="n">
        <v>591</v>
      </c>
      <c r="B592" s="398" t="n">
        <v>6611</v>
      </c>
      <c r="C592" s="399" t="inlineStr">
        <is>
          <t>血月荆棘·荆冠</t>
        </is>
      </c>
      <c r="D592" s="399" t="inlineStr">
        <is>
          <t>血月荆棘</t>
        </is>
      </c>
      <c r="E592" s="399" t="n">
        <v>2</v>
      </c>
      <c r="F592" s="399" t="inlineStr">
        <is>
          <t>项链</t>
        </is>
      </c>
      <c r="G592" s="398" t="n">
        <v>19</v>
      </c>
      <c r="H592" s="398" t="n">
        <v>3</v>
      </c>
      <c r="I592" s="398" t="n">
        <v>6611</v>
      </c>
      <c r="J592" s="398" t="n">
        <v>0</v>
      </c>
      <c r="K592" s="398" t="n">
        <v>0</v>
      </c>
      <c r="L592" s="398" t="n">
        <v>0</v>
      </c>
      <c r="M592" s="398" t="n">
        <v>6611</v>
      </c>
      <c r="N592" s="398" t="n">
        <v>6611</v>
      </c>
      <c r="O592" s="398" t="n">
        <v>6611</v>
      </c>
      <c r="P592" s="292" t="n"/>
      <c r="Q592" s="292" t="inlineStr">
        <is>
          <t>candidate-preflight-passed</t>
        </is>
      </c>
      <c r="R592" s="324" t="inlineStr">
        <is>
          <t>C3-C10规划锁定：折戟铁链</t>
        </is>
      </c>
      <c r="S592" s="292" t="inlineStr">
        <is>
          <t>玄渊二十套全装备代码总表.xlsx</t>
        </is>
      </c>
      <c r="T592" s="292" t="inlineStr">
        <is>
          <t>玄渊20套全装备视觉候选；Items/StateItem/DnItems三库同码；属性待策划填写</t>
        </is>
      </c>
      <c r="U592">
        <f>IF(COUNTIF($B$2:$B$1076,B592)&gt;1,"重复","")</f>
        <v/>
      </c>
      <c r="V592">
        <f>IF(AND(OR(M592="",M592=B592),OR(N592="",N592=B592),OR(O592="",O592=B592)),"通过","不一致")</f>
        <v/>
      </c>
    </row>
    <row r="593" ht="22" customHeight="1">
      <c r="A593" s="398" t="n">
        <v>592</v>
      </c>
      <c r="B593" s="398" t="n">
        <v>6612</v>
      </c>
      <c r="C593" s="399" t="inlineStr">
        <is>
          <t>血月荆棘·荆冠</t>
        </is>
      </c>
      <c r="D593" s="399" t="inlineStr">
        <is>
          <t>血月荆棘</t>
        </is>
      </c>
      <c r="E593" s="399" t="n">
        <v>2</v>
      </c>
      <c r="F593" s="399" t="inlineStr">
        <is>
          <t>手镯</t>
        </is>
      </c>
      <c r="G593" s="398" t="n">
        <v>26</v>
      </c>
      <c r="H593" s="398" t="n">
        <v>5</v>
      </c>
      <c r="I593" s="398" t="n">
        <v>6612</v>
      </c>
      <c r="J593" s="398" t="n">
        <v>0</v>
      </c>
      <c r="K593" s="398" t="n">
        <v>0</v>
      </c>
      <c r="L593" s="398" t="n">
        <v>0</v>
      </c>
      <c r="M593" s="398" t="n">
        <v>6612</v>
      </c>
      <c r="N593" s="398" t="n">
        <v>6612</v>
      </c>
      <c r="O593" s="398" t="n">
        <v>6612</v>
      </c>
      <c r="P593" s="292" t="n"/>
      <c r="Q593" s="292" t="inlineStr">
        <is>
          <t>candidate-preflight-passed</t>
        </is>
      </c>
      <c r="R593" s="324" t="inlineStr">
        <is>
          <t>C3-C10规划锁定：圣露护腕</t>
        </is>
      </c>
      <c r="S593" s="292" t="inlineStr">
        <is>
          <t>玄渊二十套全装备代码总表.xlsx</t>
        </is>
      </c>
      <c r="T593" s="292" t="inlineStr">
        <is>
          <t>玄渊20套全装备视觉候选；Items/StateItem/DnItems三库同码；属性待策划填写</t>
        </is>
      </c>
      <c r="U593">
        <f>IF(COUNTIF($B$2:$B$1076,B593)&gt;1,"重复","")</f>
        <v/>
      </c>
      <c r="V593">
        <f>IF(AND(OR(M593="",M593=B593),OR(N593="",N593=B593),OR(O593="",O593=B593)),"通过","不一致")</f>
        <v/>
      </c>
    </row>
    <row r="594" ht="22" customHeight="1">
      <c r="A594" s="398" t="n">
        <v>593</v>
      </c>
      <c r="B594" s="398" t="n">
        <v>6613</v>
      </c>
      <c r="C594" s="399" t="inlineStr">
        <is>
          <t>血月荆棘·荆冠</t>
        </is>
      </c>
      <c r="D594" s="399" t="inlineStr">
        <is>
          <t>血月荆棘</t>
        </is>
      </c>
      <c r="E594" s="399" t="n">
        <v>2</v>
      </c>
      <c r="F594" s="399" t="inlineStr">
        <is>
          <t>戒指</t>
        </is>
      </c>
      <c r="G594" s="398" t="n">
        <v>22</v>
      </c>
      <c r="H594" s="398" t="n">
        <v>7</v>
      </c>
      <c r="I594" s="398" t="n">
        <v>6613</v>
      </c>
      <c r="J594" s="398" t="n">
        <v>0</v>
      </c>
      <c r="K594" s="398" t="n">
        <v>0</v>
      </c>
      <c r="L594" s="398" t="n">
        <v>0</v>
      </c>
      <c r="M594" s="398" t="n">
        <v>6613</v>
      </c>
      <c r="N594" s="398" t="n">
        <v>6613</v>
      </c>
      <c r="O594" s="398" t="n">
        <v>6613</v>
      </c>
      <c r="P594" s="292" t="n"/>
      <c r="Q594" s="292" t="inlineStr">
        <is>
          <t>candidate-preflight-passed</t>
        </is>
      </c>
      <c r="R594" s="324" t="inlineStr">
        <is>
          <t>C3-C10规划锁定：边墙牙戒</t>
        </is>
      </c>
      <c r="S594" s="292" t="inlineStr">
        <is>
          <t>玄渊二十套全装备代码总表.xlsx</t>
        </is>
      </c>
      <c r="T594" s="292" t="inlineStr">
        <is>
          <t>玄渊20套全装备视觉候选；Items/StateItem/DnItems三库同码；属性待策划填写</t>
        </is>
      </c>
      <c r="U594">
        <f>IF(COUNTIF($B$2:$B$1076,B594)&gt;1,"重复","")</f>
        <v/>
      </c>
      <c r="V594">
        <f>IF(AND(OR(M594="",M594=B594),OR(N594="",N594=B594),OR(O594="",O594=B594)),"通过","不一致")</f>
        <v/>
      </c>
    </row>
    <row r="595" ht="22" customHeight="1">
      <c r="A595" s="398" t="n">
        <v>594</v>
      </c>
      <c r="B595" s="398" t="n">
        <v>6614</v>
      </c>
      <c r="C595" s="399" t="inlineStr">
        <is>
          <t>血月荆棘·荆冠</t>
        </is>
      </c>
      <c r="D595" s="399" t="inlineStr">
        <is>
          <t>血月荆棘</t>
        </is>
      </c>
      <c r="E595" s="399" t="n">
        <v>2</v>
      </c>
      <c r="F595" s="399" t="inlineStr">
        <is>
          <t>勋章</t>
        </is>
      </c>
      <c r="G595" s="398" t="n">
        <v>30</v>
      </c>
      <c r="H595" s="398" t="n">
        <v>2</v>
      </c>
      <c r="I595" s="398" t="n">
        <v>6614</v>
      </c>
      <c r="J595" s="398" t="n">
        <v>0</v>
      </c>
      <c r="K595" s="398" t="n">
        <v>0</v>
      </c>
      <c r="L595" s="398" t="n">
        <v>0</v>
      </c>
      <c r="M595" s="398" t="n">
        <v>6614</v>
      </c>
      <c r="N595" s="398" t="n">
        <v>6614</v>
      </c>
      <c r="O595" s="398" t="n">
        <v>6614</v>
      </c>
      <c r="P595" s="292" t="n"/>
      <c r="Q595" s="292" t="inlineStr">
        <is>
          <t>candidate-preflight-passed</t>
        </is>
      </c>
      <c r="R595" s="324" t="inlineStr">
        <is>
          <t>C3-C10规划锁定：镇魂勋章</t>
        </is>
      </c>
      <c r="S595" s="292" t="inlineStr">
        <is>
          <t>玄渊二十套全装备代码总表.xlsx</t>
        </is>
      </c>
      <c r="T595" s="292" t="inlineStr">
        <is>
          <t>玄渊20套全装备视觉候选；Items/StateItem/DnItems三库同码；属性待策划填写</t>
        </is>
      </c>
      <c r="U595">
        <f>IF(COUNTIF($B$2:$B$1076,B595)&gt;1,"重复","")</f>
        <v/>
      </c>
      <c r="V595">
        <f>IF(AND(OR(M595="",M595=B595),OR(N595="",N595=B595),OR(O595="",O595=B595)),"通过","不一致")</f>
        <v/>
      </c>
    </row>
    <row r="596" ht="22" customHeight="1">
      <c r="A596" s="398" t="n">
        <v>595</v>
      </c>
      <c r="B596" s="398" t="n">
        <v>6615</v>
      </c>
      <c r="C596" s="399" t="inlineStr">
        <is>
          <t>血月荆棘·荆冠</t>
        </is>
      </c>
      <c r="D596" s="399" t="inlineStr">
        <is>
          <t>血月荆棘</t>
        </is>
      </c>
      <c r="E596" s="399" t="n">
        <v>2</v>
      </c>
      <c r="F596" s="399" t="inlineStr">
        <is>
          <t>盾牌</t>
        </is>
      </c>
      <c r="G596" s="398" t="n">
        <v>12</v>
      </c>
      <c r="H596" s="398" t="n">
        <v>16</v>
      </c>
      <c r="I596" s="398" t="n">
        <v>6615</v>
      </c>
      <c r="J596" s="398" t="n">
        <v>0</v>
      </c>
      <c r="K596" s="398" t="n">
        <v>0</v>
      </c>
      <c r="L596" s="398" t="n">
        <v>0</v>
      </c>
      <c r="M596" s="398" t="n">
        <v>6615</v>
      </c>
      <c r="N596" s="398" t="n">
        <v>6615</v>
      </c>
      <c r="O596" s="398" t="n">
        <v>6615</v>
      </c>
      <c r="P596" s="292" t="n"/>
      <c r="Q596" s="292" t="inlineStr">
        <is>
          <t>candidate-preflight-passed</t>
        </is>
      </c>
      <c r="R596" s="324" t="inlineStr">
        <is>
          <t>C3-C10规划锁定：青壳沼盾</t>
        </is>
      </c>
      <c r="S596" s="292" t="inlineStr">
        <is>
          <t>玄渊二十套全装备代码总表.xlsx</t>
        </is>
      </c>
      <c r="T596" s="292" t="inlineStr">
        <is>
          <t>玄渊20套全装备视觉候选；Items/StateItem/DnItems三库同码；属性待策划填写</t>
        </is>
      </c>
      <c r="U596">
        <f>IF(COUNTIF($B$2:$B$1076,B596)&gt;1,"重复","")</f>
        <v/>
      </c>
      <c r="V596">
        <f>IF(AND(OR(M596="",M596=B596),OR(N596="",N596=B596),OR(O596="",O596=B596)),"通过","不一致")</f>
        <v/>
      </c>
    </row>
    <row r="597" ht="22" customHeight="1">
      <c r="A597" s="398" t="n">
        <v>596</v>
      </c>
      <c r="B597" s="398" t="n">
        <v>6616</v>
      </c>
      <c r="C597" s="399" t="inlineStr">
        <is>
          <t>血月荆棘·荆冠</t>
        </is>
      </c>
      <c r="D597" s="399" t="inlineStr">
        <is>
          <t>血月荆棘</t>
        </is>
      </c>
      <c r="E597" s="399" t="n">
        <v>2</v>
      </c>
      <c r="F597" s="399" t="inlineStr">
        <is>
          <t>灵玉</t>
        </is>
      </c>
      <c r="G597" s="398" t="n">
        <v>90</v>
      </c>
      <c r="H597" s="398" t="n">
        <v>17</v>
      </c>
      <c r="I597" s="398" t="n">
        <v>6616</v>
      </c>
      <c r="J597" s="398" t="n">
        <v>0</v>
      </c>
      <c r="K597" s="398" t="n">
        <v>0</v>
      </c>
      <c r="L597" s="398" t="n">
        <v>0</v>
      </c>
      <c r="M597" s="398" t="n">
        <v>6616</v>
      </c>
      <c r="N597" s="398" t="n">
        <v>6616</v>
      </c>
      <c r="O597" s="398" t="n">
        <v>6616</v>
      </c>
      <c r="P597" s="292" t="n"/>
      <c r="Q597" s="292" t="inlineStr">
        <is>
          <t>candidate-preflight-passed</t>
        </is>
      </c>
      <c r="R597" s="292" t="str"/>
      <c r="S597" s="292" t="inlineStr">
        <is>
          <t>玄渊二十套全装备代码总表.xlsx</t>
        </is>
      </c>
      <c r="T597" s="292" t="inlineStr">
        <is>
          <t>玄渊20套全装备视觉候选；Items/StateItem/DnItems三库同码；属性待策划填写</t>
        </is>
      </c>
      <c r="U597">
        <f>IF(COUNTIF($B$2:$B$1076,B597)&gt;1,"重复","")</f>
        <v/>
      </c>
      <c r="V597">
        <f>IF(AND(OR(M597="",M597=B597),OR(N597="",N597=B597),OR(O597="",O597=B597)),"通过","不一致")</f>
        <v/>
      </c>
    </row>
    <row r="598" ht="22" customHeight="1">
      <c r="A598" s="398" t="n">
        <v>597</v>
      </c>
      <c r="B598" s="398" t="n">
        <v>6617</v>
      </c>
      <c r="C598" s="399" t="inlineStr">
        <is>
          <t>血月荆棘·荆冠</t>
        </is>
      </c>
      <c r="D598" s="399" t="inlineStr">
        <is>
          <t>血月荆棘</t>
        </is>
      </c>
      <c r="E598" s="399" t="n">
        <v>2</v>
      </c>
      <c r="F598" s="399" t="inlineStr">
        <is>
          <t>鞋子</t>
        </is>
      </c>
      <c r="G598" s="398" t="n">
        <v>62</v>
      </c>
      <c r="H598" s="398" t="n">
        <v>11</v>
      </c>
      <c r="I598" s="398" t="n">
        <v>6617</v>
      </c>
      <c r="J598" s="398" t="n">
        <v>0</v>
      </c>
      <c r="K598" s="398" t="n">
        <v>0</v>
      </c>
      <c r="L598" s="398" t="n">
        <v>0</v>
      </c>
      <c r="M598" s="398" t="n">
        <v>6617</v>
      </c>
      <c r="N598" s="398" t="n">
        <v>6617</v>
      </c>
      <c r="O598" s="398" t="n">
        <v>6617</v>
      </c>
      <c r="P598" s="292" t="n"/>
      <c r="Q598" s="292" t="inlineStr">
        <is>
          <t>candidate-preflight-passed</t>
        </is>
      </c>
      <c r="R598" s="324" t="inlineStr">
        <is>
          <t>C3-C10规划锁定：赐福战靴</t>
        </is>
      </c>
      <c r="S598" s="292" t="inlineStr">
        <is>
          <t>玄渊二十套全装备代码总表.xlsx</t>
        </is>
      </c>
      <c r="T598" s="292" t="inlineStr">
        <is>
          <t>玄渊20套全装备视觉候选；Items/StateItem/DnItems三库同码；属性待策划填写</t>
        </is>
      </c>
      <c r="U598">
        <f>IF(COUNTIF($B$2:$B$1076,B598)&gt;1,"重复","")</f>
        <v/>
      </c>
      <c r="V598">
        <f>IF(AND(OR(M598="",M598=B598),OR(N598="",N598=B598),OR(O598="",O598=B598)),"通过","不一致")</f>
        <v/>
      </c>
    </row>
    <row r="599" ht="22" customHeight="1">
      <c r="A599" s="398" t="n">
        <v>598</v>
      </c>
      <c r="B599" s="398" t="n">
        <v>6618</v>
      </c>
      <c r="C599" s="399" t="inlineStr">
        <is>
          <t>血月荆棘·荆冠</t>
        </is>
      </c>
      <c r="D599" s="399" t="inlineStr">
        <is>
          <t>血月荆棘</t>
        </is>
      </c>
      <c r="E599" s="399" t="n">
        <v>2</v>
      </c>
      <c r="F599" s="399" t="inlineStr">
        <is>
          <t>腰带</t>
        </is>
      </c>
      <c r="G599" s="398" t="n">
        <v>64</v>
      </c>
      <c r="H599" s="398" t="n">
        <v>10</v>
      </c>
      <c r="I599" s="398" t="n">
        <v>6618</v>
      </c>
      <c r="J599" s="398" t="n">
        <v>0</v>
      </c>
      <c r="K599" s="398" t="n">
        <v>0</v>
      </c>
      <c r="L599" s="398" t="n">
        <v>0</v>
      </c>
      <c r="M599" s="398" t="n">
        <v>6618</v>
      </c>
      <c r="N599" s="398" t="n">
        <v>6618</v>
      </c>
      <c r="O599" s="398" t="n">
        <v>6618</v>
      </c>
      <c r="P599" s="292" t="n"/>
      <c r="Q599" s="292" t="inlineStr">
        <is>
          <t>candidate-preflight-passed</t>
        </is>
      </c>
      <c r="R599" s="324" t="inlineStr">
        <is>
          <t>C3-C10规划锁定：双螯束带</t>
        </is>
      </c>
      <c r="S599" s="292" t="inlineStr">
        <is>
          <t>玄渊二十套全装备代码总表.xlsx</t>
        </is>
      </c>
      <c r="T599" s="292" t="inlineStr">
        <is>
          <t>玄渊20套全装备视觉候选；Items/StateItem/DnItems三库同码；属性待策划填写</t>
        </is>
      </c>
      <c r="U599">
        <f>IF(COUNTIF($B$2:$B$1076,B599)&gt;1,"重复","")</f>
        <v/>
      </c>
      <c r="V599">
        <f>IF(AND(OR(M599="",M599=B599),OR(N599="",N599=B599),OR(O599="",O599=B599)),"通过","不一致")</f>
        <v/>
      </c>
    </row>
    <row r="600" ht="22" customHeight="1">
      <c r="A600" s="398" t="n">
        <v>599</v>
      </c>
      <c r="B600" s="398" t="n">
        <v>6619</v>
      </c>
      <c r="C600" s="399" t="inlineStr">
        <is>
          <t>血月荆棘·荆冠</t>
        </is>
      </c>
      <c r="D600" s="399" t="inlineStr">
        <is>
          <t>血月荆棘</t>
        </is>
      </c>
      <c r="E600" s="399" t="n">
        <v>2</v>
      </c>
      <c r="F600" s="399" t="inlineStr">
        <is>
          <t>护身符</t>
        </is>
      </c>
      <c r="G600" s="398" t="n">
        <v>25</v>
      </c>
      <c r="H600" s="398" t="n">
        <v>9</v>
      </c>
      <c r="I600" s="398" t="n">
        <v>6619</v>
      </c>
      <c r="J600" s="398" t="n">
        <v>0</v>
      </c>
      <c r="K600" s="398" t="n">
        <v>0</v>
      </c>
      <c r="L600" s="398" t="n">
        <v>0</v>
      </c>
      <c r="M600" s="398" t="n">
        <v>6619</v>
      </c>
      <c r="N600" s="398" t="n">
        <v>6619</v>
      </c>
      <c r="O600" s="398" t="n">
        <v>6619</v>
      </c>
      <c r="P600" s="292" t="n"/>
      <c r="Q600" s="292" t="inlineStr">
        <is>
          <t>candidate-preflight-passed</t>
        </is>
      </c>
      <c r="R600" s="292" t="str"/>
      <c r="S600" s="292" t="inlineStr">
        <is>
          <t>玄渊二十套全装备代码总表.xlsx</t>
        </is>
      </c>
      <c r="T600" s="292" t="inlineStr">
        <is>
          <t>玄渊20套全装备视觉候选；Items/StateItem/DnItems三库同码；属性待策划填写</t>
        </is>
      </c>
      <c r="U600">
        <f>IF(COUNTIF($B$2:$B$1076,B600)&gt;1,"重复","")</f>
        <v/>
      </c>
      <c r="V600">
        <f>IF(AND(OR(M600="",M600=B600),OR(N600="",N600=B600),OR(O600="",O600=B600)),"通过","不一致")</f>
        <v/>
      </c>
    </row>
    <row r="601" ht="22" customHeight="1">
      <c r="A601" s="398" t="n">
        <v>600</v>
      </c>
      <c r="B601" s="398" t="n">
        <v>6620</v>
      </c>
      <c r="C601" s="399" t="inlineStr">
        <is>
          <t>血月荆棘·荆冠</t>
        </is>
      </c>
      <c r="D601" s="399" t="inlineStr">
        <is>
          <t>血月荆棘</t>
        </is>
      </c>
      <c r="E601" s="399" t="n">
        <v>2</v>
      </c>
      <c r="F601" s="399" t="inlineStr">
        <is>
          <t>宝石</t>
        </is>
      </c>
      <c r="G601" s="398" t="n">
        <v>63</v>
      </c>
      <c r="H601" s="398" t="n">
        <v>12</v>
      </c>
      <c r="I601" s="398" t="n">
        <v>6620</v>
      </c>
      <c r="J601" s="398" t="n">
        <v>0</v>
      </c>
      <c r="K601" s="398" t="n">
        <v>0</v>
      </c>
      <c r="L601" s="398" t="n">
        <v>0</v>
      </c>
      <c r="M601" s="398" t="n">
        <v>6620</v>
      </c>
      <c r="N601" s="398" t="n">
        <v>6620</v>
      </c>
      <c r="O601" s="398" t="n">
        <v>6620</v>
      </c>
      <c r="P601" s="292" t="n"/>
      <c r="Q601" s="292" t="inlineStr">
        <is>
          <t>candidate-preflight-passed</t>
        </is>
      </c>
      <c r="R601" s="292" t="str"/>
      <c r="S601" s="292" t="inlineStr">
        <is>
          <t>玄渊二十套全装备代码总表.xlsx</t>
        </is>
      </c>
      <c r="T601" s="292" t="inlineStr">
        <is>
          <t>玄渊20套全装备视觉候选；Items/StateItem/DnItems三库同码；属性待策划填写</t>
        </is>
      </c>
      <c r="U601">
        <f>IF(COUNTIF($B$2:$B$1076,B601)&gt;1,"重复","")</f>
        <v/>
      </c>
      <c r="V601">
        <f>IF(AND(OR(M601="",M601=B601),OR(N601="",N601=B601),OR(O601="",O601=B601)),"通过","不一致")</f>
        <v/>
      </c>
    </row>
    <row r="602" ht="22" customHeight="1">
      <c r="A602" s="398" t="n">
        <v>601</v>
      </c>
      <c r="B602" s="398" t="n">
        <v>6621</v>
      </c>
      <c r="C602" s="399" t="inlineStr">
        <is>
          <t>血月荆棘·荆冠</t>
        </is>
      </c>
      <c r="D602" s="399" t="inlineStr">
        <is>
          <t>血月荆棘</t>
        </is>
      </c>
      <c r="E602" s="399" t="n">
        <v>2</v>
      </c>
      <c r="F602" s="399" t="inlineStr">
        <is>
          <t>军鼓</t>
        </is>
      </c>
      <c r="G602" s="398" t="n">
        <v>65</v>
      </c>
      <c r="H602" s="398" t="n">
        <v>14</v>
      </c>
      <c r="I602" s="398" t="n">
        <v>6621</v>
      </c>
      <c r="J602" s="398" t="n">
        <v>0</v>
      </c>
      <c r="K602" s="398" t="n">
        <v>0</v>
      </c>
      <c r="L602" s="398" t="n">
        <v>0</v>
      </c>
      <c r="M602" s="398" t="n">
        <v>6621</v>
      </c>
      <c r="N602" s="398" t="n">
        <v>6621</v>
      </c>
      <c r="O602" s="398" t="n">
        <v>6621</v>
      </c>
      <c r="P602" s="292" t="n"/>
      <c r="Q602" s="292" t="inlineStr">
        <is>
          <t>candidate-preflight-passed</t>
        </is>
      </c>
      <c r="R602" s="292" t="str"/>
      <c r="S602" s="292" t="inlineStr">
        <is>
          <t>玄渊二十套全装备代码总表.xlsx</t>
        </is>
      </c>
      <c r="T602" s="292" t="inlineStr">
        <is>
          <t>玄渊20套全装备视觉候选；Items/StateItem/DnItems三库同码；属性待策划填写</t>
        </is>
      </c>
      <c r="U602">
        <f>IF(COUNTIF($B$2:$B$1076,B602)&gt;1,"重复","")</f>
        <v/>
      </c>
      <c r="V602">
        <f>IF(AND(OR(M602="",M602=B602),OR(N602="",N602=B602),OR(O602="",O602=B602)),"通过","不一致")</f>
        <v/>
      </c>
    </row>
    <row r="603" ht="22" customHeight="1">
      <c r="A603" s="398" t="n">
        <v>602</v>
      </c>
      <c r="B603" s="398" t="n">
        <v>6622</v>
      </c>
      <c r="C603" s="399" t="inlineStr">
        <is>
          <t>血月荆棘·荆冠</t>
        </is>
      </c>
      <c r="D603" s="399" t="inlineStr">
        <is>
          <t>血月荆棘</t>
        </is>
      </c>
      <c r="E603" s="399" t="n">
        <v>2</v>
      </c>
      <c r="F603" s="399" t="inlineStr">
        <is>
          <t>马牌</t>
        </is>
      </c>
      <c r="G603" s="398" t="n">
        <v>28</v>
      </c>
      <c r="H603" s="398" t="n">
        <v>15</v>
      </c>
      <c r="I603" s="398" t="n">
        <v>6622</v>
      </c>
      <c r="J603" s="398" t="n">
        <v>0</v>
      </c>
      <c r="K603" s="398" t="n">
        <v>0</v>
      </c>
      <c r="L603" s="398" t="n">
        <v>0</v>
      </c>
      <c r="M603" s="398" t="n">
        <v>6622</v>
      </c>
      <c r="N603" s="398" t="n">
        <v>6622</v>
      </c>
      <c r="O603" s="398" t="n">
        <v>6622</v>
      </c>
      <c r="P603" s="292" t="n"/>
      <c r="Q603" s="292" t="inlineStr">
        <is>
          <t>candidate-preflight-passed</t>
        </is>
      </c>
      <c r="R603" s="292" t="str"/>
      <c r="S603" s="292" t="inlineStr">
        <is>
          <t>玄渊二十套全装备代码总表.xlsx</t>
        </is>
      </c>
      <c r="T603" s="292" t="inlineStr">
        <is>
          <t>玄渊20套全装备视觉候选；Items/StateItem/DnItems三库同码；属性待策划填写</t>
        </is>
      </c>
      <c r="U603">
        <f>IF(COUNTIF($B$2:$B$1076,B603)&gt;1,"重复","")</f>
        <v/>
      </c>
      <c r="V603">
        <f>IF(AND(OR(M603="",M603=B603),OR(N603="",N603=B603),OR(O603="",O603=B603)),"通过","不一致")</f>
        <v/>
      </c>
    </row>
    <row r="604" ht="22" customHeight="1">
      <c r="A604" s="398" t="n">
        <v>603</v>
      </c>
      <c r="B604" s="398" t="n">
        <v>6623</v>
      </c>
      <c r="C604" s="399" t="inlineStr">
        <is>
          <t>血月荆棘·荆冠</t>
        </is>
      </c>
      <c r="D604" s="399" t="inlineStr">
        <is>
          <t>血月荆棘</t>
        </is>
      </c>
      <c r="E604" s="399" t="n">
        <v>2</v>
      </c>
      <c r="F604" s="399" t="inlineStr">
        <is>
          <t>首饰盒1</t>
        </is>
      </c>
      <c r="G604" s="398" t="n">
        <v>22</v>
      </c>
      <c r="H604" s="398" t="n">
        <v>30</v>
      </c>
      <c r="I604" s="398" t="n">
        <v>6623</v>
      </c>
      <c r="J604" s="398" t="n">
        <v>0</v>
      </c>
      <c r="K604" s="398" t="n">
        <v>2</v>
      </c>
      <c r="L604" s="398" t="n">
        <v>1</v>
      </c>
      <c r="M604" s="398" t="n">
        <v>6623</v>
      </c>
      <c r="N604" s="398" t="n">
        <v>6623</v>
      </c>
      <c r="O604" s="398" t="n">
        <v>6623</v>
      </c>
      <c r="P604" s="292" t="n"/>
      <c r="Q604" s="292" t="inlineStr">
        <is>
          <t>candidate-preflight-passed</t>
        </is>
      </c>
      <c r="R604" s="292" t="str"/>
      <c r="S604" s="292" t="inlineStr">
        <is>
          <t>玄渊二十套全装备代码总表.xlsx</t>
        </is>
      </c>
      <c r="T604" s="292" t="inlineStr">
        <is>
          <t>玄渊20套全装备视觉候选；Items/StateItem/DnItems三库同码；属性待策划填写；OverLap=2; Expand1=1</t>
        </is>
      </c>
      <c r="U604">
        <f>IF(COUNTIF($B$2:$B$1076,B604)&gt;1,"重复","")</f>
        <v/>
      </c>
      <c r="V604">
        <f>IF(AND(OR(M604="",M604=B604),OR(N604="",N604=B604),OR(O604="",O604=B604)),"通过","不一致")</f>
        <v/>
      </c>
    </row>
    <row r="605" ht="22" customHeight="1">
      <c r="A605" s="398" t="n">
        <v>604</v>
      </c>
      <c r="B605" s="398" t="n">
        <v>6624</v>
      </c>
      <c r="C605" s="399" t="inlineStr">
        <is>
          <t>血月荆棘·荆冠</t>
        </is>
      </c>
      <c r="D605" s="399" t="inlineStr">
        <is>
          <t>血月荆棘</t>
        </is>
      </c>
      <c r="E605" s="399" t="n">
        <v>2</v>
      </c>
      <c r="F605" s="399" t="inlineStr">
        <is>
          <t>首饰盒2</t>
        </is>
      </c>
      <c r="G605" s="398" t="n">
        <v>22</v>
      </c>
      <c r="H605" s="398" t="n">
        <v>31</v>
      </c>
      <c r="I605" s="398" t="n">
        <v>6624</v>
      </c>
      <c r="J605" s="398" t="n">
        <v>0</v>
      </c>
      <c r="K605" s="398" t="n">
        <v>2</v>
      </c>
      <c r="L605" s="398" t="n">
        <v>2</v>
      </c>
      <c r="M605" s="398" t="n">
        <v>6624</v>
      </c>
      <c r="N605" s="398" t="n">
        <v>6624</v>
      </c>
      <c r="O605" s="398" t="n">
        <v>6624</v>
      </c>
      <c r="P605" s="292" t="n"/>
      <c r="Q605" s="292" t="inlineStr">
        <is>
          <t>candidate-preflight-passed</t>
        </is>
      </c>
      <c r="R605" s="292" t="str"/>
      <c r="S605" s="292" t="inlineStr">
        <is>
          <t>玄渊二十套全装备代码总表.xlsx</t>
        </is>
      </c>
      <c r="T605" s="292" t="inlineStr">
        <is>
          <t>玄渊20套全装备视觉候选；Items/StateItem/DnItems三库同码；属性待策划填写；OverLap=2; Expand1=2</t>
        </is>
      </c>
      <c r="U605">
        <f>IF(COUNTIF($B$2:$B$1076,B605)&gt;1,"重复","")</f>
        <v/>
      </c>
      <c r="V605">
        <f>IF(AND(OR(M605="",M605=B605),OR(N605="",N605=B605),OR(O605="",O605=B605)),"通过","不一致")</f>
        <v/>
      </c>
    </row>
    <row r="606" ht="22" customHeight="1">
      <c r="A606" s="398" t="n">
        <v>605</v>
      </c>
      <c r="B606" s="398" t="n">
        <v>6625</v>
      </c>
      <c r="C606" s="399" t="inlineStr">
        <is>
          <t>血月荆棘·荆冠</t>
        </is>
      </c>
      <c r="D606" s="399" t="inlineStr">
        <is>
          <t>血月荆棘</t>
        </is>
      </c>
      <c r="E606" s="399" t="n">
        <v>2</v>
      </c>
      <c r="F606" s="399" t="inlineStr">
        <is>
          <t>首饰盒3</t>
        </is>
      </c>
      <c r="G606" s="398" t="n">
        <v>22</v>
      </c>
      <c r="H606" s="398" t="n">
        <v>32</v>
      </c>
      <c r="I606" s="398" t="n">
        <v>6625</v>
      </c>
      <c r="J606" s="398" t="n">
        <v>0</v>
      </c>
      <c r="K606" s="398" t="n">
        <v>2</v>
      </c>
      <c r="L606" s="398" t="n">
        <v>3</v>
      </c>
      <c r="M606" s="398" t="n">
        <v>6625</v>
      </c>
      <c r="N606" s="398" t="n">
        <v>6625</v>
      </c>
      <c r="O606" s="398" t="n">
        <v>6625</v>
      </c>
      <c r="P606" s="292" t="n"/>
      <c r="Q606" s="292" t="inlineStr">
        <is>
          <t>candidate-preflight-passed</t>
        </is>
      </c>
      <c r="R606" s="292" t="str"/>
      <c r="S606" s="292" t="inlineStr">
        <is>
          <t>玄渊二十套全装备代码总表.xlsx</t>
        </is>
      </c>
      <c r="T606" s="292" t="inlineStr">
        <is>
          <t>玄渊20套全装备视觉候选；Items/StateItem/DnItems三库同码；属性待策划填写；OverLap=2; Expand1=3</t>
        </is>
      </c>
      <c r="U606">
        <f>IF(COUNTIF($B$2:$B$1076,B606)&gt;1,"重复","")</f>
        <v/>
      </c>
      <c r="V606">
        <f>IF(AND(OR(M606="",M606=B606),OR(N606="",N606=B606),OR(O606="",O606=B606)),"通过","不一致")</f>
        <v/>
      </c>
    </row>
    <row r="607" ht="22" customHeight="1">
      <c r="A607" s="398" t="n">
        <v>606</v>
      </c>
      <c r="B607" s="398" t="n">
        <v>6626</v>
      </c>
      <c r="C607" s="399" t="inlineStr">
        <is>
          <t>血月荆棘·荆冠</t>
        </is>
      </c>
      <c r="D607" s="399" t="inlineStr">
        <is>
          <t>血月荆棘</t>
        </is>
      </c>
      <c r="E607" s="399" t="n">
        <v>2</v>
      </c>
      <c r="F607" s="399" t="inlineStr">
        <is>
          <t>首饰盒4</t>
        </is>
      </c>
      <c r="G607" s="398" t="n">
        <v>22</v>
      </c>
      <c r="H607" s="398" t="n">
        <v>33</v>
      </c>
      <c r="I607" s="398" t="n">
        <v>6626</v>
      </c>
      <c r="J607" s="398" t="n">
        <v>0</v>
      </c>
      <c r="K607" s="398" t="n">
        <v>2</v>
      </c>
      <c r="L607" s="398" t="n">
        <v>4</v>
      </c>
      <c r="M607" s="398" t="n">
        <v>6626</v>
      </c>
      <c r="N607" s="398" t="n">
        <v>6626</v>
      </c>
      <c r="O607" s="398" t="n">
        <v>6626</v>
      </c>
      <c r="P607" s="292" t="n"/>
      <c r="Q607" s="292" t="inlineStr">
        <is>
          <t>candidate-preflight-passed</t>
        </is>
      </c>
      <c r="R607" s="292" t="str"/>
      <c r="S607" s="292" t="inlineStr">
        <is>
          <t>玄渊二十套全装备代码总表.xlsx</t>
        </is>
      </c>
      <c r="T607" s="292" t="inlineStr">
        <is>
          <t>玄渊20套全装备视觉候选；Items/StateItem/DnItems三库同码；属性待策划填写；OverLap=2; Expand1=4</t>
        </is>
      </c>
      <c r="U607">
        <f>IF(COUNTIF($B$2:$B$1076,B607)&gt;1,"重复","")</f>
        <v/>
      </c>
      <c r="V607">
        <f>IF(AND(OR(M607="",M607=B607),OR(N607="",N607=B607),OR(O607="",O607=B607)),"通过","不一致")</f>
        <v/>
      </c>
    </row>
    <row r="608" ht="22" customHeight="1">
      <c r="A608" s="398" t="n">
        <v>607</v>
      </c>
      <c r="B608" s="398" t="n">
        <v>6627</v>
      </c>
      <c r="C608" s="399" t="inlineStr">
        <is>
          <t>血月荆棘·荆冠</t>
        </is>
      </c>
      <c r="D608" s="399" t="inlineStr">
        <is>
          <t>血月荆棘</t>
        </is>
      </c>
      <c r="E608" s="399" t="n">
        <v>2</v>
      </c>
      <c r="F608" s="399" t="inlineStr">
        <is>
          <t>首饰盒5</t>
        </is>
      </c>
      <c r="G608" s="398" t="n">
        <v>22</v>
      </c>
      <c r="H608" s="398" t="n">
        <v>34</v>
      </c>
      <c r="I608" s="398" t="n">
        <v>6627</v>
      </c>
      <c r="J608" s="398" t="n">
        <v>0</v>
      </c>
      <c r="K608" s="398" t="n">
        <v>2</v>
      </c>
      <c r="L608" s="398" t="n">
        <v>5</v>
      </c>
      <c r="M608" s="398" t="n">
        <v>6627</v>
      </c>
      <c r="N608" s="398" t="n">
        <v>6627</v>
      </c>
      <c r="O608" s="398" t="n">
        <v>6627</v>
      </c>
      <c r="P608" s="292" t="n"/>
      <c r="Q608" s="292" t="inlineStr">
        <is>
          <t>candidate-preflight-passed</t>
        </is>
      </c>
      <c r="R608" s="292" t="str"/>
      <c r="S608" s="292" t="inlineStr">
        <is>
          <t>玄渊二十套全装备代码总表.xlsx</t>
        </is>
      </c>
      <c r="T608" s="292" t="inlineStr">
        <is>
          <t>玄渊20套全装备视觉候选；Items/StateItem/DnItems三库同码；属性待策划填写；OverLap=2; Expand1=5</t>
        </is>
      </c>
      <c r="U608">
        <f>IF(COUNTIF($B$2:$B$1076,B608)&gt;1,"重复","")</f>
        <v/>
      </c>
      <c r="V608">
        <f>IF(AND(OR(M608="",M608=B608),OR(N608="",N608=B608),OR(O608="",O608=B608)),"通过","不一致")</f>
        <v/>
      </c>
    </row>
    <row r="609" ht="22" customHeight="1">
      <c r="A609" s="398" t="n">
        <v>608</v>
      </c>
      <c r="B609" s="398" t="n">
        <v>6628</v>
      </c>
      <c r="C609" s="399" t="inlineStr">
        <is>
          <t>血月荆棘·荆冠</t>
        </is>
      </c>
      <c r="D609" s="399" t="inlineStr">
        <is>
          <t>血月荆棘</t>
        </is>
      </c>
      <c r="E609" s="399" t="n">
        <v>2</v>
      </c>
      <c r="F609" s="399" t="inlineStr">
        <is>
          <t>首饰盒6</t>
        </is>
      </c>
      <c r="G609" s="398" t="n">
        <v>22</v>
      </c>
      <c r="H609" s="398" t="n">
        <v>35</v>
      </c>
      <c r="I609" s="398" t="n">
        <v>6628</v>
      </c>
      <c r="J609" s="398" t="n">
        <v>0</v>
      </c>
      <c r="K609" s="398" t="n">
        <v>2</v>
      </c>
      <c r="L609" s="398" t="n">
        <v>6</v>
      </c>
      <c r="M609" s="398" t="n">
        <v>6628</v>
      </c>
      <c r="N609" s="398" t="n">
        <v>6628</v>
      </c>
      <c r="O609" s="398" t="n">
        <v>6628</v>
      </c>
      <c r="P609" s="292" t="n"/>
      <c r="Q609" s="292" t="inlineStr">
        <is>
          <t>candidate-preflight-passed</t>
        </is>
      </c>
      <c r="R609" s="292" t="str"/>
      <c r="S609" s="292" t="inlineStr">
        <is>
          <t>玄渊二十套全装备代码总表.xlsx</t>
        </is>
      </c>
      <c r="T609" s="292" t="inlineStr">
        <is>
          <t>玄渊20套全装备视觉候选；Items/StateItem/DnItems三库同码；属性待策划填写；OverLap=2; Expand1=6</t>
        </is>
      </c>
      <c r="U609">
        <f>IF(COUNTIF($B$2:$B$1076,B609)&gt;1,"重复","")</f>
        <v/>
      </c>
      <c r="V609">
        <f>IF(AND(OR(M609="",M609=B609),OR(N609="",N609=B609),OR(O609="",O609=B609)),"通过","不一致")</f>
        <v/>
      </c>
    </row>
    <row r="610" ht="22" customHeight="1">
      <c r="A610" s="398" t="n">
        <v>609</v>
      </c>
      <c r="B610" s="398" t="n">
        <v>6629</v>
      </c>
      <c r="C610" s="399" t="inlineStr">
        <is>
          <t>血月荆棘·荆冠</t>
        </is>
      </c>
      <c r="D610" s="399" t="inlineStr">
        <is>
          <t>血月荆棘</t>
        </is>
      </c>
      <c r="E610" s="399" t="n">
        <v>2</v>
      </c>
      <c r="F610" s="399" t="inlineStr">
        <is>
          <t>生肖1</t>
        </is>
      </c>
      <c r="G610" s="398" t="n">
        <v>22</v>
      </c>
      <c r="H610" s="398" t="n">
        <v>40</v>
      </c>
      <c r="I610" s="398" t="n">
        <v>6629</v>
      </c>
      <c r="J610" s="398" t="n">
        <v>0</v>
      </c>
      <c r="K610" s="398" t="n">
        <v>4</v>
      </c>
      <c r="L610" s="398" t="n">
        <v>1</v>
      </c>
      <c r="M610" s="398" t="n">
        <v>6629</v>
      </c>
      <c r="N610" s="398" t="n">
        <v>6629</v>
      </c>
      <c r="O610" s="398" t="n">
        <v>6629</v>
      </c>
      <c r="P610" s="292" t="n"/>
      <c r="Q610" s="292" t="inlineStr">
        <is>
          <t>candidate-preflight-passed</t>
        </is>
      </c>
      <c r="R610" s="292" t="str"/>
      <c r="S610" s="292" t="inlineStr">
        <is>
          <t>玄渊二十套全装备代码总表.xlsx</t>
        </is>
      </c>
      <c r="T610" s="292" t="inlineStr">
        <is>
          <t>玄渊20套全装备视觉候选；Items/StateItem/DnItems三库同码；属性待策划填写；OverLap=4; Expand1=1</t>
        </is>
      </c>
      <c r="U610">
        <f>IF(COUNTIF($B$2:$B$1076,B610)&gt;1,"重复","")</f>
        <v/>
      </c>
      <c r="V610">
        <f>IF(AND(OR(M610="",M610=B610),OR(N610="",N610=B610),OR(O610="",O610=B610)),"通过","不一致")</f>
        <v/>
      </c>
    </row>
    <row r="611" ht="22" customHeight="1">
      <c r="A611" s="398" t="n">
        <v>610</v>
      </c>
      <c r="B611" s="398" t="n">
        <v>6630</v>
      </c>
      <c r="C611" s="399" t="inlineStr">
        <is>
          <t>血月荆棘·荆冠</t>
        </is>
      </c>
      <c r="D611" s="399" t="inlineStr">
        <is>
          <t>血月荆棘</t>
        </is>
      </c>
      <c r="E611" s="399" t="n">
        <v>2</v>
      </c>
      <c r="F611" s="399" t="inlineStr">
        <is>
          <t>生肖2</t>
        </is>
      </c>
      <c r="G611" s="398" t="n">
        <v>22</v>
      </c>
      <c r="H611" s="398" t="n">
        <v>41</v>
      </c>
      <c r="I611" s="398" t="n">
        <v>6630</v>
      </c>
      <c r="J611" s="398" t="n">
        <v>0</v>
      </c>
      <c r="K611" s="398" t="n">
        <v>4</v>
      </c>
      <c r="L611" s="398" t="n">
        <v>2</v>
      </c>
      <c r="M611" s="398" t="n">
        <v>6630</v>
      </c>
      <c r="N611" s="398" t="n">
        <v>6630</v>
      </c>
      <c r="O611" s="398" t="n">
        <v>6630</v>
      </c>
      <c r="P611" s="292" t="n"/>
      <c r="Q611" s="292" t="inlineStr">
        <is>
          <t>candidate-preflight-passed</t>
        </is>
      </c>
      <c r="R611" s="292" t="str"/>
      <c r="S611" s="292" t="inlineStr">
        <is>
          <t>玄渊二十套全装备代码总表.xlsx</t>
        </is>
      </c>
      <c r="T611" s="292" t="inlineStr">
        <is>
          <t>玄渊20套全装备视觉候选；Items/StateItem/DnItems三库同码；属性待策划填写；OverLap=4; Expand1=2</t>
        </is>
      </c>
      <c r="U611">
        <f>IF(COUNTIF($B$2:$B$1076,B611)&gt;1,"重复","")</f>
        <v/>
      </c>
      <c r="V611">
        <f>IF(AND(OR(M611="",M611=B611),OR(N611="",N611=B611),OR(O611="",O611=B611)),"通过","不一致")</f>
        <v/>
      </c>
    </row>
    <row r="612" ht="22" customHeight="1">
      <c r="A612" s="398" t="n">
        <v>611</v>
      </c>
      <c r="B612" s="398" t="n">
        <v>6631</v>
      </c>
      <c r="C612" s="399" t="inlineStr">
        <is>
          <t>血月荆棘·荆冠</t>
        </is>
      </c>
      <c r="D612" s="399" t="inlineStr">
        <is>
          <t>血月荆棘</t>
        </is>
      </c>
      <c r="E612" s="399" t="n">
        <v>2</v>
      </c>
      <c r="F612" s="399" t="inlineStr">
        <is>
          <t>生肖3</t>
        </is>
      </c>
      <c r="G612" s="398" t="n">
        <v>22</v>
      </c>
      <c r="H612" s="398" t="n">
        <v>42</v>
      </c>
      <c r="I612" s="398" t="n">
        <v>6631</v>
      </c>
      <c r="J612" s="398" t="n">
        <v>0</v>
      </c>
      <c r="K612" s="398" t="n">
        <v>4</v>
      </c>
      <c r="L612" s="398" t="n">
        <v>3</v>
      </c>
      <c r="M612" s="398" t="n">
        <v>6631</v>
      </c>
      <c r="N612" s="398" t="n">
        <v>6631</v>
      </c>
      <c r="O612" s="398" t="n">
        <v>6631</v>
      </c>
      <c r="P612" s="292" t="n"/>
      <c r="Q612" s="292" t="inlineStr">
        <is>
          <t>candidate-preflight-passed</t>
        </is>
      </c>
      <c r="R612" s="292" t="str"/>
      <c r="S612" s="292" t="inlineStr">
        <is>
          <t>玄渊二十套全装备代码总表.xlsx</t>
        </is>
      </c>
      <c r="T612" s="292" t="inlineStr">
        <is>
          <t>玄渊20套全装备视觉候选；Items/StateItem/DnItems三库同码；属性待策划填写；OverLap=4; Expand1=3</t>
        </is>
      </c>
      <c r="U612">
        <f>IF(COUNTIF($B$2:$B$1076,B612)&gt;1,"重复","")</f>
        <v/>
      </c>
      <c r="V612">
        <f>IF(AND(OR(M612="",M612=B612),OR(N612="",N612=B612),OR(O612="",O612=B612)),"通过","不一致")</f>
        <v/>
      </c>
    </row>
    <row r="613" ht="22" customHeight="1">
      <c r="A613" s="398" t="n">
        <v>612</v>
      </c>
      <c r="B613" s="398" t="n">
        <v>6632</v>
      </c>
      <c r="C613" s="399" t="inlineStr">
        <is>
          <t>血月荆棘·荆冠</t>
        </is>
      </c>
      <c r="D613" s="399" t="inlineStr">
        <is>
          <t>血月荆棘</t>
        </is>
      </c>
      <c r="E613" s="399" t="n">
        <v>2</v>
      </c>
      <c r="F613" s="399" t="inlineStr">
        <is>
          <t>生肖4</t>
        </is>
      </c>
      <c r="G613" s="398" t="n">
        <v>22</v>
      </c>
      <c r="H613" s="398" t="n">
        <v>43</v>
      </c>
      <c r="I613" s="398" t="n">
        <v>6632</v>
      </c>
      <c r="J613" s="398" t="n">
        <v>0</v>
      </c>
      <c r="K613" s="398" t="n">
        <v>4</v>
      </c>
      <c r="L613" s="398" t="n">
        <v>4</v>
      </c>
      <c r="M613" s="398" t="n">
        <v>6632</v>
      </c>
      <c r="N613" s="398" t="n">
        <v>6632</v>
      </c>
      <c r="O613" s="398" t="n">
        <v>6632</v>
      </c>
      <c r="P613" s="292" t="n"/>
      <c r="Q613" s="292" t="inlineStr">
        <is>
          <t>candidate-preflight-passed</t>
        </is>
      </c>
      <c r="R613" s="292" t="str"/>
      <c r="S613" s="292" t="inlineStr">
        <is>
          <t>玄渊二十套全装备代码总表.xlsx</t>
        </is>
      </c>
      <c r="T613" s="292" t="inlineStr">
        <is>
          <t>玄渊20套全装备视觉候选；Items/StateItem/DnItems三库同码；属性待策划填写；OverLap=4; Expand1=4</t>
        </is>
      </c>
      <c r="U613">
        <f>IF(COUNTIF($B$2:$B$1076,B613)&gt;1,"重复","")</f>
        <v/>
      </c>
      <c r="V613">
        <f>IF(AND(OR(M613="",M613=B613),OR(N613="",N613=B613),OR(O613="",O613=B613)),"通过","不一致")</f>
        <v/>
      </c>
    </row>
    <row r="614" ht="22" customHeight="1">
      <c r="A614" s="398" t="n">
        <v>613</v>
      </c>
      <c r="B614" s="398" t="n">
        <v>6633</v>
      </c>
      <c r="C614" s="399" t="inlineStr">
        <is>
          <t>血月荆棘·荆冠</t>
        </is>
      </c>
      <c r="D614" s="399" t="inlineStr">
        <is>
          <t>血月荆棘</t>
        </is>
      </c>
      <c r="E614" s="399" t="n">
        <v>2</v>
      </c>
      <c r="F614" s="399" t="inlineStr">
        <is>
          <t>生肖5</t>
        </is>
      </c>
      <c r="G614" s="398" t="n">
        <v>22</v>
      </c>
      <c r="H614" s="398" t="n">
        <v>44</v>
      </c>
      <c r="I614" s="398" t="n">
        <v>6633</v>
      </c>
      <c r="J614" s="398" t="n">
        <v>0</v>
      </c>
      <c r="K614" s="398" t="n">
        <v>4</v>
      </c>
      <c r="L614" s="398" t="n">
        <v>5</v>
      </c>
      <c r="M614" s="398" t="n">
        <v>6633</v>
      </c>
      <c r="N614" s="398" t="n">
        <v>6633</v>
      </c>
      <c r="O614" s="398" t="n">
        <v>6633</v>
      </c>
      <c r="P614" s="292" t="n"/>
      <c r="Q614" s="292" t="inlineStr">
        <is>
          <t>candidate-preflight-passed</t>
        </is>
      </c>
      <c r="R614" s="292" t="str"/>
      <c r="S614" s="292" t="inlineStr">
        <is>
          <t>玄渊二十套全装备代码总表.xlsx</t>
        </is>
      </c>
      <c r="T614" s="292" t="inlineStr">
        <is>
          <t>玄渊20套全装备视觉候选；Items/StateItem/DnItems三库同码；属性待策划填写；OverLap=4; Expand1=5</t>
        </is>
      </c>
      <c r="U614">
        <f>IF(COUNTIF($B$2:$B$1076,B614)&gt;1,"重复","")</f>
        <v/>
      </c>
      <c r="V614">
        <f>IF(AND(OR(M614="",M614=B614),OR(N614="",N614=B614),OR(O614="",O614=B614)),"通过","不一致")</f>
        <v/>
      </c>
    </row>
    <row r="615" ht="22" customHeight="1">
      <c r="A615" s="398" t="n">
        <v>614</v>
      </c>
      <c r="B615" s="398" t="n">
        <v>6634</v>
      </c>
      <c r="C615" s="399" t="inlineStr">
        <is>
          <t>血月荆棘·荆冠</t>
        </is>
      </c>
      <c r="D615" s="399" t="inlineStr">
        <is>
          <t>血月荆棘</t>
        </is>
      </c>
      <c r="E615" s="399" t="n">
        <v>2</v>
      </c>
      <c r="F615" s="399" t="inlineStr">
        <is>
          <t>生肖6</t>
        </is>
      </c>
      <c r="G615" s="398" t="n">
        <v>22</v>
      </c>
      <c r="H615" s="398" t="n">
        <v>45</v>
      </c>
      <c r="I615" s="398" t="n">
        <v>6634</v>
      </c>
      <c r="J615" s="398" t="n">
        <v>0</v>
      </c>
      <c r="K615" s="398" t="n">
        <v>4</v>
      </c>
      <c r="L615" s="398" t="n">
        <v>6</v>
      </c>
      <c r="M615" s="398" t="n">
        <v>6634</v>
      </c>
      <c r="N615" s="398" t="n">
        <v>6634</v>
      </c>
      <c r="O615" s="398" t="n">
        <v>6634</v>
      </c>
      <c r="P615" s="292" t="n"/>
      <c r="Q615" s="292" t="inlineStr">
        <is>
          <t>candidate-preflight-passed</t>
        </is>
      </c>
      <c r="R615" s="292" t="str"/>
      <c r="S615" s="292" t="inlineStr">
        <is>
          <t>玄渊二十套全装备代码总表.xlsx</t>
        </is>
      </c>
      <c r="T615" s="292" t="inlineStr">
        <is>
          <t>玄渊20套全装备视觉候选；Items/StateItem/DnItems三库同码；属性待策划填写；OverLap=4; Expand1=6</t>
        </is>
      </c>
      <c r="U615">
        <f>IF(COUNTIF($B$2:$B$1076,B615)&gt;1,"重复","")</f>
        <v/>
      </c>
      <c r="V615">
        <f>IF(AND(OR(M615="",M615=B615),OR(N615="",N615=B615),OR(O615="",O615=B615)),"通过","不一致")</f>
        <v/>
      </c>
    </row>
    <row r="616" ht="22" customHeight="1">
      <c r="A616" s="398" t="n">
        <v>615</v>
      </c>
      <c r="B616" s="398" t="n">
        <v>6635</v>
      </c>
      <c r="C616" s="399" t="inlineStr">
        <is>
          <t>血月荆棘·荆冠</t>
        </is>
      </c>
      <c r="D616" s="399" t="inlineStr">
        <is>
          <t>血月荆棘</t>
        </is>
      </c>
      <c r="E616" s="399" t="n">
        <v>2</v>
      </c>
      <c r="F616" s="399" t="inlineStr">
        <is>
          <t>生肖7</t>
        </is>
      </c>
      <c r="G616" s="398" t="n">
        <v>22</v>
      </c>
      <c r="H616" s="398" t="n">
        <v>46</v>
      </c>
      <c r="I616" s="398" t="n">
        <v>6635</v>
      </c>
      <c r="J616" s="398" t="n">
        <v>0</v>
      </c>
      <c r="K616" s="398" t="n">
        <v>4</v>
      </c>
      <c r="L616" s="398" t="n">
        <v>7</v>
      </c>
      <c r="M616" s="398" t="n">
        <v>6635</v>
      </c>
      <c r="N616" s="398" t="n">
        <v>6635</v>
      </c>
      <c r="O616" s="398" t="n">
        <v>6635</v>
      </c>
      <c r="P616" s="292" t="n"/>
      <c r="Q616" s="292" t="inlineStr">
        <is>
          <t>candidate-preflight-passed</t>
        </is>
      </c>
      <c r="R616" s="292" t="str"/>
      <c r="S616" s="292" t="inlineStr">
        <is>
          <t>玄渊二十套全装备代码总表.xlsx</t>
        </is>
      </c>
      <c r="T616" s="292" t="inlineStr">
        <is>
          <t>玄渊20套全装备视觉候选；Items/StateItem/DnItems三库同码；属性待策划填写；OverLap=4; Expand1=7</t>
        </is>
      </c>
      <c r="U616">
        <f>IF(COUNTIF($B$2:$B$1076,B616)&gt;1,"重复","")</f>
        <v/>
      </c>
      <c r="V616">
        <f>IF(AND(OR(M616="",M616=B616),OR(N616="",N616=B616),OR(O616="",O616=B616)),"通过","不一致")</f>
        <v/>
      </c>
    </row>
    <row r="617" ht="22" customHeight="1">
      <c r="A617" s="398" t="n">
        <v>616</v>
      </c>
      <c r="B617" s="398" t="n">
        <v>6636</v>
      </c>
      <c r="C617" s="399" t="inlineStr">
        <is>
          <t>血月荆棘·荆冠</t>
        </is>
      </c>
      <c r="D617" s="399" t="inlineStr">
        <is>
          <t>血月荆棘</t>
        </is>
      </c>
      <c r="E617" s="399" t="n">
        <v>2</v>
      </c>
      <c r="F617" s="399" t="inlineStr">
        <is>
          <t>生肖8</t>
        </is>
      </c>
      <c r="G617" s="398" t="n">
        <v>22</v>
      </c>
      <c r="H617" s="398" t="n">
        <v>47</v>
      </c>
      <c r="I617" s="398" t="n">
        <v>6636</v>
      </c>
      <c r="J617" s="398" t="n">
        <v>0</v>
      </c>
      <c r="K617" s="398" t="n">
        <v>4</v>
      </c>
      <c r="L617" s="398" t="n">
        <v>8</v>
      </c>
      <c r="M617" s="398" t="n">
        <v>6636</v>
      </c>
      <c r="N617" s="398" t="n">
        <v>6636</v>
      </c>
      <c r="O617" s="398" t="n">
        <v>6636</v>
      </c>
      <c r="P617" s="292" t="n"/>
      <c r="Q617" s="292" t="inlineStr">
        <is>
          <t>candidate-preflight-passed</t>
        </is>
      </c>
      <c r="R617" s="292" t="str"/>
      <c r="S617" s="292" t="inlineStr">
        <is>
          <t>玄渊二十套全装备代码总表.xlsx</t>
        </is>
      </c>
      <c r="T617" s="292" t="inlineStr">
        <is>
          <t>玄渊20套全装备视觉候选；Items/StateItem/DnItems三库同码；属性待策划填写；OverLap=4; Expand1=8</t>
        </is>
      </c>
      <c r="U617">
        <f>IF(COUNTIF($B$2:$B$1076,B617)&gt;1,"重复","")</f>
        <v/>
      </c>
      <c r="V617">
        <f>IF(AND(OR(M617="",M617=B617),OR(N617="",N617=B617),OR(O617="",O617=B617)),"通过","不一致")</f>
        <v/>
      </c>
    </row>
    <row r="618" ht="22" customHeight="1">
      <c r="A618" s="398" t="n">
        <v>617</v>
      </c>
      <c r="B618" s="398" t="n">
        <v>6637</v>
      </c>
      <c r="C618" s="399" t="inlineStr">
        <is>
          <t>血月荆棘·荆冠</t>
        </is>
      </c>
      <c r="D618" s="399" t="inlineStr">
        <is>
          <t>血月荆棘</t>
        </is>
      </c>
      <c r="E618" s="399" t="n">
        <v>2</v>
      </c>
      <c r="F618" s="399" t="inlineStr">
        <is>
          <t>生肖9</t>
        </is>
      </c>
      <c r="G618" s="398" t="n">
        <v>22</v>
      </c>
      <c r="H618" s="398" t="n">
        <v>48</v>
      </c>
      <c r="I618" s="398" t="n">
        <v>6637</v>
      </c>
      <c r="J618" s="398" t="n">
        <v>0</v>
      </c>
      <c r="K618" s="398" t="n">
        <v>4</v>
      </c>
      <c r="L618" s="398" t="n">
        <v>9</v>
      </c>
      <c r="M618" s="398" t="n">
        <v>6637</v>
      </c>
      <c r="N618" s="398" t="n">
        <v>6637</v>
      </c>
      <c r="O618" s="398" t="n">
        <v>6637</v>
      </c>
      <c r="P618" s="292" t="n"/>
      <c r="Q618" s="292" t="inlineStr">
        <is>
          <t>candidate-preflight-passed</t>
        </is>
      </c>
      <c r="R618" s="292" t="str"/>
      <c r="S618" s="292" t="inlineStr">
        <is>
          <t>玄渊二十套全装备代码总表.xlsx</t>
        </is>
      </c>
      <c r="T618" s="292" t="inlineStr">
        <is>
          <t>玄渊20套全装备视觉候选；Items/StateItem/DnItems三库同码；属性待策划填写；OverLap=4; Expand1=9</t>
        </is>
      </c>
      <c r="U618">
        <f>IF(COUNTIF($B$2:$B$1076,B618)&gt;1,"重复","")</f>
        <v/>
      </c>
      <c r="V618">
        <f>IF(AND(OR(M618="",M618=B618),OR(N618="",N618=B618),OR(O618="",O618=B618)),"通过","不一致")</f>
        <v/>
      </c>
    </row>
    <row r="619" ht="22" customHeight="1">
      <c r="A619" s="398" t="n">
        <v>618</v>
      </c>
      <c r="B619" s="398" t="n">
        <v>6638</v>
      </c>
      <c r="C619" s="399" t="inlineStr">
        <is>
          <t>血月荆棘·荆冠</t>
        </is>
      </c>
      <c r="D619" s="399" t="inlineStr">
        <is>
          <t>血月荆棘</t>
        </is>
      </c>
      <c r="E619" s="399" t="n">
        <v>2</v>
      </c>
      <c r="F619" s="399" t="inlineStr">
        <is>
          <t>生肖10</t>
        </is>
      </c>
      <c r="G619" s="398" t="n">
        <v>22</v>
      </c>
      <c r="H619" s="398" t="n">
        <v>49</v>
      </c>
      <c r="I619" s="398" t="n">
        <v>6638</v>
      </c>
      <c r="J619" s="398" t="n">
        <v>0</v>
      </c>
      <c r="K619" s="398" t="n">
        <v>4</v>
      </c>
      <c r="L619" s="398" t="n">
        <v>10</v>
      </c>
      <c r="M619" s="398" t="n">
        <v>6638</v>
      </c>
      <c r="N619" s="398" t="n">
        <v>6638</v>
      </c>
      <c r="O619" s="398" t="n">
        <v>6638</v>
      </c>
      <c r="P619" s="292" t="n"/>
      <c r="Q619" s="292" t="inlineStr">
        <is>
          <t>candidate-preflight-passed</t>
        </is>
      </c>
      <c r="R619" s="292" t="str"/>
      <c r="S619" s="292" t="inlineStr">
        <is>
          <t>玄渊二十套全装备代码总表.xlsx</t>
        </is>
      </c>
      <c r="T619" s="292" t="inlineStr">
        <is>
          <t>玄渊20套全装备视觉候选；Items/StateItem/DnItems三库同码；属性待策划填写；OverLap=4; Expand1=10</t>
        </is>
      </c>
      <c r="U619">
        <f>IF(COUNTIF($B$2:$B$1076,B619)&gt;1,"重复","")</f>
        <v/>
      </c>
      <c r="V619">
        <f>IF(AND(OR(M619="",M619=B619),OR(N619="",N619=B619),OR(O619="",O619=B619)),"通过","不一致")</f>
        <v/>
      </c>
    </row>
    <row r="620" ht="22" customHeight="1">
      <c r="A620" s="398" t="n">
        <v>619</v>
      </c>
      <c r="B620" s="398" t="n">
        <v>6639</v>
      </c>
      <c r="C620" s="399" t="inlineStr">
        <is>
          <t>血月荆棘·荆冠</t>
        </is>
      </c>
      <c r="D620" s="399" t="inlineStr">
        <is>
          <t>血月荆棘</t>
        </is>
      </c>
      <c r="E620" s="399" t="n">
        <v>2</v>
      </c>
      <c r="F620" s="399" t="inlineStr">
        <is>
          <t>生肖11</t>
        </is>
      </c>
      <c r="G620" s="398" t="n">
        <v>22</v>
      </c>
      <c r="H620" s="398" t="n">
        <v>50</v>
      </c>
      <c r="I620" s="398" t="n">
        <v>6639</v>
      </c>
      <c r="J620" s="398" t="n">
        <v>0</v>
      </c>
      <c r="K620" s="398" t="n">
        <v>4</v>
      </c>
      <c r="L620" s="398" t="n">
        <v>11</v>
      </c>
      <c r="M620" s="398" t="n">
        <v>6639</v>
      </c>
      <c r="N620" s="398" t="n">
        <v>6639</v>
      </c>
      <c r="O620" s="398" t="n">
        <v>6639</v>
      </c>
      <c r="P620" s="292" t="n"/>
      <c r="Q620" s="292" t="inlineStr">
        <is>
          <t>candidate-preflight-passed</t>
        </is>
      </c>
      <c r="R620" s="292" t="str"/>
      <c r="S620" s="292" t="inlineStr">
        <is>
          <t>玄渊二十套全装备代码总表.xlsx</t>
        </is>
      </c>
      <c r="T620" s="292" t="inlineStr">
        <is>
          <t>玄渊20套全装备视觉候选；Items/StateItem/DnItems三库同码；属性待策划填写；OverLap=4; Expand1=11</t>
        </is>
      </c>
      <c r="U620">
        <f>IF(COUNTIF($B$2:$B$1076,B620)&gt;1,"重复","")</f>
        <v/>
      </c>
      <c r="V620">
        <f>IF(AND(OR(M620="",M620=B620),OR(N620="",N620=B620),OR(O620="",O620=B620)),"通过","不一致")</f>
        <v/>
      </c>
    </row>
    <row r="621" ht="22" customHeight="1">
      <c r="A621" s="398" t="n">
        <v>620</v>
      </c>
      <c r="B621" s="398" t="n">
        <v>6640</v>
      </c>
      <c r="C621" s="399" t="inlineStr">
        <is>
          <t>血月荆棘·荆冠</t>
        </is>
      </c>
      <c r="D621" s="399" t="inlineStr">
        <is>
          <t>血月荆棘</t>
        </is>
      </c>
      <c r="E621" s="399" t="n">
        <v>2</v>
      </c>
      <c r="F621" s="399" t="inlineStr">
        <is>
          <t>生肖12</t>
        </is>
      </c>
      <c r="G621" s="398" t="n">
        <v>22</v>
      </c>
      <c r="H621" s="398" t="n">
        <v>51</v>
      </c>
      <c r="I621" s="398" t="n">
        <v>6640</v>
      </c>
      <c r="J621" s="398" t="n">
        <v>0</v>
      </c>
      <c r="K621" s="398" t="n">
        <v>4</v>
      </c>
      <c r="L621" s="398" t="n">
        <v>12</v>
      </c>
      <c r="M621" s="398" t="n">
        <v>6640</v>
      </c>
      <c r="N621" s="398" t="n">
        <v>6640</v>
      </c>
      <c r="O621" s="398" t="n">
        <v>6640</v>
      </c>
      <c r="P621" s="292" t="n"/>
      <c r="Q621" s="292" t="inlineStr">
        <is>
          <t>candidate-preflight-passed</t>
        </is>
      </c>
      <c r="R621" s="292" t="str"/>
      <c r="S621" s="292" t="inlineStr">
        <is>
          <t>玄渊二十套全装备代码总表.xlsx</t>
        </is>
      </c>
      <c r="T621" s="292" t="inlineStr">
        <is>
          <t>玄渊20套全装备视觉候选；Items/StateItem/DnItems三库同码；属性待策划填写；OverLap=4; Expand1=12</t>
        </is>
      </c>
      <c r="U621">
        <f>IF(COUNTIF($B$2:$B$1076,B621)&gt;1,"重复","")</f>
        <v/>
      </c>
      <c r="V621">
        <f>IF(AND(OR(M621="",M621=B621),OR(N621="",N621=B621),OR(O621="",O621=B621)),"通过","不一致")</f>
        <v/>
      </c>
    </row>
    <row r="622" ht="22" customHeight="1">
      <c r="A622" s="398" t="n">
        <v>621</v>
      </c>
      <c r="B622" s="398" t="n">
        <v>6641</v>
      </c>
      <c r="C622" s="399" t="inlineStr">
        <is>
          <t>血月荆棘·猩月</t>
        </is>
      </c>
      <c r="D622" s="399" t="inlineStr">
        <is>
          <t>血月荆棘</t>
        </is>
      </c>
      <c r="E622" s="399" t="n">
        <v>3</v>
      </c>
      <c r="F622" s="399" t="inlineStr">
        <is>
          <t>武器</t>
        </is>
      </c>
      <c r="G622" s="398" t="n">
        <v>5</v>
      </c>
      <c r="H622" s="398" t="n">
        <v>1</v>
      </c>
      <c r="I622" s="398" t="n">
        <v>6641</v>
      </c>
      <c r="J622" s="398" t="n">
        <v>23</v>
      </c>
      <c r="K622" s="398" t="n">
        <v>0</v>
      </c>
      <c r="L622" s="398" t="n">
        <v>0</v>
      </c>
      <c r="M622" s="398" t="n">
        <v>6641</v>
      </c>
      <c r="N622" s="398" t="n">
        <v>6641</v>
      </c>
      <c r="O622" s="398" t="n">
        <v>6641</v>
      </c>
      <c r="P622" s="292" t="inlineStr">
        <is>
          <t>Weapon.wzl/wzx（复用现有真实动作）</t>
        </is>
      </c>
      <c r="Q622" s="292" t="inlineStr">
        <is>
          <t>candidate-preflight-passed</t>
        </is>
      </c>
      <c r="R622" s="324" t="inlineStr">
        <is>
          <t>C3-C10规划锁定：葛弥的雾齿叉</t>
        </is>
      </c>
      <c r="S622" s="292" t="inlineStr">
        <is>
          <t>玄渊二十套全装备代码总表.xlsx</t>
        </is>
      </c>
      <c r="T622" s="292" t="inlineStr">
        <is>
          <t>玄渊20套全装备视觉候选；Items/StateItem/DnItems三库同码；属性待策划填写；Weapon Shape=23</t>
        </is>
      </c>
      <c r="U622">
        <f>IF(COUNTIF($B$2:$B$1076,B622)&gt;1,"重复","")</f>
        <v/>
      </c>
      <c r="V622">
        <f>IF(AND(OR(M622="",M622=B622),OR(N622="",N622=B622),OR(O622="",O622=B622)),"通过","不一致")</f>
        <v/>
      </c>
    </row>
    <row r="623" ht="22" customHeight="1">
      <c r="A623" s="398" t="n">
        <v>622</v>
      </c>
      <c r="B623" s="398" t="n">
        <v>6642</v>
      </c>
      <c r="C623" s="399" t="inlineStr">
        <is>
          <t>血月荆棘·猩月</t>
        </is>
      </c>
      <c r="D623" s="399" t="inlineStr">
        <is>
          <t>血月荆棘</t>
        </is>
      </c>
      <c r="E623" s="399" t="n">
        <v>3</v>
      </c>
      <c r="F623" s="399" t="inlineStr">
        <is>
          <t>男衣服</t>
        </is>
      </c>
      <c r="G623" s="398" t="n">
        <v>10</v>
      </c>
      <c r="H623" s="398" t="n">
        <v>0</v>
      </c>
      <c r="I623" s="398" t="n">
        <v>6642</v>
      </c>
      <c r="J623" s="398" t="n">
        <v>8</v>
      </c>
      <c r="K623" s="398" t="n">
        <v>0</v>
      </c>
      <c r="L623" s="398" t="n">
        <v>0</v>
      </c>
      <c r="M623" s="398" t="n">
        <v>6642</v>
      </c>
      <c r="N623" s="398" t="n">
        <v>6642</v>
      </c>
      <c r="O623" s="398" t="n">
        <v>6642</v>
      </c>
      <c r="P623" s="292" t="inlineStr">
        <is>
          <t>Hum.wzl/wzx（复用现有真实动作）</t>
        </is>
      </c>
      <c r="Q623" s="292" t="inlineStr">
        <is>
          <t>candidate-preflight-passed</t>
        </is>
      </c>
      <c r="R623" s="324" t="inlineStr">
        <is>
          <t>C3-C10规划锁定：弥瑟腐鳞衣</t>
        </is>
      </c>
      <c r="S623" s="292" t="inlineStr">
        <is>
          <t>玄渊二十套全装备代码总表.xlsx</t>
        </is>
      </c>
      <c r="T623" s="292" t="inlineStr">
        <is>
          <t>玄渊20套全装备视觉候选；Items/StateItem/DnItems三库同码；属性待策划填写；Hum Shape=8</t>
        </is>
      </c>
      <c r="U623">
        <f>IF(COUNTIF($B$2:$B$1076,B623)&gt;1,"重复","")</f>
        <v/>
      </c>
      <c r="V623">
        <f>IF(AND(OR(M623="",M623=B623),OR(N623="",N623=B623),OR(O623="",O623=B623)),"通过","不一致")</f>
        <v/>
      </c>
    </row>
    <row r="624" ht="22" customHeight="1">
      <c r="A624" s="398" t="n">
        <v>623</v>
      </c>
      <c r="B624" s="398" t="n">
        <v>6643</v>
      </c>
      <c r="C624" s="399" t="inlineStr">
        <is>
          <t>血月荆棘·猩月</t>
        </is>
      </c>
      <c r="D624" s="399" t="inlineStr">
        <is>
          <t>血月荆棘</t>
        </is>
      </c>
      <c r="E624" s="399" t="n">
        <v>3</v>
      </c>
      <c r="F624" s="399" t="inlineStr">
        <is>
          <t>女衣服</t>
        </is>
      </c>
      <c r="G624" s="398" t="n">
        <v>11</v>
      </c>
      <c r="H624" s="398" t="n">
        <v>0</v>
      </c>
      <c r="I624" s="398" t="n">
        <v>6643</v>
      </c>
      <c r="J624" s="398" t="n">
        <v>8</v>
      </c>
      <c r="K624" s="398" t="n">
        <v>0</v>
      </c>
      <c r="L624" s="398" t="n">
        <v>0</v>
      </c>
      <c r="M624" s="398" t="n">
        <v>6643</v>
      </c>
      <c r="N624" s="398" t="n">
        <v>6643</v>
      </c>
      <c r="O624" s="398" t="n">
        <v>6643</v>
      </c>
      <c r="P624" s="292" t="inlineStr">
        <is>
          <t>Hum.wzl/wzx（复用现有真实动作）</t>
        </is>
      </c>
      <c r="Q624" s="292" t="inlineStr">
        <is>
          <t>candidate-preflight-passed</t>
        </is>
      </c>
      <c r="R624" s="292" t="str"/>
      <c r="S624" s="292" t="inlineStr">
        <is>
          <t>玄渊二十套全装备代码总表.xlsx</t>
        </is>
      </c>
      <c r="T624" s="292" t="inlineStr">
        <is>
          <t>玄渊20套全装备视觉候选；Items/StateItem/DnItems三库同码；属性待策划填写；Hum Shape=8</t>
        </is>
      </c>
      <c r="U624">
        <f>IF(COUNTIF($B$2:$B$1076,B624)&gt;1,"重复","")</f>
        <v/>
      </c>
      <c r="V624">
        <f>IF(AND(OR(M624="",M624=B624),OR(N624="",N624=B624),OR(O624="",O624=B624)),"通过","不一致")</f>
        <v/>
      </c>
    </row>
    <row r="625" ht="22" customHeight="1">
      <c r="A625" s="398" t="n">
        <v>624</v>
      </c>
      <c r="B625" s="398" t="n">
        <v>6644</v>
      </c>
      <c r="C625" s="399" t="inlineStr">
        <is>
          <t>血月荆棘·猩月</t>
        </is>
      </c>
      <c r="D625" s="399" t="inlineStr">
        <is>
          <t>血月荆棘</t>
        </is>
      </c>
      <c r="E625" s="399" t="n">
        <v>3</v>
      </c>
      <c r="F625" s="399" t="inlineStr">
        <is>
          <t>头盔</t>
        </is>
      </c>
      <c r="G625" s="398" t="n">
        <v>15</v>
      </c>
      <c r="H625" s="398" t="n">
        <v>4</v>
      </c>
      <c r="I625" s="398" t="n">
        <v>6644</v>
      </c>
      <c r="J625" s="398" t="n">
        <v>0</v>
      </c>
      <c r="K625" s="398" t="n">
        <v>0</v>
      </c>
      <c r="L625" s="398" t="n">
        <v>0</v>
      </c>
      <c r="M625" s="398" t="n">
        <v>6644</v>
      </c>
      <c r="N625" s="398" t="n">
        <v>6644</v>
      </c>
      <c r="O625" s="398" t="n">
        <v>6644</v>
      </c>
      <c r="P625" s="292" t="n"/>
      <c r="Q625" s="292" t="inlineStr">
        <is>
          <t>candidate-preflight-passed</t>
        </is>
      </c>
      <c r="R625" s="324" t="inlineStr">
        <is>
          <t>C3-C10规划锁定：镀金羽冠</t>
        </is>
      </c>
      <c r="S625" s="292" t="inlineStr">
        <is>
          <t>玄渊二十套全装备代码总表.xlsx</t>
        </is>
      </c>
      <c r="T625" s="292" t="inlineStr">
        <is>
          <t>玄渊20套全装备视觉候选；Items/StateItem/DnItems三库同码；属性待策划填写</t>
        </is>
      </c>
      <c r="U625">
        <f>IF(COUNTIF($B$2:$B$1076,B625)&gt;1,"重复","")</f>
        <v/>
      </c>
      <c r="V625">
        <f>IF(AND(OR(M625="",M625=B625),OR(N625="",N625=B625),OR(O625="",O625=B625)),"通过","不一致")</f>
        <v/>
      </c>
    </row>
    <row r="626" ht="22" customHeight="1">
      <c r="A626" s="398" t="n">
        <v>625</v>
      </c>
      <c r="B626" s="398" t="n">
        <v>6645</v>
      </c>
      <c r="C626" s="399" t="inlineStr">
        <is>
          <t>血月荆棘·猩月</t>
        </is>
      </c>
      <c r="D626" s="399" t="inlineStr">
        <is>
          <t>血月荆棘</t>
        </is>
      </c>
      <c r="E626" s="399" t="n">
        <v>3</v>
      </c>
      <c r="F626" s="399" t="inlineStr">
        <is>
          <t>面巾</t>
        </is>
      </c>
      <c r="G626" s="398" t="n">
        <v>16</v>
      </c>
      <c r="H626" s="398" t="n">
        <v>13</v>
      </c>
      <c r="I626" s="398" t="n">
        <v>6645</v>
      </c>
      <c r="J626" s="398" t="n">
        <v>0</v>
      </c>
      <c r="K626" s="398" t="n">
        <v>0</v>
      </c>
      <c r="L626" s="398" t="n">
        <v>0</v>
      </c>
      <c r="M626" s="398" t="n">
        <v>6645</v>
      </c>
      <c r="N626" s="398" t="n">
        <v>6645</v>
      </c>
      <c r="O626" s="398" t="n">
        <v>6645</v>
      </c>
      <c r="P626" s="292" t="n"/>
      <c r="Q626" s="292" t="inlineStr">
        <is>
          <t>candidate-preflight-passed</t>
        </is>
      </c>
      <c r="R626" s="324" t="inlineStr">
        <is>
          <t>C3-C10规划锁定：雾凇引路笠</t>
        </is>
      </c>
      <c r="S626" s="292" t="inlineStr">
        <is>
          <t>玄渊二十套全装备代码总表.xlsx</t>
        </is>
      </c>
      <c r="T626" s="292" t="inlineStr">
        <is>
          <t>玄渊20套全装备视觉候选；Items/StateItem/DnItems三库同码；属性待策划填写</t>
        </is>
      </c>
      <c r="U626">
        <f>IF(COUNTIF($B$2:$B$1076,B626)&gt;1,"重复","")</f>
        <v/>
      </c>
      <c r="V626">
        <f>IF(AND(OR(M626="",M626=B626),OR(N626="",N626=B626),OR(O626="",O626=B626)),"通过","不一致")</f>
        <v/>
      </c>
    </row>
    <row r="627" ht="22" customHeight="1">
      <c r="A627" s="398" t="n">
        <v>626</v>
      </c>
      <c r="B627" s="398" t="n">
        <v>6646</v>
      </c>
      <c r="C627" s="399" t="inlineStr">
        <is>
          <t>血月荆棘·猩月</t>
        </is>
      </c>
      <c r="D627" s="399" t="inlineStr">
        <is>
          <t>血月荆棘</t>
        </is>
      </c>
      <c r="E627" s="399" t="n">
        <v>3</v>
      </c>
      <c r="F627" s="399" t="inlineStr">
        <is>
          <t>项链</t>
        </is>
      </c>
      <c r="G627" s="398" t="n">
        <v>19</v>
      </c>
      <c r="H627" s="398" t="n">
        <v>3</v>
      </c>
      <c r="I627" s="398" t="n">
        <v>6646</v>
      </c>
      <c r="J627" s="398" t="n">
        <v>0</v>
      </c>
      <c r="K627" s="398" t="n">
        <v>0</v>
      </c>
      <c r="L627" s="398" t="n">
        <v>0</v>
      </c>
      <c r="M627" s="398" t="n">
        <v>6646</v>
      </c>
      <c r="N627" s="398" t="n">
        <v>6646</v>
      </c>
      <c r="O627" s="398" t="n">
        <v>6646</v>
      </c>
      <c r="P627" s="292" t="n"/>
      <c r="Q627" s="292" t="inlineStr">
        <is>
          <t>candidate-preflight-passed</t>
        </is>
      </c>
      <c r="R627" s="324" t="inlineStr">
        <is>
          <t>C3-C10规划锁定：幽坛引魂铃</t>
        </is>
      </c>
      <c r="S627" s="292" t="inlineStr">
        <is>
          <t>玄渊二十套全装备代码总表.xlsx</t>
        </is>
      </c>
      <c r="T627" s="292" t="inlineStr">
        <is>
          <t>玄渊20套全装备视觉候选；Items/StateItem/DnItems三库同码；属性待策划填写</t>
        </is>
      </c>
      <c r="U627">
        <f>IF(COUNTIF($B$2:$B$1076,B627)&gt;1,"重复","")</f>
        <v/>
      </c>
      <c r="V627">
        <f>IF(AND(OR(M627="",M627=B627),OR(N627="",N627=B627),OR(O627="",O627=B627)),"通过","不一致")</f>
        <v/>
      </c>
    </row>
    <row r="628" ht="22" customHeight="1">
      <c r="A628" s="398" t="n">
        <v>627</v>
      </c>
      <c r="B628" s="398" t="n">
        <v>6647</v>
      </c>
      <c r="C628" s="399" t="inlineStr">
        <is>
          <t>血月荆棘·猩月</t>
        </is>
      </c>
      <c r="D628" s="399" t="inlineStr">
        <is>
          <t>血月荆棘</t>
        </is>
      </c>
      <c r="E628" s="399" t="n">
        <v>3</v>
      </c>
      <c r="F628" s="399" t="inlineStr">
        <is>
          <t>手镯</t>
        </is>
      </c>
      <c r="G628" s="398" t="n">
        <v>26</v>
      </c>
      <c r="H628" s="398" t="n">
        <v>5</v>
      </c>
      <c r="I628" s="398" t="n">
        <v>6647</v>
      </c>
      <c r="J628" s="398" t="n">
        <v>0</v>
      </c>
      <c r="K628" s="398" t="n">
        <v>0</v>
      </c>
      <c r="L628" s="398" t="n">
        <v>0</v>
      </c>
      <c r="M628" s="398" t="n">
        <v>6647</v>
      </c>
      <c r="N628" s="398" t="n">
        <v>6647</v>
      </c>
      <c r="O628" s="398" t="n">
        <v>6647</v>
      </c>
      <c r="P628" s="292" t="n"/>
      <c r="Q628" s="292" t="inlineStr">
        <is>
          <t>candidate-preflight-passed</t>
        </is>
      </c>
      <c r="R628" s="324" t="inlineStr">
        <is>
          <t>C3-C10规划锁定：赐光祷誓镯</t>
        </is>
      </c>
      <c r="S628" s="292" t="inlineStr">
        <is>
          <t>玄渊二十套全装备代码总表.xlsx</t>
        </is>
      </c>
      <c r="T628" s="292" t="inlineStr">
        <is>
          <t>玄渊20套全装备视觉候选；Items/StateItem/DnItems三库同码；属性待策划填写</t>
        </is>
      </c>
      <c r="U628">
        <f>IF(COUNTIF($B$2:$B$1076,B628)&gt;1,"重复","")</f>
        <v/>
      </c>
      <c r="V628">
        <f>IF(AND(OR(M628="",M628=B628),OR(N628="",N628=B628),OR(O628="",O628=B628)),"通过","不一致")</f>
        <v/>
      </c>
    </row>
    <row r="629" ht="22" customHeight="1">
      <c r="A629" s="398" t="n">
        <v>628</v>
      </c>
      <c r="B629" s="398" t="n">
        <v>6648</v>
      </c>
      <c r="C629" s="399" t="inlineStr">
        <is>
          <t>血月荆棘·猩月</t>
        </is>
      </c>
      <c r="D629" s="399" t="inlineStr">
        <is>
          <t>血月荆棘</t>
        </is>
      </c>
      <c r="E629" s="399" t="n">
        <v>3</v>
      </c>
      <c r="F629" s="399" t="inlineStr">
        <is>
          <t>戒指</t>
        </is>
      </c>
      <c r="G629" s="398" t="n">
        <v>22</v>
      </c>
      <c r="H629" s="398" t="n">
        <v>7</v>
      </c>
      <c r="I629" s="398" t="n">
        <v>6648</v>
      </c>
      <c r="J629" s="398" t="n">
        <v>0</v>
      </c>
      <c r="K629" s="398" t="n">
        <v>0</v>
      </c>
      <c r="L629" s="398" t="n">
        <v>0</v>
      </c>
      <c r="M629" s="398" t="n">
        <v>6648</v>
      </c>
      <c r="N629" s="398" t="n">
        <v>6648</v>
      </c>
      <c r="O629" s="398" t="n">
        <v>6648</v>
      </c>
      <c r="P629" s="292" t="n"/>
      <c r="Q629" s="292" t="inlineStr">
        <is>
          <t>candidate-preflight-passed</t>
        </is>
      </c>
      <c r="R629" s="324" t="inlineStr">
        <is>
          <t>C3-C10规划锁定：王树弩戒</t>
        </is>
      </c>
      <c r="S629" s="292" t="inlineStr">
        <is>
          <t>玄渊二十套全装备代码总表.xlsx</t>
        </is>
      </c>
      <c r="T629" s="292" t="inlineStr">
        <is>
          <t>玄渊20套全装备视觉候选；Items/StateItem/DnItems三库同码；属性待策划填写</t>
        </is>
      </c>
      <c r="U629">
        <f>IF(COUNTIF($B$2:$B$1076,B629)&gt;1,"重复","")</f>
        <v/>
      </c>
      <c r="V629">
        <f>IF(AND(OR(M629="",M629=B629),OR(N629="",N629=B629),OR(O629="",O629=B629)),"通过","不一致")</f>
        <v/>
      </c>
    </row>
    <row r="630" ht="22" customHeight="1">
      <c r="A630" s="398" t="n">
        <v>629</v>
      </c>
      <c r="B630" s="398" t="n">
        <v>6649</v>
      </c>
      <c r="C630" s="399" t="inlineStr">
        <is>
          <t>血月荆棘·猩月</t>
        </is>
      </c>
      <c r="D630" s="399" t="inlineStr">
        <is>
          <t>血月荆棘</t>
        </is>
      </c>
      <c r="E630" s="399" t="n">
        <v>3</v>
      </c>
      <c r="F630" s="399" t="inlineStr">
        <is>
          <t>勋章</t>
        </is>
      </c>
      <c r="G630" s="398" t="n">
        <v>30</v>
      </c>
      <c r="H630" s="398" t="n">
        <v>2</v>
      </c>
      <c r="I630" s="398" t="n">
        <v>6649</v>
      </c>
      <c r="J630" s="398" t="n">
        <v>0</v>
      </c>
      <c r="K630" s="398" t="n">
        <v>0</v>
      </c>
      <c r="L630" s="398" t="n">
        <v>0</v>
      </c>
      <c r="M630" s="398" t="n">
        <v>6649</v>
      </c>
      <c r="N630" s="398" t="n">
        <v>6649</v>
      </c>
      <c r="O630" s="398" t="n">
        <v>6649</v>
      </c>
      <c r="P630" s="292" t="n"/>
      <c r="Q630" s="292" t="inlineStr">
        <is>
          <t>candidate-preflight-passed</t>
        </is>
      </c>
      <c r="R630" s="324" t="inlineStr">
        <is>
          <t>C3-C10规划锁定：执炬勋章</t>
        </is>
      </c>
      <c r="S630" s="292" t="inlineStr">
        <is>
          <t>玄渊二十套全装备代码总表.xlsx</t>
        </is>
      </c>
      <c r="T630" s="292" t="inlineStr">
        <is>
          <t>玄渊20套全装备视觉候选；Items/StateItem/DnItems三库同码；属性待策划填写</t>
        </is>
      </c>
      <c r="U630">
        <f>IF(COUNTIF($B$2:$B$1076,B630)&gt;1,"重复","")</f>
        <v/>
      </c>
      <c r="V630">
        <f>IF(AND(OR(M630="",M630=B630),OR(N630="",N630=B630),OR(O630="",O630=B630)),"通过","不一致")</f>
        <v/>
      </c>
    </row>
    <row r="631" ht="22" customHeight="1">
      <c r="A631" s="398" t="n">
        <v>630</v>
      </c>
      <c r="B631" s="398" t="n">
        <v>6650</v>
      </c>
      <c r="C631" s="399" t="inlineStr">
        <is>
          <t>血月荆棘·猩月</t>
        </is>
      </c>
      <c r="D631" s="399" t="inlineStr">
        <is>
          <t>血月荆棘</t>
        </is>
      </c>
      <c r="E631" s="399" t="n">
        <v>3</v>
      </c>
      <c r="F631" s="399" t="inlineStr">
        <is>
          <t>盾牌</t>
        </is>
      </c>
      <c r="G631" s="398" t="n">
        <v>12</v>
      </c>
      <c r="H631" s="398" t="n">
        <v>16</v>
      </c>
      <c r="I631" s="398" t="n">
        <v>6650</v>
      </c>
      <c r="J631" s="398" t="n">
        <v>0</v>
      </c>
      <c r="K631" s="398" t="n">
        <v>0</v>
      </c>
      <c r="L631" s="398" t="n">
        <v>0</v>
      </c>
      <c r="M631" s="398" t="n">
        <v>6650</v>
      </c>
      <c r="N631" s="398" t="n">
        <v>6650</v>
      </c>
      <c r="O631" s="398" t="n">
        <v>6650</v>
      </c>
      <c r="P631" s="292" t="n"/>
      <c r="Q631" s="292" t="inlineStr">
        <is>
          <t>candidate-preflight-passed</t>
        </is>
      </c>
      <c r="R631" s="324" t="inlineStr">
        <is>
          <t>C3-C10规划锁定：巡潮重盾</t>
        </is>
      </c>
      <c r="S631" s="292" t="inlineStr">
        <is>
          <t>玄渊二十套全装备代码总表.xlsx</t>
        </is>
      </c>
      <c r="T631" s="292" t="inlineStr">
        <is>
          <t>玄渊20套全装备视觉候选；Items/StateItem/DnItems三库同码；属性待策划填写</t>
        </is>
      </c>
      <c r="U631">
        <f>IF(COUNTIF($B$2:$B$1076,B631)&gt;1,"重复","")</f>
        <v/>
      </c>
      <c r="V631">
        <f>IF(AND(OR(M631="",M631=B631),OR(N631="",N631=B631),OR(O631="",O631=B631)),"通过","不一致")</f>
        <v/>
      </c>
    </row>
    <row r="632" ht="22" customHeight="1">
      <c r="A632" s="398" t="n">
        <v>631</v>
      </c>
      <c r="B632" s="398" t="n">
        <v>6651</v>
      </c>
      <c r="C632" s="399" t="inlineStr">
        <is>
          <t>血月荆棘·猩月</t>
        </is>
      </c>
      <c r="D632" s="399" t="inlineStr">
        <is>
          <t>血月荆棘</t>
        </is>
      </c>
      <c r="E632" s="399" t="n">
        <v>3</v>
      </c>
      <c r="F632" s="399" t="inlineStr">
        <is>
          <t>灵玉</t>
        </is>
      </c>
      <c r="G632" s="398" t="n">
        <v>90</v>
      </c>
      <c r="H632" s="398" t="n">
        <v>17</v>
      </c>
      <c r="I632" s="398" t="n">
        <v>6651</v>
      </c>
      <c r="J632" s="398" t="n">
        <v>0</v>
      </c>
      <c r="K632" s="398" t="n">
        <v>0</v>
      </c>
      <c r="L632" s="398" t="n">
        <v>0</v>
      </c>
      <c r="M632" s="398" t="n">
        <v>6651</v>
      </c>
      <c r="N632" s="398" t="n">
        <v>6651</v>
      </c>
      <c r="O632" s="398" t="n">
        <v>6651</v>
      </c>
      <c r="P632" s="292" t="n"/>
      <c r="Q632" s="292" t="inlineStr">
        <is>
          <t>candidate-preflight-passed</t>
        </is>
      </c>
      <c r="R632" s="292" t="str"/>
      <c r="S632" s="292" t="inlineStr">
        <is>
          <t>玄渊二十套全装备代码总表.xlsx</t>
        </is>
      </c>
      <c r="T632" s="292" t="inlineStr">
        <is>
          <t>玄渊20套全装备视觉候选；Items/StateItem/DnItems三库同码；属性待策划填写</t>
        </is>
      </c>
      <c r="U632">
        <f>IF(COUNTIF($B$2:$B$1076,B632)&gt;1,"重复","")</f>
        <v/>
      </c>
      <c r="V632">
        <f>IF(AND(OR(M632="",M632=B632),OR(N632="",N632=B632),OR(O632="",O632=B632)),"通过","不一致")</f>
        <v/>
      </c>
    </row>
    <row r="633" ht="22" customHeight="1">
      <c r="A633" s="398" t="n">
        <v>632</v>
      </c>
      <c r="B633" s="398" t="n">
        <v>6652</v>
      </c>
      <c r="C633" s="399" t="inlineStr">
        <is>
          <t>血月荆棘·猩月</t>
        </is>
      </c>
      <c r="D633" s="399" t="inlineStr">
        <is>
          <t>血月荆棘</t>
        </is>
      </c>
      <c r="E633" s="399" t="n">
        <v>3</v>
      </c>
      <c r="F633" s="399" t="inlineStr">
        <is>
          <t>鞋子</t>
        </is>
      </c>
      <c r="G633" s="398" t="n">
        <v>62</v>
      </c>
      <c r="H633" s="398" t="n">
        <v>11</v>
      </c>
      <c r="I633" s="398" t="n">
        <v>6652</v>
      </c>
      <c r="J633" s="398" t="n">
        <v>0</v>
      </c>
      <c r="K633" s="398" t="n">
        <v>0</v>
      </c>
      <c r="L633" s="398" t="n">
        <v>0</v>
      </c>
      <c r="M633" s="398" t="n">
        <v>6652</v>
      </c>
      <c r="N633" s="398" t="n">
        <v>6652</v>
      </c>
      <c r="O633" s="398" t="n">
        <v>6652</v>
      </c>
      <c r="P633" s="292" t="n"/>
      <c r="Q633" s="292" t="inlineStr">
        <is>
          <t>candidate-preflight-passed</t>
        </is>
      </c>
      <c r="R633" s="324" t="inlineStr">
        <is>
          <t>C3-C10规划锁定：雾脚蹼靴</t>
        </is>
      </c>
      <c r="S633" s="292" t="inlineStr">
        <is>
          <t>玄渊二十套全装备代码总表.xlsx</t>
        </is>
      </c>
      <c r="T633" s="292" t="inlineStr">
        <is>
          <t>玄渊20套全装备视觉候选；Items/StateItem/DnItems三库同码；属性待策划填写</t>
        </is>
      </c>
      <c r="U633">
        <f>IF(COUNTIF($B$2:$B$1076,B633)&gt;1,"重复","")</f>
        <v/>
      </c>
      <c r="V633">
        <f>IF(AND(OR(M633="",M633=B633),OR(N633="",N633=B633),OR(O633="",O633=B633)),"通过","不一致")</f>
        <v/>
      </c>
    </row>
    <row r="634" ht="22" customHeight="1">
      <c r="A634" s="398" t="n">
        <v>633</v>
      </c>
      <c r="B634" s="398" t="n">
        <v>6653</v>
      </c>
      <c r="C634" s="399" t="inlineStr">
        <is>
          <t>血月荆棘·猩月</t>
        </is>
      </c>
      <c r="D634" s="399" t="inlineStr">
        <is>
          <t>血月荆棘</t>
        </is>
      </c>
      <c r="E634" s="399" t="n">
        <v>3</v>
      </c>
      <c r="F634" s="399" t="inlineStr">
        <is>
          <t>腰带</t>
        </is>
      </c>
      <c r="G634" s="398" t="n">
        <v>64</v>
      </c>
      <c r="H634" s="398" t="n">
        <v>10</v>
      </c>
      <c r="I634" s="398" t="n">
        <v>6653</v>
      </c>
      <c r="J634" s="398" t="n">
        <v>0</v>
      </c>
      <c r="K634" s="398" t="n">
        <v>0</v>
      </c>
      <c r="L634" s="398" t="n">
        <v>0</v>
      </c>
      <c r="M634" s="398" t="n">
        <v>6653</v>
      </c>
      <c r="N634" s="398" t="n">
        <v>6653</v>
      </c>
      <c r="O634" s="398" t="n">
        <v>6653</v>
      </c>
      <c r="P634" s="292" t="n"/>
      <c r="Q634" s="292" t="inlineStr">
        <is>
          <t>candidate-preflight-passed</t>
        </is>
      </c>
      <c r="R634" s="324" t="inlineStr">
        <is>
          <t>C3-C10规划锁定：破帆腰带</t>
        </is>
      </c>
      <c r="S634" s="292" t="inlineStr">
        <is>
          <t>玄渊二十套全装备代码总表.xlsx</t>
        </is>
      </c>
      <c r="T634" s="292" t="inlineStr">
        <is>
          <t>玄渊20套全装备视觉候选；Items/StateItem/DnItems三库同码；属性待策划填写</t>
        </is>
      </c>
      <c r="U634">
        <f>IF(COUNTIF($B$2:$B$1076,B634)&gt;1,"重复","")</f>
        <v/>
      </c>
      <c r="V634">
        <f>IF(AND(OR(M634="",M634=B634),OR(N634="",N634=B634),OR(O634="",O634=B634)),"通过","不一致")</f>
        <v/>
      </c>
    </row>
    <row r="635" ht="22" customHeight="1">
      <c r="A635" s="398" t="n">
        <v>634</v>
      </c>
      <c r="B635" s="398" t="n">
        <v>6654</v>
      </c>
      <c r="C635" s="399" t="inlineStr">
        <is>
          <t>血月荆棘·猩月</t>
        </is>
      </c>
      <c r="D635" s="399" t="inlineStr">
        <is>
          <t>血月荆棘</t>
        </is>
      </c>
      <c r="E635" s="399" t="n">
        <v>3</v>
      </c>
      <c r="F635" s="399" t="inlineStr">
        <is>
          <t>护身符</t>
        </is>
      </c>
      <c r="G635" s="398" t="n">
        <v>25</v>
      </c>
      <c r="H635" s="398" t="n">
        <v>9</v>
      </c>
      <c r="I635" s="398" t="n">
        <v>6654</v>
      </c>
      <c r="J635" s="398" t="n">
        <v>0</v>
      </c>
      <c r="K635" s="398" t="n">
        <v>0</v>
      </c>
      <c r="L635" s="398" t="n">
        <v>0</v>
      </c>
      <c r="M635" s="398" t="n">
        <v>6654</v>
      </c>
      <c r="N635" s="398" t="n">
        <v>6654</v>
      </c>
      <c r="O635" s="398" t="n">
        <v>6654</v>
      </c>
      <c r="P635" s="292" t="n"/>
      <c r="Q635" s="292" t="inlineStr">
        <is>
          <t>candidate-preflight-passed</t>
        </is>
      </c>
      <c r="R635" s="292" t="str"/>
      <c r="S635" s="292" t="inlineStr">
        <is>
          <t>玄渊二十套全装备代码总表.xlsx</t>
        </is>
      </c>
      <c r="T635" s="292" t="inlineStr">
        <is>
          <t>玄渊20套全装备视觉候选；Items/StateItem/DnItems三库同码；属性待策划填写</t>
        </is>
      </c>
      <c r="U635">
        <f>IF(COUNTIF($B$2:$B$1076,B635)&gt;1,"重复","")</f>
        <v/>
      </c>
      <c r="V635">
        <f>IF(AND(OR(M635="",M635=B635),OR(N635="",N635=B635),OR(O635="",O635=B635)),"通过","不一致")</f>
        <v/>
      </c>
    </row>
    <row r="636" ht="22" customHeight="1">
      <c r="A636" s="398" t="n">
        <v>635</v>
      </c>
      <c r="B636" s="398" t="n">
        <v>6655</v>
      </c>
      <c r="C636" s="399" t="inlineStr">
        <is>
          <t>血月荆棘·猩月</t>
        </is>
      </c>
      <c r="D636" s="399" t="inlineStr">
        <is>
          <t>血月荆棘</t>
        </is>
      </c>
      <c r="E636" s="399" t="n">
        <v>3</v>
      </c>
      <c r="F636" s="399" t="inlineStr">
        <is>
          <t>宝石</t>
        </is>
      </c>
      <c r="G636" s="398" t="n">
        <v>63</v>
      </c>
      <c r="H636" s="398" t="n">
        <v>12</v>
      </c>
      <c r="I636" s="398" t="n">
        <v>6655</v>
      </c>
      <c r="J636" s="398" t="n">
        <v>0</v>
      </c>
      <c r="K636" s="398" t="n">
        <v>0</v>
      </c>
      <c r="L636" s="398" t="n">
        <v>0</v>
      </c>
      <c r="M636" s="398" t="n">
        <v>6655</v>
      </c>
      <c r="N636" s="398" t="n">
        <v>6655</v>
      </c>
      <c r="O636" s="398" t="n">
        <v>6655</v>
      </c>
      <c r="P636" s="292" t="n"/>
      <c r="Q636" s="292" t="inlineStr">
        <is>
          <t>candidate-preflight-passed</t>
        </is>
      </c>
      <c r="R636" s="292" t="str"/>
      <c r="S636" s="292" t="inlineStr">
        <is>
          <t>玄渊二十套全装备代码总表.xlsx</t>
        </is>
      </c>
      <c r="T636" s="292" t="inlineStr">
        <is>
          <t>玄渊20套全装备视觉候选；Items/StateItem/DnItems三库同码；属性待策划填写</t>
        </is>
      </c>
      <c r="U636">
        <f>IF(COUNTIF($B$2:$B$1076,B636)&gt;1,"重复","")</f>
        <v/>
      </c>
      <c r="V636">
        <f>IF(AND(OR(M636="",M636=B636),OR(N636="",N636=B636),OR(O636="",O636=B636)),"通过","不一致")</f>
        <v/>
      </c>
    </row>
    <row r="637" ht="22" customHeight="1">
      <c r="A637" s="398" t="n">
        <v>636</v>
      </c>
      <c r="B637" s="398" t="n">
        <v>6656</v>
      </c>
      <c r="C637" s="399" t="inlineStr">
        <is>
          <t>血月荆棘·猩月</t>
        </is>
      </c>
      <c r="D637" s="399" t="inlineStr">
        <is>
          <t>血月荆棘</t>
        </is>
      </c>
      <c r="E637" s="399" t="n">
        <v>3</v>
      </c>
      <c r="F637" s="399" t="inlineStr">
        <is>
          <t>军鼓</t>
        </is>
      </c>
      <c r="G637" s="398" t="n">
        <v>65</v>
      </c>
      <c r="H637" s="398" t="n">
        <v>14</v>
      </c>
      <c r="I637" s="398" t="n">
        <v>6656</v>
      </c>
      <c r="J637" s="398" t="n">
        <v>0</v>
      </c>
      <c r="K637" s="398" t="n">
        <v>0</v>
      </c>
      <c r="L637" s="398" t="n">
        <v>0</v>
      </c>
      <c r="M637" s="398" t="n">
        <v>6656</v>
      </c>
      <c r="N637" s="398" t="n">
        <v>6656</v>
      </c>
      <c r="O637" s="398" t="n">
        <v>6656</v>
      </c>
      <c r="P637" s="292" t="n"/>
      <c r="Q637" s="292" t="inlineStr">
        <is>
          <t>candidate-preflight-passed</t>
        </is>
      </c>
      <c r="R637" s="292" t="str"/>
      <c r="S637" s="292" t="inlineStr">
        <is>
          <t>玄渊二十套全装备代码总表.xlsx</t>
        </is>
      </c>
      <c r="T637" s="292" t="inlineStr">
        <is>
          <t>玄渊20套全装备视觉候选；Items/StateItem/DnItems三库同码；属性待策划填写</t>
        </is>
      </c>
      <c r="U637">
        <f>IF(COUNTIF($B$2:$B$1076,B637)&gt;1,"重复","")</f>
        <v/>
      </c>
      <c r="V637">
        <f>IF(AND(OR(M637="",M637=B637),OR(N637="",N637=B637),OR(O637="",O637=B637)),"通过","不一致")</f>
        <v/>
      </c>
    </row>
    <row r="638" ht="22" customHeight="1">
      <c r="A638" s="398" t="n">
        <v>637</v>
      </c>
      <c r="B638" s="398" t="n">
        <v>6657</v>
      </c>
      <c r="C638" s="399" t="inlineStr">
        <is>
          <t>血月荆棘·猩月</t>
        </is>
      </c>
      <c r="D638" s="399" t="inlineStr">
        <is>
          <t>血月荆棘</t>
        </is>
      </c>
      <c r="E638" s="399" t="n">
        <v>3</v>
      </c>
      <c r="F638" s="399" t="inlineStr">
        <is>
          <t>马牌</t>
        </is>
      </c>
      <c r="G638" s="398" t="n">
        <v>28</v>
      </c>
      <c r="H638" s="398" t="n">
        <v>15</v>
      </c>
      <c r="I638" s="398" t="n">
        <v>6657</v>
      </c>
      <c r="J638" s="398" t="n">
        <v>0</v>
      </c>
      <c r="K638" s="398" t="n">
        <v>0</v>
      </c>
      <c r="L638" s="398" t="n">
        <v>0</v>
      </c>
      <c r="M638" s="398" t="n">
        <v>6657</v>
      </c>
      <c r="N638" s="398" t="n">
        <v>6657</v>
      </c>
      <c r="O638" s="398" t="n">
        <v>6657</v>
      </c>
      <c r="P638" s="292" t="n"/>
      <c r="Q638" s="292" t="inlineStr">
        <is>
          <t>candidate-preflight-passed</t>
        </is>
      </c>
      <c r="R638" s="292" t="str"/>
      <c r="S638" s="292" t="inlineStr">
        <is>
          <t>玄渊二十套全装备代码总表.xlsx</t>
        </is>
      </c>
      <c r="T638" s="292" t="inlineStr">
        <is>
          <t>玄渊20套全装备视觉候选；Items/StateItem/DnItems三库同码；属性待策划填写</t>
        </is>
      </c>
      <c r="U638">
        <f>IF(COUNTIF($B$2:$B$1076,B638)&gt;1,"重复","")</f>
        <v/>
      </c>
      <c r="V638">
        <f>IF(AND(OR(M638="",M638=B638),OR(N638="",N638=B638),OR(O638="",O638=B638)),"通过","不一致")</f>
        <v/>
      </c>
    </row>
    <row r="639" ht="22" customHeight="1">
      <c r="A639" s="398" t="n">
        <v>638</v>
      </c>
      <c r="B639" s="398" t="n">
        <v>6658</v>
      </c>
      <c r="C639" s="399" t="inlineStr">
        <is>
          <t>血月荆棘·猩月</t>
        </is>
      </c>
      <c r="D639" s="399" t="inlineStr">
        <is>
          <t>血月荆棘</t>
        </is>
      </c>
      <c r="E639" s="399" t="n">
        <v>3</v>
      </c>
      <c r="F639" s="399" t="inlineStr">
        <is>
          <t>首饰盒1</t>
        </is>
      </c>
      <c r="G639" s="398" t="n">
        <v>22</v>
      </c>
      <c r="H639" s="398" t="n">
        <v>30</v>
      </c>
      <c r="I639" s="398" t="n">
        <v>6658</v>
      </c>
      <c r="J639" s="398" t="n">
        <v>0</v>
      </c>
      <c r="K639" s="398" t="n">
        <v>2</v>
      </c>
      <c r="L639" s="398" t="n">
        <v>1</v>
      </c>
      <c r="M639" s="398" t="n">
        <v>6658</v>
      </c>
      <c r="N639" s="398" t="n">
        <v>6658</v>
      </c>
      <c r="O639" s="398" t="n">
        <v>6658</v>
      </c>
      <c r="P639" s="292" t="n"/>
      <c r="Q639" s="292" t="inlineStr">
        <is>
          <t>candidate-preflight-passed</t>
        </is>
      </c>
      <c r="R639" s="292" t="str"/>
      <c r="S639" s="292" t="inlineStr">
        <is>
          <t>玄渊二十套全装备代码总表.xlsx</t>
        </is>
      </c>
      <c r="T639" s="292" t="inlineStr">
        <is>
          <t>玄渊20套全装备视觉候选；Items/StateItem/DnItems三库同码；属性待策划填写；OverLap=2; Expand1=1</t>
        </is>
      </c>
      <c r="U639">
        <f>IF(COUNTIF($B$2:$B$1076,B639)&gt;1,"重复","")</f>
        <v/>
      </c>
      <c r="V639">
        <f>IF(AND(OR(M639="",M639=B639),OR(N639="",N639=B639),OR(O639="",O639=B639)),"通过","不一致")</f>
        <v/>
      </c>
    </row>
    <row r="640" ht="22" customHeight="1">
      <c r="A640" s="398" t="n">
        <v>639</v>
      </c>
      <c r="B640" s="398" t="n">
        <v>6659</v>
      </c>
      <c r="C640" s="399" t="inlineStr">
        <is>
          <t>血月荆棘·猩月</t>
        </is>
      </c>
      <c r="D640" s="399" t="inlineStr">
        <is>
          <t>血月荆棘</t>
        </is>
      </c>
      <c r="E640" s="399" t="n">
        <v>3</v>
      </c>
      <c r="F640" s="399" t="inlineStr">
        <is>
          <t>首饰盒2</t>
        </is>
      </c>
      <c r="G640" s="398" t="n">
        <v>22</v>
      </c>
      <c r="H640" s="398" t="n">
        <v>31</v>
      </c>
      <c r="I640" s="398" t="n">
        <v>6659</v>
      </c>
      <c r="J640" s="398" t="n">
        <v>0</v>
      </c>
      <c r="K640" s="398" t="n">
        <v>2</v>
      </c>
      <c r="L640" s="398" t="n">
        <v>2</v>
      </c>
      <c r="M640" s="398" t="n">
        <v>6659</v>
      </c>
      <c r="N640" s="398" t="n">
        <v>6659</v>
      </c>
      <c r="O640" s="398" t="n">
        <v>6659</v>
      </c>
      <c r="P640" s="292" t="n"/>
      <c r="Q640" s="292" t="inlineStr">
        <is>
          <t>candidate-preflight-passed</t>
        </is>
      </c>
      <c r="R640" s="292" t="str"/>
      <c r="S640" s="292" t="inlineStr">
        <is>
          <t>玄渊二十套全装备代码总表.xlsx</t>
        </is>
      </c>
      <c r="T640" s="292" t="inlineStr">
        <is>
          <t>玄渊20套全装备视觉候选；Items/StateItem/DnItems三库同码；属性待策划填写；OverLap=2; Expand1=2</t>
        </is>
      </c>
      <c r="U640">
        <f>IF(COUNTIF($B$2:$B$1076,B640)&gt;1,"重复","")</f>
        <v/>
      </c>
      <c r="V640">
        <f>IF(AND(OR(M640="",M640=B640),OR(N640="",N640=B640),OR(O640="",O640=B640)),"通过","不一致")</f>
        <v/>
      </c>
    </row>
    <row r="641" ht="22" customHeight="1">
      <c r="A641" s="398" t="n">
        <v>640</v>
      </c>
      <c r="B641" s="398" t="n">
        <v>6660</v>
      </c>
      <c r="C641" s="399" t="inlineStr">
        <is>
          <t>血月荆棘·猩月</t>
        </is>
      </c>
      <c r="D641" s="399" t="inlineStr">
        <is>
          <t>血月荆棘</t>
        </is>
      </c>
      <c r="E641" s="399" t="n">
        <v>3</v>
      </c>
      <c r="F641" s="399" t="inlineStr">
        <is>
          <t>首饰盒3</t>
        </is>
      </c>
      <c r="G641" s="398" t="n">
        <v>22</v>
      </c>
      <c r="H641" s="398" t="n">
        <v>32</v>
      </c>
      <c r="I641" s="398" t="n">
        <v>6660</v>
      </c>
      <c r="J641" s="398" t="n">
        <v>0</v>
      </c>
      <c r="K641" s="398" t="n">
        <v>2</v>
      </c>
      <c r="L641" s="398" t="n">
        <v>3</v>
      </c>
      <c r="M641" s="398" t="n">
        <v>6660</v>
      </c>
      <c r="N641" s="398" t="n">
        <v>6660</v>
      </c>
      <c r="O641" s="398" t="n">
        <v>6660</v>
      </c>
      <c r="P641" s="292" t="n"/>
      <c r="Q641" s="292" t="inlineStr">
        <is>
          <t>candidate-preflight-passed</t>
        </is>
      </c>
      <c r="R641" s="292" t="str"/>
      <c r="S641" s="292" t="inlineStr">
        <is>
          <t>玄渊二十套全装备代码总表.xlsx</t>
        </is>
      </c>
      <c r="T641" s="292" t="inlineStr">
        <is>
          <t>玄渊20套全装备视觉候选；Items/StateItem/DnItems三库同码；属性待策划填写；OverLap=2; Expand1=3</t>
        </is>
      </c>
      <c r="U641">
        <f>IF(COUNTIF($B$2:$B$1076,B641)&gt;1,"重复","")</f>
        <v/>
      </c>
      <c r="V641">
        <f>IF(AND(OR(M641="",M641=B641),OR(N641="",N641=B641),OR(O641="",O641=B641)),"通过","不一致")</f>
        <v/>
      </c>
    </row>
    <row r="642" ht="22" customHeight="1">
      <c r="A642" s="398" t="n">
        <v>641</v>
      </c>
      <c r="B642" s="398" t="n">
        <v>6661</v>
      </c>
      <c r="C642" s="399" t="inlineStr">
        <is>
          <t>血月荆棘·猩月</t>
        </is>
      </c>
      <c r="D642" s="399" t="inlineStr">
        <is>
          <t>血月荆棘</t>
        </is>
      </c>
      <c r="E642" s="399" t="n">
        <v>3</v>
      </c>
      <c r="F642" s="399" t="inlineStr">
        <is>
          <t>首饰盒4</t>
        </is>
      </c>
      <c r="G642" s="398" t="n">
        <v>22</v>
      </c>
      <c r="H642" s="398" t="n">
        <v>33</v>
      </c>
      <c r="I642" s="398" t="n">
        <v>6661</v>
      </c>
      <c r="J642" s="398" t="n">
        <v>0</v>
      </c>
      <c r="K642" s="398" t="n">
        <v>2</v>
      </c>
      <c r="L642" s="398" t="n">
        <v>4</v>
      </c>
      <c r="M642" s="398" t="n">
        <v>6661</v>
      </c>
      <c r="N642" s="398" t="n">
        <v>6661</v>
      </c>
      <c r="O642" s="398" t="n">
        <v>6661</v>
      </c>
      <c r="P642" s="292" t="n"/>
      <c r="Q642" s="292" t="inlineStr">
        <is>
          <t>candidate-preflight-passed</t>
        </is>
      </c>
      <c r="R642" s="292" t="str"/>
      <c r="S642" s="292" t="inlineStr">
        <is>
          <t>玄渊二十套全装备代码总表.xlsx</t>
        </is>
      </c>
      <c r="T642" s="292" t="inlineStr">
        <is>
          <t>玄渊20套全装备视觉候选；Items/StateItem/DnItems三库同码；属性待策划填写；OverLap=2; Expand1=4</t>
        </is>
      </c>
      <c r="U642">
        <f>IF(COUNTIF($B$2:$B$1076,B642)&gt;1,"重复","")</f>
        <v/>
      </c>
      <c r="V642">
        <f>IF(AND(OR(M642="",M642=B642),OR(N642="",N642=B642),OR(O642="",O642=B642)),"通过","不一致")</f>
        <v/>
      </c>
    </row>
    <row r="643" ht="22" customHeight="1">
      <c r="A643" s="398" t="n">
        <v>642</v>
      </c>
      <c r="B643" s="398" t="n">
        <v>6662</v>
      </c>
      <c r="C643" s="399" t="inlineStr">
        <is>
          <t>血月荆棘·猩月</t>
        </is>
      </c>
      <c r="D643" s="399" t="inlineStr">
        <is>
          <t>血月荆棘</t>
        </is>
      </c>
      <c r="E643" s="399" t="n">
        <v>3</v>
      </c>
      <c r="F643" s="399" t="inlineStr">
        <is>
          <t>首饰盒5</t>
        </is>
      </c>
      <c r="G643" s="398" t="n">
        <v>22</v>
      </c>
      <c r="H643" s="398" t="n">
        <v>34</v>
      </c>
      <c r="I643" s="398" t="n">
        <v>6662</v>
      </c>
      <c r="J643" s="398" t="n">
        <v>0</v>
      </c>
      <c r="K643" s="398" t="n">
        <v>2</v>
      </c>
      <c r="L643" s="398" t="n">
        <v>5</v>
      </c>
      <c r="M643" s="398" t="n">
        <v>6662</v>
      </c>
      <c r="N643" s="398" t="n">
        <v>6662</v>
      </c>
      <c r="O643" s="398" t="n">
        <v>6662</v>
      </c>
      <c r="P643" s="292" t="n"/>
      <c r="Q643" s="292" t="inlineStr">
        <is>
          <t>candidate-preflight-passed</t>
        </is>
      </c>
      <c r="R643" s="292" t="str"/>
      <c r="S643" s="292" t="inlineStr">
        <is>
          <t>玄渊二十套全装备代码总表.xlsx</t>
        </is>
      </c>
      <c r="T643" s="292" t="inlineStr">
        <is>
          <t>玄渊20套全装备视觉候选；Items/StateItem/DnItems三库同码；属性待策划填写；OverLap=2; Expand1=5</t>
        </is>
      </c>
      <c r="U643">
        <f>IF(COUNTIF($B$2:$B$1076,B643)&gt;1,"重复","")</f>
        <v/>
      </c>
      <c r="V643">
        <f>IF(AND(OR(M643="",M643=B643),OR(N643="",N643=B643),OR(O643="",O643=B643)),"通过","不一致")</f>
        <v/>
      </c>
    </row>
    <row r="644" ht="22" customHeight="1">
      <c r="A644" s="398" t="n">
        <v>643</v>
      </c>
      <c r="B644" s="398" t="n">
        <v>6663</v>
      </c>
      <c r="C644" s="399" t="inlineStr">
        <is>
          <t>血月荆棘·猩月</t>
        </is>
      </c>
      <c r="D644" s="399" t="inlineStr">
        <is>
          <t>血月荆棘</t>
        </is>
      </c>
      <c r="E644" s="399" t="n">
        <v>3</v>
      </c>
      <c r="F644" s="399" t="inlineStr">
        <is>
          <t>首饰盒6</t>
        </is>
      </c>
      <c r="G644" s="398" t="n">
        <v>22</v>
      </c>
      <c r="H644" s="398" t="n">
        <v>35</v>
      </c>
      <c r="I644" s="398" t="n">
        <v>6663</v>
      </c>
      <c r="J644" s="398" t="n">
        <v>0</v>
      </c>
      <c r="K644" s="398" t="n">
        <v>2</v>
      </c>
      <c r="L644" s="398" t="n">
        <v>6</v>
      </c>
      <c r="M644" s="398" t="n">
        <v>6663</v>
      </c>
      <c r="N644" s="398" t="n">
        <v>6663</v>
      </c>
      <c r="O644" s="398" t="n">
        <v>6663</v>
      </c>
      <c r="P644" s="292" t="n"/>
      <c r="Q644" s="292" t="inlineStr">
        <is>
          <t>candidate-preflight-passed</t>
        </is>
      </c>
      <c r="R644" s="292" t="str"/>
      <c r="S644" s="292" t="inlineStr">
        <is>
          <t>玄渊二十套全装备代码总表.xlsx</t>
        </is>
      </c>
      <c r="T644" s="292" t="inlineStr">
        <is>
          <t>玄渊20套全装备视觉候选；Items/StateItem/DnItems三库同码；属性待策划填写；OverLap=2; Expand1=6</t>
        </is>
      </c>
      <c r="U644">
        <f>IF(COUNTIF($B$2:$B$1076,B644)&gt;1,"重复","")</f>
        <v/>
      </c>
      <c r="V644">
        <f>IF(AND(OR(M644="",M644=B644),OR(N644="",N644=B644),OR(O644="",O644=B644)),"通过","不一致")</f>
        <v/>
      </c>
    </row>
    <row r="645" ht="22" customHeight="1">
      <c r="A645" s="398" t="n">
        <v>644</v>
      </c>
      <c r="B645" s="398" t="n">
        <v>6664</v>
      </c>
      <c r="C645" s="399" t="inlineStr">
        <is>
          <t>血月荆棘·猩月</t>
        </is>
      </c>
      <c r="D645" s="399" t="inlineStr">
        <is>
          <t>血月荆棘</t>
        </is>
      </c>
      <c r="E645" s="399" t="n">
        <v>3</v>
      </c>
      <c r="F645" s="399" t="inlineStr">
        <is>
          <t>生肖1</t>
        </is>
      </c>
      <c r="G645" s="398" t="n">
        <v>22</v>
      </c>
      <c r="H645" s="398" t="n">
        <v>40</v>
      </c>
      <c r="I645" s="398" t="n">
        <v>6664</v>
      </c>
      <c r="J645" s="398" t="n">
        <v>0</v>
      </c>
      <c r="K645" s="398" t="n">
        <v>4</v>
      </c>
      <c r="L645" s="398" t="n">
        <v>1</v>
      </c>
      <c r="M645" s="398" t="n">
        <v>6664</v>
      </c>
      <c r="N645" s="398" t="n">
        <v>6664</v>
      </c>
      <c r="O645" s="398" t="n">
        <v>6664</v>
      </c>
      <c r="P645" s="292" t="n"/>
      <c r="Q645" s="292" t="inlineStr">
        <is>
          <t>candidate-preflight-passed</t>
        </is>
      </c>
      <c r="R645" s="292" t="str"/>
      <c r="S645" s="292" t="inlineStr">
        <is>
          <t>玄渊二十套全装备代码总表.xlsx</t>
        </is>
      </c>
      <c r="T645" s="292" t="inlineStr">
        <is>
          <t>玄渊20套全装备视觉候选；Items/StateItem/DnItems三库同码；属性待策划填写；OverLap=4; Expand1=1</t>
        </is>
      </c>
      <c r="U645">
        <f>IF(COUNTIF($B$2:$B$1076,B645)&gt;1,"重复","")</f>
        <v/>
      </c>
      <c r="V645">
        <f>IF(AND(OR(M645="",M645=B645),OR(N645="",N645=B645),OR(O645="",O645=B645)),"通过","不一致")</f>
        <v/>
      </c>
    </row>
    <row r="646" ht="22" customHeight="1">
      <c r="A646" s="398" t="n">
        <v>645</v>
      </c>
      <c r="B646" s="398" t="n">
        <v>6665</v>
      </c>
      <c r="C646" s="399" t="inlineStr">
        <is>
          <t>血月荆棘·猩月</t>
        </is>
      </c>
      <c r="D646" s="399" t="inlineStr">
        <is>
          <t>血月荆棘</t>
        </is>
      </c>
      <c r="E646" s="399" t="n">
        <v>3</v>
      </c>
      <c r="F646" s="399" t="inlineStr">
        <is>
          <t>生肖2</t>
        </is>
      </c>
      <c r="G646" s="398" t="n">
        <v>22</v>
      </c>
      <c r="H646" s="398" t="n">
        <v>41</v>
      </c>
      <c r="I646" s="398" t="n">
        <v>6665</v>
      </c>
      <c r="J646" s="398" t="n">
        <v>0</v>
      </c>
      <c r="K646" s="398" t="n">
        <v>4</v>
      </c>
      <c r="L646" s="398" t="n">
        <v>2</v>
      </c>
      <c r="M646" s="398" t="n">
        <v>6665</v>
      </c>
      <c r="N646" s="398" t="n">
        <v>6665</v>
      </c>
      <c r="O646" s="398" t="n">
        <v>6665</v>
      </c>
      <c r="P646" s="292" t="n"/>
      <c r="Q646" s="292" t="inlineStr">
        <is>
          <t>candidate-preflight-passed</t>
        </is>
      </c>
      <c r="R646" s="292" t="str"/>
      <c r="S646" s="292" t="inlineStr">
        <is>
          <t>玄渊二十套全装备代码总表.xlsx</t>
        </is>
      </c>
      <c r="T646" s="292" t="inlineStr">
        <is>
          <t>玄渊20套全装备视觉候选；Items/StateItem/DnItems三库同码；属性待策划填写；OverLap=4; Expand1=2</t>
        </is>
      </c>
      <c r="U646">
        <f>IF(COUNTIF($B$2:$B$1076,B646)&gt;1,"重复","")</f>
        <v/>
      </c>
      <c r="V646">
        <f>IF(AND(OR(M646="",M646=B646),OR(N646="",N646=B646),OR(O646="",O646=B646)),"通过","不一致")</f>
        <v/>
      </c>
    </row>
    <row r="647" ht="22" customHeight="1">
      <c r="A647" s="398" t="n">
        <v>646</v>
      </c>
      <c r="B647" s="398" t="n">
        <v>6666</v>
      </c>
      <c r="C647" s="399" t="inlineStr">
        <is>
          <t>血月荆棘·猩月</t>
        </is>
      </c>
      <c r="D647" s="399" t="inlineStr">
        <is>
          <t>血月荆棘</t>
        </is>
      </c>
      <c r="E647" s="399" t="n">
        <v>3</v>
      </c>
      <c r="F647" s="399" t="inlineStr">
        <is>
          <t>生肖3</t>
        </is>
      </c>
      <c r="G647" s="398" t="n">
        <v>22</v>
      </c>
      <c r="H647" s="398" t="n">
        <v>42</v>
      </c>
      <c r="I647" s="398" t="n">
        <v>6666</v>
      </c>
      <c r="J647" s="398" t="n">
        <v>0</v>
      </c>
      <c r="K647" s="398" t="n">
        <v>4</v>
      </c>
      <c r="L647" s="398" t="n">
        <v>3</v>
      </c>
      <c r="M647" s="398" t="n">
        <v>6666</v>
      </c>
      <c r="N647" s="398" t="n">
        <v>6666</v>
      </c>
      <c r="O647" s="398" t="n">
        <v>6666</v>
      </c>
      <c r="P647" s="292" t="n"/>
      <c r="Q647" s="292" t="inlineStr">
        <is>
          <t>candidate-preflight-passed</t>
        </is>
      </c>
      <c r="R647" s="292" t="str"/>
      <c r="S647" s="292" t="inlineStr">
        <is>
          <t>玄渊二十套全装备代码总表.xlsx</t>
        </is>
      </c>
      <c r="T647" s="292" t="inlineStr">
        <is>
          <t>玄渊20套全装备视觉候选；Items/StateItem/DnItems三库同码；属性待策划填写；OverLap=4; Expand1=3</t>
        </is>
      </c>
      <c r="U647">
        <f>IF(COUNTIF($B$2:$B$1076,B647)&gt;1,"重复","")</f>
        <v/>
      </c>
      <c r="V647">
        <f>IF(AND(OR(M647="",M647=B647),OR(N647="",N647=B647),OR(O647="",O647=B647)),"通过","不一致")</f>
        <v/>
      </c>
    </row>
    <row r="648" ht="22" customHeight="1">
      <c r="A648" s="398" t="n">
        <v>647</v>
      </c>
      <c r="B648" s="398" t="n">
        <v>6667</v>
      </c>
      <c r="C648" s="399" t="inlineStr">
        <is>
          <t>血月荆棘·猩月</t>
        </is>
      </c>
      <c r="D648" s="399" t="inlineStr">
        <is>
          <t>血月荆棘</t>
        </is>
      </c>
      <c r="E648" s="399" t="n">
        <v>3</v>
      </c>
      <c r="F648" s="399" t="inlineStr">
        <is>
          <t>生肖4</t>
        </is>
      </c>
      <c r="G648" s="398" t="n">
        <v>22</v>
      </c>
      <c r="H648" s="398" t="n">
        <v>43</v>
      </c>
      <c r="I648" s="398" t="n">
        <v>6667</v>
      </c>
      <c r="J648" s="398" t="n">
        <v>0</v>
      </c>
      <c r="K648" s="398" t="n">
        <v>4</v>
      </c>
      <c r="L648" s="398" t="n">
        <v>4</v>
      </c>
      <c r="M648" s="398" t="n">
        <v>6667</v>
      </c>
      <c r="N648" s="398" t="n">
        <v>6667</v>
      </c>
      <c r="O648" s="398" t="n">
        <v>6667</v>
      </c>
      <c r="P648" s="292" t="n"/>
      <c r="Q648" s="292" t="inlineStr">
        <is>
          <t>candidate-preflight-passed</t>
        </is>
      </c>
      <c r="R648" s="292" t="str"/>
      <c r="S648" s="292" t="inlineStr">
        <is>
          <t>玄渊二十套全装备代码总表.xlsx</t>
        </is>
      </c>
      <c r="T648" s="292" t="inlineStr">
        <is>
          <t>玄渊20套全装备视觉候选；Items/StateItem/DnItems三库同码；属性待策划填写；OverLap=4; Expand1=4</t>
        </is>
      </c>
      <c r="U648">
        <f>IF(COUNTIF($B$2:$B$1076,B648)&gt;1,"重复","")</f>
        <v/>
      </c>
      <c r="V648">
        <f>IF(AND(OR(M648="",M648=B648),OR(N648="",N648=B648),OR(O648="",O648=B648)),"通过","不一致")</f>
        <v/>
      </c>
    </row>
    <row r="649" ht="22" customHeight="1">
      <c r="A649" s="398" t="n">
        <v>648</v>
      </c>
      <c r="B649" s="398" t="n">
        <v>6668</v>
      </c>
      <c r="C649" s="399" t="inlineStr">
        <is>
          <t>血月荆棘·猩月</t>
        </is>
      </c>
      <c r="D649" s="399" t="inlineStr">
        <is>
          <t>血月荆棘</t>
        </is>
      </c>
      <c r="E649" s="399" t="n">
        <v>3</v>
      </c>
      <c r="F649" s="399" t="inlineStr">
        <is>
          <t>生肖5</t>
        </is>
      </c>
      <c r="G649" s="398" t="n">
        <v>22</v>
      </c>
      <c r="H649" s="398" t="n">
        <v>44</v>
      </c>
      <c r="I649" s="398" t="n">
        <v>6668</v>
      </c>
      <c r="J649" s="398" t="n">
        <v>0</v>
      </c>
      <c r="K649" s="398" t="n">
        <v>4</v>
      </c>
      <c r="L649" s="398" t="n">
        <v>5</v>
      </c>
      <c r="M649" s="398" t="n">
        <v>6668</v>
      </c>
      <c r="N649" s="398" t="n">
        <v>6668</v>
      </c>
      <c r="O649" s="398" t="n">
        <v>6668</v>
      </c>
      <c r="P649" s="292" t="n"/>
      <c r="Q649" s="292" t="inlineStr">
        <is>
          <t>candidate-preflight-passed</t>
        </is>
      </c>
      <c r="R649" s="292" t="str"/>
      <c r="S649" s="292" t="inlineStr">
        <is>
          <t>玄渊二十套全装备代码总表.xlsx</t>
        </is>
      </c>
      <c r="T649" s="292" t="inlineStr">
        <is>
          <t>玄渊20套全装备视觉候选；Items/StateItem/DnItems三库同码；属性待策划填写；OverLap=4; Expand1=5</t>
        </is>
      </c>
      <c r="U649">
        <f>IF(COUNTIF($B$2:$B$1076,B649)&gt;1,"重复","")</f>
        <v/>
      </c>
      <c r="V649">
        <f>IF(AND(OR(M649="",M649=B649),OR(N649="",N649=B649),OR(O649="",O649=B649)),"通过","不一致")</f>
        <v/>
      </c>
    </row>
    <row r="650" ht="22" customHeight="1">
      <c r="A650" s="398" t="n">
        <v>649</v>
      </c>
      <c r="B650" s="398" t="n">
        <v>6669</v>
      </c>
      <c r="C650" s="399" t="inlineStr">
        <is>
          <t>血月荆棘·猩月</t>
        </is>
      </c>
      <c r="D650" s="399" t="inlineStr">
        <is>
          <t>血月荆棘</t>
        </is>
      </c>
      <c r="E650" s="399" t="n">
        <v>3</v>
      </c>
      <c r="F650" s="399" t="inlineStr">
        <is>
          <t>生肖6</t>
        </is>
      </c>
      <c r="G650" s="398" t="n">
        <v>22</v>
      </c>
      <c r="H650" s="398" t="n">
        <v>45</v>
      </c>
      <c r="I650" s="398" t="n">
        <v>6669</v>
      </c>
      <c r="J650" s="398" t="n">
        <v>0</v>
      </c>
      <c r="K650" s="398" t="n">
        <v>4</v>
      </c>
      <c r="L650" s="398" t="n">
        <v>6</v>
      </c>
      <c r="M650" s="398" t="n">
        <v>6669</v>
      </c>
      <c r="N650" s="398" t="n">
        <v>6669</v>
      </c>
      <c r="O650" s="398" t="n">
        <v>6669</v>
      </c>
      <c r="P650" s="292" t="n"/>
      <c r="Q650" s="292" t="inlineStr">
        <is>
          <t>candidate-preflight-passed</t>
        </is>
      </c>
      <c r="R650" s="292" t="str"/>
      <c r="S650" s="292" t="inlineStr">
        <is>
          <t>玄渊二十套全装备代码总表.xlsx</t>
        </is>
      </c>
      <c r="T650" s="292" t="inlineStr">
        <is>
          <t>玄渊20套全装备视觉候选；Items/StateItem/DnItems三库同码；属性待策划填写；OverLap=4; Expand1=6</t>
        </is>
      </c>
      <c r="U650">
        <f>IF(COUNTIF($B$2:$B$1076,B650)&gt;1,"重复","")</f>
        <v/>
      </c>
      <c r="V650">
        <f>IF(AND(OR(M650="",M650=B650),OR(N650="",N650=B650),OR(O650="",O650=B650)),"通过","不一致")</f>
        <v/>
      </c>
    </row>
    <row r="651" ht="22" customHeight="1">
      <c r="A651" s="398" t="n">
        <v>650</v>
      </c>
      <c r="B651" s="398" t="n">
        <v>6670</v>
      </c>
      <c r="C651" s="399" t="inlineStr">
        <is>
          <t>血月荆棘·猩月</t>
        </is>
      </c>
      <c r="D651" s="399" t="inlineStr">
        <is>
          <t>血月荆棘</t>
        </is>
      </c>
      <c r="E651" s="399" t="n">
        <v>3</v>
      </c>
      <c r="F651" s="399" t="inlineStr">
        <is>
          <t>生肖7</t>
        </is>
      </c>
      <c r="G651" s="398" t="n">
        <v>22</v>
      </c>
      <c r="H651" s="398" t="n">
        <v>46</v>
      </c>
      <c r="I651" s="398" t="n">
        <v>6670</v>
      </c>
      <c r="J651" s="398" t="n">
        <v>0</v>
      </c>
      <c r="K651" s="398" t="n">
        <v>4</v>
      </c>
      <c r="L651" s="398" t="n">
        <v>7</v>
      </c>
      <c r="M651" s="398" t="n">
        <v>6670</v>
      </c>
      <c r="N651" s="398" t="n">
        <v>6670</v>
      </c>
      <c r="O651" s="398" t="n">
        <v>6670</v>
      </c>
      <c r="P651" s="292" t="n"/>
      <c r="Q651" s="292" t="inlineStr">
        <is>
          <t>candidate-preflight-passed</t>
        </is>
      </c>
      <c r="R651" s="292" t="str"/>
      <c r="S651" s="292" t="inlineStr">
        <is>
          <t>玄渊二十套全装备代码总表.xlsx</t>
        </is>
      </c>
      <c r="T651" s="292" t="inlineStr">
        <is>
          <t>玄渊20套全装备视觉候选；Items/StateItem/DnItems三库同码；属性待策划填写；OverLap=4; Expand1=7</t>
        </is>
      </c>
      <c r="U651">
        <f>IF(COUNTIF($B$2:$B$1076,B651)&gt;1,"重复","")</f>
        <v/>
      </c>
      <c r="V651">
        <f>IF(AND(OR(M651="",M651=B651),OR(N651="",N651=B651),OR(O651="",O651=B651)),"通过","不一致")</f>
        <v/>
      </c>
    </row>
    <row r="652" ht="22" customHeight="1">
      <c r="A652" s="398" t="n">
        <v>651</v>
      </c>
      <c r="B652" s="398" t="n">
        <v>6671</v>
      </c>
      <c r="C652" s="399" t="inlineStr">
        <is>
          <t>血月荆棘·猩月</t>
        </is>
      </c>
      <c r="D652" s="399" t="inlineStr">
        <is>
          <t>血月荆棘</t>
        </is>
      </c>
      <c r="E652" s="399" t="n">
        <v>3</v>
      </c>
      <c r="F652" s="399" t="inlineStr">
        <is>
          <t>生肖8</t>
        </is>
      </c>
      <c r="G652" s="398" t="n">
        <v>22</v>
      </c>
      <c r="H652" s="398" t="n">
        <v>47</v>
      </c>
      <c r="I652" s="398" t="n">
        <v>6671</v>
      </c>
      <c r="J652" s="398" t="n">
        <v>0</v>
      </c>
      <c r="K652" s="398" t="n">
        <v>4</v>
      </c>
      <c r="L652" s="398" t="n">
        <v>8</v>
      </c>
      <c r="M652" s="398" t="n">
        <v>6671</v>
      </c>
      <c r="N652" s="398" t="n">
        <v>6671</v>
      </c>
      <c r="O652" s="398" t="n">
        <v>6671</v>
      </c>
      <c r="P652" s="292" t="n"/>
      <c r="Q652" s="292" t="inlineStr">
        <is>
          <t>candidate-preflight-passed</t>
        </is>
      </c>
      <c r="R652" s="292" t="str"/>
      <c r="S652" s="292" t="inlineStr">
        <is>
          <t>玄渊二十套全装备代码总表.xlsx</t>
        </is>
      </c>
      <c r="T652" s="292" t="inlineStr">
        <is>
          <t>玄渊20套全装备视觉候选；Items/StateItem/DnItems三库同码；属性待策划填写；OverLap=4; Expand1=8</t>
        </is>
      </c>
      <c r="U652">
        <f>IF(COUNTIF($B$2:$B$1076,B652)&gt;1,"重复","")</f>
        <v/>
      </c>
      <c r="V652">
        <f>IF(AND(OR(M652="",M652=B652),OR(N652="",N652=B652),OR(O652="",O652=B652)),"通过","不一致")</f>
        <v/>
      </c>
    </row>
    <row r="653" ht="22" customHeight="1">
      <c r="A653" s="398" t="n">
        <v>652</v>
      </c>
      <c r="B653" s="398" t="n">
        <v>6672</v>
      </c>
      <c r="C653" s="399" t="inlineStr">
        <is>
          <t>血月荆棘·猩月</t>
        </is>
      </c>
      <c r="D653" s="399" t="inlineStr">
        <is>
          <t>血月荆棘</t>
        </is>
      </c>
      <c r="E653" s="399" t="n">
        <v>3</v>
      </c>
      <c r="F653" s="399" t="inlineStr">
        <is>
          <t>生肖9</t>
        </is>
      </c>
      <c r="G653" s="398" t="n">
        <v>22</v>
      </c>
      <c r="H653" s="398" t="n">
        <v>48</v>
      </c>
      <c r="I653" s="398" t="n">
        <v>6672</v>
      </c>
      <c r="J653" s="398" t="n">
        <v>0</v>
      </c>
      <c r="K653" s="398" t="n">
        <v>4</v>
      </c>
      <c r="L653" s="398" t="n">
        <v>9</v>
      </c>
      <c r="M653" s="398" t="n">
        <v>6672</v>
      </c>
      <c r="N653" s="398" t="n">
        <v>6672</v>
      </c>
      <c r="O653" s="398" t="n">
        <v>6672</v>
      </c>
      <c r="P653" s="292" t="n"/>
      <c r="Q653" s="292" t="inlineStr">
        <is>
          <t>candidate-preflight-passed</t>
        </is>
      </c>
      <c r="R653" s="292" t="str"/>
      <c r="S653" s="292" t="inlineStr">
        <is>
          <t>玄渊二十套全装备代码总表.xlsx</t>
        </is>
      </c>
      <c r="T653" s="292" t="inlineStr">
        <is>
          <t>玄渊20套全装备视觉候选；Items/StateItem/DnItems三库同码；属性待策划填写；OverLap=4; Expand1=9</t>
        </is>
      </c>
      <c r="U653">
        <f>IF(COUNTIF($B$2:$B$1076,B653)&gt;1,"重复","")</f>
        <v/>
      </c>
      <c r="V653">
        <f>IF(AND(OR(M653="",M653=B653),OR(N653="",N653=B653),OR(O653="",O653=B653)),"通过","不一致")</f>
        <v/>
      </c>
    </row>
    <row r="654" ht="22" customHeight="1">
      <c r="A654" s="398" t="n">
        <v>653</v>
      </c>
      <c r="B654" s="398" t="n">
        <v>6673</v>
      </c>
      <c r="C654" s="399" t="inlineStr">
        <is>
          <t>血月荆棘·猩月</t>
        </is>
      </c>
      <c r="D654" s="399" t="inlineStr">
        <is>
          <t>血月荆棘</t>
        </is>
      </c>
      <c r="E654" s="399" t="n">
        <v>3</v>
      </c>
      <c r="F654" s="399" t="inlineStr">
        <is>
          <t>生肖10</t>
        </is>
      </c>
      <c r="G654" s="398" t="n">
        <v>22</v>
      </c>
      <c r="H654" s="398" t="n">
        <v>49</v>
      </c>
      <c r="I654" s="398" t="n">
        <v>6673</v>
      </c>
      <c r="J654" s="398" t="n">
        <v>0</v>
      </c>
      <c r="K654" s="398" t="n">
        <v>4</v>
      </c>
      <c r="L654" s="398" t="n">
        <v>10</v>
      </c>
      <c r="M654" s="398" t="n">
        <v>6673</v>
      </c>
      <c r="N654" s="398" t="n">
        <v>6673</v>
      </c>
      <c r="O654" s="398" t="n">
        <v>6673</v>
      </c>
      <c r="P654" s="292" t="n"/>
      <c r="Q654" s="292" t="inlineStr">
        <is>
          <t>candidate-preflight-passed</t>
        </is>
      </c>
      <c r="R654" s="292" t="str"/>
      <c r="S654" s="292" t="inlineStr">
        <is>
          <t>玄渊二十套全装备代码总表.xlsx</t>
        </is>
      </c>
      <c r="T654" s="292" t="inlineStr">
        <is>
          <t>玄渊20套全装备视觉候选；Items/StateItem/DnItems三库同码；属性待策划填写；OverLap=4; Expand1=10</t>
        </is>
      </c>
      <c r="U654">
        <f>IF(COUNTIF($B$2:$B$1076,B654)&gt;1,"重复","")</f>
        <v/>
      </c>
      <c r="V654">
        <f>IF(AND(OR(M654="",M654=B654),OR(N654="",N654=B654),OR(O654="",O654=B654)),"通过","不一致")</f>
        <v/>
      </c>
    </row>
    <row r="655" ht="22" customHeight="1">
      <c r="A655" s="398" t="n">
        <v>654</v>
      </c>
      <c r="B655" s="398" t="n">
        <v>6674</v>
      </c>
      <c r="C655" s="399" t="inlineStr">
        <is>
          <t>血月荆棘·猩月</t>
        </is>
      </c>
      <c r="D655" s="399" t="inlineStr">
        <is>
          <t>血月荆棘</t>
        </is>
      </c>
      <c r="E655" s="399" t="n">
        <v>3</v>
      </c>
      <c r="F655" s="399" t="inlineStr">
        <is>
          <t>生肖11</t>
        </is>
      </c>
      <c r="G655" s="398" t="n">
        <v>22</v>
      </c>
      <c r="H655" s="398" t="n">
        <v>50</v>
      </c>
      <c r="I655" s="398" t="n">
        <v>6674</v>
      </c>
      <c r="J655" s="398" t="n">
        <v>0</v>
      </c>
      <c r="K655" s="398" t="n">
        <v>4</v>
      </c>
      <c r="L655" s="398" t="n">
        <v>11</v>
      </c>
      <c r="M655" s="398" t="n">
        <v>6674</v>
      </c>
      <c r="N655" s="398" t="n">
        <v>6674</v>
      </c>
      <c r="O655" s="398" t="n">
        <v>6674</v>
      </c>
      <c r="P655" s="292" t="n"/>
      <c r="Q655" s="292" t="inlineStr">
        <is>
          <t>candidate-preflight-passed</t>
        </is>
      </c>
      <c r="R655" s="292" t="str"/>
      <c r="S655" s="292" t="inlineStr">
        <is>
          <t>玄渊二十套全装备代码总表.xlsx</t>
        </is>
      </c>
      <c r="T655" s="292" t="inlineStr">
        <is>
          <t>玄渊20套全装备视觉候选；Items/StateItem/DnItems三库同码；属性待策划填写；OverLap=4; Expand1=11</t>
        </is>
      </c>
      <c r="U655">
        <f>IF(COUNTIF($B$2:$B$1076,B655)&gt;1,"重复","")</f>
        <v/>
      </c>
      <c r="V655">
        <f>IF(AND(OR(M655="",M655=B655),OR(N655="",N655=B655),OR(O655="",O655=B655)),"通过","不一致")</f>
        <v/>
      </c>
    </row>
    <row r="656" ht="22" customHeight="1">
      <c r="A656" s="398" t="n">
        <v>655</v>
      </c>
      <c r="B656" s="398" t="n">
        <v>6675</v>
      </c>
      <c r="C656" s="399" t="inlineStr">
        <is>
          <t>血月荆棘·猩月</t>
        </is>
      </c>
      <c r="D656" s="399" t="inlineStr">
        <is>
          <t>血月荆棘</t>
        </is>
      </c>
      <c r="E656" s="399" t="n">
        <v>3</v>
      </c>
      <c r="F656" s="399" t="inlineStr">
        <is>
          <t>生肖12</t>
        </is>
      </c>
      <c r="G656" s="398" t="n">
        <v>22</v>
      </c>
      <c r="H656" s="398" t="n">
        <v>51</v>
      </c>
      <c r="I656" s="398" t="n">
        <v>6675</v>
      </c>
      <c r="J656" s="398" t="n">
        <v>0</v>
      </c>
      <c r="K656" s="398" t="n">
        <v>4</v>
      </c>
      <c r="L656" s="398" t="n">
        <v>12</v>
      </c>
      <c r="M656" s="398" t="n">
        <v>6675</v>
      </c>
      <c r="N656" s="398" t="n">
        <v>6675</v>
      </c>
      <c r="O656" s="398" t="n">
        <v>6675</v>
      </c>
      <c r="P656" s="292" t="n"/>
      <c r="Q656" s="292" t="inlineStr">
        <is>
          <t>candidate-preflight-passed</t>
        </is>
      </c>
      <c r="R656" s="292" t="str"/>
      <c r="S656" s="292" t="inlineStr">
        <is>
          <t>玄渊二十套全装备代码总表.xlsx</t>
        </is>
      </c>
      <c r="T656" s="292" t="inlineStr">
        <is>
          <t>玄渊20套全装备视觉候选；Items/StateItem/DnItems三库同码；属性待策划填写；OverLap=4; Expand1=12</t>
        </is>
      </c>
      <c r="U656">
        <f>IF(COUNTIF($B$2:$B$1076,B656)&gt;1,"重复","")</f>
        <v/>
      </c>
      <c r="V656">
        <f>IF(AND(OR(M656="",M656=B656),OR(N656="",N656=B656),OR(O656="",O656=B656)),"通过","不一致")</f>
        <v/>
      </c>
    </row>
    <row r="657" ht="22" customHeight="1">
      <c r="A657" s="398" t="n">
        <v>656</v>
      </c>
      <c r="B657" s="398" t="n">
        <v>6676</v>
      </c>
      <c r="C657" s="399" t="inlineStr">
        <is>
          <t>血月荆棘·弑王</t>
        </is>
      </c>
      <c r="D657" s="399" t="inlineStr">
        <is>
          <t>血月荆棘</t>
        </is>
      </c>
      <c r="E657" s="399" t="n">
        <v>4</v>
      </c>
      <c r="F657" s="399" t="inlineStr">
        <is>
          <t>武器</t>
        </is>
      </c>
      <c r="G657" s="398" t="n">
        <v>5</v>
      </c>
      <c r="H657" s="398" t="n">
        <v>1</v>
      </c>
      <c r="I657" s="398" t="n">
        <v>6676</v>
      </c>
      <c r="J657" s="398" t="n">
        <v>24</v>
      </c>
      <c r="K657" s="398" t="n">
        <v>0</v>
      </c>
      <c r="L657" s="398" t="n">
        <v>0</v>
      </c>
      <c r="M657" s="398" t="n">
        <v>6676</v>
      </c>
      <c r="N657" s="398" t="n">
        <v>6676</v>
      </c>
      <c r="O657" s="398" t="n">
        <v>6676</v>
      </c>
      <c r="P657" s="292" t="inlineStr">
        <is>
          <t>Weapon.wzl/wzx（复用现有真实动作）</t>
        </is>
      </c>
      <c r="Q657" s="292" t="inlineStr">
        <is>
          <t>candidate-preflight-passed</t>
        </is>
      </c>
      <c r="R657" s="324" t="inlineStr">
        <is>
          <t>C3-C10规划锁定：摩汶的沉水铡</t>
        </is>
      </c>
      <c r="S657" s="292" t="inlineStr">
        <is>
          <t>玄渊二十套全装备代码总表.xlsx</t>
        </is>
      </c>
      <c r="T657" s="292" t="inlineStr">
        <is>
          <t>玄渊20套全装备视觉候选；Items/StateItem/DnItems三库同码；属性待策划填写；Weapon Shape=24</t>
        </is>
      </c>
      <c r="U657">
        <f>IF(COUNTIF($B$2:$B$1076,B657)&gt;1,"重复","")</f>
        <v/>
      </c>
      <c r="V657">
        <f>IF(AND(OR(M657="",M657=B657),OR(N657="",N657=B657),OR(O657="",O657=B657)),"通过","不一致")</f>
        <v/>
      </c>
    </row>
    <row r="658" ht="22" customHeight="1">
      <c r="A658" s="398" t="n">
        <v>657</v>
      </c>
      <c r="B658" s="398" t="n">
        <v>6677</v>
      </c>
      <c r="C658" s="399" t="inlineStr">
        <is>
          <t>血月荆棘·弑王</t>
        </is>
      </c>
      <c r="D658" s="399" t="inlineStr">
        <is>
          <t>血月荆棘</t>
        </is>
      </c>
      <c r="E658" s="399" t="n">
        <v>4</v>
      </c>
      <c r="F658" s="399" t="inlineStr">
        <is>
          <t>男衣服</t>
        </is>
      </c>
      <c r="G658" s="398" t="n">
        <v>10</v>
      </c>
      <c r="H658" s="398" t="n">
        <v>0</v>
      </c>
      <c r="I658" s="398" t="n">
        <v>6677</v>
      </c>
      <c r="J658" s="398" t="n">
        <v>1</v>
      </c>
      <c r="K658" s="398" t="n">
        <v>0</v>
      </c>
      <c r="L658" s="398" t="n">
        <v>0</v>
      </c>
      <c r="M658" s="398" t="n">
        <v>6677</v>
      </c>
      <c r="N658" s="398" t="n">
        <v>6677</v>
      </c>
      <c r="O658" s="398" t="n">
        <v>6677</v>
      </c>
      <c r="P658" s="292" t="inlineStr">
        <is>
          <t>Hum.wzl/wzx（复用现有真实动作）</t>
        </is>
      </c>
      <c r="Q658" s="292" t="inlineStr">
        <is>
          <t>candidate-preflight-passed</t>
        </is>
      </c>
      <c r="R658" s="324" t="inlineStr">
        <is>
          <t>C3-C10规划锁定：塞芙拉无声衣</t>
        </is>
      </c>
      <c r="S658" s="292" t="inlineStr">
        <is>
          <t>玄渊二十套全装备代码总表.xlsx</t>
        </is>
      </c>
      <c r="T658" s="292" t="inlineStr">
        <is>
          <t>玄渊20套全装备视觉候选；Items/StateItem/DnItems三库同码；属性待策划填写；Hum Shape=1</t>
        </is>
      </c>
      <c r="U658">
        <f>IF(COUNTIF($B$2:$B$1076,B658)&gt;1,"重复","")</f>
        <v/>
      </c>
      <c r="V658">
        <f>IF(AND(OR(M658="",M658=B658),OR(N658="",N658=B658),OR(O658="",O658=B658)),"通过","不一致")</f>
        <v/>
      </c>
    </row>
    <row r="659" ht="22" customHeight="1">
      <c r="A659" s="398" t="n">
        <v>658</v>
      </c>
      <c r="B659" s="398" t="n">
        <v>6678</v>
      </c>
      <c r="C659" s="399" t="inlineStr">
        <is>
          <t>血月荆棘·弑王</t>
        </is>
      </c>
      <c r="D659" s="399" t="inlineStr">
        <is>
          <t>血月荆棘</t>
        </is>
      </c>
      <c r="E659" s="399" t="n">
        <v>4</v>
      </c>
      <c r="F659" s="399" t="inlineStr">
        <is>
          <t>女衣服</t>
        </is>
      </c>
      <c r="G659" s="398" t="n">
        <v>11</v>
      </c>
      <c r="H659" s="398" t="n">
        <v>0</v>
      </c>
      <c r="I659" s="398" t="n">
        <v>6678</v>
      </c>
      <c r="J659" s="398" t="n">
        <v>1</v>
      </c>
      <c r="K659" s="398" t="n">
        <v>0</v>
      </c>
      <c r="L659" s="398" t="n">
        <v>0</v>
      </c>
      <c r="M659" s="398" t="n">
        <v>6678</v>
      </c>
      <c r="N659" s="398" t="n">
        <v>6678</v>
      </c>
      <c r="O659" s="398" t="n">
        <v>6678</v>
      </c>
      <c r="P659" s="292" t="inlineStr">
        <is>
          <t>Hum.wzl/wzx（复用现有真实动作）</t>
        </is>
      </c>
      <c r="Q659" s="292" t="inlineStr">
        <is>
          <t>candidate-preflight-passed</t>
        </is>
      </c>
      <c r="R659" s="292" t="str"/>
      <c r="S659" s="292" t="inlineStr">
        <is>
          <t>玄渊二十套全装备代码总表.xlsx</t>
        </is>
      </c>
      <c r="T659" s="292" t="inlineStr">
        <is>
          <t>玄渊20套全装备视觉候选；Items/StateItem/DnItems三库同码；属性待策划填写；Hum Shape=1</t>
        </is>
      </c>
      <c r="U659">
        <f>IF(COUNTIF($B$2:$B$1076,B659)&gt;1,"重复","")</f>
        <v/>
      </c>
      <c r="V659">
        <f>IF(AND(OR(M659="",M659=B659),OR(N659="",N659=B659),OR(O659="",O659=B659)),"通过","不一致")</f>
        <v/>
      </c>
    </row>
    <row r="660" ht="22" customHeight="1">
      <c r="A660" s="398" t="n">
        <v>659</v>
      </c>
      <c r="B660" s="398" t="n">
        <v>6679</v>
      </c>
      <c r="C660" s="399" t="inlineStr">
        <is>
          <t>血月荆棘·弑王</t>
        </is>
      </c>
      <c r="D660" s="399" t="inlineStr">
        <is>
          <t>血月荆棘</t>
        </is>
      </c>
      <c r="E660" s="399" t="n">
        <v>4</v>
      </c>
      <c r="F660" s="399" t="inlineStr">
        <is>
          <t>头盔</t>
        </is>
      </c>
      <c r="G660" s="398" t="n">
        <v>15</v>
      </c>
      <c r="H660" s="398" t="n">
        <v>4</v>
      </c>
      <c r="I660" s="398" t="n">
        <v>6679</v>
      </c>
      <c r="J660" s="398" t="n">
        <v>0</v>
      </c>
      <c r="K660" s="398" t="n">
        <v>0</v>
      </c>
      <c r="L660" s="398" t="n">
        <v>0</v>
      </c>
      <c r="M660" s="398" t="n">
        <v>6679</v>
      </c>
      <c r="N660" s="398" t="n">
        <v>6679</v>
      </c>
      <c r="O660" s="398" t="n">
        <v>6679</v>
      </c>
      <c r="P660" s="292" t="n"/>
      <c r="Q660" s="292" t="inlineStr">
        <is>
          <t>candidate-preflight-passed</t>
        </is>
      </c>
      <c r="R660" s="324" t="inlineStr">
        <is>
          <t>C3-C10规划锁定：西境征服冠</t>
        </is>
      </c>
      <c r="S660" s="292" t="inlineStr">
        <is>
          <t>玄渊二十套全装备代码总表.xlsx</t>
        </is>
      </c>
      <c r="T660" s="292" t="inlineStr">
        <is>
          <t>玄渊20套全装备视觉候选；Items/StateItem/DnItems三库同码；属性待策划填写</t>
        </is>
      </c>
      <c r="U660">
        <f>IF(COUNTIF($B$2:$B$1076,B660)&gt;1,"重复","")</f>
        <v/>
      </c>
      <c r="V660">
        <f>IF(AND(OR(M660="",M660=B660),OR(N660="",N660=B660),OR(O660="",O660=B660)),"通过","不一致")</f>
        <v/>
      </c>
    </row>
    <row r="661" ht="22" customHeight="1">
      <c r="A661" s="398" t="n">
        <v>660</v>
      </c>
      <c r="B661" s="398" t="n">
        <v>6680</v>
      </c>
      <c r="C661" s="399" t="inlineStr">
        <is>
          <t>血月荆棘·弑王</t>
        </is>
      </c>
      <c r="D661" s="399" t="inlineStr">
        <is>
          <t>血月荆棘</t>
        </is>
      </c>
      <c r="E661" s="399" t="n">
        <v>4</v>
      </c>
      <c r="F661" s="399" t="inlineStr">
        <is>
          <t>面巾</t>
        </is>
      </c>
      <c r="G661" s="398" t="n">
        <v>16</v>
      </c>
      <c r="H661" s="398" t="n">
        <v>13</v>
      </c>
      <c r="I661" s="398" t="n">
        <v>6680</v>
      </c>
      <c r="J661" s="398" t="n">
        <v>0</v>
      </c>
      <c r="K661" s="398" t="n">
        <v>0</v>
      </c>
      <c r="L661" s="398" t="n">
        <v>0</v>
      </c>
      <c r="M661" s="398" t="n">
        <v>6680</v>
      </c>
      <c r="N661" s="398" t="n">
        <v>6680</v>
      </c>
      <c r="O661" s="398" t="n">
        <v>6680</v>
      </c>
      <c r="P661" s="292" t="n"/>
      <c r="Q661" s="292" t="inlineStr">
        <is>
          <t>candidate-preflight-passed</t>
        </is>
      </c>
      <c r="R661" s="324" t="inlineStr">
        <is>
          <t>C3-C10规划锁定：踏索雪笠</t>
        </is>
      </c>
      <c r="S661" s="292" t="inlineStr">
        <is>
          <t>玄渊二十套全装备代码总表.xlsx</t>
        </is>
      </c>
      <c r="T661" s="292" t="inlineStr">
        <is>
          <t>玄渊20套全装备视觉候选；Items/StateItem/DnItems三库同码；属性待策划填写</t>
        </is>
      </c>
      <c r="U661">
        <f>IF(COUNTIF($B$2:$B$1076,B661)&gt;1,"重复","")</f>
        <v/>
      </c>
      <c r="V661">
        <f>IF(AND(OR(M661="",M661=B661),OR(N661="",N661=B661),OR(O661="",O661=B661)),"通过","不一致")</f>
        <v/>
      </c>
    </row>
    <row r="662" ht="22" customHeight="1">
      <c r="A662" s="398" t="n">
        <v>661</v>
      </c>
      <c r="B662" s="398" t="n">
        <v>6681</v>
      </c>
      <c r="C662" s="399" t="inlineStr">
        <is>
          <t>血月荆棘·弑王</t>
        </is>
      </c>
      <c r="D662" s="399" t="inlineStr">
        <is>
          <t>血月荆棘</t>
        </is>
      </c>
      <c r="E662" s="399" t="n">
        <v>4</v>
      </c>
      <c r="F662" s="399" t="inlineStr">
        <is>
          <t>项链</t>
        </is>
      </c>
      <c r="G662" s="398" t="n">
        <v>19</v>
      </c>
      <c r="H662" s="398" t="n">
        <v>3</v>
      </c>
      <c r="I662" s="398" t="n">
        <v>6681</v>
      </c>
      <c r="J662" s="398" t="n">
        <v>0</v>
      </c>
      <c r="K662" s="398" t="n">
        <v>0</v>
      </c>
      <c r="L662" s="398" t="n">
        <v>0</v>
      </c>
      <c r="M662" s="398" t="n">
        <v>6681</v>
      </c>
      <c r="N662" s="398" t="n">
        <v>6681</v>
      </c>
      <c r="O662" s="398" t="n">
        <v>6681</v>
      </c>
      <c r="P662" s="292" t="n"/>
      <c r="Q662" s="292" t="inlineStr">
        <is>
          <t>candidate-preflight-passed</t>
        </is>
      </c>
      <c r="R662" s="324" t="inlineStr">
        <is>
          <t>C3-C10规划锁定：风沙鹰链</t>
        </is>
      </c>
      <c r="S662" s="292" t="inlineStr">
        <is>
          <t>玄渊二十套全装备代码总表.xlsx</t>
        </is>
      </c>
      <c r="T662" s="292" t="inlineStr">
        <is>
          <t>玄渊20套全装备视觉候选；Items/StateItem/DnItems三库同码；属性待策划填写</t>
        </is>
      </c>
      <c r="U662">
        <f>IF(COUNTIF($B$2:$B$1076,B662)&gt;1,"重复","")</f>
        <v/>
      </c>
      <c r="V662">
        <f>IF(AND(OR(M662="",M662=B662),OR(N662="",N662=B662),OR(O662="",O662=B662)),"通过","不一致")</f>
        <v/>
      </c>
    </row>
    <row r="663" ht="22" customHeight="1">
      <c r="A663" s="398" t="n">
        <v>662</v>
      </c>
      <c r="B663" s="398" t="n">
        <v>6682</v>
      </c>
      <c r="C663" s="399" t="inlineStr">
        <is>
          <t>血月荆棘·弑王</t>
        </is>
      </c>
      <c r="D663" s="399" t="inlineStr">
        <is>
          <t>血月荆棘</t>
        </is>
      </c>
      <c r="E663" s="399" t="n">
        <v>4</v>
      </c>
      <c r="F663" s="399" t="inlineStr">
        <is>
          <t>手镯</t>
        </is>
      </c>
      <c r="G663" s="398" t="n">
        <v>26</v>
      </c>
      <c r="H663" s="398" t="n">
        <v>5</v>
      </c>
      <c r="I663" s="398" t="n">
        <v>6682</v>
      </c>
      <c r="J663" s="398" t="n">
        <v>0</v>
      </c>
      <c r="K663" s="398" t="n">
        <v>0</v>
      </c>
      <c r="L663" s="398" t="n">
        <v>0</v>
      </c>
      <c r="M663" s="398" t="n">
        <v>6682</v>
      </c>
      <c r="N663" s="398" t="n">
        <v>6682</v>
      </c>
      <c r="O663" s="398" t="n">
        <v>6682</v>
      </c>
      <c r="P663" s="292" t="n"/>
      <c r="Q663" s="292" t="inlineStr">
        <is>
          <t>candidate-preflight-passed</t>
        </is>
      </c>
      <c r="R663" s="324" t="inlineStr">
        <is>
          <t>C3-C10规划锁定：芦针腕环</t>
        </is>
      </c>
      <c r="S663" s="292" t="inlineStr">
        <is>
          <t>玄渊二十套全装备代码总表.xlsx</t>
        </is>
      </c>
      <c r="T663" s="292" t="inlineStr">
        <is>
          <t>玄渊20套全装备视觉候选；Items/StateItem/DnItems三库同码；属性待策划填写</t>
        </is>
      </c>
      <c r="U663">
        <f>IF(COUNTIF($B$2:$B$1076,B663)&gt;1,"重复","")</f>
        <v/>
      </c>
      <c r="V663">
        <f>IF(AND(OR(M663="",M663=B663),OR(N663="",N663=B663),OR(O663="",O663=B663)),"通过","不一致")</f>
        <v/>
      </c>
    </row>
    <row r="664" ht="22" customHeight="1">
      <c r="A664" s="398" t="n">
        <v>663</v>
      </c>
      <c r="B664" s="398" t="n">
        <v>6683</v>
      </c>
      <c r="C664" s="399" t="inlineStr">
        <is>
          <t>血月荆棘·弑王</t>
        </is>
      </c>
      <c r="D664" s="399" t="inlineStr">
        <is>
          <t>血月荆棘</t>
        </is>
      </c>
      <c r="E664" s="399" t="n">
        <v>4</v>
      </c>
      <c r="F664" s="399" t="inlineStr">
        <is>
          <t>戒指</t>
        </is>
      </c>
      <c r="G664" s="398" t="n">
        <v>22</v>
      </c>
      <c r="H664" s="398" t="n">
        <v>7</v>
      </c>
      <c r="I664" s="398" t="n">
        <v>6683</v>
      </c>
      <c r="J664" s="398" t="n">
        <v>0</v>
      </c>
      <c r="K664" s="398" t="n">
        <v>0</v>
      </c>
      <c r="L664" s="398" t="n">
        <v>0</v>
      </c>
      <c r="M664" s="398" t="n">
        <v>6683</v>
      </c>
      <c r="N664" s="398" t="n">
        <v>6683</v>
      </c>
      <c r="O664" s="398" t="n">
        <v>6683</v>
      </c>
      <c r="P664" s="292" t="n"/>
      <c r="Q664" s="292" t="inlineStr">
        <is>
          <t>candidate-preflight-passed</t>
        </is>
      </c>
      <c r="R664" s="324" t="inlineStr">
        <is>
          <t>C3-C10规划锁定：圣律戒印</t>
        </is>
      </c>
      <c r="S664" s="292" t="inlineStr">
        <is>
          <t>玄渊二十套全装备代码总表.xlsx</t>
        </is>
      </c>
      <c r="T664" s="292" t="inlineStr">
        <is>
          <t>玄渊20套全装备视觉候选；Items/StateItem/DnItems三库同码；属性待策划填写</t>
        </is>
      </c>
      <c r="U664">
        <f>IF(COUNTIF($B$2:$B$1076,B664)&gt;1,"重复","")</f>
        <v/>
      </c>
      <c r="V664">
        <f>IF(AND(OR(M664="",M664=B664),OR(N664="",N664=B664),OR(O664="",O664=B664)),"通过","不一致")</f>
        <v/>
      </c>
    </row>
    <row r="665" ht="22" customHeight="1">
      <c r="A665" s="398" t="n">
        <v>664</v>
      </c>
      <c r="B665" s="398" t="n">
        <v>6684</v>
      </c>
      <c r="C665" s="399" t="inlineStr">
        <is>
          <t>血月荆棘·弑王</t>
        </is>
      </c>
      <c r="D665" s="399" t="inlineStr">
        <is>
          <t>血月荆棘</t>
        </is>
      </c>
      <c r="E665" s="399" t="n">
        <v>4</v>
      </c>
      <c r="F665" s="399" t="inlineStr">
        <is>
          <t>勋章</t>
        </is>
      </c>
      <c r="G665" s="398" t="n">
        <v>30</v>
      </c>
      <c r="H665" s="398" t="n">
        <v>2</v>
      </c>
      <c r="I665" s="398" t="n">
        <v>6684</v>
      </c>
      <c r="J665" s="398" t="n">
        <v>0</v>
      </c>
      <c r="K665" s="398" t="n">
        <v>0</v>
      </c>
      <c r="L665" s="398" t="n">
        <v>0</v>
      </c>
      <c r="M665" s="398" t="n">
        <v>6684</v>
      </c>
      <c r="N665" s="398" t="n">
        <v>6684</v>
      </c>
      <c r="O665" s="398" t="n">
        <v>6684</v>
      </c>
      <c r="P665" s="292" t="n"/>
      <c r="Q665" s="292" t="inlineStr">
        <is>
          <t>candidate-preflight-passed</t>
        </is>
      </c>
      <c r="R665" s="324" t="inlineStr">
        <is>
          <t>C3-C10规划锁定：月纱回音章</t>
        </is>
      </c>
      <c r="S665" s="292" t="inlineStr">
        <is>
          <t>玄渊二十套全装备代码总表.xlsx</t>
        </is>
      </c>
      <c r="T665" s="292" t="inlineStr">
        <is>
          <t>玄渊20套全装备视觉候选；Items/StateItem/DnItems三库同码；属性待策划填写</t>
        </is>
      </c>
      <c r="U665">
        <f>IF(COUNTIF($B$2:$B$1076,B665)&gt;1,"重复","")</f>
        <v/>
      </c>
      <c r="V665">
        <f>IF(AND(OR(M665="",M665=B665),OR(N665="",N665=B665),OR(O665="",O665=B665)),"通过","不一致")</f>
        <v/>
      </c>
    </row>
    <row r="666" ht="22" customHeight="1">
      <c r="A666" s="398" t="n">
        <v>665</v>
      </c>
      <c r="B666" s="398" t="n">
        <v>6685</v>
      </c>
      <c r="C666" s="399" t="inlineStr">
        <is>
          <t>血月荆棘·弑王</t>
        </is>
      </c>
      <c r="D666" s="399" t="inlineStr">
        <is>
          <t>血月荆棘</t>
        </is>
      </c>
      <c r="E666" s="399" t="n">
        <v>4</v>
      </c>
      <c r="F666" s="399" t="inlineStr">
        <is>
          <t>盾牌</t>
        </is>
      </c>
      <c r="G666" s="398" t="n">
        <v>12</v>
      </c>
      <c r="H666" s="398" t="n">
        <v>16</v>
      </c>
      <c r="I666" s="398" t="n">
        <v>6685</v>
      </c>
      <c r="J666" s="398" t="n">
        <v>0</v>
      </c>
      <c r="K666" s="398" t="n">
        <v>0</v>
      </c>
      <c r="L666" s="398" t="n">
        <v>0</v>
      </c>
      <c r="M666" s="398" t="n">
        <v>6685</v>
      </c>
      <c r="N666" s="398" t="n">
        <v>6685</v>
      </c>
      <c r="O666" s="398" t="n">
        <v>6685</v>
      </c>
      <c r="P666" s="292" t="n"/>
      <c r="Q666" s="292" t="inlineStr">
        <is>
          <t>candidate-preflight-passed</t>
        </is>
      </c>
      <c r="R666" s="324" t="inlineStr">
        <is>
          <t>C3-C10规划锁定：墓舱壳盾</t>
        </is>
      </c>
      <c r="S666" s="292" t="inlineStr">
        <is>
          <t>玄渊二十套全装备代码总表.xlsx</t>
        </is>
      </c>
      <c r="T666" s="292" t="inlineStr">
        <is>
          <t>玄渊20套全装备视觉候选；Items/StateItem/DnItems三库同码；属性待策划填写</t>
        </is>
      </c>
      <c r="U666">
        <f>IF(COUNTIF($B$2:$B$1076,B666)&gt;1,"重复","")</f>
        <v/>
      </c>
      <c r="V666">
        <f>IF(AND(OR(M666="",M666=B666),OR(N666="",N666=B666),OR(O666="",O666=B666)),"通过","不一致")</f>
        <v/>
      </c>
    </row>
    <row r="667" ht="22" customHeight="1">
      <c r="A667" s="398" t="n">
        <v>666</v>
      </c>
      <c r="B667" s="398" t="n">
        <v>6686</v>
      </c>
      <c r="C667" s="399" t="inlineStr">
        <is>
          <t>血月荆棘·弑王</t>
        </is>
      </c>
      <c r="D667" s="399" t="inlineStr">
        <is>
          <t>血月荆棘</t>
        </is>
      </c>
      <c r="E667" s="399" t="n">
        <v>4</v>
      </c>
      <c r="F667" s="399" t="inlineStr">
        <is>
          <t>灵玉</t>
        </is>
      </c>
      <c r="G667" s="398" t="n">
        <v>90</v>
      </c>
      <c r="H667" s="398" t="n">
        <v>17</v>
      </c>
      <c r="I667" s="398" t="n">
        <v>6686</v>
      </c>
      <c r="J667" s="398" t="n">
        <v>0</v>
      </c>
      <c r="K667" s="398" t="n">
        <v>0</v>
      </c>
      <c r="L667" s="398" t="n">
        <v>0</v>
      </c>
      <c r="M667" s="398" t="n">
        <v>6686</v>
      </c>
      <c r="N667" s="398" t="n">
        <v>6686</v>
      </c>
      <c r="O667" s="398" t="n">
        <v>6686</v>
      </c>
      <c r="P667" s="292" t="n"/>
      <c r="Q667" s="292" t="inlineStr">
        <is>
          <t>candidate-preflight-passed</t>
        </is>
      </c>
      <c r="R667" s="292" t="str"/>
      <c r="S667" s="292" t="inlineStr">
        <is>
          <t>玄渊二十套全装备代码总表.xlsx</t>
        </is>
      </c>
      <c r="T667" s="292" t="inlineStr">
        <is>
          <t>玄渊20套全装备视觉候选；Items/StateItem/DnItems三库同码；属性待策划填写</t>
        </is>
      </c>
      <c r="U667">
        <f>IF(COUNTIF($B$2:$B$1076,B667)&gt;1,"重复","")</f>
        <v/>
      </c>
      <c r="V667">
        <f>IF(AND(OR(M667="",M667=B667),OR(N667="",N667=B667),OR(O667="",O667=B667)),"通过","不一致")</f>
        <v/>
      </c>
    </row>
    <row r="668" ht="22" customHeight="1">
      <c r="A668" s="398" t="n">
        <v>667</v>
      </c>
      <c r="B668" s="398" t="n">
        <v>6687</v>
      </c>
      <c r="C668" s="399" t="inlineStr">
        <is>
          <t>血月荆棘·弑王</t>
        </is>
      </c>
      <c r="D668" s="399" t="inlineStr">
        <is>
          <t>血月荆棘</t>
        </is>
      </c>
      <c r="E668" s="399" t="n">
        <v>4</v>
      </c>
      <c r="F668" s="399" t="inlineStr">
        <is>
          <t>鞋子</t>
        </is>
      </c>
      <c r="G668" s="398" t="n">
        <v>62</v>
      </c>
      <c r="H668" s="398" t="n">
        <v>11</v>
      </c>
      <c r="I668" s="398" t="n">
        <v>6687</v>
      </c>
      <c r="J668" s="398" t="n">
        <v>0</v>
      </c>
      <c r="K668" s="398" t="n">
        <v>0</v>
      </c>
      <c r="L668" s="398" t="n">
        <v>0</v>
      </c>
      <c r="M668" s="398" t="n">
        <v>6687</v>
      </c>
      <c r="N668" s="398" t="n">
        <v>6687</v>
      </c>
      <c r="O668" s="398" t="n">
        <v>6687</v>
      </c>
      <c r="P668" s="292" t="n"/>
      <c r="Q668" s="292" t="inlineStr">
        <is>
          <t>candidate-preflight-passed</t>
        </is>
      </c>
      <c r="R668" s="324" t="inlineStr">
        <is>
          <t>C3-C10规划锁定：盲鱼鳍靴</t>
        </is>
      </c>
      <c r="S668" s="292" t="inlineStr">
        <is>
          <t>玄渊二十套全装备代码总表.xlsx</t>
        </is>
      </c>
      <c r="T668" s="292" t="inlineStr">
        <is>
          <t>玄渊20套全装备视觉候选；Items/StateItem/DnItems三库同码；属性待策划填写</t>
        </is>
      </c>
      <c r="U668">
        <f>IF(COUNTIF($B$2:$B$1076,B668)&gt;1,"重复","")</f>
        <v/>
      </c>
      <c r="V668">
        <f>IF(AND(OR(M668="",M668=B668),OR(N668="",N668=B668),OR(O668="",O668=B668)),"通过","不一致")</f>
        <v/>
      </c>
    </row>
    <row r="669" ht="22" customHeight="1">
      <c r="A669" s="398" t="n">
        <v>668</v>
      </c>
      <c r="B669" s="398" t="n">
        <v>6688</v>
      </c>
      <c r="C669" s="399" t="inlineStr">
        <is>
          <t>血月荆棘·弑王</t>
        </is>
      </c>
      <c r="D669" s="399" t="inlineStr">
        <is>
          <t>血月荆棘</t>
        </is>
      </c>
      <c r="E669" s="399" t="n">
        <v>4</v>
      </c>
      <c r="F669" s="399" t="inlineStr">
        <is>
          <t>腰带</t>
        </is>
      </c>
      <c r="G669" s="398" t="n">
        <v>64</v>
      </c>
      <c r="H669" s="398" t="n">
        <v>10</v>
      </c>
      <c r="I669" s="398" t="n">
        <v>6688</v>
      </c>
      <c r="J669" s="398" t="n">
        <v>0</v>
      </c>
      <c r="K669" s="398" t="n">
        <v>0</v>
      </c>
      <c r="L669" s="398" t="n">
        <v>0</v>
      </c>
      <c r="M669" s="398" t="n">
        <v>6688</v>
      </c>
      <c r="N669" s="398" t="n">
        <v>6688</v>
      </c>
      <c r="O669" s="398" t="n">
        <v>6688</v>
      </c>
      <c r="P669" s="292" t="n"/>
      <c r="Q669" s="292" t="inlineStr">
        <is>
          <t>candidate-preflight-passed</t>
        </is>
      </c>
      <c r="R669" s="324" t="inlineStr">
        <is>
          <t>C3-C10规划锁定：缝舱腰箍</t>
        </is>
      </c>
      <c r="S669" s="292" t="inlineStr">
        <is>
          <t>玄渊二十套全装备代码总表.xlsx</t>
        </is>
      </c>
      <c r="T669" s="292" t="inlineStr">
        <is>
          <t>玄渊20套全装备视觉候选；Items/StateItem/DnItems三库同码；属性待策划填写</t>
        </is>
      </c>
      <c r="U669">
        <f>IF(COUNTIF($B$2:$B$1076,B669)&gt;1,"重复","")</f>
        <v/>
      </c>
      <c r="V669">
        <f>IF(AND(OR(M669="",M669=B669),OR(N669="",N669=B669),OR(O669="",O669=B669)),"通过","不一致")</f>
        <v/>
      </c>
    </row>
    <row r="670" ht="22" customHeight="1">
      <c r="A670" s="398" t="n">
        <v>669</v>
      </c>
      <c r="B670" s="398" t="n">
        <v>6689</v>
      </c>
      <c r="C670" s="399" t="inlineStr">
        <is>
          <t>血月荆棘·弑王</t>
        </is>
      </c>
      <c r="D670" s="399" t="inlineStr">
        <is>
          <t>血月荆棘</t>
        </is>
      </c>
      <c r="E670" s="399" t="n">
        <v>4</v>
      </c>
      <c r="F670" s="399" t="inlineStr">
        <is>
          <t>护身符</t>
        </is>
      </c>
      <c r="G670" s="398" t="n">
        <v>25</v>
      </c>
      <c r="H670" s="398" t="n">
        <v>9</v>
      </c>
      <c r="I670" s="398" t="n">
        <v>6689</v>
      </c>
      <c r="J670" s="398" t="n">
        <v>0</v>
      </c>
      <c r="K670" s="398" t="n">
        <v>0</v>
      </c>
      <c r="L670" s="398" t="n">
        <v>0</v>
      </c>
      <c r="M670" s="398" t="n">
        <v>6689</v>
      </c>
      <c r="N670" s="398" t="n">
        <v>6689</v>
      </c>
      <c r="O670" s="398" t="n">
        <v>6689</v>
      </c>
      <c r="P670" s="292" t="n"/>
      <c r="Q670" s="292" t="inlineStr">
        <is>
          <t>candidate-preflight-passed</t>
        </is>
      </c>
      <c r="R670" s="292" t="str"/>
      <c r="S670" s="292" t="inlineStr">
        <is>
          <t>玄渊二十套全装备代码总表.xlsx</t>
        </is>
      </c>
      <c r="T670" s="292" t="inlineStr">
        <is>
          <t>玄渊20套全装备视觉候选；Items/StateItem/DnItems三库同码；属性待策划填写</t>
        </is>
      </c>
      <c r="U670">
        <f>IF(COUNTIF($B$2:$B$1076,B670)&gt;1,"重复","")</f>
        <v/>
      </c>
      <c r="V670">
        <f>IF(AND(OR(M670="",M670=B670),OR(N670="",N670=B670),OR(O670="",O670=B670)),"通过","不一致")</f>
        <v/>
      </c>
    </row>
    <row r="671" ht="22" customHeight="1">
      <c r="A671" s="398" t="n">
        <v>670</v>
      </c>
      <c r="B671" s="398" t="n">
        <v>6690</v>
      </c>
      <c r="C671" s="399" t="inlineStr">
        <is>
          <t>血月荆棘·弑王</t>
        </is>
      </c>
      <c r="D671" s="399" t="inlineStr">
        <is>
          <t>血月荆棘</t>
        </is>
      </c>
      <c r="E671" s="399" t="n">
        <v>4</v>
      </c>
      <c r="F671" s="399" t="inlineStr">
        <is>
          <t>宝石</t>
        </is>
      </c>
      <c r="G671" s="398" t="n">
        <v>63</v>
      </c>
      <c r="H671" s="398" t="n">
        <v>12</v>
      </c>
      <c r="I671" s="398" t="n">
        <v>6690</v>
      </c>
      <c r="J671" s="398" t="n">
        <v>0</v>
      </c>
      <c r="K671" s="398" t="n">
        <v>0</v>
      </c>
      <c r="L671" s="398" t="n">
        <v>0</v>
      </c>
      <c r="M671" s="398" t="n">
        <v>6690</v>
      </c>
      <c r="N671" s="398" t="n">
        <v>6690</v>
      </c>
      <c r="O671" s="398" t="n">
        <v>6690</v>
      </c>
      <c r="P671" s="292" t="n"/>
      <c r="Q671" s="292" t="inlineStr">
        <is>
          <t>candidate-preflight-passed</t>
        </is>
      </c>
      <c r="R671" s="292" t="str"/>
      <c r="S671" s="292" t="inlineStr">
        <is>
          <t>玄渊二十套全装备代码总表.xlsx</t>
        </is>
      </c>
      <c r="T671" s="292" t="inlineStr">
        <is>
          <t>玄渊20套全装备视觉候选；Items/StateItem/DnItems三库同码；属性待策划填写</t>
        </is>
      </c>
      <c r="U671">
        <f>IF(COUNTIF($B$2:$B$1076,B671)&gt;1,"重复","")</f>
        <v/>
      </c>
      <c r="V671">
        <f>IF(AND(OR(M671="",M671=B671),OR(N671="",N671=B671),OR(O671="",O671=B671)),"通过","不一致")</f>
        <v/>
      </c>
    </row>
    <row r="672" ht="22" customHeight="1">
      <c r="A672" s="398" t="n">
        <v>671</v>
      </c>
      <c r="B672" s="398" t="n">
        <v>6691</v>
      </c>
      <c r="C672" s="399" t="inlineStr">
        <is>
          <t>血月荆棘·弑王</t>
        </is>
      </c>
      <c r="D672" s="399" t="inlineStr">
        <is>
          <t>血月荆棘</t>
        </is>
      </c>
      <c r="E672" s="399" t="n">
        <v>4</v>
      </c>
      <c r="F672" s="399" t="inlineStr">
        <is>
          <t>军鼓</t>
        </is>
      </c>
      <c r="G672" s="398" t="n">
        <v>65</v>
      </c>
      <c r="H672" s="398" t="n">
        <v>14</v>
      </c>
      <c r="I672" s="398" t="n">
        <v>6691</v>
      </c>
      <c r="J672" s="398" t="n">
        <v>0</v>
      </c>
      <c r="K672" s="398" t="n">
        <v>0</v>
      </c>
      <c r="L672" s="398" t="n">
        <v>0</v>
      </c>
      <c r="M672" s="398" t="n">
        <v>6691</v>
      </c>
      <c r="N672" s="398" t="n">
        <v>6691</v>
      </c>
      <c r="O672" s="398" t="n">
        <v>6691</v>
      </c>
      <c r="P672" s="292" t="n"/>
      <c r="Q672" s="292" t="inlineStr">
        <is>
          <t>candidate-preflight-passed</t>
        </is>
      </c>
      <c r="R672" s="292" t="str"/>
      <c r="S672" s="292" t="inlineStr">
        <is>
          <t>玄渊二十套全装备代码总表.xlsx</t>
        </is>
      </c>
      <c r="T672" s="292" t="inlineStr">
        <is>
          <t>玄渊20套全装备视觉候选；Items/StateItem/DnItems三库同码；属性待策划填写</t>
        </is>
      </c>
      <c r="U672">
        <f>IF(COUNTIF($B$2:$B$1076,B672)&gt;1,"重复","")</f>
        <v/>
      </c>
      <c r="V672">
        <f>IF(AND(OR(M672="",M672=B672),OR(N672="",N672=B672),OR(O672="",O672=B672)),"通过","不一致")</f>
        <v/>
      </c>
    </row>
    <row r="673" ht="22" customHeight="1">
      <c r="A673" s="398" t="n">
        <v>672</v>
      </c>
      <c r="B673" s="398" t="n">
        <v>6692</v>
      </c>
      <c r="C673" s="399" t="inlineStr">
        <is>
          <t>血月荆棘·弑王</t>
        </is>
      </c>
      <c r="D673" s="399" t="inlineStr">
        <is>
          <t>血月荆棘</t>
        </is>
      </c>
      <c r="E673" s="399" t="n">
        <v>4</v>
      </c>
      <c r="F673" s="399" t="inlineStr">
        <is>
          <t>马牌</t>
        </is>
      </c>
      <c r="G673" s="398" t="n">
        <v>28</v>
      </c>
      <c r="H673" s="398" t="n">
        <v>15</v>
      </c>
      <c r="I673" s="398" t="n">
        <v>6692</v>
      </c>
      <c r="J673" s="398" t="n">
        <v>0</v>
      </c>
      <c r="K673" s="398" t="n">
        <v>0</v>
      </c>
      <c r="L673" s="398" t="n">
        <v>0</v>
      </c>
      <c r="M673" s="398" t="n">
        <v>6692</v>
      </c>
      <c r="N673" s="398" t="n">
        <v>6692</v>
      </c>
      <c r="O673" s="398" t="n">
        <v>6692</v>
      </c>
      <c r="P673" s="292" t="n"/>
      <c r="Q673" s="292" t="inlineStr">
        <is>
          <t>candidate-preflight-passed</t>
        </is>
      </c>
      <c r="R673" s="292" t="str"/>
      <c r="S673" s="292" t="inlineStr">
        <is>
          <t>玄渊二十套全装备代码总表.xlsx</t>
        </is>
      </c>
      <c r="T673" s="292" t="inlineStr">
        <is>
          <t>玄渊20套全装备视觉候选；Items/StateItem/DnItems三库同码；属性待策划填写</t>
        </is>
      </c>
      <c r="U673">
        <f>IF(COUNTIF($B$2:$B$1076,B673)&gt;1,"重复","")</f>
        <v/>
      </c>
      <c r="V673">
        <f>IF(AND(OR(M673="",M673=B673),OR(N673="",N673=B673),OR(O673="",O673=B673)),"通过","不一致")</f>
        <v/>
      </c>
    </row>
    <row r="674" ht="22" customHeight="1">
      <c r="A674" s="398" t="n">
        <v>673</v>
      </c>
      <c r="B674" s="398" t="n">
        <v>6693</v>
      </c>
      <c r="C674" s="399" t="inlineStr">
        <is>
          <t>血月荆棘·弑王</t>
        </is>
      </c>
      <c r="D674" s="399" t="inlineStr">
        <is>
          <t>血月荆棘</t>
        </is>
      </c>
      <c r="E674" s="399" t="n">
        <v>4</v>
      </c>
      <c r="F674" s="399" t="inlineStr">
        <is>
          <t>首饰盒1</t>
        </is>
      </c>
      <c r="G674" s="398" t="n">
        <v>22</v>
      </c>
      <c r="H674" s="398" t="n">
        <v>30</v>
      </c>
      <c r="I674" s="398" t="n">
        <v>6693</v>
      </c>
      <c r="J674" s="398" t="n">
        <v>0</v>
      </c>
      <c r="K674" s="398" t="n">
        <v>2</v>
      </c>
      <c r="L674" s="398" t="n">
        <v>1</v>
      </c>
      <c r="M674" s="398" t="n">
        <v>6693</v>
      </c>
      <c r="N674" s="398" t="n">
        <v>6693</v>
      </c>
      <c r="O674" s="398" t="n">
        <v>6693</v>
      </c>
      <c r="P674" s="292" t="n"/>
      <c r="Q674" s="292" t="inlineStr">
        <is>
          <t>candidate-preflight-passed</t>
        </is>
      </c>
      <c r="R674" s="292" t="str"/>
      <c r="S674" s="292" t="inlineStr">
        <is>
          <t>玄渊二十套全装备代码总表.xlsx</t>
        </is>
      </c>
      <c r="T674" s="292" t="inlineStr">
        <is>
          <t>玄渊20套全装备视觉候选；Items/StateItem/DnItems三库同码；属性待策划填写；OverLap=2; Expand1=1</t>
        </is>
      </c>
      <c r="U674">
        <f>IF(COUNTIF($B$2:$B$1076,B674)&gt;1,"重复","")</f>
        <v/>
      </c>
      <c r="V674">
        <f>IF(AND(OR(M674="",M674=B674),OR(N674="",N674=B674),OR(O674="",O674=B674)),"通过","不一致")</f>
        <v/>
      </c>
    </row>
    <row r="675" ht="22" customHeight="1">
      <c r="A675" s="398" t="n">
        <v>674</v>
      </c>
      <c r="B675" s="398" t="n">
        <v>6694</v>
      </c>
      <c r="C675" s="399" t="inlineStr">
        <is>
          <t>血月荆棘·弑王</t>
        </is>
      </c>
      <c r="D675" s="399" t="inlineStr">
        <is>
          <t>血月荆棘</t>
        </is>
      </c>
      <c r="E675" s="399" t="n">
        <v>4</v>
      </c>
      <c r="F675" s="399" t="inlineStr">
        <is>
          <t>首饰盒2</t>
        </is>
      </c>
      <c r="G675" s="398" t="n">
        <v>22</v>
      </c>
      <c r="H675" s="398" t="n">
        <v>31</v>
      </c>
      <c r="I675" s="398" t="n">
        <v>6694</v>
      </c>
      <c r="J675" s="398" t="n">
        <v>0</v>
      </c>
      <c r="K675" s="398" t="n">
        <v>2</v>
      </c>
      <c r="L675" s="398" t="n">
        <v>2</v>
      </c>
      <c r="M675" s="398" t="n">
        <v>6694</v>
      </c>
      <c r="N675" s="398" t="n">
        <v>6694</v>
      </c>
      <c r="O675" s="398" t="n">
        <v>6694</v>
      </c>
      <c r="P675" s="292" t="n"/>
      <c r="Q675" s="292" t="inlineStr">
        <is>
          <t>candidate-preflight-passed</t>
        </is>
      </c>
      <c r="R675" s="292" t="str"/>
      <c r="S675" s="292" t="inlineStr">
        <is>
          <t>玄渊二十套全装备代码总表.xlsx</t>
        </is>
      </c>
      <c r="T675" s="292" t="inlineStr">
        <is>
          <t>玄渊20套全装备视觉候选；Items/StateItem/DnItems三库同码；属性待策划填写；OverLap=2; Expand1=2</t>
        </is>
      </c>
      <c r="U675">
        <f>IF(COUNTIF($B$2:$B$1076,B675)&gt;1,"重复","")</f>
        <v/>
      </c>
      <c r="V675">
        <f>IF(AND(OR(M675="",M675=B675),OR(N675="",N675=B675),OR(O675="",O675=B675)),"通过","不一致")</f>
        <v/>
      </c>
    </row>
    <row r="676" ht="22" customHeight="1">
      <c r="A676" s="398" t="n">
        <v>675</v>
      </c>
      <c r="B676" s="398" t="n">
        <v>6695</v>
      </c>
      <c r="C676" s="399" t="inlineStr">
        <is>
          <t>血月荆棘·弑王</t>
        </is>
      </c>
      <c r="D676" s="399" t="inlineStr">
        <is>
          <t>血月荆棘</t>
        </is>
      </c>
      <c r="E676" s="399" t="n">
        <v>4</v>
      </c>
      <c r="F676" s="399" t="inlineStr">
        <is>
          <t>首饰盒3</t>
        </is>
      </c>
      <c r="G676" s="398" t="n">
        <v>22</v>
      </c>
      <c r="H676" s="398" t="n">
        <v>32</v>
      </c>
      <c r="I676" s="398" t="n">
        <v>6695</v>
      </c>
      <c r="J676" s="398" t="n">
        <v>0</v>
      </c>
      <c r="K676" s="398" t="n">
        <v>2</v>
      </c>
      <c r="L676" s="398" t="n">
        <v>3</v>
      </c>
      <c r="M676" s="398" t="n">
        <v>6695</v>
      </c>
      <c r="N676" s="398" t="n">
        <v>6695</v>
      </c>
      <c r="O676" s="398" t="n">
        <v>6695</v>
      </c>
      <c r="P676" s="292" t="n"/>
      <c r="Q676" s="292" t="inlineStr">
        <is>
          <t>candidate-preflight-passed</t>
        </is>
      </c>
      <c r="R676" s="292" t="str"/>
      <c r="S676" s="292" t="inlineStr">
        <is>
          <t>玄渊二十套全装备代码总表.xlsx</t>
        </is>
      </c>
      <c r="T676" s="292" t="inlineStr">
        <is>
          <t>玄渊20套全装备视觉候选；Items/StateItem/DnItems三库同码；属性待策划填写；OverLap=2; Expand1=3</t>
        </is>
      </c>
      <c r="U676">
        <f>IF(COUNTIF($B$2:$B$1076,B676)&gt;1,"重复","")</f>
        <v/>
      </c>
      <c r="V676">
        <f>IF(AND(OR(M676="",M676=B676),OR(N676="",N676=B676),OR(O676="",O676=B676)),"通过","不一致")</f>
        <v/>
      </c>
    </row>
    <row r="677" ht="22" customHeight="1">
      <c r="A677" s="398" t="n">
        <v>676</v>
      </c>
      <c r="B677" s="398" t="n">
        <v>6696</v>
      </c>
      <c r="C677" s="399" t="inlineStr">
        <is>
          <t>血月荆棘·弑王</t>
        </is>
      </c>
      <c r="D677" s="399" t="inlineStr">
        <is>
          <t>血月荆棘</t>
        </is>
      </c>
      <c r="E677" s="399" t="n">
        <v>4</v>
      </c>
      <c r="F677" s="399" t="inlineStr">
        <is>
          <t>首饰盒4</t>
        </is>
      </c>
      <c r="G677" s="398" t="n">
        <v>22</v>
      </c>
      <c r="H677" s="398" t="n">
        <v>33</v>
      </c>
      <c r="I677" s="398" t="n">
        <v>6696</v>
      </c>
      <c r="J677" s="398" t="n">
        <v>0</v>
      </c>
      <c r="K677" s="398" t="n">
        <v>2</v>
      </c>
      <c r="L677" s="398" t="n">
        <v>4</v>
      </c>
      <c r="M677" s="398" t="n">
        <v>6696</v>
      </c>
      <c r="N677" s="398" t="n">
        <v>6696</v>
      </c>
      <c r="O677" s="398" t="n">
        <v>6696</v>
      </c>
      <c r="P677" s="292" t="n"/>
      <c r="Q677" s="292" t="inlineStr">
        <is>
          <t>candidate-preflight-passed</t>
        </is>
      </c>
      <c r="R677" s="292" t="str"/>
      <c r="S677" s="292" t="inlineStr">
        <is>
          <t>玄渊二十套全装备代码总表.xlsx</t>
        </is>
      </c>
      <c r="T677" s="292" t="inlineStr">
        <is>
          <t>玄渊20套全装备视觉候选；Items/StateItem/DnItems三库同码；属性待策划填写；OverLap=2; Expand1=4</t>
        </is>
      </c>
      <c r="U677">
        <f>IF(COUNTIF($B$2:$B$1076,B677)&gt;1,"重复","")</f>
        <v/>
      </c>
      <c r="V677">
        <f>IF(AND(OR(M677="",M677=B677),OR(N677="",N677=B677),OR(O677="",O677=B677)),"通过","不一致")</f>
        <v/>
      </c>
    </row>
    <row r="678" ht="22" customHeight="1">
      <c r="A678" s="398" t="n">
        <v>677</v>
      </c>
      <c r="B678" s="398" t="n">
        <v>6697</v>
      </c>
      <c r="C678" s="399" t="inlineStr">
        <is>
          <t>血月荆棘·弑王</t>
        </is>
      </c>
      <c r="D678" s="399" t="inlineStr">
        <is>
          <t>血月荆棘</t>
        </is>
      </c>
      <c r="E678" s="399" t="n">
        <v>4</v>
      </c>
      <c r="F678" s="399" t="inlineStr">
        <is>
          <t>首饰盒5</t>
        </is>
      </c>
      <c r="G678" s="398" t="n">
        <v>22</v>
      </c>
      <c r="H678" s="398" t="n">
        <v>34</v>
      </c>
      <c r="I678" s="398" t="n">
        <v>6697</v>
      </c>
      <c r="J678" s="398" t="n">
        <v>0</v>
      </c>
      <c r="K678" s="398" t="n">
        <v>2</v>
      </c>
      <c r="L678" s="398" t="n">
        <v>5</v>
      </c>
      <c r="M678" s="398" t="n">
        <v>6697</v>
      </c>
      <c r="N678" s="398" t="n">
        <v>6697</v>
      </c>
      <c r="O678" s="398" t="n">
        <v>6697</v>
      </c>
      <c r="P678" s="292" t="n"/>
      <c r="Q678" s="292" t="inlineStr">
        <is>
          <t>candidate-preflight-passed</t>
        </is>
      </c>
      <c r="R678" s="292" t="str"/>
      <c r="S678" s="292" t="inlineStr">
        <is>
          <t>玄渊二十套全装备代码总表.xlsx</t>
        </is>
      </c>
      <c r="T678" s="292" t="inlineStr">
        <is>
          <t>玄渊20套全装备视觉候选；Items/StateItem/DnItems三库同码；属性待策划填写；OverLap=2; Expand1=5</t>
        </is>
      </c>
      <c r="U678">
        <f>IF(COUNTIF($B$2:$B$1076,B678)&gt;1,"重复","")</f>
        <v/>
      </c>
      <c r="V678">
        <f>IF(AND(OR(M678="",M678=B678),OR(N678="",N678=B678),OR(O678="",O678=B678)),"通过","不一致")</f>
        <v/>
      </c>
    </row>
    <row r="679" ht="22" customHeight="1">
      <c r="A679" s="398" t="n">
        <v>678</v>
      </c>
      <c r="B679" s="398" t="n">
        <v>6698</v>
      </c>
      <c r="C679" s="399" t="inlineStr">
        <is>
          <t>血月荆棘·弑王</t>
        </is>
      </c>
      <c r="D679" s="399" t="inlineStr">
        <is>
          <t>血月荆棘</t>
        </is>
      </c>
      <c r="E679" s="399" t="n">
        <v>4</v>
      </c>
      <c r="F679" s="399" t="inlineStr">
        <is>
          <t>首饰盒6</t>
        </is>
      </c>
      <c r="G679" s="398" t="n">
        <v>22</v>
      </c>
      <c r="H679" s="398" t="n">
        <v>35</v>
      </c>
      <c r="I679" s="398" t="n">
        <v>6698</v>
      </c>
      <c r="J679" s="398" t="n">
        <v>0</v>
      </c>
      <c r="K679" s="398" t="n">
        <v>2</v>
      </c>
      <c r="L679" s="398" t="n">
        <v>6</v>
      </c>
      <c r="M679" s="398" t="n">
        <v>6698</v>
      </c>
      <c r="N679" s="398" t="n">
        <v>6698</v>
      </c>
      <c r="O679" s="398" t="n">
        <v>6698</v>
      </c>
      <c r="P679" s="292" t="n"/>
      <c r="Q679" s="292" t="inlineStr">
        <is>
          <t>candidate-preflight-passed</t>
        </is>
      </c>
      <c r="R679" s="292" t="str"/>
      <c r="S679" s="292" t="inlineStr">
        <is>
          <t>玄渊二十套全装备代码总表.xlsx</t>
        </is>
      </c>
      <c r="T679" s="292" t="inlineStr">
        <is>
          <t>玄渊20套全装备视觉候选；Items/StateItem/DnItems三库同码；属性待策划填写；OverLap=2; Expand1=6</t>
        </is>
      </c>
      <c r="U679">
        <f>IF(COUNTIF($B$2:$B$1076,B679)&gt;1,"重复","")</f>
        <v/>
      </c>
      <c r="V679">
        <f>IF(AND(OR(M679="",M679=B679),OR(N679="",N679=B679),OR(O679="",O679=B679)),"通过","不一致")</f>
        <v/>
      </c>
    </row>
    <row r="680" ht="22" customHeight="1">
      <c r="A680" s="398" t="n">
        <v>679</v>
      </c>
      <c r="B680" s="398" t="n">
        <v>6699</v>
      </c>
      <c r="C680" s="399" t="inlineStr">
        <is>
          <t>血月荆棘·弑王</t>
        </is>
      </c>
      <c r="D680" s="399" t="inlineStr">
        <is>
          <t>血月荆棘</t>
        </is>
      </c>
      <c r="E680" s="399" t="n">
        <v>4</v>
      </c>
      <c r="F680" s="399" t="inlineStr">
        <is>
          <t>生肖1</t>
        </is>
      </c>
      <c r="G680" s="398" t="n">
        <v>22</v>
      </c>
      <c r="H680" s="398" t="n">
        <v>40</v>
      </c>
      <c r="I680" s="398" t="n">
        <v>6699</v>
      </c>
      <c r="J680" s="398" t="n">
        <v>0</v>
      </c>
      <c r="K680" s="398" t="n">
        <v>4</v>
      </c>
      <c r="L680" s="398" t="n">
        <v>1</v>
      </c>
      <c r="M680" s="398" t="n">
        <v>6699</v>
      </c>
      <c r="N680" s="398" t="n">
        <v>6699</v>
      </c>
      <c r="O680" s="398" t="n">
        <v>6699</v>
      </c>
      <c r="P680" s="292" t="n"/>
      <c r="Q680" s="292" t="inlineStr">
        <is>
          <t>candidate-preflight-passed</t>
        </is>
      </c>
      <c r="R680" s="292" t="str"/>
      <c r="S680" s="292" t="inlineStr">
        <is>
          <t>玄渊二十套全装备代码总表.xlsx</t>
        </is>
      </c>
      <c r="T680" s="292" t="inlineStr">
        <is>
          <t>玄渊20套全装备视觉候选；Items/StateItem/DnItems三库同码；属性待策划填写；OverLap=4; Expand1=1</t>
        </is>
      </c>
      <c r="U680">
        <f>IF(COUNTIF($B$2:$B$1076,B680)&gt;1,"重复","")</f>
        <v/>
      </c>
      <c r="V680">
        <f>IF(AND(OR(M680="",M680=B680),OR(N680="",N680=B680),OR(O680="",O680=B680)),"通过","不一致")</f>
        <v/>
      </c>
    </row>
    <row r="681" ht="22" customHeight="1">
      <c r="A681" s="398" t="n">
        <v>680</v>
      </c>
      <c r="B681" s="398" t="n">
        <v>6700</v>
      </c>
      <c r="C681" s="399" t="inlineStr">
        <is>
          <t>血月荆棘·弑王</t>
        </is>
      </c>
      <c r="D681" s="399" t="inlineStr">
        <is>
          <t>血月荆棘</t>
        </is>
      </c>
      <c r="E681" s="399" t="n">
        <v>4</v>
      </c>
      <c r="F681" s="399" t="inlineStr">
        <is>
          <t>生肖2</t>
        </is>
      </c>
      <c r="G681" s="398" t="n">
        <v>22</v>
      </c>
      <c r="H681" s="398" t="n">
        <v>41</v>
      </c>
      <c r="I681" s="398" t="n">
        <v>6700</v>
      </c>
      <c r="J681" s="398" t="n">
        <v>0</v>
      </c>
      <c r="K681" s="398" t="n">
        <v>4</v>
      </c>
      <c r="L681" s="398" t="n">
        <v>2</v>
      </c>
      <c r="M681" s="398" t="n">
        <v>6700</v>
      </c>
      <c r="N681" s="398" t="n">
        <v>6700</v>
      </c>
      <c r="O681" s="398" t="n">
        <v>6700</v>
      </c>
      <c r="P681" s="292" t="n"/>
      <c r="Q681" s="292" t="inlineStr">
        <is>
          <t>candidate-preflight-passed</t>
        </is>
      </c>
      <c r="R681" s="292" t="str"/>
      <c r="S681" s="292" t="inlineStr">
        <is>
          <t>玄渊二十套全装备代码总表.xlsx</t>
        </is>
      </c>
      <c r="T681" s="292" t="inlineStr">
        <is>
          <t>玄渊20套全装备视觉候选；Items/StateItem/DnItems三库同码；属性待策划填写；OverLap=4; Expand1=2</t>
        </is>
      </c>
      <c r="U681">
        <f>IF(COUNTIF($B$2:$B$1076,B681)&gt;1,"重复","")</f>
        <v/>
      </c>
      <c r="V681">
        <f>IF(AND(OR(M681="",M681=B681),OR(N681="",N681=B681),OR(O681="",O681=B681)),"通过","不一致")</f>
        <v/>
      </c>
    </row>
    <row r="682" ht="22" customHeight="1">
      <c r="A682" s="398" t="n">
        <v>681</v>
      </c>
      <c r="B682" s="398" t="n">
        <v>6701</v>
      </c>
      <c r="C682" s="399" t="inlineStr">
        <is>
          <t>血月荆棘·弑王</t>
        </is>
      </c>
      <c r="D682" s="399" t="inlineStr">
        <is>
          <t>血月荆棘</t>
        </is>
      </c>
      <c r="E682" s="399" t="n">
        <v>4</v>
      </c>
      <c r="F682" s="399" t="inlineStr">
        <is>
          <t>生肖3</t>
        </is>
      </c>
      <c r="G682" s="398" t="n">
        <v>22</v>
      </c>
      <c r="H682" s="398" t="n">
        <v>42</v>
      </c>
      <c r="I682" s="398" t="n">
        <v>6701</v>
      </c>
      <c r="J682" s="398" t="n">
        <v>0</v>
      </c>
      <c r="K682" s="398" t="n">
        <v>4</v>
      </c>
      <c r="L682" s="398" t="n">
        <v>3</v>
      </c>
      <c r="M682" s="398" t="n">
        <v>6701</v>
      </c>
      <c r="N682" s="398" t="n">
        <v>6701</v>
      </c>
      <c r="O682" s="398" t="n">
        <v>6701</v>
      </c>
      <c r="P682" s="292" t="n"/>
      <c r="Q682" s="292" t="inlineStr">
        <is>
          <t>candidate-preflight-passed</t>
        </is>
      </c>
      <c r="R682" s="292" t="str"/>
      <c r="S682" s="292" t="inlineStr">
        <is>
          <t>玄渊二十套全装备代码总表.xlsx</t>
        </is>
      </c>
      <c r="T682" s="292" t="inlineStr">
        <is>
          <t>玄渊20套全装备视觉候选；Items/StateItem/DnItems三库同码；属性待策划填写；OverLap=4; Expand1=3</t>
        </is>
      </c>
      <c r="U682">
        <f>IF(COUNTIF($B$2:$B$1076,B682)&gt;1,"重复","")</f>
        <v/>
      </c>
      <c r="V682">
        <f>IF(AND(OR(M682="",M682=B682),OR(N682="",N682=B682),OR(O682="",O682=B682)),"通过","不一致")</f>
        <v/>
      </c>
    </row>
    <row r="683" ht="22" customHeight="1">
      <c r="A683" s="398" t="n">
        <v>682</v>
      </c>
      <c r="B683" s="398" t="n">
        <v>6702</v>
      </c>
      <c r="C683" s="399" t="inlineStr">
        <is>
          <t>血月荆棘·弑王</t>
        </is>
      </c>
      <c r="D683" s="399" t="inlineStr">
        <is>
          <t>血月荆棘</t>
        </is>
      </c>
      <c r="E683" s="399" t="n">
        <v>4</v>
      </c>
      <c r="F683" s="399" t="inlineStr">
        <is>
          <t>生肖4</t>
        </is>
      </c>
      <c r="G683" s="398" t="n">
        <v>22</v>
      </c>
      <c r="H683" s="398" t="n">
        <v>43</v>
      </c>
      <c r="I683" s="398" t="n">
        <v>6702</v>
      </c>
      <c r="J683" s="398" t="n">
        <v>0</v>
      </c>
      <c r="K683" s="398" t="n">
        <v>4</v>
      </c>
      <c r="L683" s="398" t="n">
        <v>4</v>
      </c>
      <c r="M683" s="398" t="n">
        <v>6702</v>
      </c>
      <c r="N683" s="398" t="n">
        <v>6702</v>
      </c>
      <c r="O683" s="398" t="n">
        <v>6702</v>
      </c>
      <c r="P683" s="292" t="n"/>
      <c r="Q683" s="292" t="inlineStr">
        <is>
          <t>candidate-preflight-passed</t>
        </is>
      </c>
      <c r="R683" s="292" t="str"/>
      <c r="S683" s="292" t="inlineStr">
        <is>
          <t>玄渊二十套全装备代码总表.xlsx</t>
        </is>
      </c>
      <c r="T683" s="292" t="inlineStr">
        <is>
          <t>玄渊20套全装备视觉候选；Items/StateItem/DnItems三库同码；属性待策划填写；OverLap=4; Expand1=4</t>
        </is>
      </c>
      <c r="U683">
        <f>IF(COUNTIF($B$2:$B$1076,B683)&gt;1,"重复","")</f>
        <v/>
      </c>
      <c r="V683">
        <f>IF(AND(OR(M683="",M683=B683),OR(N683="",N683=B683),OR(O683="",O683=B683)),"通过","不一致")</f>
        <v/>
      </c>
    </row>
    <row r="684" ht="22" customHeight="1">
      <c r="A684" s="398" t="n">
        <v>683</v>
      </c>
      <c r="B684" s="398" t="n">
        <v>6703</v>
      </c>
      <c r="C684" s="399" t="inlineStr">
        <is>
          <t>血月荆棘·弑王</t>
        </is>
      </c>
      <c r="D684" s="399" t="inlineStr">
        <is>
          <t>血月荆棘</t>
        </is>
      </c>
      <c r="E684" s="399" t="n">
        <v>4</v>
      </c>
      <c r="F684" s="399" t="inlineStr">
        <is>
          <t>生肖5</t>
        </is>
      </c>
      <c r="G684" s="398" t="n">
        <v>22</v>
      </c>
      <c r="H684" s="398" t="n">
        <v>44</v>
      </c>
      <c r="I684" s="398" t="n">
        <v>6703</v>
      </c>
      <c r="J684" s="398" t="n">
        <v>0</v>
      </c>
      <c r="K684" s="398" t="n">
        <v>4</v>
      </c>
      <c r="L684" s="398" t="n">
        <v>5</v>
      </c>
      <c r="M684" s="398" t="n">
        <v>6703</v>
      </c>
      <c r="N684" s="398" t="n">
        <v>6703</v>
      </c>
      <c r="O684" s="398" t="n">
        <v>6703</v>
      </c>
      <c r="P684" s="292" t="n"/>
      <c r="Q684" s="292" t="inlineStr">
        <is>
          <t>candidate-preflight-passed</t>
        </is>
      </c>
      <c r="R684" s="292" t="str"/>
      <c r="S684" s="292" t="inlineStr">
        <is>
          <t>玄渊二十套全装备代码总表.xlsx</t>
        </is>
      </c>
      <c r="T684" s="292" t="inlineStr">
        <is>
          <t>玄渊20套全装备视觉候选；Items/StateItem/DnItems三库同码；属性待策划填写；OverLap=4; Expand1=5</t>
        </is>
      </c>
      <c r="U684">
        <f>IF(COUNTIF($B$2:$B$1076,B684)&gt;1,"重复","")</f>
        <v/>
      </c>
      <c r="V684">
        <f>IF(AND(OR(M684="",M684=B684),OR(N684="",N684=B684),OR(O684="",O684=B684)),"通过","不一致")</f>
        <v/>
      </c>
    </row>
    <row r="685" ht="22" customHeight="1">
      <c r="A685" s="398" t="n">
        <v>684</v>
      </c>
      <c r="B685" s="398" t="n">
        <v>6704</v>
      </c>
      <c r="C685" s="399" t="inlineStr">
        <is>
          <t>血月荆棘·弑王</t>
        </is>
      </c>
      <c r="D685" s="399" t="inlineStr">
        <is>
          <t>血月荆棘</t>
        </is>
      </c>
      <c r="E685" s="399" t="n">
        <v>4</v>
      </c>
      <c r="F685" s="399" t="inlineStr">
        <is>
          <t>生肖6</t>
        </is>
      </c>
      <c r="G685" s="398" t="n">
        <v>22</v>
      </c>
      <c r="H685" s="398" t="n">
        <v>45</v>
      </c>
      <c r="I685" s="398" t="n">
        <v>6704</v>
      </c>
      <c r="J685" s="398" t="n">
        <v>0</v>
      </c>
      <c r="K685" s="398" t="n">
        <v>4</v>
      </c>
      <c r="L685" s="398" t="n">
        <v>6</v>
      </c>
      <c r="M685" s="398" t="n">
        <v>6704</v>
      </c>
      <c r="N685" s="398" t="n">
        <v>6704</v>
      </c>
      <c r="O685" s="398" t="n">
        <v>6704</v>
      </c>
      <c r="P685" s="292" t="n"/>
      <c r="Q685" s="292" t="inlineStr">
        <is>
          <t>candidate-preflight-passed</t>
        </is>
      </c>
      <c r="R685" s="292" t="str"/>
      <c r="S685" s="292" t="inlineStr">
        <is>
          <t>玄渊二十套全装备代码总表.xlsx</t>
        </is>
      </c>
      <c r="T685" s="292" t="inlineStr">
        <is>
          <t>玄渊20套全装备视觉候选；Items/StateItem/DnItems三库同码；属性待策划填写；OverLap=4; Expand1=6</t>
        </is>
      </c>
      <c r="U685">
        <f>IF(COUNTIF($B$2:$B$1076,B685)&gt;1,"重复","")</f>
        <v/>
      </c>
      <c r="V685">
        <f>IF(AND(OR(M685="",M685=B685),OR(N685="",N685=B685),OR(O685="",O685=B685)),"通过","不一致")</f>
        <v/>
      </c>
    </row>
    <row r="686" ht="22" customHeight="1">
      <c r="A686" s="398" t="n">
        <v>685</v>
      </c>
      <c r="B686" s="398" t="n">
        <v>6705</v>
      </c>
      <c r="C686" s="399" t="inlineStr">
        <is>
          <t>血月荆棘·弑王</t>
        </is>
      </c>
      <c r="D686" s="399" t="inlineStr">
        <is>
          <t>血月荆棘</t>
        </is>
      </c>
      <c r="E686" s="399" t="n">
        <v>4</v>
      </c>
      <c r="F686" s="399" t="inlineStr">
        <is>
          <t>生肖7</t>
        </is>
      </c>
      <c r="G686" s="398" t="n">
        <v>22</v>
      </c>
      <c r="H686" s="398" t="n">
        <v>46</v>
      </c>
      <c r="I686" s="398" t="n">
        <v>6705</v>
      </c>
      <c r="J686" s="398" t="n">
        <v>0</v>
      </c>
      <c r="K686" s="398" t="n">
        <v>4</v>
      </c>
      <c r="L686" s="398" t="n">
        <v>7</v>
      </c>
      <c r="M686" s="398" t="n">
        <v>6705</v>
      </c>
      <c r="N686" s="398" t="n">
        <v>6705</v>
      </c>
      <c r="O686" s="398" t="n">
        <v>6705</v>
      </c>
      <c r="P686" s="292" t="n"/>
      <c r="Q686" s="292" t="inlineStr">
        <is>
          <t>candidate-preflight-passed</t>
        </is>
      </c>
      <c r="R686" s="292" t="str"/>
      <c r="S686" s="292" t="inlineStr">
        <is>
          <t>玄渊二十套全装备代码总表.xlsx</t>
        </is>
      </c>
      <c r="T686" s="292" t="inlineStr">
        <is>
          <t>玄渊20套全装备视觉候选；Items/StateItem/DnItems三库同码；属性待策划填写；OverLap=4; Expand1=7</t>
        </is>
      </c>
      <c r="U686">
        <f>IF(COUNTIF($B$2:$B$1076,B686)&gt;1,"重复","")</f>
        <v/>
      </c>
      <c r="V686">
        <f>IF(AND(OR(M686="",M686=B686),OR(N686="",N686=B686),OR(O686="",O686=B686)),"通过","不一致")</f>
        <v/>
      </c>
    </row>
    <row r="687" ht="22" customHeight="1">
      <c r="A687" s="398" t="n">
        <v>686</v>
      </c>
      <c r="B687" s="398" t="n">
        <v>6706</v>
      </c>
      <c r="C687" s="399" t="inlineStr">
        <is>
          <t>血月荆棘·弑王</t>
        </is>
      </c>
      <c r="D687" s="399" t="inlineStr">
        <is>
          <t>血月荆棘</t>
        </is>
      </c>
      <c r="E687" s="399" t="n">
        <v>4</v>
      </c>
      <c r="F687" s="399" t="inlineStr">
        <is>
          <t>生肖8</t>
        </is>
      </c>
      <c r="G687" s="398" t="n">
        <v>22</v>
      </c>
      <c r="H687" s="398" t="n">
        <v>47</v>
      </c>
      <c r="I687" s="398" t="n">
        <v>6706</v>
      </c>
      <c r="J687" s="398" t="n">
        <v>0</v>
      </c>
      <c r="K687" s="398" t="n">
        <v>4</v>
      </c>
      <c r="L687" s="398" t="n">
        <v>8</v>
      </c>
      <c r="M687" s="398" t="n">
        <v>6706</v>
      </c>
      <c r="N687" s="398" t="n">
        <v>6706</v>
      </c>
      <c r="O687" s="398" t="n">
        <v>6706</v>
      </c>
      <c r="P687" s="292" t="n"/>
      <c r="Q687" s="292" t="inlineStr">
        <is>
          <t>candidate-preflight-passed</t>
        </is>
      </c>
      <c r="R687" s="292" t="str"/>
      <c r="S687" s="292" t="inlineStr">
        <is>
          <t>玄渊二十套全装备代码总表.xlsx</t>
        </is>
      </c>
      <c r="T687" s="292" t="inlineStr">
        <is>
          <t>玄渊20套全装备视觉候选；Items/StateItem/DnItems三库同码；属性待策划填写；OverLap=4; Expand1=8</t>
        </is>
      </c>
      <c r="U687">
        <f>IF(COUNTIF($B$2:$B$1076,B687)&gt;1,"重复","")</f>
        <v/>
      </c>
      <c r="V687">
        <f>IF(AND(OR(M687="",M687=B687),OR(N687="",N687=B687),OR(O687="",O687=B687)),"通过","不一致")</f>
        <v/>
      </c>
    </row>
    <row r="688" ht="22" customHeight="1">
      <c r="A688" s="398" t="n">
        <v>687</v>
      </c>
      <c r="B688" s="398" t="n">
        <v>6707</v>
      </c>
      <c r="C688" s="399" t="inlineStr">
        <is>
          <t>血月荆棘·弑王</t>
        </is>
      </c>
      <c r="D688" s="399" t="inlineStr">
        <is>
          <t>血月荆棘</t>
        </is>
      </c>
      <c r="E688" s="399" t="n">
        <v>4</v>
      </c>
      <c r="F688" s="399" t="inlineStr">
        <is>
          <t>生肖9</t>
        </is>
      </c>
      <c r="G688" s="398" t="n">
        <v>22</v>
      </c>
      <c r="H688" s="398" t="n">
        <v>48</v>
      </c>
      <c r="I688" s="398" t="n">
        <v>6707</v>
      </c>
      <c r="J688" s="398" t="n">
        <v>0</v>
      </c>
      <c r="K688" s="398" t="n">
        <v>4</v>
      </c>
      <c r="L688" s="398" t="n">
        <v>9</v>
      </c>
      <c r="M688" s="398" t="n">
        <v>6707</v>
      </c>
      <c r="N688" s="398" t="n">
        <v>6707</v>
      </c>
      <c r="O688" s="398" t="n">
        <v>6707</v>
      </c>
      <c r="P688" s="292" t="n"/>
      <c r="Q688" s="292" t="inlineStr">
        <is>
          <t>candidate-preflight-passed</t>
        </is>
      </c>
      <c r="R688" s="292" t="str"/>
      <c r="S688" s="292" t="inlineStr">
        <is>
          <t>玄渊二十套全装备代码总表.xlsx</t>
        </is>
      </c>
      <c r="T688" s="292" t="inlineStr">
        <is>
          <t>玄渊20套全装备视觉候选；Items/StateItem/DnItems三库同码；属性待策划填写；OverLap=4; Expand1=9</t>
        </is>
      </c>
      <c r="U688">
        <f>IF(COUNTIF($B$2:$B$1076,B688)&gt;1,"重复","")</f>
        <v/>
      </c>
      <c r="V688">
        <f>IF(AND(OR(M688="",M688=B688),OR(N688="",N688=B688),OR(O688="",O688=B688)),"通过","不一致")</f>
        <v/>
      </c>
    </row>
    <row r="689" ht="22" customHeight="1">
      <c r="A689" s="398" t="n">
        <v>688</v>
      </c>
      <c r="B689" s="398" t="n">
        <v>6708</v>
      </c>
      <c r="C689" s="399" t="inlineStr">
        <is>
          <t>血月荆棘·弑王</t>
        </is>
      </c>
      <c r="D689" s="399" t="inlineStr">
        <is>
          <t>血月荆棘</t>
        </is>
      </c>
      <c r="E689" s="399" t="n">
        <v>4</v>
      </c>
      <c r="F689" s="399" t="inlineStr">
        <is>
          <t>生肖10</t>
        </is>
      </c>
      <c r="G689" s="398" t="n">
        <v>22</v>
      </c>
      <c r="H689" s="398" t="n">
        <v>49</v>
      </c>
      <c r="I689" s="398" t="n">
        <v>6708</v>
      </c>
      <c r="J689" s="398" t="n">
        <v>0</v>
      </c>
      <c r="K689" s="398" t="n">
        <v>4</v>
      </c>
      <c r="L689" s="398" t="n">
        <v>10</v>
      </c>
      <c r="M689" s="398" t="n">
        <v>6708</v>
      </c>
      <c r="N689" s="398" t="n">
        <v>6708</v>
      </c>
      <c r="O689" s="398" t="n">
        <v>6708</v>
      </c>
      <c r="P689" s="292" t="n"/>
      <c r="Q689" s="292" t="inlineStr">
        <is>
          <t>candidate-preflight-passed</t>
        </is>
      </c>
      <c r="R689" s="292" t="str"/>
      <c r="S689" s="292" t="inlineStr">
        <is>
          <t>玄渊二十套全装备代码总表.xlsx</t>
        </is>
      </c>
      <c r="T689" s="292" t="inlineStr">
        <is>
          <t>玄渊20套全装备视觉候选；Items/StateItem/DnItems三库同码；属性待策划填写；OverLap=4; Expand1=10</t>
        </is>
      </c>
      <c r="U689">
        <f>IF(COUNTIF($B$2:$B$1076,B689)&gt;1,"重复","")</f>
        <v/>
      </c>
      <c r="V689">
        <f>IF(AND(OR(M689="",M689=B689),OR(N689="",N689=B689),OR(O689="",O689=B689)),"通过","不一致")</f>
        <v/>
      </c>
    </row>
    <row r="690" ht="22" customHeight="1">
      <c r="A690" s="398" t="n">
        <v>689</v>
      </c>
      <c r="B690" s="398" t="n">
        <v>6709</v>
      </c>
      <c r="C690" s="399" t="inlineStr">
        <is>
          <t>血月荆棘·弑王</t>
        </is>
      </c>
      <c r="D690" s="399" t="inlineStr">
        <is>
          <t>血月荆棘</t>
        </is>
      </c>
      <c r="E690" s="399" t="n">
        <v>4</v>
      </c>
      <c r="F690" s="399" t="inlineStr">
        <is>
          <t>生肖11</t>
        </is>
      </c>
      <c r="G690" s="398" t="n">
        <v>22</v>
      </c>
      <c r="H690" s="398" t="n">
        <v>50</v>
      </c>
      <c r="I690" s="398" t="n">
        <v>6709</v>
      </c>
      <c r="J690" s="398" t="n">
        <v>0</v>
      </c>
      <c r="K690" s="398" t="n">
        <v>4</v>
      </c>
      <c r="L690" s="398" t="n">
        <v>11</v>
      </c>
      <c r="M690" s="398" t="n">
        <v>6709</v>
      </c>
      <c r="N690" s="398" t="n">
        <v>6709</v>
      </c>
      <c r="O690" s="398" t="n">
        <v>6709</v>
      </c>
      <c r="P690" s="292" t="n"/>
      <c r="Q690" s="292" t="inlineStr">
        <is>
          <t>candidate-preflight-passed</t>
        </is>
      </c>
      <c r="R690" s="292" t="str"/>
      <c r="S690" s="292" t="inlineStr">
        <is>
          <t>玄渊二十套全装备代码总表.xlsx</t>
        </is>
      </c>
      <c r="T690" s="292" t="inlineStr">
        <is>
          <t>玄渊20套全装备视觉候选；Items/StateItem/DnItems三库同码；属性待策划填写；OverLap=4; Expand1=11</t>
        </is>
      </c>
      <c r="U690">
        <f>IF(COUNTIF($B$2:$B$1076,B690)&gt;1,"重复","")</f>
        <v/>
      </c>
      <c r="V690">
        <f>IF(AND(OR(M690="",M690=B690),OR(N690="",N690=B690),OR(O690="",O690=B690)),"通过","不一致")</f>
        <v/>
      </c>
    </row>
    <row r="691" ht="22" customHeight="1">
      <c r="A691" s="398" t="n">
        <v>690</v>
      </c>
      <c r="B691" s="398" t="n">
        <v>6710</v>
      </c>
      <c r="C691" s="399" t="inlineStr">
        <is>
          <t>血月荆棘·弑王</t>
        </is>
      </c>
      <c r="D691" s="399" t="inlineStr">
        <is>
          <t>血月荆棘</t>
        </is>
      </c>
      <c r="E691" s="399" t="n">
        <v>4</v>
      </c>
      <c r="F691" s="399" t="inlineStr">
        <is>
          <t>生肖12</t>
        </is>
      </c>
      <c r="G691" s="398" t="n">
        <v>22</v>
      </c>
      <c r="H691" s="398" t="n">
        <v>51</v>
      </c>
      <c r="I691" s="398" t="n">
        <v>6710</v>
      </c>
      <c r="J691" s="398" t="n">
        <v>0</v>
      </c>
      <c r="K691" s="398" t="n">
        <v>4</v>
      </c>
      <c r="L691" s="398" t="n">
        <v>12</v>
      </c>
      <c r="M691" s="398" t="n">
        <v>6710</v>
      </c>
      <c r="N691" s="398" t="n">
        <v>6710</v>
      </c>
      <c r="O691" s="398" t="n">
        <v>6710</v>
      </c>
      <c r="P691" s="292" t="n"/>
      <c r="Q691" s="292" t="inlineStr">
        <is>
          <t>candidate-preflight-passed</t>
        </is>
      </c>
      <c r="R691" s="292" t="str"/>
      <c r="S691" s="292" t="inlineStr">
        <is>
          <t>玄渊二十套全装备代码总表.xlsx</t>
        </is>
      </c>
      <c r="T691" s="292" t="inlineStr">
        <is>
          <t>玄渊20套全装备视觉候选；Items/StateItem/DnItems三库同码；属性待策划填写；OverLap=4; Expand1=12</t>
        </is>
      </c>
      <c r="U691">
        <f>IF(COUNTIF($B$2:$B$1076,B691)&gt;1,"重复","")</f>
        <v/>
      </c>
      <c r="V691">
        <f>IF(AND(OR(M691="",M691=B691),OR(N691="",N691=B691),OR(O691="",O691=B691)),"通过","不一致")</f>
        <v/>
      </c>
    </row>
    <row r="692" ht="22" customHeight="1">
      <c r="A692" s="398" t="n">
        <v>691</v>
      </c>
      <c r="B692" s="398" t="n">
        <v>6711</v>
      </c>
      <c r="C692" s="399" t="inlineStr">
        <is>
          <t>血月荆棘·血月</t>
        </is>
      </c>
      <c r="D692" s="399" t="inlineStr">
        <is>
          <t>血月荆棘</t>
        </is>
      </c>
      <c r="E692" s="399" t="n">
        <v>5</v>
      </c>
      <c r="F692" s="399" t="inlineStr">
        <is>
          <t>武器</t>
        </is>
      </c>
      <c r="G692" s="398" t="n">
        <v>5</v>
      </c>
      <c r="H692" s="398" t="n">
        <v>1</v>
      </c>
      <c r="I692" s="398" t="n">
        <v>6711</v>
      </c>
      <c r="J692" s="398" t="n">
        <v>25</v>
      </c>
      <c r="K692" s="398" t="n">
        <v>0</v>
      </c>
      <c r="L692" s="398" t="n">
        <v>0</v>
      </c>
      <c r="M692" s="398" t="n">
        <v>6711</v>
      </c>
      <c r="N692" s="398" t="n">
        <v>6711</v>
      </c>
      <c r="O692" s="398" t="n">
        <v>6711</v>
      </c>
      <c r="P692" s="292" t="inlineStr">
        <is>
          <t>Weapon.wzl/wzx（复用现有真实动作）</t>
        </is>
      </c>
      <c r="Q692" s="292" t="inlineStr">
        <is>
          <t>candidate-preflight-passed</t>
        </is>
      </c>
      <c r="R692" s="324" t="inlineStr">
        <is>
          <t>C3-C10规划锁定：奥杜的锁舱刀</t>
        </is>
      </c>
      <c r="S692" s="292" t="inlineStr">
        <is>
          <t>玄渊二十套全装备代码总表.xlsx</t>
        </is>
      </c>
      <c r="T692" s="292" t="inlineStr">
        <is>
          <t>玄渊20套全装备视觉候选；Items/StateItem/DnItems三库同码；属性待策划填写；Weapon Shape=25</t>
        </is>
      </c>
      <c r="U692">
        <f>IF(COUNTIF($B$2:$B$1076,B692)&gt;1,"重复","")</f>
        <v/>
      </c>
      <c r="V692">
        <f>IF(AND(OR(M692="",M692=B692),OR(N692="",N692=B692),OR(O692="",O692=B692)),"通过","不一致")</f>
        <v/>
      </c>
    </row>
    <row r="693" ht="22" customHeight="1">
      <c r="A693" s="398" t="n">
        <v>692</v>
      </c>
      <c r="B693" s="398" t="n">
        <v>6712</v>
      </c>
      <c r="C693" s="399" t="inlineStr">
        <is>
          <t>血月荆棘·血月</t>
        </is>
      </c>
      <c r="D693" s="399" t="inlineStr">
        <is>
          <t>血月荆棘</t>
        </is>
      </c>
      <c r="E693" s="399" t="n">
        <v>5</v>
      </c>
      <c r="F693" s="399" t="inlineStr">
        <is>
          <t>男衣服</t>
        </is>
      </c>
      <c r="G693" s="398" t="n">
        <v>10</v>
      </c>
      <c r="H693" s="398" t="n">
        <v>0</v>
      </c>
      <c r="I693" s="398" t="n">
        <v>6712</v>
      </c>
      <c r="J693" s="398" t="n">
        <v>2</v>
      </c>
      <c r="K693" s="398" t="n">
        <v>0</v>
      </c>
      <c r="L693" s="398" t="n">
        <v>0</v>
      </c>
      <c r="M693" s="398" t="n">
        <v>6712</v>
      </c>
      <c r="N693" s="398" t="n">
        <v>6712</v>
      </c>
      <c r="O693" s="398" t="n">
        <v>6712</v>
      </c>
      <c r="P693" s="292" t="inlineStr">
        <is>
          <t>Hum.wzl/wzx（复用现有真实动作）</t>
        </is>
      </c>
      <c r="Q693" s="292" t="inlineStr">
        <is>
          <t>candidate-preflight-passed</t>
        </is>
      </c>
      <c r="R693" s="324" t="inlineStr">
        <is>
          <t>C3-C10规划锁定：伊蕾莎潮婚衣</t>
        </is>
      </c>
      <c r="S693" s="292" t="inlineStr">
        <is>
          <t>玄渊二十套全装备代码总表.xlsx</t>
        </is>
      </c>
      <c r="T693" s="292" t="inlineStr">
        <is>
          <t>玄渊20套全装备视觉候选；Items/StateItem/DnItems三库同码；属性待策划填写；Hum Shape=2</t>
        </is>
      </c>
      <c r="U693">
        <f>IF(COUNTIF($B$2:$B$1076,B693)&gt;1,"重复","")</f>
        <v/>
      </c>
      <c r="V693">
        <f>IF(AND(OR(M693="",M693=B693),OR(N693="",N693=B693),OR(O693="",O693=B693)),"通过","不一致")</f>
        <v/>
      </c>
    </row>
    <row r="694" ht="22" customHeight="1">
      <c r="A694" s="398" t="n">
        <v>693</v>
      </c>
      <c r="B694" s="398" t="n">
        <v>6713</v>
      </c>
      <c r="C694" s="399" t="inlineStr">
        <is>
          <t>血月荆棘·血月</t>
        </is>
      </c>
      <c r="D694" s="399" t="inlineStr">
        <is>
          <t>血月荆棘</t>
        </is>
      </c>
      <c r="E694" s="399" t="n">
        <v>5</v>
      </c>
      <c r="F694" s="399" t="inlineStr">
        <is>
          <t>女衣服</t>
        </is>
      </c>
      <c r="G694" s="398" t="n">
        <v>11</v>
      </c>
      <c r="H694" s="398" t="n">
        <v>0</v>
      </c>
      <c r="I694" s="398" t="n">
        <v>6713</v>
      </c>
      <c r="J694" s="398" t="n">
        <v>2</v>
      </c>
      <c r="K694" s="398" t="n">
        <v>0</v>
      </c>
      <c r="L694" s="398" t="n">
        <v>0</v>
      </c>
      <c r="M694" s="398" t="n">
        <v>6713</v>
      </c>
      <c r="N694" s="398" t="n">
        <v>6713</v>
      </c>
      <c r="O694" s="398" t="n">
        <v>6713</v>
      </c>
      <c r="P694" s="292" t="inlineStr">
        <is>
          <t>Hum.wzl/wzx（复用现有真实动作）</t>
        </is>
      </c>
      <c r="Q694" s="292" t="inlineStr">
        <is>
          <t>candidate-preflight-passed</t>
        </is>
      </c>
      <c r="R694" s="292" t="str"/>
      <c r="S694" s="292" t="inlineStr">
        <is>
          <t>玄渊二十套全装备代码总表.xlsx</t>
        </is>
      </c>
      <c r="T694" s="292" t="inlineStr">
        <is>
          <t>玄渊20套全装备视觉候选；Items/StateItem/DnItems三库同码；属性待策划填写；Hum Shape=2</t>
        </is>
      </c>
      <c r="U694">
        <f>IF(COUNTIF($B$2:$B$1076,B694)&gt;1,"重复","")</f>
        <v/>
      </c>
      <c r="V694">
        <f>IF(AND(OR(M694="",M694=B694),OR(N694="",N694=B694),OR(O694="",O694=B694)),"通过","不一致")</f>
        <v/>
      </c>
    </row>
    <row r="695" ht="22" customHeight="1">
      <c r="A695" s="398" t="n">
        <v>694</v>
      </c>
      <c r="B695" s="398" t="n">
        <v>6714</v>
      </c>
      <c r="C695" s="399" t="inlineStr">
        <is>
          <t>血月荆棘·血月</t>
        </is>
      </c>
      <c r="D695" s="399" t="inlineStr">
        <is>
          <t>血月荆棘</t>
        </is>
      </c>
      <c r="E695" s="399" t="n">
        <v>5</v>
      </c>
      <c r="F695" s="399" t="inlineStr">
        <is>
          <t>头盔</t>
        </is>
      </c>
      <c r="G695" s="398" t="n">
        <v>15</v>
      </c>
      <c r="H695" s="398" t="n">
        <v>4</v>
      </c>
      <c r="I695" s="398" t="n">
        <v>6714</v>
      </c>
      <c r="J695" s="398" t="n">
        <v>0</v>
      </c>
      <c r="K695" s="398" t="n">
        <v>0</v>
      </c>
      <c r="L695" s="398" t="n">
        <v>0</v>
      </c>
      <c r="M695" s="398" t="n">
        <v>6714</v>
      </c>
      <c r="N695" s="398" t="n">
        <v>6714</v>
      </c>
      <c r="O695" s="398" t="n">
        <v>6714</v>
      </c>
      <c r="P695" s="292" t="n"/>
      <c r="Q695" s="292" t="inlineStr">
        <is>
          <t>candidate-preflight-passed</t>
        </is>
      </c>
      <c r="R695" s="324" t="inlineStr">
        <is>
          <t>C3-C10规划锁定：沼鹿苔冠</t>
        </is>
      </c>
      <c r="S695" s="292" t="inlineStr">
        <is>
          <t>玄渊二十套全装备代码总表.xlsx</t>
        </is>
      </c>
      <c r="T695" s="292" t="inlineStr">
        <is>
          <t>玄渊20套全装备视觉候选；Items/StateItem/DnItems三库同码；属性待策划填写</t>
        </is>
      </c>
      <c r="U695">
        <f>IF(COUNTIF($B$2:$B$1076,B695)&gt;1,"重复","")</f>
        <v/>
      </c>
      <c r="V695">
        <f>IF(AND(OR(M695="",M695=B695),OR(N695="",N695=B695),OR(O695="",O695=B695)),"通过","不一致")</f>
        <v/>
      </c>
    </row>
    <row r="696" ht="22" customHeight="1">
      <c r="A696" s="398" t="n">
        <v>695</v>
      </c>
      <c r="B696" s="398" t="n">
        <v>6715</v>
      </c>
      <c r="C696" s="399" t="inlineStr">
        <is>
          <t>血月荆棘·血月</t>
        </is>
      </c>
      <c r="D696" s="399" t="inlineStr">
        <is>
          <t>血月荆棘</t>
        </is>
      </c>
      <c r="E696" s="399" t="n">
        <v>5</v>
      </c>
      <c r="F696" s="399" t="inlineStr">
        <is>
          <t>面巾</t>
        </is>
      </c>
      <c r="G696" s="398" t="n">
        <v>16</v>
      </c>
      <c r="H696" s="398" t="n">
        <v>13</v>
      </c>
      <c r="I696" s="398" t="n">
        <v>6715</v>
      </c>
      <c r="J696" s="398" t="n">
        <v>0</v>
      </c>
      <c r="K696" s="398" t="n">
        <v>0</v>
      </c>
      <c r="L696" s="398" t="n">
        <v>0</v>
      </c>
      <c r="M696" s="398" t="n">
        <v>6715</v>
      </c>
      <c r="N696" s="398" t="n">
        <v>6715</v>
      </c>
      <c r="O696" s="398" t="n">
        <v>6715</v>
      </c>
      <c r="P696" s="292" t="n"/>
      <c r="Q696" s="292" t="inlineStr">
        <is>
          <t>candidate-preflight-passed</t>
        </is>
      </c>
      <c r="R696" s="324" t="inlineStr">
        <is>
          <t>C3-C10规划锁定：缄声霜帘笠</t>
        </is>
      </c>
      <c r="S696" s="292" t="inlineStr">
        <is>
          <t>玄渊二十套全装备代码总表.xlsx</t>
        </is>
      </c>
      <c r="T696" s="292" t="inlineStr">
        <is>
          <t>玄渊20套全装备视觉候选；Items/StateItem/DnItems三库同码；属性待策划填写</t>
        </is>
      </c>
      <c r="U696">
        <f>IF(COUNTIF($B$2:$B$1076,B696)&gt;1,"重复","")</f>
        <v/>
      </c>
      <c r="V696">
        <f>IF(AND(OR(M696="",M696=B696),OR(N696="",N696=B696),OR(O696="",O696=B696)),"通过","不一致")</f>
        <v/>
      </c>
    </row>
    <row r="697" ht="22" customHeight="1">
      <c r="A697" s="398" t="n">
        <v>696</v>
      </c>
      <c r="B697" s="398" t="n">
        <v>6716</v>
      </c>
      <c r="C697" s="399" t="inlineStr">
        <is>
          <t>血月荆棘·血月</t>
        </is>
      </c>
      <c r="D697" s="399" t="inlineStr">
        <is>
          <t>血月荆棘</t>
        </is>
      </c>
      <c r="E697" s="399" t="n">
        <v>5</v>
      </c>
      <c r="F697" s="399" t="inlineStr">
        <is>
          <t>项链</t>
        </is>
      </c>
      <c r="G697" s="398" t="n">
        <v>19</v>
      </c>
      <c r="H697" s="398" t="n">
        <v>3</v>
      </c>
      <c r="I697" s="398" t="n">
        <v>6716</v>
      </c>
      <c r="J697" s="398" t="n">
        <v>0</v>
      </c>
      <c r="K697" s="398" t="n">
        <v>0</v>
      </c>
      <c r="L697" s="398" t="n">
        <v>0</v>
      </c>
      <c r="M697" s="398" t="n">
        <v>6716</v>
      </c>
      <c r="N697" s="398" t="n">
        <v>6716</v>
      </c>
      <c r="O697" s="398" t="n">
        <v>6716</v>
      </c>
      <c r="P697" s="292" t="n"/>
      <c r="Q697" s="292" t="inlineStr">
        <is>
          <t>candidate-preflight-passed</t>
        </is>
      </c>
      <c r="R697" s="324" t="inlineStr">
        <is>
          <t>C3-C10规划锁定：溺客灯坠</t>
        </is>
      </c>
      <c r="S697" s="292" t="inlineStr">
        <is>
          <t>玄渊二十套全装备代码总表.xlsx</t>
        </is>
      </c>
      <c r="T697" s="292" t="inlineStr">
        <is>
          <t>玄渊20套全装备视觉候选；Items/StateItem/DnItems三库同码；属性待策划填写</t>
        </is>
      </c>
      <c r="U697">
        <f>IF(COUNTIF($B$2:$B$1076,B697)&gt;1,"重复","")</f>
        <v/>
      </c>
      <c r="V697">
        <f>IF(AND(OR(M697="",M697=B697),OR(N697="",N697=B697),OR(O697="",O697=B697)),"通过","不一致")</f>
        <v/>
      </c>
    </row>
    <row r="698" ht="22" customHeight="1">
      <c r="A698" s="398" t="n">
        <v>697</v>
      </c>
      <c r="B698" s="398" t="n">
        <v>6717</v>
      </c>
      <c r="C698" s="399" t="inlineStr">
        <is>
          <t>血月荆棘·血月</t>
        </is>
      </c>
      <c r="D698" s="399" t="inlineStr">
        <is>
          <t>血月荆棘</t>
        </is>
      </c>
      <c r="E698" s="399" t="n">
        <v>5</v>
      </c>
      <c r="F698" s="399" t="inlineStr">
        <is>
          <t>手镯</t>
        </is>
      </c>
      <c r="G698" s="398" t="n">
        <v>26</v>
      </c>
      <c r="H698" s="398" t="n">
        <v>5</v>
      </c>
      <c r="I698" s="398" t="n">
        <v>6717</v>
      </c>
      <c r="J698" s="398" t="n">
        <v>0</v>
      </c>
      <c r="K698" s="398" t="n">
        <v>0</v>
      </c>
      <c r="L698" s="398" t="n">
        <v>0</v>
      </c>
      <c r="M698" s="398" t="n">
        <v>6717</v>
      </c>
      <c r="N698" s="398" t="n">
        <v>6717</v>
      </c>
      <c r="O698" s="398" t="n">
        <v>6717</v>
      </c>
      <c r="P698" s="292" t="n"/>
      <c r="Q698" s="292" t="inlineStr">
        <is>
          <t>candidate-preflight-passed</t>
        </is>
      </c>
      <c r="R698" s="324" t="inlineStr">
        <is>
          <t>C3-C10规划锁定：供盏腕轮</t>
        </is>
      </c>
      <c r="S698" s="292" t="inlineStr">
        <is>
          <t>玄渊二十套全装备代码总表.xlsx</t>
        </is>
      </c>
      <c r="T698" s="292" t="inlineStr">
        <is>
          <t>玄渊20套全装备视觉候选；Items/StateItem/DnItems三库同码；属性待策划填写</t>
        </is>
      </c>
      <c r="U698">
        <f>IF(COUNTIF($B$2:$B$1076,B698)&gt;1,"重复","")</f>
        <v/>
      </c>
      <c r="V698">
        <f>IF(AND(OR(M698="",M698=B698),OR(N698="",N698=B698),OR(O698="",O698=B698)),"通过","不一致")</f>
        <v/>
      </c>
    </row>
    <row r="699" ht="22" customHeight="1">
      <c r="A699" s="398" t="n">
        <v>698</v>
      </c>
      <c r="B699" s="398" t="n">
        <v>6718</v>
      </c>
      <c r="C699" s="399" t="inlineStr">
        <is>
          <t>血月荆棘·血月</t>
        </is>
      </c>
      <c r="D699" s="399" t="inlineStr">
        <is>
          <t>血月荆棘</t>
        </is>
      </c>
      <c r="E699" s="399" t="n">
        <v>5</v>
      </c>
      <c r="F699" s="399" t="inlineStr">
        <is>
          <t>戒指</t>
        </is>
      </c>
      <c r="G699" s="398" t="n">
        <v>22</v>
      </c>
      <c r="H699" s="398" t="n">
        <v>7</v>
      </c>
      <c r="I699" s="398" t="n">
        <v>6718</v>
      </c>
      <c r="J699" s="398" t="n">
        <v>0</v>
      </c>
      <c r="K699" s="398" t="n">
        <v>0</v>
      </c>
      <c r="L699" s="398" t="n">
        <v>0</v>
      </c>
      <c r="M699" s="398" t="n">
        <v>6718</v>
      </c>
      <c r="N699" s="398" t="n">
        <v>6718</v>
      </c>
      <c r="O699" s="398" t="n">
        <v>6718</v>
      </c>
      <c r="P699" s="292" t="n"/>
      <c r="Q699" s="292" t="inlineStr">
        <is>
          <t>candidate-preflight-passed</t>
        </is>
      </c>
      <c r="R699" s="324" t="inlineStr">
        <is>
          <t>C3-C10规划锁定：吸潮血戒</t>
        </is>
      </c>
      <c r="S699" s="292" t="inlineStr">
        <is>
          <t>玄渊二十套全装备代码总表.xlsx</t>
        </is>
      </c>
      <c r="T699" s="292" t="inlineStr">
        <is>
          <t>玄渊20套全装备视觉候选；Items/StateItem/DnItems三库同码；属性待策划填写</t>
        </is>
      </c>
      <c r="U699">
        <f>IF(COUNTIF($B$2:$B$1076,B699)&gt;1,"重复","")</f>
        <v/>
      </c>
      <c r="V699">
        <f>IF(AND(OR(M699="",M699=B699),OR(N699="",N699=B699),OR(O699="",O699=B699)),"通过","不一致")</f>
        <v/>
      </c>
    </row>
    <row r="700" ht="22" customHeight="1">
      <c r="A700" s="398" t="n">
        <v>699</v>
      </c>
      <c r="B700" s="398" t="n">
        <v>6719</v>
      </c>
      <c r="C700" s="399" t="inlineStr">
        <is>
          <t>血月荆棘·血月</t>
        </is>
      </c>
      <c r="D700" s="399" t="inlineStr">
        <is>
          <t>血月荆棘</t>
        </is>
      </c>
      <c r="E700" s="399" t="n">
        <v>5</v>
      </c>
      <c r="F700" s="399" t="inlineStr">
        <is>
          <t>勋章</t>
        </is>
      </c>
      <c r="G700" s="398" t="n">
        <v>30</v>
      </c>
      <c r="H700" s="398" t="n">
        <v>2</v>
      </c>
      <c r="I700" s="398" t="n">
        <v>6719</v>
      </c>
      <c r="J700" s="398" t="n">
        <v>0</v>
      </c>
      <c r="K700" s="398" t="n">
        <v>0</v>
      </c>
      <c r="L700" s="398" t="n">
        <v>0</v>
      </c>
      <c r="M700" s="398" t="n">
        <v>6719</v>
      </c>
      <c r="N700" s="398" t="n">
        <v>6719</v>
      </c>
      <c r="O700" s="398" t="n">
        <v>6719</v>
      </c>
      <c r="P700" s="292" t="n"/>
      <c r="Q700" s="292" t="inlineStr">
        <is>
          <t>candidate-preflight-passed</t>
        </is>
      </c>
      <c r="R700" s="324" t="inlineStr">
        <is>
          <t>C3-C10规划锁定：前庭晶戟勋</t>
        </is>
      </c>
      <c r="S700" s="292" t="inlineStr">
        <is>
          <t>玄渊二十套全装备代码总表.xlsx</t>
        </is>
      </c>
      <c r="T700" s="292" t="inlineStr">
        <is>
          <t>玄渊20套全装备视觉候选；Items/StateItem/DnItems三库同码；属性待策划填写</t>
        </is>
      </c>
      <c r="U700">
        <f>IF(COUNTIF($B$2:$B$1076,B700)&gt;1,"重复","")</f>
        <v/>
      </c>
      <c r="V700">
        <f>IF(AND(OR(M700="",M700=B700),OR(N700="",N700=B700),OR(O700="",O700=B700)),"通过","不一致")</f>
        <v/>
      </c>
    </row>
    <row r="701" ht="22" customHeight="1">
      <c r="A701" s="398" t="n">
        <v>700</v>
      </c>
      <c r="B701" s="398" t="n">
        <v>6720</v>
      </c>
      <c r="C701" s="399" t="inlineStr">
        <is>
          <t>血月荆棘·血月</t>
        </is>
      </c>
      <c r="D701" s="399" t="inlineStr">
        <is>
          <t>血月荆棘</t>
        </is>
      </c>
      <c r="E701" s="399" t="n">
        <v>5</v>
      </c>
      <c r="F701" s="399" t="inlineStr">
        <is>
          <t>盾牌</t>
        </is>
      </c>
      <c r="G701" s="398" t="n">
        <v>12</v>
      </c>
      <c r="H701" s="398" t="n">
        <v>16</v>
      </c>
      <c r="I701" s="398" t="n">
        <v>6720</v>
      </c>
      <c r="J701" s="398" t="n">
        <v>0</v>
      </c>
      <c r="K701" s="398" t="n">
        <v>0</v>
      </c>
      <c r="L701" s="398" t="n">
        <v>0</v>
      </c>
      <c r="M701" s="398" t="n">
        <v>6720</v>
      </c>
      <c r="N701" s="398" t="n">
        <v>6720</v>
      </c>
      <c r="O701" s="398" t="n">
        <v>6720</v>
      </c>
      <c r="P701" s="292" t="n"/>
      <c r="Q701" s="292" t="inlineStr">
        <is>
          <t>candidate-preflight-passed</t>
        </is>
      </c>
      <c r="R701" s="324" t="inlineStr">
        <is>
          <t>C3-C10规划锁定：桨官铁盾</t>
        </is>
      </c>
      <c r="S701" s="292" t="inlineStr">
        <is>
          <t>玄渊二十套全装备代码总表.xlsx</t>
        </is>
      </c>
      <c r="T701" s="292" t="inlineStr">
        <is>
          <t>玄渊20套全装备视觉候选；Items/StateItem/DnItems三库同码；属性待策划填写</t>
        </is>
      </c>
      <c r="U701">
        <f>IF(COUNTIF($B$2:$B$1076,B701)&gt;1,"重复","")</f>
        <v/>
      </c>
      <c r="V701">
        <f>IF(AND(OR(M701="",M701=B701),OR(N701="",N701=B701),OR(O701="",O701=B701)),"通过","不一致")</f>
        <v/>
      </c>
    </row>
    <row r="702" ht="22" customHeight="1">
      <c r="A702" s="398" t="n">
        <v>701</v>
      </c>
      <c r="B702" s="398" t="n">
        <v>6721</v>
      </c>
      <c r="C702" s="399" t="inlineStr">
        <is>
          <t>血月荆棘·血月</t>
        </is>
      </c>
      <c r="D702" s="399" t="inlineStr">
        <is>
          <t>血月荆棘</t>
        </is>
      </c>
      <c r="E702" s="399" t="n">
        <v>5</v>
      </c>
      <c r="F702" s="399" t="inlineStr">
        <is>
          <t>灵玉</t>
        </is>
      </c>
      <c r="G702" s="398" t="n">
        <v>90</v>
      </c>
      <c r="H702" s="398" t="n">
        <v>17</v>
      </c>
      <c r="I702" s="398" t="n">
        <v>6721</v>
      </c>
      <c r="J702" s="398" t="n">
        <v>0</v>
      </c>
      <c r="K702" s="398" t="n">
        <v>0</v>
      </c>
      <c r="L702" s="398" t="n">
        <v>0</v>
      </c>
      <c r="M702" s="398" t="n">
        <v>6721</v>
      </c>
      <c r="N702" s="398" t="n">
        <v>6721</v>
      </c>
      <c r="O702" s="398" t="n">
        <v>6721</v>
      </c>
      <c r="P702" s="292" t="n"/>
      <c r="Q702" s="292" t="inlineStr">
        <is>
          <t>candidate-preflight-passed</t>
        </is>
      </c>
      <c r="R702" s="292" t="str"/>
      <c r="S702" s="292" t="inlineStr">
        <is>
          <t>玄渊二十套全装备代码总表.xlsx</t>
        </is>
      </c>
      <c r="T702" s="292" t="inlineStr">
        <is>
          <t>玄渊20套全装备视觉候选；Items/StateItem/DnItems三库同码；属性待策划填写</t>
        </is>
      </c>
      <c r="U702">
        <f>IF(COUNTIF($B$2:$B$1076,B702)&gt;1,"重复","")</f>
        <v/>
      </c>
      <c r="V702">
        <f>IF(AND(OR(M702="",M702=B702),OR(N702="",N702=B702),OR(O702="",O702=B702)),"通过","不一致")</f>
        <v/>
      </c>
    </row>
    <row r="703" ht="22" customHeight="1">
      <c r="A703" s="398" t="n">
        <v>702</v>
      </c>
      <c r="B703" s="398" t="n">
        <v>6722</v>
      </c>
      <c r="C703" s="399" t="inlineStr">
        <is>
          <t>血月荆棘·血月</t>
        </is>
      </c>
      <c r="D703" s="399" t="inlineStr">
        <is>
          <t>血月荆棘</t>
        </is>
      </c>
      <c r="E703" s="399" t="n">
        <v>5</v>
      </c>
      <c r="F703" s="399" t="inlineStr">
        <is>
          <t>鞋子</t>
        </is>
      </c>
      <c r="G703" s="398" t="n">
        <v>62</v>
      </c>
      <c r="H703" s="398" t="n">
        <v>11</v>
      </c>
      <c r="I703" s="398" t="n">
        <v>6722</v>
      </c>
      <c r="J703" s="398" t="n">
        <v>0</v>
      </c>
      <c r="K703" s="398" t="n">
        <v>0</v>
      </c>
      <c r="L703" s="398" t="n">
        <v>0</v>
      </c>
      <c r="M703" s="398" t="n">
        <v>6722</v>
      </c>
      <c r="N703" s="398" t="n">
        <v>6722</v>
      </c>
      <c r="O703" s="398" t="n">
        <v>6722</v>
      </c>
      <c r="P703" s="292" t="n"/>
      <c r="Q703" s="292" t="inlineStr">
        <is>
          <t>candidate-preflight-passed</t>
        </is>
      </c>
      <c r="R703" s="324" t="inlineStr">
        <is>
          <t>C3-C10规划锁定：桅猴跳靴</t>
        </is>
      </c>
      <c r="S703" s="292" t="inlineStr">
        <is>
          <t>玄渊二十套全装备代码总表.xlsx</t>
        </is>
      </c>
      <c r="T703" s="292" t="inlineStr">
        <is>
          <t>玄渊20套全装备视觉候选；Items/StateItem/DnItems三库同码；属性待策划填写</t>
        </is>
      </c>
      <c r="U703">
        <f>IF(COUNTIF($B$2:$B$1076,B703)&gt;1,"重复","")</f>
        <v/>
      </c>
      <c r="V703">
        <f>IF(AND(OR(M703="",M703=B703),OR(N703="",N703=B703),OR(O703="",O703=B703)),"通过","不一致")</f>
        <v/>
      </c>
    </row>
    <row r="704" ht="22" customHeight="1">
      <c r="A704" s="398" t="n">
        <v>703</v>
      </c>
      <c r="B704" s="398" t="n">
        <v>6723</v>
      </c>
      <c r="C704" s="399" t="inlineStr">
        <is>
          <t>血月荆棘·血月</t>
        </is>
      </c>
      <c r="D704" s="399" t="inlineStr">
        <is>
          <t>血月荆棘</t>
        </is>
      </c>
      <c r="E704" s="399" t="n">
        <v>5</v>
      </c>
      <c r="F704" s="399" t="inlineStr">
        <is>
          <t>腰带</t>
        </is>
      </c>
      <c r="G704" s="398" t="n">
        <v>64</v>
      </c>
      <c r="H704" s="398" t="n">
        <v>10</v>
      </c>
      <c r="I704" s="398" t="n">
        <v>6723</v>
      </c>
      <c r="J704" s="398" t="n">
        <v>0</v>
      </c>
      <c r="K704" s="398" t="n">
        <v>0</v>
      </c>
      <c r="L704" s="398" t="n">
        <v>0</v>
      </c>
      <c r="M704" s="398" t="n">
        <v>6723</v>
      </c>
      <c r="N704" s="398" t="n">
        <v>6723</v>
      </c>
      <c r="O704" s="398" t="n">
        <v>6723</v>
      </c>
      <c r="P704" s="292" t="n"/>
      <c r="Q704" s="292" t="inlineStr">
        <is>
          <t>candidate-preflight-passed</t>
        </is>
      </c>
      <c r="R704" s="324" t="inlineStr">
        <is>
          <t>C3-C10规划锁定：鳗皮束腰</t>
        </is>
      </c>
      <c r="S704" s="292" t="inlineStr">
        <is>
          <t>玄渊二十套全装备代码总表.xlsx</t>
        </is>
      </c>
      <c r="T704" s="292" t="inlineStr">
        <is>
          <t>玄渊20套全装备视觉候选；Items/StateItem/DnItems三库同码；属性待策划填写</t>
        </is>
      </c>
      <c r="U704">
        <f>IF(COUNTIF($B$2:$B$1076,B704)&gt;1,"重复","")</f>
        <v/>
      </c>
      <c r="V704">
        <f>IF(AND(OR(M704="",M704=B704),OR(N704="",N704=B704),OR(O704="",O704=B704)),"通过","不一致")</f>
        <v/>
      </c>
    </row>
    <row r="705" ht="22" customHeight="1">
      <c r="A705" s="398" t="n">
        <v>704</v>
      </c>
      <c r="B705" s="398" t="n">
        <v>6724</v>
      </c>
      <c r="C705" s="399" t="inlineStr">
        <is>
          <t>血月荆棘·血月</t>
        </is>
      </c>
      <c r="D705" s="399" t="inlineStr">
        <is>
          <t>血月荆棘</t>
        </is>
      </c>
      <c r="E705" s="399" t="n">
        <v>5</v>
      </c>
      <c r="F705" s="399" t="inlineStr">
        <is>
          <t>护身符</t>
        </is>
      </c>
      <c r="G705" s="398" t="n">
        <v>25</v>
      </c>
      <c r="H705" s="398" t="n">
        <v>9</v>
      </c>
      <c r="I705" s="398" t="n">
        <v>6724</v>
      </c>
      <c r="J705" s="398" t="n">
        <v>0</v>
      </c>
      <c r="K705" s="398" t="n">
        <v>0</v>
      </c>
      <c r="L705" s="398" t="n">
        <v>0</v>
      </c>
      <c r="M705" s="398" t="n">
        <v>6724</v>
      </c>
      <c r="N705" s="398" t="n">
        <v>6724</v>
      </c>
      <c r="O705" s="398" t="n">
        <v>6724</v>
      </c>
      <c r="P705" s="292" t="n"/>
      <c r="Q705" s="292" t="inlineStr">
        <is>
          <t>candidate-preflight-passed</t>
        </is>
      </c>
      <c r="R705" s="292" t="str"/>
      <c r="S705" s="292" t="inlineStr">
        <is>
          <t>玄渊二十套全装备代码总表.xlsx</t>
        </is>
      </c>
      <c r="T705" s="292" t="inlineStr">
        <is>
          <t>玄渊20套全装备视觉候选；Items/StateItem/DnItems三库同码；属性待策划填写</t>
        </is>
      </c>
      <c r="U705">
        <f>IF(COUNTIF($B$2:$B$1076,B705)&gt;1,"重复","")</f>
        <v/>
      </c>
      <c r="V705">
        <f>IF(AND(OR(M705="",M705=B705),OR(N705="",N705=B705),OR(O705="",O705=B705)),"通过","不一致")</f>
        <v/>
      </c>
    </row>
    <row r="706" ht="22" customHeight="1">
      <c r="A706" s="398" t="n">
        <v>705</v>
      </c>
      <c r="B706" s="398" t="n">
        <v>6725</v>
      </c>
      <c r="C706" s="399" t="inlineStr">
        <is>
          <t>血月荆棘·血月</t>
        </is>
      </c>
      <c r="D706" s="399" t="inlineStr">
        <is>
          <t>血月荆棘</t>
        </is>
      </c>
      <c r="E706" s="399" t="n">
        <v>5</v>
      </c>
      <c r="F706" s="399" t="inlineStr">
        <is>
          <t>宝石</t>
        </is>
      </c>
      <c r="G706" s="398" t="n">
        <v>63</v>
      </c>
      <c r="H706" s="398" t="n">
        <v>12</v>
      </c>
      <c r="I706" s="398" t="n">
        <v>6725</v>
      </c>
      <c r="J706" s="398" t="n">
        <v>0</v>
      </c>
      <c r="K706" s="398" t="n">
        <v>0</v>
      </c>
      <c r="L706" s="398" t="n">
        <v>0</v>
      </c>
      <c r="M706" s="398" t="n">
        <v>6725</v>
      </c>
      <c r="N706" s="398" t="n">
        <v>6725</v>
      </c>
      <c r="O706" s="398" t="n">
        <v>6725</v>
      </c>
      <c r="P706" s="292" t="n"/>
      <c r="Q706" s="292" t="inlineStr">
        <is>
          <t>candidate-preflight-passed</t>
        </is>
      </c>
      <c r="R706" s="292" t="str"/>
      <c r="S706" s="292" t="inlineStr">
        <is>
          <t>玄渊二十套全装备代码总表.xlsx</t>
        </is>
      </c>
      <c r="T706" s="292" t="inlineStr">
        <is>
          <t>玄渊20套全装备视觉候选；Items/StateItem/DnItems三库同码；属性待策划填写</t>
        </is>
      </c>
      <c r="U706">
        <f>IF(COUNTIF($B$2:$B$1076,B706)&gt;1,"重复","")</f>
        <v/>
      </c>
      <c r="V706">
        <f>IF(AND(OR(M706="",M706=B706),OR(N706="",N706=B706),OR(O706="",O706=B706)),"通过","不一致")</f>
        <v/>
      </c>
    </row>
    <row r="707" ht="22" customHeight="1">
      <c r="A707" s="398" t="n">
        <v>706</v>
      </c>
      <c r="B707" s="398" t="n">
        <v>6726</v>
      </c>
      <c r="C707" s="399" t="inlineStr">
        <is>
          <t>血月荆棘·血月</t>
        </is>
      </c>
      <c r="D707" s="399" t="inlineStr">
        <is>
          <t>血月荆棘</t>
        </is>
      </c>
      <c r="E707" s="399" t="n">
        <v>5</v>
      </c>
      <c r="F707" s="399" t="inlineStr">
        <is>
          <t>军鼓</t>
        </is>
      </c>
      <c r="G707" s="398" t="n">
        <v>65</v>
      </c>
      <c r="H707" s="398" t="n">
        <v>14</v>
      </c>
      <c r="I707" s="398" t="n">
        <v>6726</v>
      </c>
      <c r="J707" s="398" t="n">
        <v>0</v>
      </c>
      <c r="K707" s="398" t="n">
        <v>0</v>
      </c>
      <c r="L707" s="398" t="n">
        <v>0</v>
      </c>
      <c r="M707" s="398" t="n">
        <v>6726</v>
      </c>
      <c r="N707" s="398" t="n">
        <v>6726</v>
      </c>
      <c r="O707" s="398" t="n">
        <v>6726</v>
      </c>
      <c r="P707" s="292" t="n"/>
      <c r="Q707" s="292" t="inlineStr">
        <is>
          <t>candidate-preflight-passed</t>
        </is>
      </c>
      <c r="R707" s="292" t="str"/>
      <c r="S707" s="292" t="inlineStr">
        <is>
          <t>玄渊二十套全装备代码总表.xlsx</t>
        </is>
      </c>
      <c r="T707" s="292" t="inlineStr">
        <is>
          <t>玄渊20套全装备视觉候选；Items/StateItem/DnItems三库同码；属性待策划填写</t>
        </is>
      </c>
      <c r="U707">
        <f>IF(COUNTIF($B$2:$B$1076,B707)&gt;1,"重复","")</f>
        <v/>
      </c>
      <c r="V707">
        <f>IF(AND(OR(M707="",M707=B707),OR(N707="",N707=B707),OR(O707="",O707=B707)),"通过","不一致")</f>
        <v/>
      </c>
    </row>
    <row r="708" ht="22" customHeight="1">
      <c r="A708" s="398" t="n">
        <v>707</v>
      </c>
      <c r="B708" s="398" t="n">
        <v>6727</v>
      </c>
      <c r="C708" s="399" t="inlineStr">
        <is>
          <t>血月荆棘·血月</t>
        </is>
      </c>
      <c r="D708" s="399" t="inlineStr">
        <is>
          <t>血月荆棘</t>
        </is>
      </c>
      <c r="E708" s="399" t="n">
        <v>5</v>
      </c>
      <c r="F708" s="399" t="inlineStr">
        <is>
          <t>马牌</t>
        </is>
      </c>
      <c r="G708" s="398" t="n">
        <v>28</v>
      </c>
      <c r="H708" s="398" t="n">
        <v>15</v>
      </c>
      <c r="I708" s="398" t="n">
        <v>6727</v>
      </c>
      <c r="J708" s="398" t="n">
        <v>0</v>
      </c>
      <c r="K708" s="398" t="n">
        <v>0</v>
      </c>
      <c r="L708" s="398" t="n">
        <v>0</v>
      </c>
      <c r="M708" s="398" t="n">
        <v>6727</v>
      </c>
      <c r="N708" s="398" t="n">
        <v>6727</v>
      </c>
      <c r="O708" s="398" t="n">
        <v>6727</v>
      </c>
      <c r="P708" s="292" t="n"/>
      <c r="Q708" s="292" t="inlineStr">
        <is>
          <t>candidate-preflight-passed</t>
        </is>
      </c>
      <c r="R708" s="292" t="str"/>
      <c r="S708" s="292" t="inlineStr">
        <is>
          <t>玄渊二十套全装备代码总表.xlsx</t>
        </is>
      </c>
      <c r="T708" s="292" t="inlineStr">
        <is>
          <t>玄渊20套全装备视觉候选；Items/StateItem/DnItems三库同码；属性待策划填写</t>
        </is>
      </c>
      <c r="U708">
        <f>IF(COUNTIF($B$2:$B$1076,B708)&gt;1,"重复","")</f>
        <v/>
      </c>
      <c r="V708">
        <f>IF(AND(OR(M708="",M708=B708),OR(N708="",N708=B708),OR(O708="",O708=B708)),"通过","不一致")</f>
        <v/>
      </c>
    </row>
    <row r="709" ht="22" customHeight="1">
      <c r="A709" s="398" t="n">
        <v>708</v>
      </c>
      <c r="B709" s="398" t="n">
        <v>6728</v>
      </c>
      <c r="C709" s="399" t="inlineStr">
        <is>
          <t>血月荆棘·血月</t>
        </is>
      </c>
      <c r="D709" s="399" t="inlineStr">
        <is>
          <t>血月荆棘</t>
        </is>
      </c>
      <c r="E709" s="399" t="n">
        <v>5</v>
      </c>
      <c r="F709" s="399" t="inlineStr">
        <is>
          <t>首饰盒1</t>
        </is>
      </c>
      <c r="G709" s="398" t="n">
        <v>22</v>
      </c>
      <c r="H709" s="398" t="n">
        <v>30</v>
      </c>
      <c r="I709" s="398" t="n">
        <v>6728</v>
      </c>
      <c r="J709" s="398" t="n">
        <v>0</v>
      </c>
      <c r="K709" s="398" t="n">
        <v>2</v>
      </c>
      <c r="L709" s="398" t="n">
        <v>1</v>
      </c>
      <c r="M709" s="398" t="n">
        <v>6728</v>
      </c>
      <c r="N709" s="398" t="n">
        <v>6728</v>
      </c>
      <c r="O709" s="398" t="n">
        <v>6728</v>
      </c>
      <c r="P709" s="292" t="n"/>
      <c r="Q709" s="292" t="inlineStr">
        <is>
          <t>candidate-preflight-passed</t>
        </is>
      </c>
      <c r="R709" s="292" t="str"/>
      <c r="S709" s="292" t="inlineStr">
        <is>
          <t>玄渊二十套全装备代码总表.xlsx</t>
        </is>
      </c>
      <c r="T709" s="292" t="inlineStr">
        <is>
          <t>玄渊20套全装备视觉候选；Items/StateItem/DnItems三库同码；属性待策划填写；OverLap=2; Expand1=1</t>
        </is>
      </c>
      <c r="U709">
        <f>IF(COUNTIF($B$2:$B$1076,B709)&gt;1,"重复","")</f>
        <v/>
      </c>
      <c r="V709">
        <f>IF(AND(OR(M709="",M709=B709),OR(N709="",N709=B709),OR(O709="",O709=B709)),"通过","不一致")</f>
        <v/>
      </c>
    </row>
    <row r="710" ht="22" customHeight="1">
      <c r="A710" s="398" t="n">
        <v>709</v>
      </c>
      <c r="B710" s="398" t="n">
        <v>6729</v>
      </c>
      <c r="C710" s="399" t="inlineStr">
        <is>
          <t>血月荆棘·血月</t>
        </is>
      </c>
      <c r="D710" s="399" t="inlineStr">
        <is>
          <t>血月荆棘</t>
        </is>
      </c>
      <c r="E710" s="399" t="n">
        <v>5</v>
      </c>
      <c r="F710" s="399" t="inlineStr">
        <is>
          <t>首饰盒2</t>
        </is>
      </c>
      <c r="G710" s="398" t="n">
        <v>22</v>
      </c>
      <c r="H710" s="398" t="n">
        <v>31</v>
      </c>
      <c r="I710" s="398" t="n">
        <v>6729</v>
      </c>
      <c r="J710" s="398" t="n">
        <v>0</v>
      </c>
      <c r="K710" s="398" t="n">
        <v>2</v>
      </c>
      <c r="L710" s="398" t="n">
        <v>2</v>
      </c>
      <c r="M710" s="398" t="n">
        <v>6729</v>
      </c>
      <c r="N710" s="398" t="n">
        <v>6729</v>
      </c>
      <c r="O710" s="398" t="n">
        <v>6729</v>
      </c>
      <c r="P710" s="292" t="n"/>
      <c r="Q710" s="292" t="inlineStr">
        <is>
          <t>candidate-preflight-passed</t>
        </is>
      </c>
      <c r="R710" s="292" t="str"/>
      <c r="S710" s="292" t="inlineStr">
        <is>
          <t>玄渊二十套全装备代码总表.xlsx</t>
        </is>
      </c>
      <c r="T710" s="292" t="inlineStr">
        <is>
          <t>玄渊20套全装备视觉候选；Items/StateItem/DnItems三库同码；属性待策划填写；OverLap=2; Expand1=2</t>
        </is>
      </c>
      <c r="U710">
        <f>IF(COUNTIF($B$2:$B$1076,B710)&gt;1,"重复","")</f>
        <v/>
      </c>
      <c r="V710">
        <f>IF(AND(OR(M710="",M710=B710),OR(N710="",N710=B710),OR(O710="",O710=B710)),"通过","不一致")</f>
        <v/>
      </c>
    </row>
    <row r="711" ht="22" customHeight="1">
      <c r="A711" s="398" t="n">
        <v>710</v>
      </c>
      <c r="B711" s="398" t="n">
        <v>6730</v>
      </c>
      <c r="C711" s="399" t="inlineStr">
        <is>
          <t>血月荆棘·血月</t>
        </is>
      </c>
      <c r="D711" s="399" t="inlineStr">
        <is>
          <t>血月荆棘</t>
        </is>
      </c>
      <c r="E711" s="399" t="n">
        <v>5</v>
      </c>
      <c r="F711" s="399" t="inlineStr">
        <is>
          <t>首饰盒3</t>
        </is>
      </c>
      <c r="G711" s="398" t="n">
        <v>22</v>
      </c>
      <c r="H711" s="398" t="n">
        <v>32</v>
      </c>
      <c r="I711" s="398" t="n">
        <v>6730</v>
      </c>
      <c r="J711" s="398" t="n">
        <v>0</v>
      </c>
      <c r="K711" s="398" t="n">
        <v>2</v>
      </c>
      <c r="L711" s="398" t="n">
        <v>3</v>
      </c>
      <c r="M711" s="398" t="n">
        <v>6730</v>
      </c>
      <c r="N711" s="398" t="n">
        <v>6730</v>
      </c>
      <c r="O711" s="398" t="n">
        <v>6730</v>
      </c>
      <c r="P711" s="292" t="n"/>
      <c r="Q711" s="292" t="inlineStr">
        <is>
          <t>candidate-preflight-passed</t>
        </is>
      </c>
      <c r="R711" s="292" t="str"/>
      <c r="S711" s="292" t="inlineStr">
        <is>
          <t>玄渊二十套全装备代码总表.xlsx</t>
        </is>
      </c>
      <c r="T711" s="292" t="inlineStr">
        <is>
          <t>玄渊20套全装备视觉候选；Items/StateItem/DnItems三库同码；属性待策划填写；OverLap=2; Expand1=3</t>
        </is>
      </c>
      <c r="U711">
        <f>IF(COUNTIF($B$2:$B$1076,B711)&gt;1,"重复","")</f>
        <v/>
      </c>
      <c r="V711">
        <f>IF(AND(OR(M711="",M711=B711),OR(N711="",N711=B711),OR(O711="",O711=B711)),"通过","不一致")</f>
        <v/>
      </c>
    </row>
    <row r="712" ht="22" customHeight="1">
      <c r="A712" s="398" t="n">
        <v>711</v>
      </c>
      <c r="B712" s="398" t="n">
        <v>6731</v>
      </c>
      <c r="C712" s="399" t="inlineStr">
        <is>
          <t>血月荆棘·血月</t>
        </is>
      </c>
      <c r="D712" s="399" t="inlineStr">
        <is>
          <t>血月荆棘</t>
        </is>
      </c>
      <c r="E712" s="399" t="n">
        <v>5</v>
      </c>
      <c r="F712" s="399" t="inlineStr">
        <is>
          <t>首饰盒4</t>
        </is>
      </c>
      <c r="G712" s="398" t="n">
        <v>22</v>
      </c>
      <c r="H712" s="398" t="n">
        <v>33</v>
      </c>
      <c r="I712" s="398" t="n">
        <v>6731</v>
      </c>
      <c r="J712" s="398" t="n">
        <v>0</v>
      </c>
      <c r="K712" s="398" t="n">
        <v>2</v>
      </c>
      <c r="L712" s="398" t="n">
        <v>4</v>
      </c>
      <c r="M712" s="398" t="n">
        <v>6731</v>
      </c>
      <c r="N712" s="398" t="n">
        <v>6731</v>
      </c>
      <c r="O712" s="398" t="n">
        <v>6731</v>
      </c>
      <c r="P712" s="292" t="n"/>
      <c r="Q712" s="292" t="inlineStr">
        <is>
          <t>candidate-preflight-passed</t>
        </is>
      </c>
      <c r="R712" s="292" t="str"/>
      <c r="S712" s="292" t="inlineStr">
        <is>
          <t>玄渊二十套全装备代码总表.xlsx</t>
        </is>
      </c>
      <c r="T712" s="292" t="inlineStr">
        <is>
          <t>玄渊20套全装备视觉候选；Items/StateItem/DnItems三库同码；属性待策划填写；OverLap=2; Expand1=4</t>
        </is>
      </c>
      <c r="U712">
        <f>IF(COUNTIF($B$2:$B$1076,B712)&gt;1,"重复","")</f>
        <v/>
      </c>
      <c r="V712">
        <f>IF(AND(OR(M712="",M712=B712),OR(N712="",N712=B712),OR(O712="",O712=B712)),"通过","不一致")</f>
        <v/>
      </c>
    </row>
    <row r="713" ht="22" customHeight="1">
      <c r="A713" s="398" t="n">
        <v>712</v>
      </c>
      <c r="B713" s="398" t="n">
        <v>6732</v>
      </c>
      <c r="C713" s="399" t="inlineStr">
        <is>
          <t>血月荆棘·血月</t>
        </is>
      </c>
      <c r="D713" s="399" t="inlineStr">
        <is>
          <t>血月荆棘</t>
        </is>
      </c>
      <c r="E713" s="399" t="n">
        <v>5</v>
      </c>
      <c r="F713" s="399" t="inlineStr">
        <is>
          <t>首饰盒5</t>
        </is>
      </c>
      <c r="G713" s="398" t="n">
        <v>22</v>
      </c>
      <c r="H713" s="398" t="n">
        <v>34</v>
      </c>
      <c r="I713" s="398" t="n">
        <v>6732</v>
      </c>
      <c r="J713" s="398" t="n">
        <v>0</v>
      </c>
      <c r="K713" s="398" t="n">
        <v>2</v>
      </c>
      <c r="L713" s="398" t="n">
        <v>5</v>
      </c>
      <c r="M713" s="398" t="n">
        <v>6732</v>
      </c>
      <c r="N713" s="398" t="n">
        <v>6732</v>
      </c>
      <c r="O713" s="398" t="n">
        <v>6732</v>
      </c>
      <c r="P713" s="292" t="n"/>
      <c r="Q713" s="292" t="inlineStr">
        <is>
          <t>candidate-preflight-passed</t>
        </is>
      </c>
      <c r="R713" s="292" t="str"/>
      <c r="S713" s="292" t="inlineStr">
        <is>
          <t>玄渊二十套全装备代码总表.xlsx</t>
        </is>
      </c>
      <c r="T713" s="292" t="inlineStr">
        <is>
          <t>玄渊20套全装备视觉候选；Items/StateItem/DnItems三库同码；属性待策划填写；OverLap=2; Expand1=5</t>
        </is>
      </c>
      <c r="U713">
        <f>IF(COUNTIF($B$2:$B$1076,B713)&gt;1,"重复","")</f>
        <v/>
      </c>
      <c r="V713">
        <f>IF(AND(OR(M713="",M713=B713),OR(N713="",N713=B713),OR(O713="",O713=B713)),"通过","不一致")</f>
        <v/>
      </c>
    </row>
    <row r="714" ht="22" customHeight="1">
      <c r="A714" s="398" t="n">
        <v>713</v>
      </c>
      <c r="B714" s="398" t="n">
        <v>6733</v>
      </c>
      <c r="C714" s="399" t="inlineStr">
        <is>
          <t>血月荆棘·血月</t>
        </is>
      </c>
      <c r="D714" s="399" t="inlineStr">
        <is>
          <t>血月荆棘</t>
        </is>
      </c>
      <c r="E714" s="399" t="n">
        <v>5</v>
      </c>
      <c r="F714" s="399" t="inlineStr">
        <is>
          <t>首饰盒6</t>
        </is>
      </c>
      <c r="G714" s="398" t="n">
        <v>22</v>
      </c>
      <c r="H714" s="398" t="n">
        <v>35</v>
      </c>
      <c r="I714" s="398" t="n">
        <v>6733</v>
      </c>
      <c r="J714" s="398" t="n">
        <v>0</v>
      </c>
      <c r="K714" s="398" t="n">
        <v>2</v>
      </c>
      <c r="L714" s="398" t="n">
        <v>6</v>
      </c>
      <c r="M714" s="398" t="n">
        <v>6733</v>
      </c>
      <c r="N714" s="398" t="n">
        <v>6733</v>
      </c>
      <c r="O714" s="398" t="n">
        <v>6733</v>
      </c>
      <c r="P714" s="292" t="n"/>
      <c r="Q714" s="292" t="inlineStr">
        <is>
          <t>candidate-preflight-passed</t>
        </is>
      </c>
      <c r="R714" s="292" t="str"/>
      <c r="S714" s="292" t="inlineStr">
        <is>
          <t>玄渊二十套全装备代码总表.xlsx</t>
        </is>
      </c>
      <c r="T714" s="292" t="inlineStr">
        <is>
          <t>玄渊20套全装备视觉候选；Items/StateItem/DnItems三库同码；属性待策划填写；OverLap=2; Expand1=6</t>
        </is>
      </c>
      <c r="U714">
        <f>IF(COUNTIF($B$2:$B$1076,B714)&gt;1,"重复","")</f>
        <v/>
      </c>
      <c r="V714">
        <f>IF(AND(OR(M714="",M714=B714),OR(N714="",N714=B714),OR(O714="",O714=B714)),"通过","不一致")</f>
        <v/>
      </c>
    </row>
    <row r="715" ht="22" customHeight="1">
      <c r="A715" s="398" t="n">
        <v>714</v>
      </c>
      <c r="B715" s="398" t="n">
        <v>6734</v>
      </c>
      <c r="C715" s="399" t="inlineStr">
        <is>
          <t>血月荆棘·血月</t>
        </is>
      </c>
      <c r="D715" s="399" t="inlineStr">
        <is>
          <t>血月荆棘</t>
        </is>
      </c>
      <c r="E715" s="399" t="n">
        <v>5</v>
      </c>
      <c r="F715" s="399" t="inlineStr">
        <is>
          <t>生肖1</t>
        </is>
      </c>
      <c r="G715" s="398" t="n">
        <v>22</v>
      </c>
      <c r="H715" s="398" t="n">
        <v>40</v>
      </c>
      <c r="I715" s="398" t="n">
        <v>6734</v>
      </c>
      <c r="J715" s="398" t="n">
        <v>0</v>
      </c>
      <c r="K715" s="398" t="n">
        <v>4</v>
      </c>
      <c r="L715" s="398" t="n">
        <v>1</v>
      </c>
      <c r="M715" s="398" t="n">
        <v>6734</v>
      </c>
      <c r="N715" s="398" t="n">
        <v>6734</v>
      </c>
      <c r="O715" s="398" t="n">
        <v>6734</v>
      </c>
      <c r="P715" s="292" t="n"/>
      <c r="Q715" s="292" t="inlineStr">
        <is>
          <t>candidate-preflight-passed</t>
        </is>
      </c>
      <c r="R715" s="292" t="str"/>
      <c r="S715" s="292" t="inlineStr">
        <is>
          <t>玄渊二十套全装备代码总表.xlsx</t>
        </is>
      </c>
      <c r="T715" s="292" t="inlineStr">
        <is>
          <t>玄渊20套全装备视觉候选；Items/StateItem/DnItems三库同码；属性待策划填写；OverLap=4; Expand1=1</t>
        </is>
      </c>
      <c r="U715">
        <f>IF(COUNTIF($B$2:$B$1076,B715)&gt;1,"重复","")</f>
        <v/>
      </c>
      <c r="V715">
        <f>IF(AND(OR(M715="",M715=B715),OR(N715="",N715=B715),OR(O715="",O715=B715)),"通过","不一致")</f>
        <v/>
      </c>
    </row>
    <row r="716" ht="22" customHeight="1">
      <c r="A716" s="398" t="n">
        <v>715</v>
      </c>
      <c r="B716" s="398" t="n">
        <v>6735</v>
      </c>
      <c r="C716" s="399" t="inlineStr">
        <is>
          <t>血月荆棘·血月</t>
        </is>
      </c>
      <c r="D716" s="399" t="inlineStr">
        <is>
          <t>血月荆棘</t>
        </is>
      </c>
      <c r="E716" s="399" t="n">
        <v>5</v>
      </c>
      <c r="F716" s="399" t="inlineStr">
        <is>
          <t>生肖2</t>
        </is>
      </c>
      <c r="G716" s="398" t="n">
        <v>22</v>
      </c>
      <c r="H716" s="398" t="n">
        <v>41</v>
      </c>
      <c r="I716" s="398" t="n">
        <v>6735</v>
      </c>
      <c r="J716" s="398" t="n">
        <v>0</v>
      </c>
      <c r="K716" s="398" t="n">
        <v>4</v>
      </c>
      <c r="L716" s="398" t="n">
        <v>2</v>
      </c>
      <c r="M716" s="398" t="n">
        <v>6735</v>
      </c>
      <c r="N716" s="398" t="n">
        <v>6735</v>
      </c>
      <c r="O716" s="398" t="n">
        <v>6735</v>
      </c>
      <c r="P716" s="292" t="n"/>
      <c r="Q716" s="292" t="inlineStr">
        <is>
          <t>candidate-preflight-passed</t>
        </is>
      </c>
      <c r="R716" s="292" t="str"/>
      <c r="S716" s="292" t="inlineStr">
        <is>
          <t>玄渊二十套全装备代码总表.xlsx</t>
        </is>
      </c>
      <c r="T716" s="292" t="inlineStr">
        <is>
          <t>玄渊20套全装备视觉候选；Items/StateItem/DnItems三库同码；属性待策划填写；OverLap=4; Expand1=2</t>
        </is>
      </c>
      <c r="U716">
        <f>IF(COUNTIF($B$2:$B$1076,B716)&gt;1,"重复","")</f>
        <v/>
      </c>
      <c r="V716">
        <f>IF(AND(OR(M716="",M716=B716),OR(N716="",N716=B716),OR(O716="",O716=B716)),"通过","不一致")</f>
        <v/>
      </c>
    </row>
    <row r="717" ht="22" customHeight="1">
      <c r="A717" s="398" t="n">
        <v>716</v>
      </c>
      <c r="B717" s="398" t="n">
        <v>6736</v>
      </c>
      <c r="C717" s="399" t="inlineStr">
        <is>
          <t>血月荆棘·血月</t>
        </is>
      </c>
      <c r="D717" s="399" t="inlineStr">
        <is>
          <t>血月荆棘</t>
        </is>
      </c>
      <c r="E717" s="399" t="n">
        <v>5</v>
      </c>
      <c r="F717" s="399" t="inlineStr">
        <is>
          <t>生肖3</t>
        </is>
      </c>
      <c r="G717" s="398" t="n">
        <v>22</v>
      </c>
      <c r="H717" s="398" t="n">
        <v>42</v>
      </c>
      <c r="I717" s="398" t="n">
        <v>6736</v>
      </c>
      <c r="J717" s="398" t="n">
        <v>0</v>
      </c>
      <c r="K717" s="398" t="n">
        <v>4</v>
      </c>
      <c r="L717" s="398" t="n">
        <v>3</v>
      </c>
      <c r="M717" s="398" t="n">
        <v>6736</v>
      </c>
      <c r="N717" s="398" t="n">
        <v>6736</v>
      </c>
      <c r="O717" s="398" t="n">
        <v>6736</v>
      </c>
      <c r="P717" s="292" t="n"/>
      <c r="Q717" s="292" t="inlineStr">
        <is>
          <t>candidate-preflight-passed</t>
        </is>
      </c>
      <c r="R717" s="292" t="str"/>
      <c r="S717" s="292" t="inlineStr">
        <is>
          <t>玄渊二十套全装备代码总表.xlsx</t>
        </is>
      </c>
      <c r="T717" s="292" t="inlineStr">
        <is>
          <t>玄渊20套全装备视觉候选；Items/StateItem/DnItems三库同码；属性待策划填写；OverLap=4; Expand1=3</t>
        </is>
      </c>
      <c r="U717">
        <f>IF(COUNTIF($B$2:$B$1076,B717)&gt;1,"重复","")</f>
        <v/>
      </c>
      <c r="V717">
        <f>IF(AND(OR(M717="",M717=B717),OR(N717="",N717=B717),OR(O717="",O717=B717)),"通过","不一致")</f>
        <v/>
      </c>
    </row>
    <row r="718" ht="22" customHeight="1">
      <c r="A718" s="398" t="n">
        <v>717</v>
      </c>
      <c r="B718" s="398" t="n">
        <v>6737</v>
      </c>
      <c r="C718" s="399" t="inlineStr">
        <is>
          <t>血月荆棘·血月</t>
        </is>
      </c>
      <c r="D718" s="399" t="inlineStr">
        <is>
          <t>血月荆棘</t>
        </is>
      </c>
      <c r="E718" s="399" t="n">
        <v>5</v>
      </c>
      <c r="F718" s="399" t="inlineStr">
        <is>
          <t>生肖4</t>
        </is>
      </c>
      <c r="G718" s="398" t="n">
        <v>22</v>
      </c>
      <c r="H718" s="398" t="n">
        <v>43</v>
      </c>
      <c r="I718" s="398" t="n">
        <v>6737</v>
      </c>
      <c r="J718" s="398" t="n">
        <v>0</v>
      </c>
      <c r="K718" s="398" t="n">
        <v>4</v>
      </c>
      <c r="L718" s="398" t="n">
        <v>4</v>
      </c>
      <c r="M718" s="398" t="n">
        <v>6737</v>
      </c>
      <c r="N718" s="398" t="n">
        <v>6737</v>
      </c>
      <c r="O718" s="398" t="n">
        <v>6737</v>
      </c>
      <c r="P718" s="292" t="n"/>
      <c r="Q718" s="292" t="inlineStr">
        <is>
          <t>candidate-preflight-passed</t>
        </is>
      </c>
      <c r="R718" s="292" t="str"/>
      <c r="S718" s="292" t="inlineStr">
        <is>
          <t>玄渊二十套全装备代码总表.xlsx</t>
        </is>
      </c>
      <c r="T718" s="292" t="inlineStr">
        <is>
          <t>玄渊20套全装备视觉候选；Items/StateItem/DnItems三库同码；属性待策划填写；OverLap=4; Expand1=4</t>
        </is>
      </c>
      <c r="U718">
        <f>IF(COUNTIF($B$2:$B$1076,B718)&gt;1,"重复","")</f>
        <v/>
      </c>
      <c r="V718">
        <f>IF(AND(OR(M718="",M718=B718),OR(N718="",N718=B718),OR(O718="",O718=B718)),"通过","不一致")</f>
        <v/>
      </c>
    </row>
    <row r="719" ht="22" customHeight="1">
      <c r="A719" s="398" t="n">
        <v>718</v>
      </c>
      <c r="B719" s="398" t="n">
        <v>6738</v>
      </c>
      <c r="C719" s="399" t="inlineStr">
        <is>
          <t>血月荆棘·血月</t>
        </is>
      </c>
      <c r="D719" s="399" t="inlineStr">
        <is>
          <t>血月荆棘</t>
        </is>
      </c>
      <c r="E719" s="399" t="n">
        <v>5</v>
      </c>
      <c r="F719" s="399" t="inlineStr">
        <is>
          <t>生肖5</t>
        </is>
      </c>
      <c r="G719" s="398" t="n">
        <v>22</v>
      </c>
      <c r="H719" s="398" t="n">
        <v>44</v>
      </c>
      <c r="I719" s="398" t="n">
        <v>6738</v>
      </c>
      <c r="J719" s="398" t="n">
        <v>0</v>
      </c>
      <c r="K719" s="398" t="n">
        <v>4</v>
      </c>
      <c r="L719" s="398" t="n">
        <v>5</v>
      </c>
      <c r="M719" s="398" t="n">
        <v>6738</v>
      </c>
      <c r="N719" s="398" t="n">
        <v>6738</v>
      </c>
      <c r="O719" s="398" t="n">
        <v>6738</v>
      </c>
      <c r="P719" s="292" t="n"/>
      <c r="Q719" s="292" t="inlineStr">
        <is>
          <t>candidate-preflight-passed</t>
        </is>
      </c>
      <c r="R719" s="292" t="str"/>
      <c r="S719" s="292" t="inlineStr">
        <is>
          <t>玄渊二十套全装备代码总表.xlsx</t>
        </is>
      </c>
      <c r="T719" s="292" t="inlineStr">
        <is>
          <t>玄渊20套全装备视觉候选；Items/StateItem/DnItems三库同码；属性待策划填写；OverLap=4; Expand1=5</t>
        </is>
      </c>
      <c r="U719">
        <f>IF(COUNTIF($B$2:$B$1076,B719)&gt;1,"重复","")</f>
        <v/>
      </c>
      <c r="V719">
        <f>IF(AND(OR(M719="",M719=B719),OR(N719="",N719=B719),OR(O719="",O719=B719)),"通过","不一致")</f>
        <v/>
      </c>
    </row>
    <row r="720" ht="22" customHeight="1">
      <c r="A720" s="398" t="n">
        <v>719</v>
      </c>
      <c r="B720" s="398" t="n">
        <v>6739</v>
      </c>
      <c r="C720" s="399" t="inlineStr">
        <is>
          <t>血月荆棘·血月</t>
        </is>
      </c>
      <c r="D720" s="399" t="inlineStr">
        <is>
          <t>血月荆棘</t>
        </is>
      </c>
      <c r="E720" s="399" t="n">
        <v>5</v>
      </c>
      <c r="F720" s="399" t="inlineStr">
        <is>
          <t>生肖6</t>
        </is>
      </c>
      <c r="G720" s="398" t="n">
        <v>22</v>
      </c>
      <c r="H720" s="398" t="n">
        <v>45</v>
      </c>
      <c r="I720" s="398" t="n">
        <v>6739</v>
      </c>
      <c r="J720" s="398" t="n">
        <v>0</v>
      </c>
      <c r="K720" s="398" t="n">
        <v>4</v>
      </c>
      <c r="L720" s="398" t="n">
        <v>6</v>
      </c>
      <c r="M720" s="398" t="n">
        <v>6739</v>
      </c>
      <c r="N720" s="398" t="n">
        <v>6739</v>
      </c>
      <c r="O720" s="398" t="n">
        <v>6739</v>
      </c>
      <c r="P720" s="292" t="n"/>
      <c r="Q720" s="292" t="inlineStr">
        <is>
          <t>candidate-preflight-passed</t>
        </is>
      </c>
      <c r="R720" s="292" t="str"/>
      <c r="S720" s="292" t="inlineStr">
        <is>
          <t>玄渊二十套全装备代码总表.xlsx</t>
        </is>
      </c>
      <c r="T720" s="292" t="inlineStr">
        <is>
          <t>玄渊20套全装备视觉候选；Items/StateItem/DnItems三库同码；属性待策划填写；OverLap=4; Expand1=6</t>
        </is>
      </c>
      <c r="U720">
        <f>IF(COUNTIF($B$2:$B$1076,B720)&gt;1,"重复","")</f>
        <v/>
      </c>
      <c r="V720">
        <f>IF(AND(OR(M720="",M720=B720),OR(N720="",N720=B720),OR(O720="",O720=B720)),"通过","不一致")</f>
        <v/>
      </c>
    </row>
    <row r="721" ht="22" customHeight="1">
      <c r="A721" s="398" t="n">
        <v>720</v>
      </c>
      <c r="B721" s="398" t="n">
        <v>6740</v>
      </c>
      <c r="C721" s="399" t="inlineStr">
        <is>
          <t>血月荆棘·血月</t>
        </is>
      </c>
      <c r="D721" s="399" t="inlineStr">
        <is>
          <t>血月荆棘</t>
        </is>
      </c>
      <c r="E721" s="399" t="n">
        <v>5</v>
      </c>
      <c r="F721" s="399" t="inlineStr">
        <is>
          <t>生肖7</t>
        </is>
      </c>
      <c r="G721" s="398" t="n">
        <v>22</v>
      </c>
      <c r="H721" s="398" t="n">
        <v>46</v>
      </c>
      <c r="I721" s="398" t="n">
        <v>6740</v>
      </c>
      <c r="J721" s="398" t="n">
        <v>0</v>
      </c>
      <c r="K721" s="398" t="n">
        <v>4</v>
      </c>
      <c r="L721" s="398" t="n">
        <v>7</v>
      </c>
      <c r="M721" s="398" t="n">
        <v>6740</v>
      </c>
      <c r="N721" s="398" t="n">
        <v>6740</v>
      </c>
      <c r="O721" s="398" t="n">
        <v>6740</v>
      </c>
      <c r="P721" s="292" t="n"/>
      <c r="Q721" s="292" t="inlineStr">
        <is>
          <t>candidate-preflight-passed</t>
        </is>
      </c>
      <c r="R721" s="292" t="str"/>
      <c r="S721" s="292" t="inlineStr">
        <is>
          <t>玄渊二十套全装备代码总表.xlsx</t>
        </is>
      </c>
      <c r="T721" s="292" t="inlineStr">
        <is>
          <t>玄渊20套全装备视觉候选；Items/StateItem/DnItems三库同码；属性待策划填写；OverLap=4; Expand1=7</t>
        </is>
      </c>
      <c r="U721">
        <f>IF(COUNTIF($B$2:$B$1076,B721)&gt;1,"重复","")</f>
        <v/>
      </c>
      <c r="V721">
        <f>IF(AND(OR(M721="",M721=B721),OR(N721="",N721=B721),OR(O721="",O721=B721)),"通过","不一致")</f>
        <v/>
      </c>
    </row>
    <row r="722" ht="22" customHeight="1">
      <c r="A722" s="398" t="n">
        <v>721</v>
      </c>
      <c r="B722" s="398" t="n">
        <v>6741</v>
      </c>
      <c r="C722" s="399" t="inlineStr">
        <is>
          <t>血月荆棘·血月</t>
        </is>
      </c>
      <c r="D722" s="399" t="inlineStr">
        <is>
          <t>血月荆棘</t>
        </is>
      </c>
      <c r="E722" s="399" t="n">
        <v>5</v>
      </c>
      <c r="F722" s="399" t="inlineStr">
        <is>
          <t>生肖8</t>
        </is>
      </c>
      <c r="G722" s="398" t="n">
        <v>22</v>
      </c>
      <c r="H722" s="398" t="n">
        <v>47</v>
      </c>
      <c r="I722" s="398" t="n">
        <v>6741</v>
      </c>
      <c r="J722" s="398" t="n">
        <v>0</v>
      </c>
      <c r="K722" s="398" t="n">
        <v>4</v>
      </c>
      <c r="L722" s="398" t="n">
        <v>8</v>
      </c>
      <c r="M722" s="398" t="n">
        <v>6741</v>
      </c>
      <c r="N722" s="398" t="n">
        <v>6741</v>
      </c>
      <c r="O722" s="398" t="n">
        <v>6741</v>
      </c>
      <c r="P722" s="292" t="n"/>
      <c r="Q722" s="292" t="inlineStr">
        <is>
          <t>candidate-preflight-passed</t>
        </is>
      </c>
      <c r="R722" s="292" t="str"/>
      <c r="S722" s="292" t="inlineStr">
        <is>
          <t>玄渊二十套全装备代码总表.xlsx</t>
        </is>
      </c>
      <c r="T722" s="292" t="inlineStr">
        <is>
          <t>玄渊20套全装备视觉候选；Items/StateItem/DnItems三库同码；属性待策划填写；OverLap=4; Expand1=8</t>
        </is>
      </c>
      <c r="U722">
        <f>IF(COUNTIF($B$2:$B$1076,B722)&gt;1,"重复","")</f>
        <v/>
      </c>
      <c r="V722">
        <f>IF(AND(OR(M722="",M722=B722),OR(N722="",N722=B722),OR(O722="",O722=B722)),"通过","不一致")</f>
        <v/>
      </c>
    </row>
    <row r="723" ht="22" customHeight="1">
      <c r="A723" s="398" t="n">
        <v>722</v>
      </c>
      <c r="B723" s="398" t="n">
        <v>6742</v>
      </c>
      <c r="C723" s="399" t="inlineStr">
        <is>
          <t>血月荆棘·血月</t>
        </is>
      </c>
      <c r="D723" s="399" t="inlineStr">
        <is>
          <t>血月荆棘</t>
        </is>
      </c>
      <c r="E723" s="399" t="n">
        <v>5</v>
      </c>
      <c r="F723" s="399" t="inlineStr">
        <is>
          <t>生肖9</t>
        </is>
      </c>
      <c r="G723" s="398" t="n">
        <v>22</v>
      </c>
      <c r="H723" s="398" t="n">
        <v>48</v>
      </c>
      <c r="I723" s="398" t="n">
        <v>6742</v>
      </c>
      <c r="J723" s="398" t="n">
        <v>0</v>
      </c>
      <c r="K723" s="398" t="n">
        <v>4</v>
      </c>
      <c r="L723" s="398" t="n">
        <v>9</v>
      </c>
      <c r="M723" s="398" t="n">
        <v>6742</v>
      </c>
      <c r="N723" s="398" t="n">
        <v>6742</v>
      </c>
      <c r="O723" s="398" t="n">
        <v>6742</v>
      </c>
      <c r="P723" s="292" t="n"/>
      <c r="Q723" s="292" t="inlineStr">
        <is>
          <t>candidate-preflight-passed</t>
        </is>
      </c>
      <c r="R723" s="292" t="str"/>
      <c r="S723" s="292" t="inlineStr">
        <is>
          <t>玄渊二十套全装备代码总表.xlsx</t>
        </is>
      </c>
      <c r="T723" s="292" t="inlineStr">
        <is>
          <t>玄渊20套全装备视觉候选；Items/StateItem/DnItems三库同码；属性待策划填写；OverLap=4; Expand1=9</t>
        </is>
      </c>
      <c r="U723">
        <f>IF(COUNTIF($B$2:$B$1076,B723)&gt;1,"重复","")</f>
        <v/>
      </c>
      <c r="V723">
        <f>IF(AND(OR(M723="",M723=B723),OR(N723="",N723=B723),OR(O723="",O723=B723)),"通过","不一致")</f>
        <v/>
      </c>
    </row>
    <row r="724" ht="22" customHeight="1">
      <c r="A724" s="398" t="n">
        <v>723</v>
      </c>
      <c r="B724" s="398" t="n">
        <v>6743</v>
      </c>
      <c r="C724" s="399" t="inlineStr">
        <is>
          <t>血月荆棘·血月</t>
        </is>
      </c>
      <c r="D724" s="399" t="inlineStr">
        <is>
          <t>血月荆棘</t>
        </is>
      </c>
      <c r="E724" s="399" t="n">
        <v>5</v>
      </c>
      <c r="F724" s="399" t="inlineStr">
        <is>
          <t>生肖10</t>
        </is>
      </c>
      <c r="G724" s="398" t="n">
        <v>22</v>
      </c>
      <c r="H724" s="398" t="n">
        <v>49</v>
      </c>
      <c r="I724" s="398" t="n">
        <v>6743</v>
      </c>
      <c r="J724" s="398" t="n">
        <v>0</v>
      </c>
      <c r="K724" s="398" t="n">
        <v>4</v>
      </c>
      <c r="L724" s="398" t="n">
        <v>10</v>
      </c>
      <c r="M724" s="398" t="n">
        <v>6743</v>
      </c>
      <c r="N724" s="398" t="n">
        <v>6743</v>
      </c>
      <c r="O724" s="398" t="n">
        <v>6743</v>
      </c>
      <c r="P724" s="292" t="n"/>
      <c r="Q724" s="292" t="inlineStr">
        <is>
          <t>candidate-preflight-passed</t>
        </is>
      </c>
      <c r="R724" s="292" t="str"/>
      <c r="S724" s="292" t="inlineStr">
        <is>
          <t>玄渊二十套全装备代码总表.xlsx</t>
        </is>
      </c>
      <c r="T724" s="292" t="inlineStr">
        <is>
          <t>玄渊20套全装备视觉候选；Items/StateItem/DnItems三库同码；属性待策划填写；OverLap=4; Expand1=10</t>
        </is>
      </c>
      <c r="U724">
        <f>IF(COUNTIF($B$2:$B$1076,B724)&gt;1,"重复","")</f>
        <v/>
      </c>
      <c r="V724">
        <f>IF(AND(OR(M724="",M724=B724),OR(N724="",N724=B724),OR(O724="",O724=B724)),"通过","不一致")</f>
        <v/>
      </c>
    </row>
    <row r="725" ht="22" customHeight="1">
      <c r="A725" s="398" t="n">
        <v>724</v>
      </c>
      <c r="B725" s="398" t="n">
        <v>6744</v>
      </c>
      <c r="C725" s="399" t="inlineStr">
        <is>
          <t>血月荆棘·血月</t>
        </is>
      </c>
      <c r="D725" s="399" t="inlineStr">
        <is>
          <t>血月荆棘</t>
        </is>
      </c>
      <c r="E725" s="399" t="n">
        <v>5</v>
      </c>
      <c r="F725" s="399" t="inlineStr">
        <is>
          <t>生肖11</t>
        </is>
      </c>
      <c r="G725" s="398" t="n">
        <v>22</v>
      </c>
      <c r="H725" s="398" t="n">
        <v>50</v>
      </c>
      <c r="I725" s="398" t="n">
        <v>6744</v>
      </c>
      <c r="J725" s="398" t="n">
        <v>0</v>
      </c>
      <c r="K725" s="398" t="n">
        <v>4</v>
      </c>
      <c r="L725" s="398" t="n">
        <v>11</v>
      </c>
      <c r="M725" s="398" t="n">
        <v>6744</v>
      </c>
      <c r="N725" s="398" t="n">
        <v>6744</v>
      </c>
      <c r="O725" s="398" t="n">
        <v>6744</v>
      </c>
      <c r="P725" s="292" t="n"/>
      <c r="Q725" s="292" t="inlineStr">
        <is>
          <t>candidate-preflight-passed</t>
        </is>
      </c>
      <c r="R725" s="292" t="str"/>
      <c r="S725" s="292" t="inlineStr">
        <is>
          <t>玄渊二十套全装备代码总表.xlsx</t>
        </is>
      </c>
      <c r="T725" s="292" t="inlineStr">
        <is>
          <t>玄渊20套全装备视觉候选；Items/StateItem/DnItems三库同码；属性待策划填写；OverLap=4; Expand1=11</t>
        </is>
      </c>
      <c r="U725">
        <f>IF(COUNTIF($B$2:$B$1076,B725)&gt;1,"重复","")</f>
        <v/>
      </c>
      <c r="V725">
        <f>IF(AND(OR(M725="",M725=B725),OR(N725="",N725=B725),OR(O725="",O725=B725)),"通过","不一致")</f>
        <v/>
      </c>
    </row>
    <row r="726" ht="22" customHeight="1">
      <c r="A726" s="398" t="n">
        <v>725</v>
      </c>
      <c r="B726" s="398" t="n">
        <v>6745</v>
      </c>
      <c r="C726" s="399" t="inlineStr">
        <is>
          <t>血月荆棘·血月</t>
        </is>
      </c>
      <c r="D726" s="399" t="inlineStr">
        <is>
          <t>血月荆棘</t>
        </is>
      </c>
      <c r="E726" s="399" t="n">
        <v>5</v>
      </c>
      <c r="F726" s="399" t="inlineStr">
        <is>
          <t>生肖12</t>
        </is>
      </c>
      <c r="G726" s="398" t="n">
        <v>22</v>
      </c>
      <c r="H726" s="398" t="n">
        <v>51</v>
      </c>
      <c r="I726" s="398" t="n">
        <v>6745</v>
      </c>
      <c r="J726" s="398" t="n">
        <v>0</v>
      </c>
      <c r="K726" s="398" t="n">
        <v>4</v>
      </c>
      <c r="L726" s="398" t="n">
        <v>12</v>
      </c>
      <c r="M726" s="398" t="n">
        <v>6745</v>
      </c>
      <c r="N726" s="398" t="n">
        <v>6745</v>
      </c>
      <c r="O726" s="398" t="n">
        <v>6745</v>
      </c>
      <c r="P726" s="292" t="n"/>
      <c r="Q726" s="292" t="inlineStr">
        <is>
          <t>candidate-preflight-passed</t>
        </is>
      </c>
      <c r="R726" s="292" t="str"/>
      <c r="S726" s="292" t="inlineStr">
        <is>
          <t>玄渊二十套全装备代码总表.xlsx</t>
        </is>
      </c>
      <c r="T726" s="292" t="inlineStr">
        <is>
          <t>玄渊20套全装备视觉候选；Items/StateItem/DnItems三库同码；属性待策划填写；OverLap=4; Expand1=12</t>
        </is>
      </c>
      <c r="U726">
        <f>IF(COUNTIF($B$2:$B$1076,B726)&gt;1,"重复","")</f>
        <v/>
      </c>
      <c r="V726">
        <f>IF(AND(OR(M726="",M726=B726),OR(N726="",N726=B726),OR(O726="",O726=B726)),"通过","不一致")</f>
        <v/>
      </c>
    </row>
    <row r="727" ht="22" customHeight="1">
      <c r="A727" s="398" t="n">
        <v>726</v>
      </c>
      <c r="B727" s="398" t="n">
        <v>6746</v>
      </c>
      <c r="C727" s="399" t="inlineStr">
        <is>
          <t>星渊龙息·星痕</t>
        </is>
      </c>
      <c r="D727" s="399" t="inlineStr">
        <is>
          <t>星渊龙息</t>
        </is>
      </c>
      <c r="E727" s="399" t="n">
        <v>1</v>
      </c>
      <c r="F727" s="399" t="inlineStr">
        <is>
          <t>武器</t>
        </is>
      </c>
      <c r="G727" s="398" t="n">
        <v>5</v>
      </c>
      <c r="H727" s="398" t="n">
        <v>1</v>
      </c>
      <c r="I727" s="398" t="n">
        <v>6746</v>
      </c>
      <c r="J727" s="398" t="n">
        <v>26</v>
      </c>
      <c r="K727" s="398" t="n">
        <v>0</v>
      </c>
      <c r="L727" s="398" t="n">
        <v>0</v>
      </c>
      <c r="M727" s="398" t="n">
        <v>6746</v>
      </c>
      <c r="N727" s="398" t="n">
        <v>6746</v>
      </c>
      <c r="O727" s="398" t="n">
        <v>6746</v>
      </c>
      <c r="P727" s="292" t="inlineStr">
        <is>
          <t>Weapon.wzl/wzx（复用现有真实动作）</t>
        </is>
      </c>
      <c r="Q727" s="292" t="inlineStr">
        <is>
          <t>candidate-preflight-passed</t>
        </is>
      </c>
      <c r="R727" s="324" t="inlineStr">
        <is>
          <t>C3-C10规划锁定：赫岚的幽舵刃</t>
        </is>
      </c>
      <c r="S727" s="292" t="inlineStr">
        <is>
          <t>玄渊二十套全装备代码总表.xlsx</t>
        </is>
      </c>
      <c r="T727" s="292" t="inlineStr">
        <is>
          <t>玄渊20套全装备视觉候选；Items/StateItem/DnItems三库同码；属性待策划填写；Weapon Shape=26</t>
        </is>
      </c>
      <c r="U727">
        <f>IF(COUNTIF($B$2:$B$1076,B727)&gt;1,"重复","")</f>
        <v/>
      </c>
      <c r="V727">
        <f>IF(AND(OR(M727="",M727=B727),OR(N727="",N727=B727),OR(O727="",O727=B727)),"通过","不一致")</f>
        <v/>
      </c>
    </row>
    <row r="728" ht="22" customHeight="1">
      <c r="A728" s="398" t="n">
        <v>727</v>
      </c>
      <c r="B728" s="398" t="n">
        <v>6747</v>
      </c>
      <c r="C728" s="399" t="inlineStr">
        <is>
          <t>星渊龙息·星痕</t>
        </is>
      </c>
      <c r="D728" s="399" t="inlineStr">
        <is>
          <t>星渊龙息</t>
        </is>
      </c>
      <c r="E728" s="399" t="n">
        <v>1</v>
      </c>
      <c r="F728" s="399" t="inlineStr">
        <is>
          <t>男衣服</t>
        </is>
      </c>
      <c r="G728" s="398" t="n">
        <v>10</v>
      </c>
      <c r="H728" s="398" t="n">
        <v>0</v>
      </c>
      <c r="I728" s="398" t="n">
        <v>6747</v>
      </c>
      <c r="J728" s="398" t="n">
        <v>3</v>
      </c>
      <c r="K728" s="398" t="n">
        <v>0</v>
      </c>
      <c r="L728" s="398" t="n">
        <v>0</v>
      </c>
      <c r="M728" s="398" t="n">
        <v>6747</v>
      </c>
      <c r="N728" s="398" t="n">
        <v>6747</v>
      </c>
      <c r="O728" s="398" t="n">
        <v>6747</v>
      </c>
      <c r="P728" s="292" t="inlineStr">
        <is>
          <t>Hum.wzl/wzx（复用现有真实动作）</t>
        </is>
      </c>
      <c r="Q728" s="292" t="inlineStr">
        <is>
          <t>candidate-preflight-passed</t>
        </is>
      </c>
      <c r="R728" s="324" t="inlineStr">
        <is>
          <t>C3-C10规划锁定：沃姆吞魂舱甲</t>
        </is>
      </c>
      <c r="S728" s="292" t="inlineStr">
        <is>
          <t>玄渊二十套全装备代码总表.xlsx</t>
        </is>
      </c>
      <c r="T728" s="292" t="inlineStr">
        <is>
          <t>玄渊20套全装备视觉候选；Items/StateItem/DnItems三库同码；属性待策划填写；Hum Shape=3</t>
        </is>
      </c>
      <c r="U728">
        <f>IF(COUNTIF($B$2:$B$1076,B728)&gt;1,"重复","")</f>
        <v/>
      </c>
      <c r="V728">
        <f>IF(AND(OR(M728="",M728=B728),OR(N728="",N728=B728),OR(O728="",O728=B728)),"通过","不一致")</f>
        <v/>
      </c>
    </row>
    <row r="729" ht="22" customHeight="1">
      <c r="A729" s="398" t="n">
        <v>728</v>
      </c>
      <c r="B729" s="398" t="n">
        <v>6748</v>
      </c>
      <c r="C729" s="399" t="inlineStr">
        <is>
          <t>星渊龙息·星痕</t>
        </is>
      </c>
      <c r="D729" s="399" t="inlineStr">
        <is>
          <t>星渊龙息</t>
        </is>
      </c>
      <c r="E729" s="399" t="n">
        <v>1</v>
      </c>
      <c r="F729" s="399" t="inlineStr">
        <is>
          <t>女衣服</t>
        </is>
      </c>
      <c r="G729" s="398" t="n">
        <v>11</v>
      </c>
      <c r="H729" s="398" t="n">
        <v>0</v>
      </c>
      <c r="I729" s="398" t="n">
        <v>6748</v>
      </c>
      <c r="J729" s="398" t="n">
        <v>3</v>
      </c>
      <c r="K729" s="398" t="n">
        <v>0</v>
      </c>
      <c r="L729" s="398" t="n">
        <v>0</v>
      </c>
      <c r="M729" s="398" t="n">
        <v>6748</v>
      </c>
      <c r="N729" s="398" t="n">
        <v>6748</v>
      </c>
      <c r="O729" s="398" t="n">
        <v>6748</v>
      </c>
      <c r="P729" s="292" t="inlineStr">
        <is>
          <t>Hum.wzl/wzx（复用现有真实动作）</t>
        </is>
      </c>
      <c r="Q729" s="292" t="inlineStr">
        <is>
          <t>candidate-preflight-passed</t>
        </is>
      </c>
      <c r="R729" s="292" t="str"/>
      <c r="S729" s="292" t="inlineStr">
        <is>
          <t>玄渊二十套全装备代码总表.xlsx</t>
        </is>
      </c>
      <c r="T729" s="292" t="inlineStr">
        <is>
          <t>玄渊20套全装备视觉候选；Items/StateItem/DnItems三库同码；属性待策划填写；Hum Shape=3</t>
        </is>
      </c>
      <c r="U729">
        <f>IF(COUNTIF($B$2:$B$1076,B729)&gt;1,"重复","")</f>
        <v/>
      </c>
      <c r="V729">
        <f>IF(AND(OR(M729="",M729=B729),OR(N729="",N729=B729),OR(O729="",O729=B729)),"通过","不一致")</f>
        <v/>
      </c>
    </row>
    <row r="730" ht="22" customHeight="1">
      <c r="A730" s="398" t="n">
        <v>729</v>
      </c>
      <c r="B730" s="398" t="n">
        <v>6749</v>
      </c>
      <c r="C730" s="399" t="inlineStr">
        <is>
          <t>星渊龙息·星痕</t>
        </is>
      </c>
      <c r="D730" s="399" t="inlineStr">
        <is>
          <t>星渊龙息</t>
        </is>
      </c>
      <c r="E730" s="399" t="n">
        <v>1</v>
      </c>
      <c r="F730" s="399" t="inlineStr">
        <is>
          <t>头盔</t>
        </is>
      </c>
      <c r="G730" s="398" t="n">
        <v>15</v>
      </c>
      <c r="H730" s="398" t="n">
        <v>4</v>
      </c>
      <c r="I730" s="398" t="n">
        <v>6749</v>
      </c>
      <c r="J730" s="398" t="n">
        <v>0</v>
      </c>
      <c r="K730" s="398" t="n">
        <v>0</v>
      </c>
      <c r="L730" s="398" t="n">
        <v>0</v>
      </c>
      <c r="M730" s="398" t="n">
        <v>6749</v>
      </c>
      <c r="N730" s="398" t="n">
        <v>6749</v>
      </c>
      <c r="O730" s="398" t="n">
        <v>6749</v>
      </c>
      <c r="P730" s="292" t="n"/>
      <c r="Q730" s="292" t="inlineStr">
        <is>
          <t>candidate-preflight-passed</t>
        </is>
      </c>
      <c r="R730" s="324" t="inlineStr">
        <is>
          <t>C3-C10规划锁定：藻纹石盔</t>
        </is>
      </c>
      <c r="S730" s="292" t="inlineStr">
        <is>
          <t>玄渊二十套全装备代码总表.xlsx</t>
        </is>
      </c>
      <c r="T730" s="292" t="inlineStr">
        <is>
          <t>玄渊20套全装备视觉候选；Items/StateItem/DnItems三库同码；属性待策划填写</t>
        </is>
      </c>
      <c r="U730">
        <f>IF(COUNTIF($B$2:$B$1076,B730)&gt;1,"重复","")</f>
        <v/>
      </c>
      <c r="V730">
        <f>IF(AND(OR(M730="",M730=B730),OR(N730="",N730=B730),OR(O730="",O730=B730)),"通过","不一致")</f>
        <v/>
      </c>
    </row>
    <row r="731" ht="22" customHeight="1">
      <c r="A731" s="398" t="n">
        <v>730</v>
      </c>
      <c r="B731" s="398" t="n">
        <v>6750</v>
      </c>
      <c r="C731" s="399" t="inlineStr">
        <is>
          <t>星渊龙息·星痕</t>
        </is>
      </c>
      <c r="D731" s="399" t="inlineStr">
        <is>
          <t>星渊龙息</t>
        </is>
      </c>
      <c r="E731" s="399" t="n">
        <v>1</v>
      </c>
      <c r="F731" s="399" t="inlineStr">
        <is>
          <t>面巾</t>
        </is>
      </c>
      <c r="G731" s="398" t="n">
        <v>16</v>
      </c>
      <c r="H731" s="398" t="n">
        <v>13</v>
      </c>
      <c r="I731" s="398" t="n">
        <v>6750</v>
      </c>
      <c r="J731" s="398" t="n">
        <v>0</v>
      </c>
      <c r="K731" s="398" t="n">
        <v>0</v>
      </c>
      <c r="L731" s="398" t="n">
        <v>0</v>
      </c>
      <c r="M731" s="398" t="n">
        <v>6750</v>
      </c>
      <c r="N731" s="398" t="n">
        <v>6750</v>
      </c>
      <c r="O731" s="398" t="n">
        <v>6750</v>
      </c>
      <c r="P731" s="292" t="n"/>
      <c r="Q731" s="292" t="inlineStr">
        <is>
          <t>candidate-preflight-passed</t>
        </is>
      </c>
      <c r="R731" s="324" t="inlineStr">
        <is>
          <t>C3-C10规划锁定：织雪白绒笠</t>
        </is>
      </c>
      <c r="S731" s="292" t="inlineStr">
        <is>
          <t>玄渊二十套全装备代码总表.xlsx</t>
        </is>
      </c>
      <c r="T731" s="292" t="inlineStr">
        <is>
          <t>玄渊20套全装备视觉候选；Items/StateItem/DnItems三库同码；属性待策划填写</t>
        </is>
      </c>
      <c r="U731">
        <f>IF(COUNTIF($B$2:$B$1076,B731)&gt;1,"重复","")</f>
        <v/>
      </c>
      <c r="V731">
        <f>IF(AND(OR(M731="",M731=B731),OR(N731="",N731=B731),OR(O731="",O731=B731)),"通过","不一致")</f>
        <v/>
      </c>
    </row>
    <row r="732" ht="22" customHeight="1">
      <c r="A732" s="398" t="n">
        <v>731</v>
      </c>
      <c r="B732" s="398" t="n">
        <v>6751</v>
      </c>
      <c r="C732" s="399" t="inlineStr">
        <is>
          <t>星渊龙息·星痕</t>
        </is>
      </c>
      <c r="D732" s="399" t="inlineStr">
        <is>
          <t>星渊龙息</t>
        </is>
      </c>
      <c r="E732" s="399" t="n">
        <v>1</v>
      </c>
      <c r="F732" s="399" t="inlineStr">
        <is>
          <t>项链</t>
        </is>
      </c>
      <c r="G732" s="398" t="n">
        <v>19</v>
      </c>
      <c r="H732" s="398" t="n">
        <v>3</v>
      </c>
      <c r="I732" s="398" t="n">
        <v>6751</v>
      </c>
      <c r="J732" s="398" t="n">
        <v>0</v>
      </c>
      <c r="K732" s="398" t="n">
        <v>0</v>
      </c>
      <c r="L732" s="398" t="n">
        <v>0</v>
      </c>
      <c r="M732" s="398" t="n">
        <v>6751</v>
      </c>
      <c r="N732" s="398" t="n">
        <v>6751</v>
      </c>
      <c r="O732" s="398" t="n">
        <v>6751</v>
      </c>
      <c r="P732" s="292" t="n"/>
      <c r="Q732" s="292" t="inlineStr">
        <is>
          <t>candidate-preflight-passed</t>
        </is>
      </c>
      <c r="R732" s="324" t="inlineStr">
        <is>
          <t>C3-C10规划锁定：湖狮断链坠</t>
        </is>
      </c>
      <c r="S732" s="292" t="inlineStr">
        <is>
          <t>玄渊二十套全装备代码总表.xlsx</t>
        </is>
      </c>
      <c r="T732" s="292" t="inlineStr">
        <is>
          <t>玄渊20套全装备视觉候选；Items/StateItem/DnItems三库同码；属性待策划填写</t>
        </is>
      </c>
      <c r="U732">
        <f>IF(COUNTIF($B$2:$B$1076,B732)&gt;1,"重复","")</f>
        <v/>
      </c>
      <c r="V732">
        <f>IF(AND(OR(M732="",M732=B732),OR(N732="",N732=B732),OR(O732="",O732=B732)),"通过","不一致")</f>
        <v/>
      </c>
    </row>
    <row r="733" ht="22" customHeight="1">
      <c r="A733" s="398" t="n">
        <v>732</v>
      </c>
      <c r="B733" s="398" t="n">
        <v>6752</v>
      </c>
      <c r="C733" s="399" t="inlineStr">
        <is>
          <t>星渊龙息·星痕</t>
        </is>
      </c>
      <c r="D733" s="399" t="inlineStr">
        <is>
          <t>星渊龙息</t>
        </is>
      </c>
      <c r="E733" s="399" t="n">
        <v>1</v>
      </c>
      <c r="F733" s="399" t="inlineStr">
        <is>
          <t>手镯</t>
        </is>
      </c>
      <c r="G733" s="398" t="n">
        <v>26</v>
      </c>
      <c r="H733" s="398" t="n">
        <v>5</v>
      </c>
      <c r="I733" s="398" t="n">
        <v>6752</v>
      </c>
      <c r="J733" s="398" t="n">
        <v>0</v>
      </c>
      <c r="K733" s="398" t="n">
        <v>0</v>
      </c>
      <c r="L733" s="398" t="n">
        <v>0</v>
      </c>
      <c r="M733" s="398" t="n">
        <v>6752</v>
      </c>
      <c r="N733" s="398" t="n">
        <v>6752</v>
      </c>
      <c r="O733" s="398" t="n">
        <v>6752</v>
      </c>
      <c r="P733" s="292" t="n"/>
      <c r="Q733" s="292" t="inlineStr">
        <is>
          <t>candidate-preflight-passed</t>
        </is>
      </c>
      <c r="R733" s="324" t="inlineStr">
        <is>
          <t>C3-C10规划锁定：老舵手镯</t>
        </is>
      </c>
      <c r="S733" s="292" t="inlineStr">
        <is>
          <t>玄渊二十套全装备代码总表.xlsx</t>
        </is>
      </c>
      <c r="T733" s="292" t="inlineStr">
        <is>
          <t>玄渊20套全装备视觉候选；Items/StateItem/DnItems三库同码；属性待策划填写</t>
        </is>
      </c>
      <c r="U733">
        <f>IF(COUNTIF($B$2:$B$1076,B733)&gt;1,"重复","")</f>
        <v/>
      </c>
      <c r="V733">
        <f>IF(AND(OR(M733="",M733=B733),OR(N733="",N733=B733),OR(O733="",O733=B733)),"通过","不一致")</f>
        <v/>
      </c>
    </row>
    <row r="734" ht="22" customHeight="1">
      <c r="A734" s="398" t="n">
        <v>733</v>
      </c>
      <c r="B734" s="398" t="n">
        <v>6753</v>
      </c>
      <c r="C734" s="399" t="inlineStr">
        <is>
          <t>星渊龙息·星痕</t>
        </is>
      </c>
      <c r="D734" s="399" t="inlineStr">
        <is>
          <t>星渊龙息</t>
        </is>
      </c>
      <c r="E734" s="399" t="n">
        <v>1</v>
      </c>
      <c r="F734" s="399" t="inlineStr">
        <is>
          <t>戒指</t>
        </is>
      </c>
      <c r="G734" s="398" t="n">
        <v>22</v>
      </c>
      <c r="H734" s="398" t="n">
        <v>7</v>
      </c>
      <c r="I734" s="398" t="n">
        <v>6753</v>
      </c>
      <c r="J734" s="398" t="n">
        <v>0</v>
      </c>
      <c r="K734" s="398" t="n">
        <v>0</v>
      </c>
      <c r="L734" s="398" t="n">
        <v>0</v>
      </c>
      <c r="M734" s="398" t="n">
        <v>6753</v>
      </c>
      <c r="N734" s="398" t="n">
        <v>6753</v>
      </c>
      <c r="O734" s="398" t="n">
        <v>6753</v>
      </c>
      <c r="P734" s="292" t="n"/>
      <c r="Q734" s="292" t="inlineStr">
        <is>
          <t>candidate-preflight-passed</t>
        </is>
      </c>
      <c r="R734" s="324" t="inlineStr">
        <is>
          <t>C3-C10规划锁定：蓝焰祷戒</t>
        </is>
      </c>
      <c r="S734" s="292" t="inlineStr">
        <is>
          <t>玄渊二十套全装备代码总表.xlsx</t>
        </is>
      </c>
      <c r="T734" s="292" t="inlineStr">
        <is>
          <t>玄渊20套全装备视觉候选；Items/StateItem/DnItems三库同码；属性待策划填写</t>
        </is>
      </c>
      <c r="U734">
        <f>IF(COUNTIF($B$2:$B$1076,B734)&gt;1,"重复","")</f>
        <v/>
      </c>
      <c r="V734">
        <f>IF(AND(OR(M734="",M734=B734),OR(N734="",N734=B734),OR(O734="",O734=B734)),"通过","不一致")</f>
        <v/>
      </c>
    </row>
    <row r="735" ht="22" customHeight="1">
      <c r="A735" s="398" t="n">
        <v>734</v>
      </c>
      <c r="B735" s="398" t="n">
        <v>6754</v>
      </c>
      <c r="C735" s="399" t="inlineStr">
        <is>
          <t>星渊龙息·星痕</t>
        </is>
      </c>
      <c r="D735" s="399" t="inlineStr">
        <is>
          <t>星渊龙息</t>
        </is>
      </c>
      <c r="E735" s="399" t="n">
        <v>1</v>
      </c>
      <c r="F735" s="399" t="inlineStr">
        <is>
          <t>勋章</t>
        </is>
      </c>
      <c r="G735" s="398" t="n">
        <v>30</v>
      </c>
      <c r="H735" s="398" t="n">
        <v>2</v>
      </c>
      <c r="I735" s="398" t="n">
        <v>6754</v>
      </c>
      <c r="J735" s="398" t="n">
        <v>0</v>
      </c>
      <c r="K735" s="398" t="n">
        <v>0</v>
      </c>
      <c r="L735" s="398" t="n">
        <v>0</v>
      </c>
      <c r="M735" s="398" t="n">
        <v>6754</v>
      </c>
      <c r="N735" s="398" t="n">
        <v>6754</v>
      </c>
      <c r="O735" s="398" t="n">
        <v>6754</v>
      </c>
      <c r="P735" s="292" t="n"/>
      <c r="Q735" s="292" t="inlineStr">
        <is>
          <t>candidate-preflight-passed</t>
        </is>
      </c>
      <c r="R735" s="324" t="inlineStr">
        <is>
          <t>C3-C10规划锁定：倒书客勋章</t>
        </is>
      </c>
      <c r="S735" s="292" t="inlineStr">
        <is>
          <t>玄渊二十套全装备代码总表.xlsx</t>
        </is>
      </c>
      <c r="T735" s="292" t="inlineStr">
        <is>
          <t>玄渊20套全装备视觉候选；Items/StateItem/DnItems三库同码；属性待策划填写</t>
        </is>
      </c>
      <c r="U735">
        <f>IF(COUNTIF($B$2:$B$1076,B735)&gt;1,"重复","")</f>
        <v/>
      </c>
      <c r="V735">
        <f>IF(AND(OR(M735="",M735=B735),OR(N735="",N735=B735),OR(O735="",O735=B735)),"通过","不一致")</f>
        <v/>
      </c>
    </row>
    <row r="736" ht="22" customHeight="1">
      <c r="A736" s="398" t="n">
        <v>735</v>
      </c>
      <c r="B736" s="398" t="n">
        <v>6755</v>
      </c>
      <c r="C736" s="399" t="inlineStr">
        <is>
          <t>星渊龙息·星痕</t>
        </is>
      </c>
      <c r="D736" s="399" t="inlineStr">
        <is>
          <t>星渊龙息</t>
        </is>
      </c>
      <c r="E736" s="399" t="n">
        <v>1</v>
      </c>
      <c r="F736" s="399" t="inlineStr">
        <is>
          <t>盾牌</t>
        </is>
      </c>
      <c r="G736" s="398" t="n">
        <v>12</v>
      </c>
      <c r="H736" s="398" t="n">
        <v>16</v>
      </c>
      <c r="I736" s="398" t="n">
        <v>6755</v>
      </c>
      <c r="J736" s="398" t="n">
        <v>0</v>
      </c>
      <c r="K736" s="398" t="n">
        <v>0</v>
      </c>
      <c r="L736" s="398" t="n">
        <v>0</v>
      </c>
      <c r="M736" s="398" t="n">
        <v>6755</v>
      </c>
      <c r="N736" s="398" t="n">
        <v>6755</v>
      </c>
      <c r="O736" s="398" t="n">
        <v>6755</v>
      </c>
      <c r="P736" s="292" t="n"/>
      <c r="Q736" s="292" t="inlineStr">
        <is>
          <t>candidate-preflight-passed</t>
        </is>
      </c>
      <c r="R736" s="324" t="inlineStr">
        <is>
          <t>C3-C10规划锁定：巡闸圆盾</t>
        </is>
      </c>
      <c r="S736" s="292" t="inlineStr">
        <is>
          <t>玄渊二十套全装备代码总表.xlsx</t>
        </is>
      </c>
      <c r="T736" s="292" t="inlineStr">
        <is>
          <t>玄渊20套全装备视觉候选；Items/StateItem/DnItems三库同码；属性待策划填写</t>
        </is>
      </c>
      <c r="U736">
        <f>IF(COUNTIF($B$2:$B$1076,B736)&gt;1,"重复","")</f>
        <v/>
      </c>
      <c r="V736">
        <f>IF(AND(OR(M736="",M736=B736),OR(N736="",N736=B736),OR(O736="",O736=B736)),"通过","不一致")</f>
        <v/>
      </c>
    </row>
    <row r="737" ht="22" customHeight="1">
      <c r="A737" s="398" t="n">
        <v>736</v>
      </c>
      <c r="B737" s="398" t="n">
        <v>6756</v>
      </c>
      <c r="C737" s="399" t="inlineStr">
        <is>
          <t>星渊龙息·星痕</t>
        </is>
      </c>
      <c r="D737" s="399" t="inlineStr">
        <is>
          <t>星渊龙息</t>
        </is>
      </c>
      <c r="E737" s="399" t="n">
        <v>1</v>
      </c>
      <c r="F737" s="399" t="inlineStr">
        <is>
          <t>灵玉</t>
        </is>
      </c>
      <c r="G737" s="398" t="n">
        <v>90</v>
      </c>
      <c r="H737" s="398" t="n">
        <v>17</v>
      </c>
      <c r="I737" s="398" t="n">
        <v>6756</v>
      </c>
      <c r="J737" s="398" t="n">
        <v>0</v>
      </c>
      <c r="K737" s="398" t="n">
        <v>0</v>
      </c>
      <c r="L737" s="398" t="n">
        <v>0</v>
      </c>
      <c r="M737" s="398" t="n">
        <v>6756</v>
      </c>
      <c r="N737" s="398" t="n">
        <v>6756</v>
      </c>
      <c r="O737" s="398" t="n">
        <v>6756</v>
      </c>
      <c r="P737" s="292" t="n"/>
      <c r="Q737" s="292" t="inlineStr">
        <is>
          <t>candidate-preflight-passed</t>
        </is>
      </c>
      <c r="R737" s="292" t="str"/>
      <c r="S737" s="292" t="inlineStr">
        <is>
          <t>玄渊二十套全装备代码总表.xlsx</t>
        </is>
      </c>
      <c r="T737" s="292" t="inlineStr">
        <is>
          <t>玄渊20套全装备视觉候选；Items/StateItem/DnItems三库同码；属性待策划填写</t>
        </is>
      </c>
      <c r="U737">
        <f>IF(COUNTIF($B$2:$B$1076,B737)&gt;1,"重复","")</f>
        <v/>
      </c>
      <c r="V737">
        <f>IF(AND(OR(M737="",M737=B737),OR(N737="",N737=B737),OR(O737="",O737=B737)),"通过","不一致")</f>
        <v/>
      </c>
    </row>
    <row r="738" ht="22" customHeight="1">
      <c r="A738" s="398" t="n">
        <v>737</v>
      </c>
      <c r="B738" s="398" t="n">
        <v>6757</v>
      </c>
      <c r="C738" s="399" t="inlineStr">
        <is>
          <t>星渊龙息·星痕</t>
        </is>
      </c>
      <c r="D738" s="399" t="inlineStr">
        <is>
          <t>星渊龙息</t>
        </is>
      </c>
      <c r="E738" s="399" t="n">
        <v>1</v>
      </c>
      <c r="F738" s="399" t="inlineStr">
        <is>
          <t>鞋子</t>
        </is>
      </c>
      <c r="G738" s="398" t="n">
        <v>62</v>
      </c>
      <c r="H738" s="398" t="n">
        <v>11</v>
      </c>
      <c r="I738" s="398" t="n">
        <v>6757</v>
      </c>
      <c r="J738" s="398" t="n">
        <v>0</v>
      </c>
      <c r="K738" s="398" t="n">
        <v>0</v>
      </c>
      <c r="L738" s="398" t="n">
        <v>0</v>
      </c>
      <c r="M738" s="398" t="n">
        <v>6757</v>
      </c>
      <c r="N738" s="398" t="n">
        <v>6757</v>
      </c>
      <c r="O738" s="398" t="n">
        <v>6757</v>
      </c>
      <c r="P738" s="292" t="n"/>
      <c r="Q738" s="292" t="inlineStr">
        <is>
          <t>candidate-preflight-passed</t>
        </is>
      </c>
      <c r="R738" s="324" t="inlineStr">
        <is>
          <t>C3-C10规划锁定：梦蛾踏水靴</t>
        </is>
      </c>
      <c r="S738" s="292" t="inlineStr">
        <is>
          <t>玄渊二十套全装备代码总表.xlsx</t>
        </is>
      </c>
      <c r="T738" s="292" t="inlineStr">
        <is>
          <t>玄渊20套全装备视觉候选；Items/StateItem/DnItems三库同码；属性待策划填写</t>
        </is>
      </c>
      <c r="U738">
        <f>IF(COUNTIF($B$2:$B$1076,B738)&gt;1,"重复","")</f>
        <v/>
      </c>
      <c r="V738">
        <f>IF(AND(OR(M738="",M738=B738),OR(N738="",N738=B738),OR(O738="",O738=B738)),"通过","不一致")</f>
        <v/>
      </c>
    </row>
    <row r="739" ht="22" customHeight="1">
      <c r="A739" s="398" t="n">
        <v>738</v>
      </c>
      <c r="B739" s="398" t="n">
        <v>6758</v>
      </c>
      <c r="C739" s="399" t="inlineStr">
        <is>
          <t>星渊龙息·星痕</t>
        </is>
      </c>
      <c r="D739" s="399" t="inlineStr">
        <is>
          <t>星渊龙息</t>
        </is>
      </c>
      <c r="E739" s="399" t="n">
        <v>1</v>
      </c>
      <c r="F739" s="399" t="inlineStr">
        <is>
          <t>腰带</t>
        </is>
      </c>
      <c r="G739" s="398" t="n">
        <v>64</v>
      </c>
      <c r="H739" s="398" t="n">
        <v>10</v>
      </c>
      <c r="I739" s="398" t="n">
        <v>6758</v>
      </c>
      <c r="J739" s="398" t="n">
        <v>0</v>
      </c>
      <c r="K739" s="398" t="n">
        <v>0</v>
      </c>
      <c r="L739" s="398" t="n">
        <v>0</v>
      </c>
      <c r="M739" s="398" t="n">
        <v>6758</v>
      </c>
      <c r="N739" s="398" t="n">
        <v>6758</v>
      </c>
      <c r="O739" s="398" t="n">
        <v>6758</v>
      </c>
      <c r="P739" s="292" t="n"/>
      <c r="Q739" s="292" t="inlineStr">
        <is>
          <t>candidate-preflight-passed</t>
        </is>
      </c>
      <c r="R739" s="324" t="inlineStr">
        <is>
          <t>C3-C10规划锁定：泥膜束带</t>
        </is>
      </c>
      <c r="S739" s="292" t="inlineStr">
        <is>
          <t>玄渊二十套全装备代码总表.xlsx</t>
        </is>
      </c>
      <c r="T739" s="292" t="inlineStr">
        <is>
          <t>玄渊20套全装备视觉候选；Items/StateItem/DnItems三库同码；属性待策划填写</t>
        </is>
      </c>
      <c r="U739">
        <f>IF(COUNTIF($B$2:$B$1076,B739)&gt;1,"重复","")</f>
        <v/>
      </c>
      <c r="V739">
        <f>IF(AND(OR(M739="",M739=B739),OR(N739="",N739=B739),OR(O739="",O739=B739)),"通过","不一致")</f>
        <v/>
      </c>
    </row>
    <row r="740" ht="22" customHeight="1">
      <c r="A740" s="398" t="n">
        <v>739</v>
      </c>
      <c r="B740" s="398" t="n">
        <v>6759</v>
      </c>
      <c r="C740" s="399" t="inlineStr">
        <is>
          <t>星渊龙息·星痕</t>
        </is>
      </c>
      <c r="D740" s="399" t="inlineStr">
        <is>
          <t>星渊龙息</t>
        </is>
      </c>
      <c r="E740" s="399" t="n">
        <v>1</v>
      </c>
      <c r="F740" s="399" t="inlineStr">
        <is>
          <t>护身符</t>
        </is>
      </c>
      <c r="G740" s="398" t="n">
        <v>25</v>
      </c>
      <c r="H740" s="398" t="n">
        <v>9</v>
      </c>
      <c r="I740" s="398" t="n">
        <v>6759</v>
      </c>
      <c r="J740" s="398" t="n">
        <v>0</v>
      </c>
      <c r="K740" s="398" t="n">
        <v>0</v>
      </c>
      <c r="L740" s="398" t="n">
        <v>0</v>
      </c>
      <c r="M740" s="398" t="n">
        <v>6759</v>
      </c>
      <c r="N740" s="398" t="n">
        <v>6759</v>
      </c>
      <c r="O740" s="398" t="n">
        <v>6759</v>
      </c>
      <c r="P740" s="292" t="n"/>
      <c r="Q740" s="292" t="inlineStr">
        <is>
          <t>candidate-preflight-passed</t>
        </is>
      </c>
      <c r="R740" s="292" t="str"/>
      <c r="S740" s="292" t="inlineStr">
        <is>
          <t>玄渊二十套全装备代码总表.xlsx</t>
        </is>
      </c>
      <c r="T740" s="292" t="inlineStr">
        <is>
          <t>玄渊20套全装备视觉候选；Items/StateItem/DnItems三库同码；属性待策划填写</t>
        </is>
      </c>
      <c r="U740">
        <f>IF(COUNTIF($B$2:$B$1076,B740)&gt;1,"重复","")</f>
        <v/>
      </c>
      <c r="V740">
        <f>IF(AND(OR(M740="",M740=B740),OR(N740="",N740=B740),OR(O740="",O740=B740)),"通过","不一致")</f>
        <v/>
      </c>
    </row>
    <row r="741" ht="22" customHeight="1">
      <c r="A741" s="398" t="n">
        <v>740</v>
      </c>
      <c r="B741" s="398" t="n">
        <v>6760</v>
      </c>
      <c r="C741" s="399" t="inlineStr">
        <is>
          <t>星渊龙息·星痕</t>
        </is>
      </c>
      <c r="D741" s="399" t="inlineStr">
        <is>
          <t>星渊龙息</t>
        </is>
      </c>
      <c r="E741" s="399" t="n">
        <v>1</v>
      </c>
      <c r="F741" s="399" t="inlineStr">
        <is>
          <t>宝石</t>
        </is>
      </c>
      <c r="G741" s="398" t="n">
        <v>63</v>
      </c>
      <c r="H741" s="398" t="n">
        <v>12</v>
      </c>
      <c r="I741" s="398" t="n">
        <v>6760</v>
      </c>
      <c r="J741" s="398" t="n">
        <v>0</v>
      </c>
      <c r="K741" s="398" t="n">
        <v>0</v>
      </c>
      <c r="L741" s="398" t="n">
        <v>0</v>
      </c>
      <c r="M741" s="398" t="n">
        <v>6760</v>
      </c>
      <c r="N741" s="398" t="n">
        <v>6760</v>
      </c>
      <c r="O741" s="398" t="n">
        <v>6760</v>
      </c>
      <c r="P741" s="292" t="n"/>
      <c r="Q741" s="292" t="inlineStr">
        <is>
          <t>candidate-preflight-passed</t>
        </is>
      </c>
      <c r="R741" s="292" t="str"/>
      <c r="S741" s="292" t="inlineStr">
        <is>
          <t>玄渊二十套全装备代码总表.xlsx</t>
        </is>
      </c>
      <c r="T741" s="292" t="inlineStr">
        <is>
          <t>玄渊20套全装备视觉候选；Items/StateItem/DnItems三库同码；属性待策划填写</t>
        </is>
      </c>
      <c r="U741">
        <f>IF(COUNTIF($B$2:$B$1076,B741)&gt;1,"重复","")</f>
        <v/>
      </c>
      <c r="V741">
        <f>IF(AND(OR(M741="",M741=B741),OR(N741="",N741=B741),OR(O741="",O741=B741)),"通过","不一致")</f>
        <v/>
      </c>
    </row>
    <row r="742" ht="22" customHeight="1">
      <c r="A742" s="398" t="n">
        <v>741</v>
      </c>
      <c r="B742" s="398" t="n">
        <v>6761</v>
      </c>
      <c r="C742" s="399" t="inlineStr">
        <is>
          <t>星渊龙息·星痕</t>
        </is>
      </c>
      <c r="D742" s="399" t="inlineStr">
        <is>
          <t>星渊龙息</t>
        </is>
      </c>
      <c r="E742" s="399" t="n">
        <v>1</v>
      </c>
      <c r="F742" s="399" t="inlineStr">
        <is>
          <t>军鼓</t>
        </is>
      </c>
      <c r="G742" s="398" t="n">
        <v>65</v>
      </c>
      <c r="H742" s="398" t="n">
        <v>14</v>
      </c>
      <c r="I742" s="398" t="n">
        <v>6761</v>
      </c>
      <c r="J742" s="398" t="n">
        <v>0</v>
      </c>
      <c r="K742" s="398" t="n">
        <v>0</v>
      </c>
      <c r="L742" s="398" t="n">
        <v>0</v>
      </c>
      <c r="M742" s="398" t="n">
        <v>6761</v>
      </c>
      <c r="N742" s="398" t="n">
        <v>6761</v>
      </c>
      <c r="O742" s="398" t="n">
        <v>6761</v>
      </c>
      <c r="P742" s="292" t="n"/>
      <c r="Q742" s="292" t="inlineStr">
        <is>
          <t>candidate-preflight-passed</t>
        </is>
      </c>
      <c r="R742" s="292" t="str"/>
      <c r="S742" s="292" t="inlineStr">
        <is>
          <t>玄渊二十套全装备代码总表.xlsx</t>
        </is>
      </c>
      <c r="T742" s="292" t="inlineStr">
        <is>
          <t>玄渊20套全装备视觉候选；Items/StateItem/DnItems三库同码；属性待策划填写</t>
        </is>
      </c>
      <c r="U742">
        <f>IF(COUNTIF($B$2:$B$1076,B742)&gt;1,"重复","")</f>
        <v/>
      </c>
      <c r="V742">
        <f>IF(AND(OR(M742="",M742=B742),OR(N742="",N742=B742),OR(O742="",O742=B742)),"通过","不一致")</f>
        <v/>
      </c>
    </row>
    <row r="743" ht="22" customHeight="1">
      <c r="A743" s="398" t="n">
        <v>742</v>
      </c>
      <c r="B743" s="398" t="n">
        <v>6762</v>
      </c>
      <c r="C743" s="399" t="inlineStr">
        <is>
          <t>星渊龙息·星痕</t>
        </is>
      </c>
      <c r="D743" s="399" t="inlineStr">
        <is>
          <t>星渊龙息</t>
        </is>
      </c>
      <c r="E743" s="399" t="n">
        <v>1</v>
      </c>
      <c r="F743" s="399" t="inlineStr">
        <is>
          <t>马牌</t>
        </is>
      </c>
      <c r="G743" s="398" t="n">
        <v>28</v>
      </c>
      <c r="H743" s="398" t="n">
        <v>15</v>
      </c>
      <c r="I743" s="398" t="n">
        <v>6762</v>
      </c>
      <c r="J743" s="398" t="n">
        <v>0</v>
      </c>
      <c r="K743" s="398" t="n">
        <v>0</v>
      </c>
      <c r="L743" s="398" t="n">
        <v>0</v>
      </c>
      <c r="M743" s="398" t="n">
        <v>6762</v>
      </c>
      <c r="N743" s="398" t="n">
        <v>6762</v>
      </c>
      <c r="O743" s="398" t="n">
        <v>6762</v>
      </c>
      <c r="P743" s="292" t="n"/>
      <c r="Q743" s="292" t="inlineStr">
        <is>
          <t>candidate-preflight-passed</t>
        </is>
      </c>
      <c r="R743" s="292" t="str"/>
      <c r="S743" s="292" t="inlineStr">
        <is>
          <t>玄渊二十套全装备代码总表.xlsx</t>
        </is>
      </c>
      <c r="T743" s="292" t="inlineStr">
        <is>
          <t>玄渊20套全装备视觉候选；Items/StateItem/DnItems三库同码；属性待策划填写</t>
        </is>
      </c>
      <c r="U743">
        <f>IF(COUNTIF($B$2:$B$1076,B743)&gt;1,"重复","")</f>
        <v/>
      </c>
      <c r="V743">
        <f>IF(AND(OR(M743="",M743=B743),OR(N743="",N743=B743),OR(O743="",O743=B743)),"通过","不一致")</f>
        <v/>
      </c>
    </row>
    <row r="744" ht="22" customHeight="1">
      <c r="A744" s="398" t="n">
        <v>743</v>
      </c>
      <c r="B744" s="398" t="n">
        <v>6763</v>
      </c>
      <c r="C744" s="399" t="inlineStr">
        <is>
          <t>星渊龙息·星痕</t>
        </is>
      </c>
      <c r="D744" s="399" t="inlineStr">
        <is>
          <t>星渊龙息</t>
        </is>
      </c>
      <c r="E744" s="399" t="n">
        <v>1</v>
      </c>
      <c r="F744" s="399" t="inlineStr">
        <is>
          <t>首饰盒1</t>
        </is>
      </c>
      <c r="G744" s="398" t="n">
        <v>22</v>
      </c>
      <c r="H744" s="398" t="n">
        <v>30</v>
      </c>
      <c r="I744" s="398" t="n">
        <v>6763</v>
      </c>
      <c r="J744" s="398" t="n">
        <v>0</v>
      </c>
      <c r="K744" s="398" t="n">
        <v>2</v>
      </c>
      <c r="L744" s="398" t="n">
        <v>1</v>
      </c>
      <c r="M744" s="398" t="n">
        <v>6763</v>
      </c>
      <c r="N744" s="398" t="n">
        <v>6763</v>
      </c>
      <c r="O744" s="398" t="n">
        <v>6763</v>
      </c>
      <c r="P744" s="292" t="n"/>
      <c r="Q744" s="292" t="inlineStr">
        <is>
          <t>candidate-preflight-passed</t>
        </is>
      </c>
      <c r="R744" s="292" t="str"/>
      <c r="S744" s="292" t="inlineStr">
        <is>
          <t>玄渊二十套全装备代码总表.xlsx</t>
        </is>
      </c>
      <c r="T744" s="292" t="inlineStr">
        <is>
          <t>玄渊20套全装备视觉候选；Items/StateItem/DnItems三库同码；属性待策划填写；OverLap=2; Expand1=1</t>
        </is>
      </c>
      <c r="U744">
        <f>IF(COUNTIF($B$2:$B$1076,B744)&gt;1,"重复","")</f>
        <v/>
      </c>
      <c r="V744">
        <f>IF(AND(OR(M744="",M744=B744),OR(N744="",N744=B744),OR(O744="",O744=B744)),"通过","不一致")</f>
        <v/>
      </c>
    </row>
    <row r="745" ht="22" customHeight="1">
      <c r="A745" s="398" t="n">
        <v>744</v>
      </c>
      <c r="B745" s="398" t="n">
        <v>6764</v>
      </c>
      <c r="C745" s="399" t="inlineStr">
        <is>
          <t>星渊龙息·星痕</t>
        </is>
      </c>
      <c r="D745" s="399" t="inlineStr">
        <is>
          <t>星渊龙息</t>
        </is>
      </c>
      <c r="E745" s="399" t="n">
        <v>1</v>
      </c>
      <c r="F745" s="399" t="inlineStr">
        <is>
          <t>首饰盒2</t>
        </is>
      </c>
      <c r="G745" s="398" t="n">
        <v>22</v>
      </c>
      <c r="H745" s="398" t="n">
        <v>31</v>
      </c>
      <c r="I745" s="398" t="n">
        <v>6764</v>
      </c>
      <c r="J745" s="398" t="n">
        <v>0</v>
      </c>
      <c r="K745" s="398" t="n">
        <v>2</v>
      </c>
      <c r="L745" s="398" t="n">
        <v>2</v>
      </c>
      <c r="M745" s="398" t="n">
        <v>6764</v>
      </c>
      <c r="N745" s="398" t="n">
        <v>6764</v>
      </c>
      <c r="O745" s="398" t="n">
        <v>6764</v>
      </c>
      <c r="P745" s="292" t="n"/>
      <c r="Q745" s="292" t="inlineStr">
        <is>
          <t>candidate-preflight-passed</t>
        </is>
      </c>
      <c r="R745" s="292" t="str"/>
      <c r="S745" s="292" t="inlineStr">
        <is>
          <t>玄渊二十套全装备代码总表.xlsx</t>
        </is>
      </c>
      <c r="T745" s="292" t="inlineStr">
        <is>
          <t>玄渊20套全装备视觉候选；Items/StateItem/DnItems三库同码；属性待策划填写；OverLap=2; Expand1=2</t>
        </is>
      </c>
      <c r="U745">
        <f>IF(COUNTIF($B$2:$B$1076,B745)&gt;1,"重复","")</f>
        <v/>
      </c>
      <c r="V745">
        <f>IF(AND(OR(M745="",M745=B745),OR(N745="",N745=B745),OR(O745="",O745=B745)),"通过","不一致")</f>
        <v/>
      </c>
    </row>
    <row r="746" ht="22" customHeight="1">
      <c r="A746" s="398" t="n">
        <v>745</v>
      </c>
      <c r="B746" s="398" t="n">
        <v>6765</v>
      </c>
      <c r="C746" s="399" t="inlineStr">
        <is>
          <t>星渊龙息·星痕</t>
        </is>
      </c>
      <c r="D746" s="399" t="inlineStr">
        <is>
          <t>星渊龙息</t>
        </is>
      </c>
      <c r="E746" s="399" t="n">
        <v>1</v>
      </c>
      <c r="F746" s="399" t="inlineStr">
        <is>
          <t>首饰盒3</t>
        </is>
      </c>
      <c r="G746" s="398" t="n">
        <v>22</v>
      </c>
      <c r="H746" s="398" t="n">
        <v>32</v>
      </c>
      <c r="I746" s="398" t="n">
        <v>6765</v>
      </c>
      <c r="J746" s="398" t="n">
        <v>0</v>
      </c>
      <c r="K746" s="398" t="n">
        <v>2</v>
      </c>
      <c r="L746" s="398" t="n">
        <v>3</v>
      </c>
      <c r="M746" s="398" t="n">
        <v>6765</v>
      </c>
      <c r="N746" s="398" t="n">
        <v>6765</v>
      </c>
      <c r="O746" s="398" t="n">
        <v>6765</v>
      </c>
      <c r="P746" s="292" t="n"/>
      <c r="Q746" s="292" t="inlineStr">
        <is>
          <t>candidate-preflight-passed</t>
        </is>
      </c>
      <c r="R746" s="292" t="str"/>
      <c r="S746" s="292" t="inlineStr">
        <is>
          <t>玄渊二十套全装备代码总表.xlsx</t>
        </is>
      </c>
      <c r="T746" s="292" t="inlineStr">
        <is>
          <t>玄渊20套全装备视觉候选；Items/StateItem/DnItems三库同码；属性待策划填写；OverLap=2; Expand1=3</t>
        </is>
      </c>
      <c r="U746">
        <f>IF(COUNTIF($B$2:$B$1076,B746)&gt;1,"重复","")</f>
        <v/>
      </c>
      <c r="V746">
        <f>IF(AND(OR(M746="",M746=B746),OR(N746="",N746=B746),OR(O746="",O746=B746)),"通过","不一致")</f>
        <v/>
      </c>
    </row>
    <row r="747" ht="22" customHeight="1">
      <c r="A747" s="398" t="n">
        <v>746</v>
      </c>
      <c r="B747" s="398" t="n">
        <v>6766</v>
      </c>
      <c r="C747" s="399" t="inlineStr">
        <is>
          <t>星渊龙息·星痕</t>
        </is>
      </c>
      <c r="D747" s="399" t="inlineStr">
        <is>
          <t>星渊龙息</t>
        </is>
      </c>
      <c r="E747" s="399" t="n">
        <v>1</v>
      </c>
      <c r="F747" s="399" t="inlineStr">
        <is>
          <t>首饰盒4</t>
        </is>
      </c>
      <c r="G747" s="398" t="n">
        <v>22</v>
      </c>
      <c r="H747" s="398" t="n">
        <v>33</v>
      </c>
      <c r="I747" s="398" t="n">
        <v>6766</v>
      </c>
      <c r="J747" s="398" t="n">
        <v>0</v>
      </c>
      <c r="K747" s="398" t="n">
        <v>2</v>
      </c>
      <c r="L747" s="398" t="n">
        <v>4</v>
      </c>
      <c r="M747" s="398" t="n">
        <v>6766</v>
      </c>
      <c r="N747" s="398" t="n">
        <v>6766</v>
      </c>
      <c r="O747" s="398" t="n">
        <v>6766</v>
      </c>
      <c r="P747" s="292" t="n"/>
      <c r="Q747" s="292" t="inlineStr">
        <is>
          <t>candidate-preflight-passed</t>
        </is>
      </c>
      <c r="R747" s="292" t="str"/>
      <c r="S747" s="292" t="inlineStr">
        <is>
          <t>玄渊二十套全装备代码总表.xlsx</t>
        </is>
      </c>
      <c r="T747" s="292" t="inlineStr">
        <is>
          <t>玄渊20套全装备视觉候选；Items/StateItem/DnItems三库同码；属性待策划填写；OverLap=2; Expand1=4</t>
        </is>
      </c>
      <c r="U747">
        <f>IF(COUNTIF($B$2:$B$1076,B747)&gt;1,"重复","")</f>
        <v/>
      </c>
      <c r="V747">
        <f>IF(AND(OR(M747="",M747=B747),OR(N747="",N747=B747),OR(O747="",O747=B747)),"通过","不一致")</f>
        <v/>
      </c>
    </row>
    <row r="748" ht="22" customHeight="1">
      <c r="A748" s="398" t="n">
        <v>747</v>
      </c>
      <c r="B748" s="398" t="n">
        <v>6767</v>
      </c>
      <c r="C748" s="399" t="inlineStr">
        <is>
          <t>星渊龙息·星痕</t>
        </is>
      </c>
      <c r="D748" s="399" t="inlineStr">
        <is>
          <t>星渊龙息</t>
        </is>
      </c>
      <c r="E748" s="399" t="n">
        <v>1</v>
      </c>
      <c r="F748" s="399" t="inlineStr">
        <is>
          <t>首饰盒5</t>
        </is>
      </c>
      <c r="G748" s="398" t="n">
        <v>22</v>
      </c>
      <c r="H748" s="398" t="n">
        <v>34</v>
      </c>
      <c r="I748" s="398" t="n">
        <v>6767</v>
      </c>
      <c r="J748" s="398" t="n">
        <v>0</v>
      </c>
      <c r="K748" s="398" t="n">
        <v>2</v>
      </c>
      <c r="L748" s="398" t="n">
        <v>5</v>
      </c>
      <c r="M748" s="398" t="n">
        <v>6767</v>
      </c>
      <c r="N748" s="398" t="n">
        <v>6767</v>
      </c>
      <c r="O748" s="398" t="n">
        <v>6767</v>
      </c>
      <c r="P748" s="292" t="n"/>
      <c r="Q748" s="292" t="inlineStr">
        <is>
          <t>candidate-preflight-passed</t>
        </is>
      </c>
      <c r="R748" s="292" t="str"/>
      <c r="S748" s="292" t="inlineStr">
        <is>
          <t>玄渊二十套全装备代码总表.xlsx</t>
        </is>
      </c>
      <c r="T748" s="292" t="inlineStr">
        <is>
          <t>玄渊20套全装备视觉候选；Items/StateItem/DnItems三库同码；属性待策划填写；OverLap=2; Expand1=5</t>
        </is>
      </c>
      <c r="U748">
        <f>IF(COUNTIF($B$2:$B$1076,B748)&gt;1,"重复","")</f>
        <v/>
      </c>
      <c r="V748">
        <f>IF(AND(OR(M748="",M748=B748),OR(N748="",N748=B748),OR(O748="",O748=B748)),"通过","不一致")</f>
        <v/>
      </c>
    </row>
    <row r="749" ht="22" customHeight="1">
      <c r="A749" s="398" t="n">
        <v>748</v>
      </c>
      <c r="B749" s="398" t="n">
        <v>6768</v>
      </c>
      <c r="C749" s="399" t="inlineStr">
        <is>
          <t>星渊龙息·星痕</t>
        </is>
      </c>
      <c r="D749" s="399" t="inlineStr">
        <is>
          <t>星渊龙息</t>
        </is>
      </c>
      <c r="E749" s="399" t="n">
        <v>1</v>
      </c>
      <c r="F749" s="399" t="inlineStr">
        <is>
          <t>首饰盒6</t>
        </is>
      </c>
      <c r="G749" s="398" t="n">
        <v>22</v>
      </c>
      <c r="H749" s="398" t="n">
        <v>35</v>
      </c>
      <c r="I749" s="398" t="n">
        <v>6768</v>
      </c>
      <c r="J749" s="398" t="n">
        <v>0</v>
      </c>
      <c r="K749" s="398" t="n">
        <v>2</v>
      </c>
      <c r="L749" s="398" t="n">
        <v>6</v>
      </c>
      <c r="M749" s="398" t="n">
        <v>6768</v>
      </c>
      <c r="N749" s="398" t="n">
        <v>6768</v>
      </c>
      <c r="O749" s="398" t="n">
        <v>6768</v>
      </c>
      <c r="P749" s="292" t="n"/>
      <c r="Q749" s="292" t="inlineStr">
        <is>
          <t>candidate-preflight-passed</t>
        </is>
      </c>
      <c r="R749" s="292" t="str"/>
      <c r="S749" s="292" t="inlineStr">
        <is>
          <t>玄渊二十套全装备代码总表.xlsx</t>
        </is>
      </c>
      <c r="T749" s="292" t="inlineStr">
        <is>
          <t>玄渊20套全装备视觉候选；Items/StateItem/DnItems三库同码；属性待策划填写；OverLap=2; Expand1=6</t>
        </is>
      </c>
      <c r="U749">
        <f>IF(COUNTIF($B$2:$B$1076,B749)&gt;1,"重复","")</f>
        <v/>
      </c>
      <c r="V749">
        <f>IF(AND(OR(M749="",M749=B749),OR(N749="",N749=B749),OR(O749="",O749=B749)),"通过","不一致")</f>
        <v/>
      </c>
    </row>
    <row r="750" ht="22" customHeight="1">
      <c r="A750" s="398" t="n">
        <v>749</v>
      </c>
      <c r="B750" s="398" t="n">
        <v>6769</v>
      </c>
      <c r="C750" s="399" t="inlineStr">
        <is>
          <t>星渊龙息·星痕</t>
        </is>
      </c>
      <c r="D750" s="399" t="inlineStr">
        <is>
          <t>星渊龙息</t>
        </is>
      </c>
      <c r="E750" s="399" t="n">
        <v>1</v>
      </c>
      <c r="F750" s="399" t="inlineStr">
        <is>
          <t>生肖1</t>
        </is>
      </c>
      <c r="G750" s="398" t="n">
        <v>22</v>
      </c>
      <c r="H750" s="398" t="n">
        <v>40</v>
      </c>
      <c r="I750" s="398" t="n">
        <v>6769</v>
      </c>
      <c r="J750" s="398" t="n">
        <v>0</v>
      </c>
      <c r="K750" s="398" t="n">
        <v>4</v>
      </c>
      <c r="L750" s="398" t="n">
        <v>1</v>
      </c>
      <c r="M750" s="398" t="n">
        <v>6769</v>
      </c>
      <c r="N750" s="398" t="n">
        <v>6769</v>
      </c>
      <c r="O750" s="398" t="n">
        <v>6769</v>
      </c>
      <c r="P750" s="292" t="n"/>
      <c r="Q750" s="292" t="inlineStr">
        <is>
          <t>candidate-preflight-passed</t>
        </is>
      </c>
      <c r="R750" s="292" t="str"/>
      <c r="S750" s="292" t="inlineStr">
        <is>
          <t>玄渊二十套全装备代码总表.xlsx</t>
        </is>
      </c>
      <c r="T750" s="292" t="inlineStr">
        <is>
          <t>玄渊20套全装备视觉候选；Items/StateItem/DnItems三库同码；属性待策划填写；OverLap=4; Expand1=1</t>
        </is>
      </c>
      <c r="U750">
        <f>IF(COUNTIF($B$2:$B$1076,B750)&gt;1,"重复","")</f>
        <v/>
      </c>
      <c r="V750">
        <f>IF(AND(OR(M750="",M750=B750),OR(N750="",N750=B750),OR(O750="",O750=B750)),"通过","不一致")</f>
        <v/>
      </c>
    </row>
    <row r="751" ht="22" customHeight="1">
      <c r="A751" s="398" t="n">
        <v>750</v>
      </c>
      <c r="B751" s="398" t="n">
        <v>6770</v>
      </c>
      <c r="C751" s="399" t="inlineStr">
        <is>
          <t>星渊龙息·星痕</t>
        </is>
      </c>
      <c r="D751" s="399" t="inlineStr">
        <is>
          <t>星渊龙息</t>
        </is>
      </c>
      <c r="E751" s="399" t="n">
        <v>1</v>
      </c>
      <c r="F751" s="399" t="inlineStr">
        <is>
          <t>生肖2</t>
        </is>
      </c>
      <c r="G751" s="398" t="n">
        <v>22</v>
      </c>
      <c r="H751" s="398" t="n">
        <v>41</v>
      </c>
      <c r="I751" s="398" t="n">
        <v>6770</v>
      </c>
      <c r="J751" s="398" t="n">
        <v>0</v>
      </c>
      <c r="K751" s="398" t="n">
        <v>4</v>
      </c>
      <c r="L751" s="398" t="n">
        <v>2</v>
      </c>
      <c r="M751" s="398" t="n">
        <v>6770</v>
      </c>
      <c r="N751" s="398" t="n">
        <v>6770</v>
      </c>
      <c r="O751" s="398" t="n">
        <v>6770</v>
      </c>
      <c r="P751" s="292" t="n"/>
      <c r="Q751" s="292" t="inlineStr">
        <is>
          <t>candidate-preflight-passed</t>
        </is>
      </c>
      <c r="R751" s="292" t="str"/>
      <c r="S751" s="292" t="inlineStr">
        <is>
          <t>玄渊二十套全装备代码总表.xlsx</t>
        </is>
      </c>
      <c r="T751" s="292" t="inlineStr">
        <is>
          <t>玄渊20套全装备视觉候选；Items/StateItem/DnItems三库同码；属性待策划填写；OverLap=4; Expand1=2</t>
        </is>
      </c>
      <c r="U751">
        <f>IF(COUNTIF($B$2:$B$1076,B751)&gt;1,"重复","")</f>
        <v/>
      </c>
      <c r="V751">
        <f>IF(AND(OR(M751="",M751=B751),OR(N751="",N751=B751),OR(O751="",O751=B751)),"通过","不一致")</f>
        <v/>
      </c>
    </row>
    <row r="752" ht="22" customHeight="1">
      <c r="A752" s="398" t="n">
        <v>751</v>
      </c>
      <c r="B752" s="398" t="n">
        <v>6771</v>
      </c>
      <c r="C752" s="399" t="inlineStr">
        <is>
          <t>星渊龙息·星痕</t>
        </is>
      </c>
      <c r="D752" s="399" t="inlineStr">
        <is>
          <t>星渊龙息</t>
        </is>
      </c>
      <c r="E752" s="399" t="n">
        <v>1</v>
      </c>
      <c r="F752" s="399" t="inlineStr">
        <is>
          <t>生肖3</t>
        </is>
      </c>
      <c r="G752" s="398" t="n">
        <v>22</v>
      </c>
      <c r="H752" s="398" t="n">
        <v>42</v>
      </c>
      <c r="I752" s="398" t="n">
        <v>6771</v>
      </c>
      <c r="J752" s="398" t="n">
        <v>0</v>
      </c>
      <c r="K752" s="398" t="n">
        <v>4</v>
      </c>
      <c r="L752" s="398" t="n">
        <v>3</v>
      </c>
      <c r="M752" s="398" t="n">
        <v>6771</v>
      </c>
      <c r="N752" s="398" t="n">
        <v>6771</v>
      </c>
      <c r="O752" s="398" t="n">
        <v>6771</v>
      </c>
      <c r="P752" s="292" t="n"/>
      <c r="Q752" s="292" t="inlineStr">
        <is>
          <t>candidate-preflight-passed</t>
        </is>
      </c>
      <c r="R752" s="292" t="str"/>
      <c r="S752" s="292" t="inlineStr">
        <is>
          <t>玄渊二十套全装备代码总表.xlsx</t>
        </is>
      </c>
      <c r="T752" s="292" t="inlineStr">
        <is>
          <t>玄渊20套全装备视觉候选；Items/StateItem/DnItems三库同码；属性待策划填写；OverLap=4; Expand1=3</t>
        </is>
      </c>
      <c r="U752">
        <f>IF(COUNTIF($B$2:$B$1076,B752)&gt;1,"重复","")</f>
        <v/>
      </c>
      <c r="V752">
        <f>IF(AND(OR(M752="",M752=B752),OR(N752="",N752=B752),OR(O752="",O752=B752)),"通过","不一致")</f>
        <v/>
      </c>
    </row>
    <row r="753" ht="22" customHeight="1">
      <c r="A753" s="398" t="n">
        <v>752</v>
      </c>
      <c r="B753" s="398" t="n">
        <v>6772</v>
      </c>
      <c r="C753" s="399" t="inlineStr">
        <is>
          <t>星渊龙息·星痕</t>
        </is>
      </c>
      <c r="D753" s="399" t="inlineStr">
        <is>
          <t>星渊龙息</t>
        </is>
      </c>
      <c r="E753" s="399" t="n">
        <v>1</v>
      </c>
      <c r="F753" s="399" t="inlineStr">
        <is>
          <t>生肖4</t>
        </is>
      </c>
      <c r="G753" s="398" t="n">
        <v>22</v>
      </c>
      <c r="H753" s="398" t="n">
        <v>43</v>
      </c>
      <c r="I753" s="398" t="n">
        <v>6772</v>
      </c>
      <c r="J753" s="398" t="n">
        <v>0</v>
      </c>
      <c r="K753" s="398" t="n">
        <v>4</v>
      </c>
      <c r="L753" s="398" t="n">
        <v>4</v>
      </c>
      <c r="M753" s="398" t="n">
        <v>6772</v>
      </c>
      <c r="N753" s="398" t="n">
        <v>6772</v>
      </c>
      <c r="O753" s="398" t="n">
        <v>6772</v>
      </c>
      <c r="P753" s="292" t="n"/>
      <c r="Q753" s="292" t="inlineStr">
        <is>
          <t>candidate-preflight-passed</t>
        </is>
      </c>
      <c r="R753" s="292" t="str"/>
      <c r="S753" s="292" t="inlineStr">
        <is>
          <t>玄渊二十套全装备代码总表.xlsx</t>
        </is>
      </c>
      <c r="T753" s="292" t="inlineStr">
        <is>
          <t>玄渊20套全装备视觉候选；Items/StateItem/DnItems三库同码；属性待策划填写；OverLap=4; Expand1=4</t>
        </is>
      </c>
      <c r="U753">
        <f>IF(COUNTIF($B$2:$B$1076,B753)&gt;1,"重复","")</f>
        <v/>
      </c>
      <c r="V753">
        <f>IF(AND(OR(M753="",M753=B753),OR(N753="",N753=B753),OR(O753="",O753=B753)),"通过","不一致")</f>
        <v/>
      </c>
    </row>
    <row r="754" ht="22" customHeight="1">
      <c r="A754" s="398" t="n">
        <v>753</v>
      </c>
      <c r="B754" s="398" t="n">
        <v>6773</v>
      </c>
      <c r="C754" s="399" t="inlineStr">
        <is>
          <t>星渊龙息·星痕</t>
        </is>
      </c>
      <c r="D754" s="399" t="inlineStr">
        <is>
          <t>星渊龙息</t>
        </is>
      </c>
      <c r="E754" s="399" t="n">
        <v>1</v>
      </c>
      <c r="F754" s="399" t="inlineStr">
        <is>
          <t>生肖5</t>
        </is>
      </c>
      <c r="G754" s="398" t="n">
        <v>22</v>
      </c>
      <c r="H754" s="398" t="n">
        <v>44</v>
      </c>
      <c r="I754" s="398" t="n">
        <v>6773</v>
      </c>
      <c r="J754" s="398" t="n">
        <v>0</v>
      </c>
      <c r="K754" s="398" t="n">
        <v>4</v>
      </c>
      <c r="L754" s="398" t="n">
        <v>5</v>
      </c>
      <c r="M754" s="398" t="n">
        <v>6773</v>
      </c>
      <c r="N754" s="398" t="n">
        <v>6773</v>
      </c>
      <c r="O754" s="398" t="n">
        <v>6773</v>
      </c>
      <c r="P754" s="292" t="n"/>
      <c r="Q754" s="292" t="inlineStr">
        <is>
          <t>candidate-preflight-passed</t>
        </is>
      </c>
      <c r="R754" s="292" t="str"/>
      <c r="S754" s="292" t="inlineStr">
        <is>
          <t>玄渊二十套全装备代码总表.xlsx</t>
        </is>
      </c>
      <c r="T754" s="292" t="inlineStr">
        <is>
          <t>玄渊20套全装备视觉候选；Items/StateItem/DnItems三库同码；属性待策划填写；OverLap=4; Expand1=5</t>
        </is>
      </c>
      <c r="U754">
        <f>IF(COUNTIF($B$2:$B$1076,B754)&gt;1,"重复","")</f>
        <v/>
      </c>
      <c r="V754">
        <f>IF(AND(OR(M754="",M754=B754),OR(N754="",N754=B754),OR(O754="",O754=B754)),"通过","不一致")</f>
        <v/>
      </c>
    </row>
    <row r="755" ht="22" customHeight="1">
      <c r="A755" s="398" t="n">
        <v>754</v>
      </c>
      <c r="B755" s="398" t="n">
        <v>6774</v>
      </c>
      <c r="C755" s="399" t="inlineStr">
        <is>
          <t>星渊龙息·星痕</t>
        </is>
      </c>
      <c r="D755" s="399" t="inlineStr">
        <is>
          <t>星渊龙息</t>
        </is>
      </c>
      <c r="E755" s="399" t="n">
        <v>1</v>
      </c>
      <c r="F755" s="399" t="inlineStr">
        <is>
          <t>生肖6</t>
        </is>
      </c>
      <c r="G755" s="398" t="n">
        <v>22</v>
      </c>
      <c r="H755" s="398" t="n">
        <v>45</v>
      </c>
      <c r="I755" s="398" t="n">
        <v>6774</v>
      </c>
      <c r="J755" s="398" t="n">
        <v>0</v>
      </c>
      <c r="K755" s="398" t="n">
        <v>4</v>
      </c>
      <c r="L755" s="398" t="n">
        <v>6</v>
      </c>
      <c r="M755" s="398" t="n">
        <v>6774</v>
      </c>
      <c r="N755" s="398" t="n">
        <v>6774</v>
      </c>
      <c r="O755" s="398" t="n">
        <v>6774</v>
      </c>
      <c r="P755" s="292" t="n"/>
      <c r="Q755" s="292" t="inlineStr">
        <is>
          <t>candidate-preflight-passed</t>
        </is>
      </c>
      <c r="R755" s="292" t="str"/>
      <c r="S755" s="292" t="inlineStr">
        <is>
          <t>玄渊二十套全装备代码总表.xlsx</t>
        </is>
      </c>
      <c r="T755" s="292" t="inlineStr">
        <is>
          <t>玄渊20套全装备视觉候选；Items/StateItem/DnItems三库同码；属性待策划填写；OverLap=4; Expand1=6</t>
        </is>
      </c>
      <c r="U755">
        <f>IF(COUNTIF($B$2:$B$1076,B755)&gt;1,"重复","")</f>
        <v/>
      </c>
      <c r="V755">
        <f>IF(AND(OR(M755="",M755=B755),OR(N755="",N755=B755),OR(O755="",O755=B755)),"通过","不一致")</f>
        <v/>
      </c>
    </row>
    <row r="756" ht="22" customHeight="1">
      <c r="A756" s="398" t="n">
        <v>755</v>
      </c>
      <c r="B756" s="398" t="n">
        <v>6775</v>
      </c>
      <c r="C756" s="399" t="inlineStr">
        <is>
          <t>星渊龙息·星痕</t>
        </is>
      </c>
      <c r="D756" s="399" t="inlineStr">
        <is>
          <t>星渊龙息</t>
        </is>
      </c>
      <c r="E756" s="399" t="n">
        <v>1</v>
      </c>
      <c r="F756" s="399" t="inlineStr">
        <is>
          <t>生肖7</t>
        </is>
      </c>
      <c r="G756" s="398" t="n">
        <v>22</v>
      </c>
      <c r="H756" s="398" t="n">
        <v>46</v>
      </c>
      <c r="I756" s="398" t="n">
        <v>6775</v>
      </c>
      <c r="J756" s="398" t="n">
        <v>0</v>
      </c>
      <c r="K756" s="398" t="n">
        <v>4</v>
      </c>
      <c r="L756" s="398" t="n">
        <v>7</v>
      </c>
      <c r="M756" s="398" t="n">
        <v>6775</v>
      </c>
      <c r="N756" s="398" t="n">
        <v>6775</v>
      </c>
      <c r="O756" s="398" t="n">
        <v>6775</v>
      </c>
      <c r="P756" s="292" t="n"/>
      <c r="Q756" s="292" t="inlineStr">
        <is>
          <t>candidate-preflight-passed</t>
        </is>
      </c>
      <c r="R756" s="292" t="str"/>
      <c r="S756" s="292" t="inlineStr">
        <is>
          <t>玄渊二十套全装备代码总表.xlsx</t>
        </is>
      </c>
      <c r="T756" s="292" t="inlineStr">
        <is>
          <t>玄渊20套全装备视觉候选；Items/StateItem/DnItems三库同码；属性待策划填写；OverLap=4; Expand1=7</t>
        </is>
      </c>
      <c r="U756">
        <f>IF(COUNTIF($B$2:$B$1076,B756)&gt;1,"重复","")</f>
        <v/>
      </c>
      <c r="V756">
        <f>IF(AND(OR(M756="",M756=B756),OR(N756="",N756=B756),OR(O756="",O756=B756)),"通过","不一致")</f>
        <v/>
      </c>
    </row>
    <row r="757" ht="22" customHeight="1">
      <c r="A757" s="398" t="n">
        <v>756</v>
      </c>
      <c r="B757" s="398" t="n">
        <v>6776</v>
      </c>
      <c r="C757" s="399" t="inlineStr">
        <is>
          <t>星渊龙息·星痕</t>
        </is>
      </c>
      <c r="D757" s="399" t="inlineStr">
        <is>
          <t>星渊龙息</t>
        </is>
      </c>
      <c r="E757" s="399" t="n">
        <v>1</v>
      </c>
      <c r="F757" s="399" t="inlineStr">
        <is>
          <t>生肖8</t>
        </is>
      </c>
      <c r="G757" s="398" t="n">
        <v>22</v>
      </c>
      <c r="H757" s="398" t="n">
        <v>47</v>
      </c>
      <c r="I757" s="398" t="n">
        <v>6776</v>
      </c>
      <c r="J757" s="398" t="n">
        <v>0</v>
      </c>
      <c r="K757" s="398" t="n">
        <v>4</v>
      </c>
      <c r="L757" s="398" t="n">
        <v>8</v>
      </c>
      <c r="M757" s="398" t="n">
        <v>6776</v>
      </c>
      <c r="N757" s="398" t="n">
        <v>6776</v>
      </c>
      <c r="O757" s="398" t="n">
        <v>6776</v>
      </c>
      <c r="P757" s="292" t="n"/>
      <c r="Q757" s="292" t="inlineStr">
        <is>
          <t>candidate-preflight-passed</t>
        </is>
      </c>
      <c r="R757" s="292" t="str"/>
      <c r="S757" s="292" t="inlineStr">
        <is>
          <t>玄渊二十套全装备代码总表.xlsx</t>
        </is>
      </c>
      <c r="T757" s="292" t="inlineStr">
        <is>
          <t>玄渊20套全装备视觉候选；Items/StateItem/DnItems三库同码；属性待策划填写；OverLap=4; Expand1=8</t>
        </is>
      </c>
      <c r="U757">
        <f>IF(COUNTIF($B$2:$B$1076,B757)&gt;1,"重复","")</f>
        <v/>
      </c>
      <c r="V757">
        <f>IF(AND(OR(M757="",M757=B757),OR(N757="",N757=B757),OR(O757="",O757=B757)),"通过","不一致")</f>
        <v/>
      </c>
    </row>
    <row r="758" ht="22" customHeight="1">
      <c r="A758" s="398" t="n">
        <v>757</v>
      </c>
      <c r="B758" s="398" t="n">
        <v>6777</v>
      </c>
      <c r="C758" s="399" t="inlineStr">
        <is>
          <t>星渊龙息·星痕</t>
        </is>
      </c>
      <c r="D758" s="399" t="inlineStr">
        <is>
          <t>星渊龙息</t>
        </is>
      </c>
      <c r="E758" s="399" t="n">
        <v>1</v>
      </c>
      <c r="F758" s="399" t="inlineStr">
        <is>
          <t>生肖9</t>
        </is>
      </c>
      <c r="G758" s="398" t="n">
        <v>22</v>
      </c>
      <c r="H758" s="398" t="n">
        <v>48</v>
      </c>
      <c r="I758" s="398" t="n">
        <v>6777</v>
      </c>
      <c r="J758" s="398" t="n">
        <v>0</v>
      </c>
      <c r="K758" s="398" t="n">
        <v>4</v>
      </c>
      <c r="L758" s="398" t="n">
        <v>9</v>
      </c>
      <c r="M758" s="398" t="n">
        <v>6777</v>
      </c>
      <c r="N758" s="398" t="n">
        <v>6777</v>
      </c>
      <c r="O758" s="398" t="n">
        <v>6777</v>
      </c>
      <c r="P758" s="292" t="n"/>
      <c r="Q758" s="292" t="inlineStr">
        <is>
          <t>candidate-preflight-passed</t>
        </is>
      </c>
      <c r="R758" s="292" t="str"/>
      <c r="S758" s="292" t="inlineStr">
        <is>
          <t>玄渊二十套全装备代码总表.xlsx</t>
        </is>
      </c>
      <c r="T758" s="292" t="inlineStr">
        <is>
          <t>玄渊20套全装备视觉候选；Items/StateItem/DnItems三库同码；属性待策划填写；OverLap=4; Expand1=9</t>
        </is>
      </c>
      <c r="U758">
        <f>IF(COUNTIF($B$2:$B$1076,B758)&gt;1,"重复","")</f>
        <v/>
      </c>
      <c r="V758">
        <f>IF(AND(OR(M758="",M758=B758),OR(N758="",N758=B758),OR(O758="",O758=B758)),"通过","不一致")</f>
        <v/>
      </c>
    </row>
    <row r="759" ht="22" customHeight="1">
      <c r="A759" s="398" t="n">
        <v>758</v>
      </c>
      <c r="B759" s="398" t="n">
        <v>6778</v>
      </c>
      <c r="C759" s="399" t="inlineStr">
        <is>
          <t>星渊龙息·星痕</t>
        </is>
      </c>
      <c r="D759" s="399" t="inlineStr">
        <is>
          <t>星渊龙息</t>
        </is>
      </c>
      <c r="E759" s="399" t="n">
        <v>1</v>
      </c>
      <c r="F759" s="399" t="inlineStr">
        <is>
          <t>生肖10</t>
        </is>
      </c>
      <c r="G759" s="398" t="n">
        <v>22</v>
      </c>
      <c r="H759" s="398" t="n">
        <v>49</v>
      </c>
      <c r="I759" s="398" t="n">
        <v>6778</v>
      </c>
      <c r="J759" s="398" t="n">
        <v>0</v>
      </c>
      <c r="K759" s="398" t="n">
        <v>4</v>
      </c>
      <c r="L759" s="398" t="n">
        <v>10</v>
      </c>
      <c r="M759" s="398" t="n">
        <v>6778</v>
      </c>
      <c r="N759" s="398" t="n">
        <v>6778</v>
      </c>
      <c r="O759" s="398" t="n">
        <v>6778</v>
      </c>
      <c r="P759" s="292" t="n"/>
      <c r="Q759" s="292" t="inlineStr">
        <is>
          <t>candidate-preflight-passed</t>
        </is>
      </c>
      <c r="R759" s="292" t="str"/>
      <c r="S759" s="292" t="inlineStr">
        <is>
          <t>玄渊二十套全装备代码总表.xlsx</t>
        </is>
      </c>
      <c r="T759" s="292" t="inlineStr">
        <is>
          <t>玄渊20套全装备视觉候选；Items/StateItem/DnItems三库同码；属性待策划填写；OverLap=4; Expand1=10</t>
        </is>
      </c>
      <c r="U759">
        <f>IF(COUNTIF($B$2:$B$1076,B759)&gt;1,"重复","")</f>
        <v/>
      </c>
      <c r="V759">
        <f>IF(AND(OR(M759="",M759=B759),OR(N759="",N759=B759),OR(O759="",O759=B759)),"通过","不一致")</f>
        <v/>
      </c>
    </row>
    <row r="760" ht="22" customHeight="1">
      <c r="A760" s="398" t="n">
        <v>759</v>
      </c>
      <c r="B760" s="398" t="n">
        <v>6779</v>
      </c>
      <c r="C760" s="399" t="inlineStr">
        <is>
          <t>星渊龙息·星痕</t>
        </is>
      </c>
      <c r="D760" s="399" t="inlineStr">
        <is>
          <t>星渊龙息</t>
        </is>
      </c>
      <c r="E760" s="399" t="n">
        <v>1</v>
      </c>
      <c r="F760" s="399" t="inlineStr">
        <is>
          <t>生肖11</t>
        </is>
      </c>
      <c r="G760" s="398" t="n">
        <v>22</v>
      </c>
      <c r="H760" s="398" t="n">
        <v>50</v>
      </c>
      <c r="I760" s="398" t="n">
        <v>6779</v>
      </c>
      <c r="J760" s="398" t="n">
        <v>0</v>
      </c>
      <c r="K760" s="398" t="n">
        <v>4</v>
      </c>
      <c r="L760" s="398" t="n">
        <v>11</v>
      </c>
      <c r="M760" s="398" t="n">
        <v>6779</v>
      </c>
      <c r="N760" s="398" t="n">
        <v>6779</v>
      </c>
      <c r="O760" s="398" t="n">
        <v>6779</v>
      </c>
      <c r="P760" s="292" t="n"/>
      <c r="Q760" s="292" t="inlineStr">
        <is>
          <t>candidate-preflight-passed</t>
        </is>
      </c>
      <c r="R760" s="292" t="str"/>
      <c r="S760" s="292" t="inlineStr">
        <is>
          <t>玄渊二十套全装备代码总表.xlsx</t>
        </is>
      </c>
      <c r="T760" s="292" t="inlineStr">
        <is>
          <t>玄渊20套全装备视觉候选；Items/StateItem/DnItems三库同码；属性待策划填写；OverLap=4; Expand1=11</t>
        </is>
      </c>
      <c r="U760">
        <f>IF(COUNTIF($B$2:$B$1076,B760)&gt;1,"重复","")</f>
        <v/>
      </c>
      <c r="V760">
        <f>IF(AND(OR(M760="",M760=B760),OR(N760="",N760=B760),OR(O760="",O760=B760)),"通过","不一致")</f>
        <v/>
      </c>
    </row>
    <row r="761" ht="22" customHeight="1">
      <c r="A761" s="398" t="n">
        <v>760</v>
      </c>
      <c r="B761" s="398" t="n">
        <v>6780</v>
      </c>
      <c r="C761" s="399" t="inlineStr">
        <is>
          <t>星渊龙息·星痕</t>
        </is>
      </c>
      <c r="D761" s="399" t="inlineStr">
        <is>
          <t>星渊龙息</t>
        </is>
      </c>
      <c r="E761" s="399" t="n">
        <v>1</v>
      </c>
      <c r="F761" s="399" t="inlineStr">
        <is>
          <t>生肖12</t>
        </is>
      </c>
      <c r="G761" s="398" t="n">
        <v>22</v>
      </c>
      <c r="H761" s="398" t="n">
        <v>51</v>
      </c>
      <c r="I761" s="398" t="n">
        <v>6780</v>
      </c>
      <c r="J761" s="398" t="n">
        <v>0</v>
      </c>
      <c r="K761" s="398" t="n">
        <v>4</v>
      </c>
      <c r="L761" s="398" t="n">
        <v>12</v>
      </c>
      <c r="M761" s="398" t="n">
        <v>6780</v>
      </c>
      <c r="N761" s="398" t="n">
        <v>6780</v>
      </c>
      <c r="O761" s="398" t="n">
        <v>6780</v>
      </c>
      <c r="P761" s="292" t="n"/>
      <c r="Q761" s="292" t="inlineStr">
        <is>
          <t>candidate-preflight-passed</t>
        </is>
      </c>
      <c r="R761" s="292" t="str"/>
      <c r="S761" s="292" t="inlineStr">
        <is>
          <t>玄渊二十套全装备代码总表.xlsx</t>
        </is>
      </c>
      <c r="T761" s="292" t="inlineStr">
        <is>
          <t>玄渊20套全装备视觉候选；Items/StateItem/DnItems三库同码；属性待策划填写；OverLap=4; Expand1=12</t>
        </is>
      </c>
      <c r="U761">
        <f>IF(COUNTIF($B$2:$B$1076,B761)&gt;1,"重复","")</f>
        <v/>
      </c>
      <c r="V761">
        <f>IF(AND(OR(M761="",M761=B761),OR(N761="",N761=B761),OR(O761="",O761=B761)),"通过","不一致")</f>
        <v/>
      </c>
    </row>
    <row r="762" ht="22" customHeight="1">
      <c r="A762" s="398" t="n">
        <v>761</v>
      </c>
      <c r="B762" s="398" t="n">
        <v>6781</v>
      </c>
      <c r="C762" s="399" t="inlineStr">
        <is>
          <t>星渊龙息·龙鳞</t>
        </is>
      </c>
      <c r="D762" s="399" t="inlineStr">
        <is>
          <t>星渊龙息</t>
        </is>
      </c>
      <c r="E762" s="399" t="n">
        <v>2</v>
      </c>
      <c r="F762" s="399" t="inlineStr">
        <is>
          <t>武器</t>
        </is>
      </c>
      <c r="G762" s="398" t="n">
        <v>5</v>
      </c>
      <c r="H762" s="398" t="n">
        <v>1</v>
      </c>
      <c r="I762" s="398" t="n">
        <v>6781</v>
      </c>
      <c r="J762" s="398" t="n">
        <v>27</v>
      </c>
      <c r="K762" s="398" t="n">
        <v>0</v>
      </c>
      <c r="L762" s="398" t="n">
        <v>0</v>
      </c>
      <c r="M762" s="398" t="n">
        <v>6781</v>
      </c>
      <c r="N762" s="398" t="n">
        <v>6781</v>
      </c>
      <c r="O762" s="398" t="n">
        <v>6781</v>
      </c>
      <c r="P762" s="292" t="inlineStr">
        <is>
          <t>Weapon.wzl/wzx（复用现有真实动作）</t>
        </is>
      </c>
      <c r="Q762" s="292" t="inlineStr">
        <is>
          <t>candidate-preflight-passed</t>
        </is>
      </c>
      <c r="R762" s="324" t="inlineStr">
        <is>
          <t>C3-C10规划锁定：罗缇的回流剑</t>
        </is>
      </c>
      <c r="S762" s="292" t="inlineStr">
        <is>
          <t>玄渊二十套全装备代码总表.xlsx</t>
        </is>
      </c>
      <c r="T762" s="292" t="inlineStr">
        <is>
          <t>玄渊20套全装备视觉候选；Items/StateItem/DnItems三库同码；属性待策划填写；Weapon Shape=27</t>
        </is>
      </c>
      <c r="U762">
        <f>IF(COUNTIF($B$2:$B$1076,B762)&gt;1,"重复","")</f>
        <v/>
      </c>
      <c r="V762">
        <f>IF(AND(OR(M762="",M762=B762),OR(N762="",N762=B762),OR(O762="",O762=B762)),"通过","不一致")</f>
        <v/>
      </c>
    </row>
    <row r="763" ht="22" customHeight="1">
      <c r="A763" s="398" t="n">
        <v>762</v>
      </c>
      <c r="B763" s="398" t="n">
        <v>6782</v>
      </c>
      <c r="C763" s="399" t="inlineStr">
        <is>
          <t>星渊龙息·龙鳞</t>
        </is>
      </c>
      <c r="D763" s="399" t="inlineStr">
        <is>
          <t>星渊龙息</t>
        </is>
      </c>
      <c r="E763" s="399" t="n">
        <v>2</v>
      </c>
      <c r="F763" s="399" t="inlineStr">
        <is>
          <t>男衣服</t>
        </is>
      </c>
      <c r="G763" s="398" t="n">
        <v>10</v>
      </c>
      <c r="H763" s="398" t="n">
        <v>0</v>
      </c>
      <c r="I763" s="398" t="n">
        <v>6782</v>
      </c>
      <c r="J763" s="398" t="n">
        <v>4</v>
      </c>
      <c r="K763" s="398" t="n">
        <v>0</v>
      </c>
      <c r="L763" s="398" t="n">
        <v>0</v>
      </c>
      <c r="M763" s="398" t="n">
        <v>6782</v>
      </c>
      <c r="N763" s="398" t="n">
        <v>6782</v>
      </c>
      <c r="O763" s="398" t="n">
        <v>6782</v>
      </c>
      <c r="P763" s="292" t="inlineStr">
        <is>
          <t>Hum.wzl/wzx（复用现有真实动作）</t>
        </is>
      </c>
      <c r="Q763" s="292" t="inlineStr">
        <is>
          <t>candidate-preflight-passed</t>
        </is>
      </c>
      <c r="R763" s="324" t="inlineStr">
        <is>
          <t>C3-C10规划锁定：涅珈镇渊衣</t>
        </is>
      </c>
      <c r="S763" s="292" t="inlineStr">
        <is>
          <t>玄渊二十套全装备代码总表.xlsx</t>
        </is>
      </c>
      <c r="T763" s="292" t="inlineStr">
        <is>
          <t>玄渊20套全装备视觉候选；Items/StateItem/DnItems三库同码；属性待策划填写；Hum Shape=4</t>
        </is>
      </c>
      <c r="U763">
        <f>IF(COUNTIF($B$2:$B$1076,B763)&gt;1,"重复","")</f>
        <v/>
      </c>
      <c r="V763">
        <f>IF(AND(OR(M763="",M763=B763),OR(N763="",N763=B763),OR(O763="",O763=B763)),"通过","不一致")</f>
        <v/>
      </c>
    </row>
    <row r="764" ht="22" customHeight="1">
      <c r="A764" s="398" t="n">
        <v>763</v>
      </c>
      <c r="B764" s="398" t="n">
        <v>6783</v>
      </c>
      <c r="C764" s="399" t="inlineStr">
        <is>
          <t>星渊龙息·龙鳞</t>
        </is>
      </c>
      <c r="D764" s="399" t="inlineStr">
        <is>
          <t>星渊龙息</t>
        </is>
      </c>
      <c r="E764" s="399" t="n">
        <v>2</v>
      </c>
      <c r="F764" s="399" t="inlineStr">
        <is>
          <t>女衣服</t>
        </is>
      </c>
      <c r="G764" s="398" t="n">
        <v>11</v>
      </c>
      <c r="H764" s="398" t="n">
        <v>0</v>
      </c>
      <c r="I764" s="398" t="n">
        <v>6783</v>
      </c>
      <c r="J764" s="398" t="n">
        <v>4</v>
      </c>
      <c r="K764" s="398" t="n">
        <v>0</v>
      </c>
      <c r="L764" s="398" t="n">
        <v>0</v>
      </c>
      <c r="M764" s="398" t="n">
        <v>6783</v>
      </c>
      <c r="N764" s="398" t="n">
        <v>6783</v>
      </c>
      <c r="O764" s="398" t="n">
        <v>6783</v>
      </c>
      <c r="P764" s="292" t="inlineStr">
        <is>
          <t>Hum.wzl/wzx（复用现有真实动作）</t>
        </is>
      </c>
      <c r="Q764" s="292" t="inlineStr">
        <is>
          <t>candidate-preflight-passed</t>
        </is>
      </c>
      <c r="R764" s="292" t="str"/>
      <c r="S764" s="292" t="inlineStr">
        <is>
          <t>玄渊二十套全装备代码总表.xlsx</t>
        </is>
      </c>
      <c r="T764" s="292" t="inlineStr">
        <is>
          <t>玄渊20套全装备视觉候选；Items/StateItem/DnItems三库同码；属性待策划填写；Hum Shape=4</t>
        </is>
      </c>
      <c r="U764">
        <f>IF(COUNTIF($B$2:$B$1076,B764)&gt;1,"重复","")</f>
        <v/>
      </c>
      <c r="V764">
        <f>IF(AND(OR(M764="",M764=B764),OR(N764="",N764=B764),OR(O764="",O764=B764)),"通过","不一致")</f>
        <v/>
      </c>
    </row>
    <row r="765" ht="22" customHeight="1">
      <c r="A765" s="398" t="n">
        <v>764</v>
      </c>
      <c r="B765" s="398" t="n">
        <v>6784</v>
      </c>
      <c r="C765" s="399" t="inlineStr">
        <is>
          <t>星渊龙息·龙鳞</t>
        </is>
      </c>
      <c r="D765" s="399" t="inlineStr">
        <is>
          <t>星渊龙息</t>
        </is>
      </c>
      <c r="E765" s="399" t="n">
        <v>2</v>
      </c>
      <c r="F765" s="399" t="inlineStr">
        <is>
          <t>头盔</t>
        </is>
      </c>
      <c r="G765" s="398" t="n">
        <v>15</v>
      </c>
      <c r="H765" s="398" t="n">
        <v>4</v>
      </c>
      <c r="I765" s="398" t="n">
        <v>6784</v>
      </c>
      <c r="J765" s="398" t="n">
        <v>0</v>
      </c>
      <c r="K765" s="398" t="n">
        <v>0</v>
      </c>
      <c r="L765" s="398" t="n">
        <v>0</v>
      </c>
      <c r="M765" s="398" t="n">
        <v>6784</v>
      </c>
      <c r="N765" s="398" t="n">
        <v>6784</v>
      </c>
      <c r="O765" s="398" t="n">
        <v>6784</v>
      </c>
      <c r="P765" s="292" t="n"/>
      <c r="Q765" s="292" t="inlineStr">
        <is>
          <t>candidate-preflight-passed</t>
        </is>
      </c>
      <c r="R765" s="324" t="inlineStr">
        <is>
          <t>C3-C10规划锁定：锚齿鱼盔</t>
        </is>
      </c>
      <c r="S765" s="292" t="inlineStr">
        <is>
          <t>玄渊二十套全装备代码总表.xlsx</t>
        </is>
      </c>
      <c r="T765" s="292" t="inlineStr">
        <is>
          <t>玄渊20套全装备视觉候选；Items/StateItem/DnItems三库同码；属性待策划填写</t>
        </is>
      </c>
      <c r="U765">
        <f>IF(COUNTIF($B$2:$B$1076,B765)&gt;1,"重复","")</f>
        <v/>
      </c>
      <c r="V765">
        <f>IF(AND(OR(M765="",M765=B765),OR(N765="",N765=B765),OR(O765="",O765=B765)),"通过","不一致")</f>
        <v/>
      </c>
    </row>
    <row r="766" ht="22" customHeight="1">
      <c r="A766" s="398" t="n">
        <v>765</v>
      </c>
      <c r="B766" s="398" t="n">
        <v>6785</v>
      </c>
      <c r="C766" s="399" t="inlineStr">
        <is>
          <t>星渊龙息·龙鳞</t>
        </is>
      </c>
      <c r="D766" s="399" t="inlineStr">
        <is>
          <t>星渊龙息</t>
        </is>
      </c>
      <c r="E766" s="399" t="n">
        <v>2</v>
      </c>
      <c r="F766" s="399" t="inlineStr">
        <is>
          <t>面巾</t>
        </is>
      </c>
      <c r="G766" s="398" t="n">
        <v>16</v>
      </c>
      <c r="H766" s="398" t="n">
        <v>13</v>
      </c>
      <c r="I766" s="398" t="n">
        <v>6785</v>
      </c>
      <c r="J766" s="398" t="n">
        <v>0</v>
      </c>
      <c r="K766" s="398" t="n">
        <v>0</v>
      </c>
      <c r="L766" s="398" t="n">
        <v>0</v>
      </c>
      <c r="M766" s="398" t="n">
        <v>6785</v>
      </c>
      <c r="N766" s="398" t="n">
        <v>6785</v>
      </c>
      <c r="O766" s="398" t="n">
        <v>6785</v>
      </c>
      <c r="P766" s="292" t="n"/>
      <c r="Q766" s="292" t="inlineStr">
        <is>
          <t>candidate-preflight-passed</t>
        </is>
      </c>
      <c r="R766" s="324" t="inlineStr">
        <is>
          <t>C3-C10规划锁定：占路秋叶笠</t>
        </is>
      </c>
      <c r="S766" s="292" t="inlineStr">
        <is>
          <t>玄渊二十套全装备代码总表.xlsx</t>
        </is>
      </c>
      <c r="T766" s="292" t="inlineStr">
        <is>
          <t>玄渊20套全装备视觉候选；Items/StateItem/DnItems三库同码；属性待策划填写</t>
        </is>
      </c>
      <c r="U766">
        <f>IF(COUNTIF($B$2:$B$1076,B766)&gt;1,"重复","")</f>
        <v/>
      </c>
      <c r="V766">
        <f>IF(AND(OR(M766="",M766=B766),OR(N766="",N766=B766),OR(O766="",O766=B766)),"通过","不一致")</f>
        <v/>
      </c>
    </row>
    <row r="767" ht="22" customHeight="1">
      <c r="A767" s="398" t="n">
        <v>766</v>
      </c>
      <c r="B767" s="398" t="n">
        <v>6786</v>
      </c>
      <c r="C767" s="399" t="inlineStr">
        <is>
          <t>星渊龙息·龙鳞</t>
        </is>
      </c>
      <c r="D767" s="399" t="inlineStr">
        <is>
          <t>星渊龙息</t>
        </is>
      </c>
      <c r="E767" s="399" t="n">
        <v>2</v>
      </c>
      <c r="F767" s="399" t="inlineStr">
        <is>
          <t>项链</t>
        </is>
      </c>
      <c r="G767" s="398" t="n">
        <v>19</v>
      </c>
      <c r="H767" s="398" t="n">
        <v>3</v>
      </c>
      <c r="I767" s="398" t="n">
        <v>6786</v>
      </c>
      <c r="J767" s="398" t="n">
        <v>0</v>
      </c>
      <c r="K767" s="398" t="n">
        <v>0</v>
      </c>
      <c r="L767" s="398" t="n">
        <v>0</v>
      </c>
      <c r="M767" s="398" t="n">
        <v>6786</v>
      </c>
      <c r="N767" s="398" t="n">
        <v>6786</v>
      </c>
      <c r="O767" s="398" t="n">
        <v>6786</v>
      </c>
      <c r="P767" s="292" t="n"/>
      <c r="Q767" s="292" t="inlineStr">
        <is>
          <t>candidate-preflight-passed</t>
        </is>
      </c>
      <c r="R767" s="324" t="inlineStr">
        <is>
          <t>C3-C10规划锁定：怨灯项链</t>
        </is>
      </c>
      <c r="S767" s="292" t="inlineStr">
        <is>
          <t>玄渊二十套全装备代码总表.xlsx</t>
        </is>
      </c>
      <c r="T767" s="292" t="inlineStr">
        <is>
          <t>玄渊20套全装备视觉候选；Items/StateItem/DnItems三库同码；属性待策划填写</t>
        </is>
      </c>
      <c r="U767">
        <f>IF(COUNTIF($B$2:$B$1076,B767)&gt;1,"重复","")</f>
        <v/>
      </c>
      <c r="V767">
        <f>IF(AND(OR(M767="",M767=B767),OR(N767="",N767=B767),OR(O767="",O767=B767)),"通过","不一致")</f>
        <v/>
      </c>
    </row>
    <row r="768" ht="22" customHeight="1">
      <c r="A768" s="398" t="n">
        <v>767</v>
      </c>
      <c r="B768" s="398" t="n">
        <v>6787</v>
      </c>
      <c r="C768" s="399" t="inlineStr">
        <is>
          <t>星渊龙息·龙鳞</t>
        </is>
      </c>
      <c r="D768" s="399" t="inlineStr">
        <is>
          <t>星渊龙息</t>
        </is>
      </c>
      <c r="E768" s="399" t="n">
        <v>2</v>
      </c>
      <c r="F768" s="399" t="inlineStr">
        <is>
          <t>手镯</t>
        </is>
      </c>
      <c r="G768" s="398" t="n">
        <v>26</v>
      </c>
      <c r="H768" s="398" t="n">
        <v>5</v>
      </c>
      <c r="I768" s="398" t="n">
        <v>6787</v>
      </c>
      <c r="J768" s="398" t="n">
        <v>0</v>
      </c>
      <c r="K768" s="398" t="n">
        <v>0</v>
      </c>
      <c r="L768" s="398" t="n">
        <v>0</v>
      </c>
      <c r="M768" s="398" t="n">
        <v>6787</v>
      </c>
      <c r="N768" s="398" t="n">
        <v>6787</v>
      </c>
      <c r="O768" s="398" t="n">
        <v>6787</v>
      </c>
      <c r="P768" s="292" t="n"/>
      <c r="Q768" s="292" t="inlineStr">
        <is>
          <t>candidate-preflight-passed</t>
        </is>
      </c>
      <c r="R768" s="324" t="inlineStr">
        <is>
          <t>C3-C10规划锁定：磷火腕铠</t>
        </is>
      </c>
      <c r="S768" s="292" t="inlineStr">
        <is>
          <t>玄渊二十套全装备代码总表.xlsx</t>
        </is>
      </c>
      <c r="T768" s="292" t="inlineStr">
        <is>
          <t>玄渊20套全装备视觉候选；Items/StateItem/DnItems三库同码；属性待策划填写</t>
        </is>
      </c>
      <c r="U768">
        <f>IF(COUNTIF($B$2:$B$1076,B768)&gt;1,"重复","")</f>
        <v/>
      </c>
      <c r="V768">
        <f>IF(AND(OR(M768="",M768=B768),OR(N768="",N768=B768),OR(O768="",O768=B768)),"通过","不一致")</f>
        <v/>
      </c>
    </row>
    <row r="769" ht="22" customHeight="1">
      <c r="A769" s="398" t="n">
        <v>768</v>
      </c>
      <c r="B769" s="398" t="n">
        <v>6788</v>
      </c>
      <c r="C769" s="399" t="inlineStr">
        <is>
          <t>星渊龙息·龙鳞</t>
        </is>
      </c>
      <c r="D769" s="399" t="inlineStr">
        <is>
          <t>星渊龙息</t>
        </is>
      </c>
      <c r="E769" s="399" t="n">
        <v>2</v>
      </c>
      <c r="F769" s="399" t="inlineStr">
        <is>
          <t>戒指</t>
        </is>
      </c>
      <c r="G769" s="398" t="n">
        <v>22</v>
      </c>
      <c r="H769" s="398" t="n">
        <v>7</v>
      </c>
      <c r="I769" s="398" t="n">
        <v>6788</v>
      </c>
      <c r="J769" s="398" t="n">
        <v>0</v>
      </c>
      <c r="K769" s="398" t="n">
        <v>0</v>
      </c>
      <c r="L769" s="398" t="n">
        <v>0</v>
      </c>
      <c r="M769" s="398" t="n">
        <v>6788</v>
      </c>
      <c r="N769" s="398" t="n">
        <v>6788</v>
      </c>
      <c r="O769" s="398" t="n">
        <v>6788</v>
      </c>
      <c r="P769" s="292" t="n"/>
      <c r="Q769" s="292" t="inlineStr">
        <is>
          <t>candidate-preflight-passed</t>
        </is>
      </c>
      <c r="R769" s="324" t="inlineStr">
        <is>
          <t>C3-C10规划锁定：棺钉指环</t>
        </is>
      </c>
      <c r="S769" s="292" t="inlineStr">
        <is>
          <t>玄渊二十套全装备代码总表.xlsx</t>
        </is>
      </c>
      <c r="T769" s="292" t="inlineStr">
        <is>
          <t>玄渊20套全装备视觉候选；Items/StateItem/DnItems三库同码；属性待策划填写</t>
        </is>
      </c>
      <c r="U769">
        <f>IF(COUNTIF($B$2:$B$1076,B769)&gt;1,"重复","")</f>
        <v/>
      </c>
      <c r="V769">
        <f>IF(AND(OR(M769="",M769=B769),OR(N769="",N769=B769),OR(O769="",O769=B769)),"通过","不一致")</f>
        <v/>
      </c>
    </row>
    <row r="770" ht="22" customHeight="1">
      <c r="A770" s="398" t="n">
        <v>769</v>
      </c>
      <c r="B770" s="398" t="n">
        <v>6789</v>
      </c>
      <c r="C770" s="399" t="inlineStr">
        <is>
          <t>星渊龙息·龙鳞</t>
        </is>
      </c>
      <c r="D770" s="399" t="inlineStr">
        <is>
          <t>星渊龙息</t>
        </is>
      </c>
      <c r="E770" s="399" t="n">
        <v>2</v>
      </c>
      <c r="F770" s="399" t="inlineStr">
        <is>
          <t>勋章</t>
        </is>
      </c>
      <c r="G770" s="398" t="n">
        <v>30</v>
      </c>
      <c r="H770" s="398" t="n">
        <v>2</v>
      </c>
      <c r="I770" s="398" t="n">
        <v>6789</v>
      </c>
      <c r="J770" s="398" t="n">
        <v>0</v>
      </c>
      <c r="K770" s="398" t="n">
        <v>0</v>
      </c>
      <c r="L770" s="398" t="n">
        <v>0</v>
      </c>
      <c r="M770" s="398" t="n">
        <v>6789</v>
      </c>
      <c r="N770" s="398" t="n">
        <v>6789</v>
      </c>
      <c r="O770" s="398" t="n">
        <v>6789</v>
      </c>
      <c r="P770" s="292" t="n"/>
      <c r="Q770" s="292" t="inlineStr">
        <is>
          <t>candidate-preflight-passed</t>
        </is>
      </c>
      <c r="R770" s="324" t="inlineStr">
        <is>
          <t>C3-C10规划锁定：藏卷沉思章</t>
        </is>
      </c>
      <c r="S770" s="292" t="inlineStr">
        <is>
          <t>玄渊二十套全装备代码总表.xlsx</t>
        </is>
      </c>
      <c r="T770" s="292" t="inlineStr">
        <is>
          <t>玄渊20套全装备视觉候选；Items/StateItem/DnItems三库同码；属性待策划填写</t>
        </is>
      </c>
      <c r="U770">
        <f>IF(COUNTIF($B$2:$B$1076,B770)&gt;1,"重复","")</f>
        <v/>
      </c>
      <c r="V770">
        <f>IF(AND(OR(M770="",M770=B770),OR(N770="",N770=B770),OR(O770="",O770=B770)),"通过","不一致")</f>
        <v/>
      </c>
    </row>
    <row r="771" ht="22" customHeight="1">
      <c r="A771" s="398" t="n">
        <v>770</v>
      </c>
      <c r="B771" s="398" t="n">
        <v>6790</v>
      </c>
      <c r="C771" s="399" t="inlineStr">
        <is>
          <t>星渊龙息·龙鳞</t>
        </is>
      </c>
      <c r="D771" s="399" t="inlineStr">
        <is>
          <t>星渊龙息</t>
        </is>
      </c>
      <c r="E771" s="399" t="n">
        <v>2</v>
      </c>
      <c r="F771" s="399" t="inlineStr">
        <is>
          <t>盾牌</t>
        </is>
      </c>
      <c r="G771" s="398" t="n">
        <v>12</v>
      </c>
      <c r="H771" s="398" t="n">
        <v>16</v>
      </c>
      <c r="I771" s="398" t="n">
        <v>6790</v>
      </c>
      <c r="J771" s="398" t="n">
        <v>0</v>
      </c>
      <c r="K771" s="398" t="n">
        <v>0</v>
      </c>
      <c r="L771" s="398" t="n">
        <v>0</v>
      </c>
      <c r="M771" s="398" t="n">
        <v>6790</v>
      </c>
      <c r="N771" s="398" t="n">
        <v>6790</v>
      </c>
      <c r="O771" s="398" t="n">
        <v>6790</v>
      </c>
      <c r="P771" s="292" t="n"/>
      <c r="Q771" s="292" t="inlineStr">
        <is>
          <t>candidate-preflight-passed</t>
        </is>
      </c>
      <c r="R771" s="324" t="inlineStr">
        <is>
          <t>C3-C10规划锁定：穴龟石盾</t>
        </is>
      </c>
      <c r="S771" s="292" t="inlineStr">
        <is>
          <t>玄渊二十套全装备代码总表.xlsx</t>
        </is>
      </c>
      <c r="T771" s="292" t="inlineStr">
        <is>
          <t>玄渊20套全装备视觉候选；Items/StateItem/DnItems三库同码；属性待策划填写</t>
        </is>
      </c>
      <c r="U771">
        <f>IF(COUNTIF($B$2:$B$1076,B771)&gt;1,"重复","")</f>
        <v/>
      </c>
      <c r="V771">
        <f>IF(AND(OR(M771="",M771=B771),OR(N771="",N771=B771),OR(O771="",O771=B771)),"通过","不一致")</f>
        <v/>
      </c>
    </row>
    <row r="772" ht="22" customHeight="1">
      <c r="A772" s="398" t="n">
        <v>771</v>
      </c>
      <c r="B772" s="398" t="n">
        <v>6791</v>
      </c>
      <c r="C772" s="399" t="inlineStr">
        <is>
          <t>星渊龙息·龙鳞</t>
        </is>
      </c>
      <c r="D772" s="399" t="inlineStr">
        <is>
          <t>星渊龙息</t>
        </is>
      </c>
      <c r="E772" s="399" t="n">
        <v>2</v>
      </c>
      <c r="F772" s="399" t="inlineStr">
        <is>
          <t>灵玉</t>
        </is>
      </c>
      <c r="G772" s="398" t="n">
        <v>90</v>
      </c>
      <c r="H772" s="398" t="n">
        <v>17</v>
      </c>
      <c r="I772" s="398" t="n">
        <v>6791</v>
      </c>
      <c r="J772" s="398" t="n">
        <v>0</v>
      </c>
      <c r="K772" s="398" t="n">
        <v>0</v>
      </c>
      <c r="L772" s="398" t="n">
        <v>0</v>
      </c>
      <c r="M772" s="398" t="n">
        <v>6791</v>
      </c>
      <c r="N772" s="398" t="n">
        <v>6791</v>
      </c>
      <c r="O772" s="398" t="n">
        <v>6791</v>
      </c>
      <c r="P772" s="292" t="n"/>
      <c r="Q772" s="292" t="inlineStr">
        <is>
          <t>candidate-preflight-passed</t>
        </is>
      </c>
      <c r="R772" s="292" t="str"/>
      <c r="S772" s="292" t="inlineStr">
        <is>
          <t>玄渊二十套全装备代码总表.xlsx</t>
        </is>
      </c>
      <c r="T772" s="292" t="inlineStr">
        <is>
          <t>玄渊20套全装备视觉候选；Items/StateItem/DnItems三库同码；属性待策划填写</t>
        </is>
      </c>
      <c r="U772">
        <f>IF(COUNTIF($B$2:$B$1076,B772)&gt;1,"重复","")</f>
        <v/>
      </c>
      <c r="V772">
        <f>IF(AND(OR(M772="",M772=B772),OR(N772="",N772=B772),OR(O772="",O772=B772)),"通过","不一致")</f>
        <v/>
      </c>
    </row>
    <row r="773" ht="22" customHeight="1">
      <c r="A773" s="398" t="n">
        <v>772</v>
      </c>
      <c r="B773" s="398" t="n">
        <v>6792</v>
      </c>
      <c r="C773" s="399" t="inlineStr">
        <is>
          <t>星渊龙息·龙鳞</t>
        </is>
      </c>
      <c r="D773" s="399" t="inlineStr">
        <is>
          <t>星渊龙息</t>
        </is>
      </c>
      <c r="E773" s="399" t="n">
        <v>2</v>
      </c>
      <c r="F773" s="399" t="inlineStr">
        <is>
          <t>鞋子</t>
        </is>
      </c>
      <c r="G773" s="398" t="n">
        <v>62</v>
      </c>
      <c r="H773" s="398" t="n">
        <v>11</v>
      </c>
      <c r="I773" s="398" t="n">
        <v>6792</v>
      </c>
      <c r="J773" s="398" t="n">
        <v>0</v>
      </c>
      <c r="K773" s="398" t="n">
        <v>0</v>
      </c>
      <c r="L773" s="398" t="n">
        <v>0</v>
      </c>
      <c r="M773" s="398" t="n">
        <v>6792</v>
      </c>
      <c r="N773" s="398" t="n">
        <v>6792</v>
      </c>
      <c r="O773" s="398" t="n">
        <v>6792</v>
      </c>
      <c r="P773" s="292" t="n"/>
      <c r="Q773" s="292" t="inlineStr">
        <is>
          <t>candidate-preflight-passed</t>
        </is>
      </c>
      <c r="R773" s="324" t="inlineStr">
        <is>
          <t>C3-C10规划锁定：伏流鳞靴</t>
        </is>
      </c>
      <c r="S773" s="292" t="inlineStr">
        <is>
          <t>玄渊二十套全装备代码总表.xlsx</t>
        </is>
      </c>
      <c r="T773" s="292" t="inlineStr">
        <is>
          <t>玄渊20套全装备视觉候选；Items/StateItem/DnItems三库同码；属性待策划填写</t>
        </is>
      </c>
      <c r="U773">
        <f>IF(COUNTIF($B$2:$B$1076,B773)&gt;1,"重复","")</f>
        <v/>
      </c>
      <c r="V773">
        <f>IF(AND(OR(M773="",M773=B773),OR(N773="",N773=B773),OR(O773="",O773=B773)),"通过","不一致")</f>
        <v/>
      </c>
    </row>
    <row r="774" ht="22" customHeight="1">
      <c r="A774" s="398" t="n">
        <v>773</v>
      </c>
      <c r="B774" s="398" t="n">
        <v>6793</v>
      </c>
      <c r="C774" s="399" t="inlineStr">
        <is>
          <t>星渊龙息·龙鳞</t>
        </is>
      </c>
      <c r="D774" s="399" t="inlineStr">
        <is>
          <t>星渊龙息</t>
        </is>
      </c>
      <c r="E774" s="399" t="n">
        <v>2</v>
      </c>
      <c r="F774" s="399" t="inlineStr">
        <is>
          <t>腰带</t>
        </is>
      </c>
      <c r="G774" s="398" t="n">
        <v>64</v>
      </c>
      <c r="H774" s="398" t="n">
        <v>10</v>
      </c>
      <c r="I774" s="398" t="n">
        <v>6793</v>
      </c>
      <c r="J774" s="398" t="n">
        <v>0</v>
      </c>
      <c r="K774" s="398" t="n">
        <v>0</v>
      </c>
      <c r="L774" s="398" t="n">
        <v>0</v>
      </c>
      <c r="M774" s="398" t="n">
        <v>6793</v>
      </c>
      <c r="N774" s="398" t="n">
        <v>6793</v>
      </c>
      <c r="O774" s="398" t="n">
        <v>6793</v>
      </c>
      <c r="P774" s="292" t="n"/>
      <c r="Q774" s="292" t="inlineStr">
        <is>
          <t>candidate-preflight-passed</t>
        </is>
      </c>
      <c r="R774" s="324" t="inlineStr">
        <is>
          <t>C3-C10规划锁定：汲月雾绦</t>
        </is>
      </c>
      <c r="S774" s="292" t="inlineStr">
        <is>
          <t>玄渊二十套全装备代码总表.xlsx</t>
        </is>
      </c>
      <c r="T774" s="292" t="inlineStr">
        <is>
          <t>玄渊20套全装备视觉候选；Items/StateItem/DnItems三库同码；属性待策划填写</t>
        </is>
      </c>
      <c r="U774">
        <f>IF(COUNTIF($B$2:$B$1076,B774)&gt;1,"重复","")</f>
        <v/>
      </c>
      <c r="V774">
        <f>IF(AND(OR(M774="",M774=B774),OR(N774="",N774=B774),OR(O774="",O774=B774)),"通过","不一致")</f>
        <v/>
      </c>
    </row>
    <row r="775" ht="22" customHeight="1">
      <c r="A775" s="398" t="n">
        <v>774</v>
      </c>
      <c r="B775" s="398" t="n">
        <v>6794</v>
      </c>
      <c r="C775" s="399" t="inlineStr">
        <is>
          <t>星渊龙息·龙鳞</t>
        </is>
      </c>
      <c r="D775" s="399" t="inlineStr">
        <is>
          <t>星渊龙息</t>
        </is>
      </c>
      <c r="E775" s="399" t="n">
        <v>2</v>
      </c>
      <c r="F775" s="399" t="inlineStr">
        <is>
          <t>护身符</t>
        </is>
      </c>
      <c r="G775" s="398" t="n">
        <v>25</v>
      </c>
      <c r="H775" s="398" t="n">
        <v>9</v>
      </c>
      <c r="I775" s="398" t="n">
        <v>6794</v>
      </c>
      <c r="J775" s="398" t="n">
        <v>0</v>
      </c>
      <c r="K775" s="398" t="n">
        <v>0</v>
      </c>
      <c r="L775" s="398" t="n">
        <v>0</v>
      </c>
      <c r="M775" s="398" t="n">
        <v>6794</v>
      </c>
      <c r="N775" s="398" t="n">
        <v>6794</v>
      </c>
      <c r="O775" s="398" t="n">
        <v>6794</v>
      </c>
      <c r="P775" s="292" t="n"/>
      <c r="Q775" s="292" t="inlineStr">
        <is>
          <t>candidate-preflight-passed</t>
        </is>
      </c>
      <c r="R775" s="292" t="str"/>
      <c r="S775" s="292" t="inlineStr">
        <is>
          <t>玄渊二十套全装备代码总表.xlsx</t>
        </is>
      </c>
      <c r="T775" s="292" t="inlineStr">
        <is>
          <t>玄渊20套全装备视觉候选；Items/StateItem/DnItems三库同码；属性待策划填写</t>
        </is>
      </c>
      <c r="U775">
        <f>IF(COUNTIF($B$2:$B$1076,B775)&gt;1,"重复","")</f>
        <v/>
      </c>
      <c r="V775">
        <f>IF(AND(OR(M775="",M775=B775),OR(N775="",N775=B775),OR(O775="",O775=B775)),"通过","不一致")</f>
        <v/>
      </c>
    </row>
    <row r="776" ht="22" customHeight="1">
      <c r="A776" s="398" t="n">
        <v>775</v>
      </c>
      <c r="B776" s="398" t="n">
        <v>6795</v>
      </c>
      <c r="C776" s="399" t="inlineStr">
        <is>
          <t>星渊龙息·龙鳞</t>
        </is>
      </c>
      <c r="D776" s="399" t="inlineStr">
        <is>
          <t>星渊龙息</t>
        </is>
      </c>
      <c r="E776" s="399" t="n">
        <v>2</v>
      </c>
      <c r="F776" s="399" t="inlineStr">
        <is>
          <t>宝石</t>
        </is>
      </c>
      <c r="G776" s="398" t="n">
        <v>63</v>
      </c>
      <c r="H776" s="398" t="n">
        <v>12</v>
      </c>
      <c r="I776" s="398" t="n">
        <v>6795</v>
      </c>
      <c r="J776" s="398" t="n">
        <v>0</v>
      </c>
      <c r="K776" s="398" t="n">
        <v>0</v>
      </c>
      <c r="L776" s="398" t="n">
        <v>0</v>
      </c>
      <c r="M776" s="398" t="n">
        <v>6795</v>
      </c>
      <c r="N776" s="398" t="n">
        <v>6795</v>
      </c>
      <c r="O776" s="398" t="n">
        <v>6795</v>
      </c>
      <c r="P776" s="292" t="n"/>
      <c r="Q776" s="292" t="inlineStr">
        <is>
          <t>candidate-preflight-passed</t>
        </is>
      </c>
      <c r="R776" s="292" t="str"/>
      <c r="S776" s="292" t="inlineStr">
        <is>
          <t>玄渊二十套全装备代码总表.xlsx</t>
        </is>
      </c>
      <c r="T776" s="292" t="inlineStr">
        <is>
          <t>玄渊20套全装备视觉候选；Items/StateItem/DnItems三库同码；属性待策划填写</t>
        </is>
      </c>
      <c r="U776">
        <f>IF(COUNTIF($B$2:$B$1076,B776)&gt;1,"重复","")</f>
        <v/>
      </c>
      <c r="V776">
        <f>IF(AND(OR(M776="",M776=B776),OR(N776="",N776=B776),OR(O776="",O776=B776)),"通过","不一致")</f>
        <v/>
      </c>
    </row>
    <row r="777" ht="22" customHeight="1">
      <c r="A777" s="398" t="n">
        <v>776</v>
      </c>
      <c r="B777" s="398" t="n">
        <v>6796</v>
      </c>
      <c r="C777" s="399" t="inlineStr">
        <is>
          <t>星渊龙息·龙鳞</t>
        </is>
      </c>
      <c r="D777" s="399" t="inlineStr">
        <is>
          <t>星渊龙息</t>
        </is>
      </c>
      <c r="E777" s="399" t="n">
        <v>2</v>
      </c>
      <c r="F777" s="399" t="inlineStr">
        <is>
          <t>军鼓</t>
        </is>
      </c>
      <c r="G777" s="398" t="n">
        <v>65</v>
      </c>
      <c r="H777" s="398" t="n">
        <v>14</v>
      </c>
      <c r="I777" s="398" t="n">
        <v>6796</v>
      </c>
      <c r="J777" s="398" t="n">
        <v>0</v>
      </c>
      <c r="K777" s="398" t="n">
        <v>0</v>
      </c>
      <c r="L777" s="398" t="n">
        <v>0</v>
      </c>
      <c r="M777" s="398" t="n">
        <v>6796</v>
      </c>
      <c r="N777" s="398" t="n">
        <v>6796</v>
      </c>
      <c r="O777" s="398" t="n">
        <v>6796</v>
      </c>
      <c r="P777" s="292" t="n"/>
      <c r="Q777" s="292" t="inlineStr">
        <is>
          <t>candidate-preflight-passed</t>
        </is>
      </c>
      <c r="R777" s="292" t="str"/>
      <c r="S777" s="292" t="inlineStr">
        <is>
          <t>玄渊二十套全装备代码总表.xlsx</t>
        </is>
      </c>
      <c r="T777" s="292" t="inlineStr">
        <is>
          <t>玄渊20套全装备视觉候选；Items/StateItem/DnItems三库同码；属性待策划填写</t>
        </is>
      </c>
      <c r="U777">
        <f>IF(COUNTIF($B$2:$B$1076,B777)&gt;1,"重复","")</f>
        <v/>
      </c>
      <c r="V777">
        <f>IF(AND(OR(M777="",M777=B777),OR(N777="",N777=B777),OR(O777="",O777=B777)),"通过","不一致")</f>
        <v/>
      </c>
    </row>
    <row r="778" ht="22" customHeight="1">
      <c r="A778" s="398" t="n">
        <v>777</v>
      </c>
      <c r="B778" s="398" t="n">
        <v>6797</v>
      </c>
      <c r="C778" s="399" t="inlineStr">
        <is>
          <t>星渊龙息·龙鳞</t>
        </is>
      </c>
      <c r="D778" s="399" t="inlineStr">
        <is>
          <t>星渊龙息</t>
        </is>
      </c>
      <c r="E778" s="399" t="n">
        <v>2</v>
      </c>
      <c r="F778" s="399" t="inlineStr">
        <is>
          <t>马牌</t>
        </is>
      </c>
      <c r="G778" s="398" t="n">
        <v>28</v>
      </c>
      <c r="H778" s="398" t="n">
        <v>15</v>
      </c>
      <c r="I778" s="398" t="n">
        <v>6797</v>
      </c>
      <c r="J778" s="398" t="n">
        <v>0</v>
      </c>
      <c r="K778" s="398" t="n">
        <v>0</v>
      </c>
      <c r="L778" s="398" t="n">
        <v>0</v>
      </c>
      <c r="M778" s="398" t="n">
        <v>6797</v>
      </c>
      <c r="N778" s="398" t="n">
        <v>6797</v>
      </c>
      <c r="O778" s="398" t="n">
        <v>6797</v>
      </c>
      <c r="P778" s="292" t="n"/>
      <c r="Q778" s="292" t="inlineStr">
        <is>
          <t>candidate-preflight-passed</t>
        </is>
      </c>
      <c r="R778" s="292" t="str"/>
      <c r="S778" s="292" t="inlineStr">
        <is>
          <t>玄渊二十套全装备代码总表.xlsx</t>
        </is>
      </c>
      <c r="T778" s="292" t="inlineStr">
        <is>
          <t>玄渊20套全装备视觉候选；Items/StateItem/DnItems三库同码；属性待策划填写</t>
        </is>
      </c>
      <c r="U778">
        <f>IF(COUNTIF($B$2:$B$1076,B778)&gt;1,"重复","")</f>
        <v/>
      </c>
      <c r="V778">
        <f>IF(AND(OR(M778="",M778=B778),OR(N778="",N778=B778),OR(O778="",O778=B778)),"通过","不一致")</f>
        <v/>
      </c>
    </row>
    <row r="779" ht="22" customHeight="1">
      <c r="A779" s="398" t="n">
        <v>778</v>
      </c>
      <c r="B779" s="398" t="n">
        <v>6798</v>
      </c>
      <c r="C779" s="399" t="inlineStr">
        <is>
          <t>星渊龙息·龙鳞</t>
        </is>
      </c>
      <c r="D779" s="399" t="inlineStr">
        <is>
          <t>星渊龙息</t>
        </is>
      </c>
      <c r="E779" s="399" t="n">
        <v>2</v>
      </c>
      <c r="F779" s="399" t="inlineStr">
        <is>
          <t>首饰盒1</t>
        </is>
      </c>
      <c r="G779" s="398" t="n">
        <v>22</v>
      </c>
      <c r="H779" s="398" t="n">
        <v>30</v>
      </c>
      <c r="I779" s="398" t="n">
        <v>6798</v>
      </c>
      <c r="J779" s="398" t="n">
        <v>0</v>
      </c>
      <c r="K779" s="398" t="n">
        <v>2</v>
      </c>
      <c r="L779" s="398" t="n">
        <v>1</v>
      </c>
      <c r="M779" s="398" t="n">
        <v>6798</v>
      </c>
      <c r="N779" s="398" t="n">
        <v>6798</v>
      </c>
      <c r="O779" s="398" t="n">
        <v>6798</v>
      </c>
      <c r="P779" s="292" t="n"/>
      <c r="Q779" s="292" t="inlineStr">
        <is>
          <t>candidate-preflight-passed</t>
        </is>
      </c>
      <c r="R779" s="292" t="str"/>
      <c r="S779" s="292" t="inlineStr">
        <is>
          <t>玄渊二十套全装备代码总表.xlsx</t>
        </is>
      </c>
      <c r="T779" s="292" t="inlineStr">
        <is>
          <t>玄渊20套全装备视觉候选；Items/StateItem/DnItems三库同码；属性待策划填写；OverLap=2; Expand1=1</t>
        </is>
      </c>
      <c r="U779">
        <f>IF(COUNTIF($B$2:$B$1076,B779)&gt;1,"重复","")</f>
        <v/>
      </c>
      <c r="V779">
        <f>IF(AND(OR(M779="",M779=B779),OR(N779="",N779=B779),OR(O779="",O779=B779)),"通过","不一致")</f>
        <v/>
      </c>
    </row>
    <row r="780" ht="22" customHeight="1">
      <c r="A780" s="398" t="n">
        <v>779</v>
      </c>
      <c r="B780" s="398" t="n">
        <v>6799</v>
      </c>
      <c r="C780" s="399" t="inlineStr">
        <is>
          <t>星渊龙息·龙鳞</t>
        </is>
      </c>
      <c r="D780" s="399" t="inlineStr">
        <is>
          <t>星渊龙息</t>
        </is>
      </c>
      <c r="E780" s="399" t="n">
        <v>2</v>
      </c>
      <c r="F780" s="399" t="inlineStr">
        <is>
          <t>首饰盒2</t>
        </is>
      </c>
      <c r="G780" s="398" t="n">
        <v>22</v>
      </c>
      <c r="H780" s="398" t="n">
        <v>31</v>
      </c>
      <c r="I780" s="398" t="n">
        <v>6799</v>
      </c>
      <c r="J780" s="398" t="n">
        <v>0</v>
      </c>
      <c r="K780" s="398" t="n">
        <v>2</v>
      </c>
      <c r="L780" s="398" t="n">
        <v>2</v>
      </c>
      <c r="M780" s="398" t="n">
        <v>6799</v>
      </c>
      <c r="N780" s="398" t="n">
        <v>6799</v>
      </c>
      <c r="O780" s="398" t="n">
        <v>6799</v>
      </c>
      <c r="P780" s="292" t="n"/>
      <c r="Q780" s="292" t="inlineStr">
        <is>
          <t>candidate-preflight-passed</t>
        </is>
      </c>
      <c r="R780" s="292" t="str"/>
      <c r="S780" s="292" t="inlineStr">
        <is>
          <t>玄渊二十套全装备代码总表.xlsx</t>
        </is>
      </c>
      <c r="T780" s="292" t="inlineStr">
        <is>
          <t>玄渊20套全装备视觉候选；Items/StateItem/DnItems三库同码；属性待策划填写；OverLap=2; Expand1=2</t>
        </is>
      </c>
      <c r="U780">
        <f>IF(COUNTIF($B$2:$B$1076,B780)&gt;1,"重复","")</f>
        <v/>
      </c>
      <c r="V780">
        <f>IF(AND(OR(M780="",M780=B780),OR(N780="",N780=B780),OR(O780="",O780=B780)),"通过","不一致")</f>
        <v/>
      </c>
    </row>
    <row r="781" ht="22" customHeight="1">
      <c r="A781" s="398" t="n">
        <v>780</v>
      </c>
      <c r="B781" s="398" t="n">
        <v>6800</v>
      </c>
      <c r="C781" s="399" t="inlineStr">
        <is>
          <t>星渊龙息·龙鳞</t>
        </is>
      </c>
      <c r="D781" s="399" t="inlineStr">
        <is>
          <t>星渊龙息</t>
        </is>
      </c>
      <c r="E781" s="399" t="n">
        <v>2</v>
      </c>
      <c r="F781" s="399" t="inlineStr">
        <is>
          <t>首饰盒3</t>
        </is>
      </c>
      <c r="G781" s="398" t="n">
        <v>22</v>
      </c>
      <c r="H781" s="398" t="n">
        <v>32</v>
      </c>
      <c r="I781" s="398" t="n">
        <v>6800</v>
      </c>
      <c r="J781" s="398" t="n">
        <v>0</v>
      </c>
      <c r="K781" s="398" t="n">
        <v>2</v>
      </c>
      <c r="L781" s="398" t="n">
        <v>3</v>
      </c>
      <c r="M781" s="398" t="n">
        <v>6800</v>
      </c>
      <c r="N781" s="398" t="n">
        <v>6800</v>
      </c>
      <c r="O781" s="398" t="n">
        <v>6800</v>
      </c>
      <c r="P781" s="292" t="n"/>
      <c r="Q781" s="292" t="inlineStr">
        <is>
          <t>candidate-preflight-passed</t>
        </is>
      </c>
      <c r="R781" s="292" t="str"/>
      <c r="S781" s="292" t="inlineStr">
        <is>
          <t>玄渊二十套全装备代码总表.xlsx</t>
        </is>
      </c>
      <c r="T781" s="292" t="inlineStr">
        <is>
          <t>玄渊20套全装备视觉候选；Items/StateItem/DnItems三库同码；属性待策划填写；OverLap=2; Expand1=3</t>
        </is>
      </c>
      <c r="U781">
        <f>IF(COUNTIF($B$2:$B$1076,B781)&gt;1,"重复","")</f>
        <v/>
      </c>
      <c r="V781">
        <f>IF(AND(OR(M781="",M781=B781),OR(N781="",N781=B781),OR(O781="",O781=B781)),"通过","不一致")</f>
        <v/>
      </c>
    </row>
    <row r="782" ht="22" customHeight="1">
      <c r="A782" s="398" t="n">
        <v>781</v>
      </c>
      <c r="B782" s="398" t="n">
        <v>6801</v>
      </c>
      <c r="C782" s="399" t="inlineStr">
        <is>
          <t>星渊龙息·龙鳞</t>
        </is>
      </c>
      <c r="D782" s="399" t="inlineStr">
        <is>
          <t>星渊龙息</t>
        </is>
      </c>
      <c r="E782" s="399" t="n">
        <v>2</v>
      </c>
      <c r="F782" s="399" t="inlineStr">
        <is>
          <t>首饰盒4</t>
        </is>
      </c>
      <c r="G782" s="398" t="n">
        <v>22</v>
      </c>
      <c r="H782" s="398" t="n">
        <v>33</v>
      </c>
      <c r="I782" s="398" t="n">
        <v>6801</v>
      </c>
      <c r="J782" s="398" t="n">
        <v>0</v>
      </c>
      <c r="K782" s="398" t="n">
        <v>2</v>
      </c>
      <c r="L782" s="398" t="n">
        <v>4</v>
      </c>
      <c r="M782" s="398" t="n">
        <v>6801</v>
      </c>
      <c r="N782" s="398" t="n">
        <v>6801</v>
      </c>
      <c r="O782" s="398" t="n">
        <v>6801</v>
      </c>
      <c r="P782" s="292" t="n"/>
      <c r="Q782" s="292" t="inlineStr">
        <is>
          <t>candidate-preflight-passed</t>
        </is>
      </c>
      <c r="R782" s="292" t="str"/>
      <c r="S782" s="292" t="inlineStr">
        <is>
          <t>玄渊二十套全装备代码总表.xlsx</t>
        </is>
      </c>
      <c r="T782" s="292" t="inlineStr">
        <is>
          <t>玄渊20套全装备视觉候选；Items/StateItem/DnItems三库同码；属性待策划填写；OverLap=2; Expand1=4</t>
        </is>
      </c>
      <c r="U782">
        <f>IF(COUNTIF($B$2:$B$1076,B782)&gt;1,"重复","")</f>
        <v/>
      </c>
      <c r="V782">
        <f>IF(AND(OR(M782="",M782=B782),OR(N782="",N782=B782),OR(O782="",O782=B782)),"通过","不一致")</f>
        <v/>
      </c>
    </row>
    <row r="783" ht="22" customHeight="1">
      <c r="A783" s="398" t="n">
        <v>782</v>
      </c>
      <c r="B783" s="398" t="n">
        <v>6802</v>
      </c>
      <c r="C783" s="399" t="inlineStr">
        <is>
          <t>星渊龙息·龙鳞</t>
        </is>
      </c>
      <c r="D783" s="399" t="inlineStr">
        <is>
          <t>星渊龙息</t>
        </is>
      </c>
      <c r="E783" s="399" t="n">
        <v>2</v>
      </c>
      <c r="F783" s="399" t="inlineStr">
        <is>
          <t>首饰盒5</t>
        </is>
      </c>
      <c r="G783" s="398" t="n">
        <v>22</v>
      </c>
      <c r="H783" s="398" t="n">
        <v>34</v>
      </c>
      <c r="I783" s="398" t="n">
        <v>6802</v>
      </c>
      <c r="J783" s="398" t="n">
        <v>0</v>
      </c>
      <c r="K783" s="398" t="n">
        <v>2</v>
      </c>
      <c r="L783" s="398" t="n">
        <v>5</v>
      </c>
      <c r="M783" s="398" t="n">
        <v>6802</v>
      </c>
      <c r="N783" s="398" t="n">
        <v>6802</v>
      </c>
      <c r="O783" s="398" t="n">
        <v>6802</v>
      </c>
      <c r="P783" s="292" t="n"/>
      <c r="Q783" s="292" t="inlineStr">
        <is>
          <t>candidate-preflight-passed</t>
        </is>
      </c>
      <c r="R783" s="292" t="str"/>
      <c r="S783" s="292" t="inlineStr">
        <is>
          <t>玄渊二十套全装备代码总表.xlsx</t>
        </is>
      </c>
      <c r="T783" s="292" t="inlineStr">
        <is>
          <t>玄渊20套全装备视觉候选；Items/StateItem/DnItems三库同码；属性待策划填写；OverLap=2; Expand1=5</t>
        </is>
      </c>
      <c r="U783">
        <f>IF(COUNTIF($B$2:$B$1076,B783)&gt;1,"重复","")</f>
        <v/>
      </c>
      <c r="V783">
        <f>IF(AND(OR(M783="",M783=B783),OR(N783="",N783=B783),OR(O783="",O783=B783)),"通过","不一致")</f>
        <v/>
      </c>
    </row>
    <row r="784" ht="22" customHeight="1">
      <c r="A784" s="398" t="n">
        <v>783</v>
      </c>
      <c r="B784" s="398" t="n">
        <v>6803</v>
      </c>
      <c r="C784" s="399" t="inlineStr">
        <is>
          <t>星渊龙息·龙鳞</t>
        </is>
      </c>
      <c r="D784" s="399" t="inlineStr">
        <is>
          <t>星渊龙息</t>
        </is>
      </c>
      <c r="E784" s="399" t="n">
        <v>2</v>
      </c>
      <c r="F784" s="399" t="inlineStr">
        <is>
          <t>首饰盒6</t>
        </is>
      </c>
      <c r="G784" s="398" t="n">
        <v>22</v>
      </c>
      <c r="H784" s="398" t="n">
        <v>35</v>
      </c>
      <c r="I784" s="398" t="n">
        <v>6803</v>
      </c>
      <c r="J784" s="398" t="n">
        <v>0</v>
      </c>
      <c r="K784" s="398" t="n">
        <v>2</v>
      </c>
      <c r="L784" s="398" t="n">
        <v>6</v>
      </c>
      <c r="M784" s="398" t="n">
        <v>6803</v>
      </c>
      <c r="N784" s="398" t="n">
        <v>6803</v>
      </c>
      <c r="O784" s="398" t="n">
        <v>6803</v>
      </c>
      <c r="P784" s="292" t="n"/>
      <c r="Q784" s="292" t="inlineStr">
        <is>
          <t>candidate-preflight-passed</t>
        </is>
      </c>
      <c r="R784" s="292" t="str"/>
      <c r="S784" s="292" t="inlineStr">
        <is>
          <t>玄渊二十套全装备代码总表.xlsx</t>
        </is>
      </c>
      <c r="T784" s="292" t="inlineStr">
        <is>
          <t>玄渊20套全装备视觉候选；Items/StateItem/DnItems三库同码；属性待策划填写；OverLap=2; Expand1=6</t>
        </is>
      </c>
      <c r="U784">
        <f>IF(COUNTIF($B$2:$B$1076,B784)&gt;1,"重复","")</f>
        <v/>
      </c>
      <c r="V784">
        <f>IF(AND(OR(M784="",M784=B784),OR(N784="",N784=B784),OR(O784="",O784=B784)),"通过","不一致")</f>
        <v/>
      </c>
    </row>
    <row r="785" ht="22" customHeight="1">
      <c r="A785" s="398" t="n">
        <v>784</v>
      </c>
      <c r="B785" s="398" t="n">
        <v>6804</v>
      </c>
      <c r="C785" s="399" t="inlineStr">
        <is>
          <t>星渊龙息·龙鳞</t>
        </is>
      </c>
      <c r="D785" s="399" t="inlineStr">
        <is>
          <t>星渊龙息</t>
        </is>
      </c>
      <c r="E785" s="399" t="n">
        <v>2</v>
      </c>
      <c r="F785" s="399" t="inlineStr">
        <is>
          <t>生肖1</t>
        </is>
      </c>
      <c r="G785" s="398" t="n">
        <v>22</v>
      </c>
      <c r="H785" s="398" t="n">
        <v>40</v>
      </c>
      <c r="I785" s="398" t="n">
        <v>6804</v>
      </c>
      <c r="J785" s="398" t="n">
        <v>0</v>
      </c>
      <c r="K785" s="398" t="n">
        <v>4</v>
      </c>
      <c r="L785" s="398" t="n">
        <v>1</v>
      </c>
      <c r="M785" s="398" t="n">
        <v>6804</v>
      </c>
      <c r="N785" s="398" t="n">
        <v>6804</v>
      </c>
      <c r="O785" s="398" t="n">
        <v>6804</v>
      </c>
      <c r="P785" s="292" t="n"/>
      <c r="Q785" s="292" t="inlineStr">
        <is>
          <t>candidate-preflight-passed</t>
        </is>
      </c>
      <c r="R785" s="292" t="str"/>
      <c r="S785" s="292" t="inlineStr">
        <is>
          <t>玄渊二十套全装备代码总表.xlsx</t>
        </is>
      </c>
      <c r="T785" s="292" t="inlineStr">
        <is>
          <t>玄渊20套全装备视觉候选；Items/StateItem/DnItems三库同码；属性待策划填写；OverLap=4; Expand1=1</t>
        </is>
      </c>
      <c r="U785">
        <f>IF(COUNTIF($B$2:$B$1076,B785)&gt;1,"重复","")</f>
        <v/>
      </c>
      <c r="V785">
        <f>IF(AND(OR(M785="",M785=B785),OR(N785="",N785=B785),OR(O785="",O785=B785)),"通过","不一致")</f>
        <v/>
      </c>
    </row>
    <row r="786" ht="22" customHeight="1">
      <c r="A786" s="398" t="n">
        <v>785</v>
      </c>
      <c r="B786" s="398" t="n">
        <v>6805</v>
      </c>
      <c r="C786" s="399" t="inlineStr">
        <is>
          <t>星渊龙息·龙鳞</t>
        </is>
      </c>
      <c r="D786" s="399" t="inlineStr">
        <is>
          <t>星渊龙息</t>
        </is>
      </c>
      <c r="E786" s="399" t="n">
        <v>2</v>
      </c>
      <c r="F786" s="399" t="inlineStr">
        <is>
          <t>生肖2</t>
        </is>
      </c>
      <c r="G786" s="398" t="n">
        <v>22</v>
      </c>
      <c r="H786" s="398" t="n">
        <v>41</v>
      </c>
      <c r="I786" s="398" t="n">
        <v>6805</v>
      </c>
      <c r="J786" s="398" t="n">
        <v>0</v>
      </c>
      <c r="K786" s="398" t="n">
        <v>4</v>
      </c>
      <c r="L786" s="398" t="n">
        <v>2</v>
      </c>
      <c r="M786" s="398" t="n">
        <v>6805</v>
      </c>
      <c r="N786" s="398" t="n">
        <v>6805</v>
      </c>
      <c r="O786" s="398" t="n">
        <v>6805</v>
      </c>
      <c r="P786" s="292" t="n"/>
      <c r="Q786" s="292" t="inlineStr">
        <is>
          <t>candidate-preflight-passed</t>
        </is>
      </c>
      <c r="R786" s="292" t="str"/>
      <c r="S786" s="292" t="inlineStr">
        <is>
          <t>玄渊二十套全装备代码总表.xlsx</t>
        </is>
      </c>
      <c r="T786" s="292" t="inlineStr">
        <is>
          <t>玄渊20套全装备视觉候选；Items/StateItem/DnItems三库同码；属性待策划填写；OverLap=4; Expand1=2</t>
        </is>
      </c>
      <c r="U786">
        <f>IF(COUNTIF($B$2:$B$1076,B786)&gt;1,"重复","")</f>
        <v/>
      </c>
      <c r="V786">
        <f>IF(AND(OR(M786="",M786=B786),OR(N786="",N786=B786),OR(O786="",O786=B786)),"通过","不一致")</f>
        <v/>
      </c>
    </row>
    <row r="787" ht="22" customHeight="1">
      <c r="A787" s="398" t="n">
        <v>786</v>
      </c>
      <c r="B787" s="398" t="n">
        <v>6806</v>
      </c>
      <c r="C787" s="399" t="inlineStr">
        <is>
          <t>星渊龙息·龙鳞</t>
        </is>
      </c>
      <c r="D787" s="399" t="inlineStr">
        <is>
          <t>星渊龙息</t>
        </is>
      </c>
      <c r="E787" s="399" t="n">
        <v>2</v>
      </c>
      <c r="F787" s="399" t="inlineStr">
        <is>
          <t>生肖3</t>
        </is>
      </c>
      <c r="G787" s="398" t="n">
        <v>22</v>
      </c>
      <c r="H787" s="398" t="n">
        <v>42</v>
      </c>
      <c r="I787" s="398" t="n">
        <v>6806</v>
      </c>
      <c r="J787" s="398" t="n">
        <v>0</v>
      </c>
      <c r="K787" s="398" t="n">
        <v>4</v>
      </c>
      <c r="L787" s="398" t="n">
        <v>3</v>
      </c>
      <c r="M787" s="398" t="n">
        <v>6806</v>
      </c>
      <c r="N787" s="398" t="n">
        <v>6806</v>
      </c>
      <c r="O787" s="398" t="n">
        <v>6806</v>
      </c>
      <c r="P787" s="292" t="n"/>
      <c r="Q787" s="292" t="inlineStr">
        <is>
          <t>candidate-preflight-passed</t>
        </is>
      </c>
      <c r="R787" s="292" t="str"/>
      <c r="S787" s="292" t="inlineStr">
        <is>
          <t>玄渊二十套全装备代码总表.xlsx</t>
        </is>
      </c>
      <c r="T787" s="292" t="inlineStr">
        <is>
          <t>玄渊20套全装备视觉候选；Items/StateItem/DnItems三库同码；属性待策划填写；OverLap=4; Expand1=3</t>
        </is>
      </c>
      <c r="U787">
        <f>IF(COUNTIF($B$2:$B$1076,B787)&gt;1,"重复","")</f>
        <v/>
      </c>
      <c r="V787">
        <f>IF(AND(OR(M787="",M787=B787),OR(N787="",N787=B787),OR(O787="",O787=B787)),"通过","不一致")</f>
        <v/>
      </c>
    </row>
    <row r="788" ht="22" customHeight="1">
      <c r="A788" s="398" t="n">
        <v>787</v>
      </c>
      <c r="B788" s="398" t="n">
        <v>6807</v>
      </c>
      <c r="C788" s="399" t="inlineStr">
        <is>
          <t>星渊龙息·龙鳞</t>
        </is>
      </c>
      <c r="D788" s="399" t="inlineStr">
        <is>
          <t>星渊龙息</t>
        </is>
      </c>
      <c r="E788" s="399" t="n">
        <v>2</v>
      </c>
      <c r="F788" s="399" t="inlineStr">
        <is>
          <t>生肖4</t>
        </is>
      </c>
      <c r="G788" s="398" t="n">
        <v>22</v>
      </c>
      <c r="H788" s="398" t="n">
        <v>43</v>
      </c>
      <c r="I788" s="398" t="n">
        <v>6807</v>
      </c>
      <c r="J788" s="398" t="n">
        <v>0</v>
      </c>
      <c r="K788" s="398" t="n">
        <v>4</v>
      </c>
      <c r="L788" s="398" t="n">
        <v>4</v>
      </c>
      <c r="M788" s="398" t="n">
        <v>6807</v>
      </c>
      <c r="N788" s="398" t="n">
        <v>6807</v>
      </c>
      <c r="O788" s="398" t="n">
        <v>6807</v>
      </c>
      <c r="P788" s="292" t="n"/>
      <c r="Q788" s="292" t="inlineStr">
        <is>
          <t>candidate-preflight-passed</t>
        </is>
      </c>
      <c r="R788" s="292" t="str"/>
      <c r="S788" s="292" t="inlineStr">
        <is>
          <t>玄渊二十套全装备代码总表.xlsx</t>
        </is>
      </c>
      <c r="T788" s="292" t="inlineStr">
        <is>
          <t>玄渊20套全装备视觉候选；Items/StateItem/DnItems三库同码；属性待策划填写；OverLap=4; Expand1=4</t>
        </is>
      </c>
      <c r="U788">
        <f>IF(COUNTIF($B$2:$B$1076,B788)&gt;1,"重复","")</f>
        <v/>
      </c>
      <c r="V788">
        <f>IF(AND(OR(M788="",M788=B788),OR(N788="",N788=B788),OR(O788="",O788=B788)),"通过","不一致")</f>
        <v/>
      </c>
    </row>
    <row r="789" ht="22" customHeight="1">
      <c r="A789" s="398" t="n">
        <v>788</v>
      </c>
      <c r="B789" s="398" t="n">
        <v>6808</v>
      </c>
      <c r="C789" s="399" t="inlineStr">
        <is>
          <t>星渊龙息·龙鳞</t>
        </is>
      </c>
      <c r="D789" s="399" t="inlineStr">
        <is>
          <t>星渊龙息</t>
        </is>
      </c>
      <c r="E789" s="399" t="n">
        <v>2</v>
      </c>
      <c r="F789" s="399" t="inlineStr">
        <is>
          <t>生肖5</t>
        </is>
      </c>
      <c r="G789" s="398" t="n">
        <v>22</v>
      </c>
      <c r="H789" s="398" t="n">
        <v>44</v>
      </c>
      <c r="I789" s="398" t="n">
        <v>6808</v>
      </c>
      <c r="J789" s="398" t="n">
        <v>0</v>
      </c>
      <c r="K789" s="398" t="n">
        <v>4</v>
      </c>
      <c r="L789" s="398" t="n">
        <v>5</v>
      </c>
      <c r="M789" s="398" t="n">
        <v>6808</v>
      </c>
      <c r="N789" s="398" t="n">
        <v>6808</v>
      </c>
      <c r="O789" s="398" t="n">
        <v>6808</v>
      </c>
      <c r="P789" s="292" t="n"/>
      <c r="Q789" s="292" t="inlineStr">
        <is>
          <t>candidate-preflight-passed</t>
        </is>
      </c>
      <c r="R789" s="292" t="str"/>
      <c r="S789" s="292" t="inlineStr">
        <is>
          <t>玄渊二十套全装备代码总表.xlsx</t>
        </is>
      </c>
      <c r="T789" s="292" t="inlineStr">
        <is>
          <t>玄渊20套全装备视觉候选；Items/StateItem/DnItems三库同码；属性待策划填写；OverLap=4; Expand1=5</t>
        </is>
      </c>
      <c r="U789">
        <f>IF(COUNTIF($B$2:$B$1076,B789)&gt;1,"重复","")</f>
        <v/>
      </c>
      <c r="V789">
        <f>IF(AND(OR(M789="",M789=B789),OR(N789="",N789=B789),OR(O789="",O789=B789)),"通过","不一致")</f>
        <v/>
      </c>
    </row>
    <row r="790" ht="22" customHeight="1">
      <c r="A790" s="398" t="n">
        <v>789</v>
      </c>
      <c r="B790" s="398" t="n">
        <v>6809</v>
      </c>
      <c r="C790" s="399" t="inlineStr">
        <is>
          <t>星渊龙息·龙鳞</t>
        </is>
      </c>
      <c r="D790" s="399" t="inlineStr">
        <is>
          <t>星渊龙息</t>
        </is>
      </c>
      <c r="E790" s="399" t="n">
        <v>2</v>
      </c>
      <c r="F790" s="399" t="inlineStr">
        <is>
          <t>生肖6</t>
        </is>
      </c>
      <c r="G790" s="398" t="n">
        <v>22</v>
      </c>
      <c r="H790" s="398" t="n">
        <v>45</v>
      </c>
      <c r="I790" s="398" t="n">
        <v>6809</v>
      </c>
      <c r="J790" s="398" t="n">
        <v>0</v>
      </c>
      <c r="K790" s="398" t="n">
        <v>4</v>
      </c>
      <c r="L790" s="398" t="n">
        <v>6</v>
      </c>
      <c r="M790" s="398" t="n">
        <v>6809</v>
      </c>
      <c r="N790" s="398" t="n">
        <v>6809</v>
      </c>
      <c r="O790" s="398" t="n">
        <v>6809</v>
      </c>
      <c r="P790" s="292" t="n"/>
      <c r="Q790" s="292" t="inlineStr">
        <is>
          <t>candidate-preflight-passed</t>
        </is>
      </c>
      <c r="R790" s="292" t="str"/>
      <c r="S790" s="292" t="inlineStr">
        <is>
          <t>玄渊二十套全装备代码总表.xlsx</t>
        </is>
      </c>
      <c r="T790" s="292" t="inlineStr">
        <is>
          <t>玄渊20套全装备视觉候选；Items/StateItem/DnItems三库同码；属性待策划填写；OverLap=4; Expand1=6</t>
        </is>
      </c>
      <c r="U790">
        <f>IF(COUNTIF($B$2:$B$1076,B790)&gt;1,"重复","")</f>
        <v/>
      </c>
      <c r="V790">
        <f>IF(AND(OR(M790="",M790=B790),OR(N790="",N790=B790),OR(O790="",O790=B790)),"通过","不一致")</f>
        <v/>
      </c>
    </row>
    <row r="791" ht="22" customHeight="1">
      <c r="A791" s="398" t="n">
        <v>790</v>
      </c>
      <c r="B791" s="398" t="n">
        <v>6810</v>
      </c>
      <c r="C791" s="399" t="inlineStr">
        <is>
          <t>星渊龙息·龙鳞</t>
        </is>
      </c>
      <c r="D791" s="399" t="inlineStr">
        <is>
          <t>星渊龙息</t>
        </is>
      </c>
      <c r="E791" s="399" t="n">
        <v>2</v>
      </c>
      <c r="F791" s="399" t="inlineStr">
        <is>
          <t>生肖7</t>
        </is>
      </c>
      <c r="G791" s="398" t="n">
        <v>22</v>
      </c>
      <c r="H791" s="398" t="n">
        <v>46</v>
      </c>
      <c r="I791" s="398" t="n">
        <v>6810</v>
      </c>
      <c r="J791" s="398" t="n">
        <v>0</v>
      </c>
      <c r="K791" s="398" t="n">
        <v>4</v>
      </c>
      <c r="L791" s="398" t="n">
        <v>7</v>
      </c>
      <c r="M791" s="398" t="n">
        <v>6810</v>
      </c>
      <c r="N791" s="398" t="n">
        <v>6810</v>
      </c>
      <c r="O791" s="398" t="n">
        <v>6810</v>
      </c>
      <c r="P791" s="292" t="n"/>
      <c r="Q791" s="292" t="inlineStr">
        <is>
          <t>candidate-preflight-passed</t>
        </is>
      </c>
      <c r="R791" s="292" t="str"/>
      <c r="S791" s="292" t="inlineStr">
        <is>
          <t>玄渊二十套全装备代码总表.xlsx</t>
        </is>
      </c>
      <c r="T791" s="292" t="inlineStr">
        <is>
          <t>玄渊20套全装备视觉候选；Items/StateItem/DnItems三库同码；属性待策划填写；OverLap=4; Expand1=7</t>
        </is>
      </c>
      <c r="U791">
        <f>IF(COUNTIF($B$2:$B$1076,B791)&gt;1,"重复","")</f>
        <v/>
      </c>
      <c r="V791">
        <f>IF(AND(OR(M791="",M791=B791),OR(N791="",N791=B791),OR(O791="",O791=B791)),"通过","不一致")</f>
        <v/>
      </c>
    </row>
    <row r="792" ht="22" customHeight="1">
      <c r="A792" s="398" t="n">
        <v>791</v>
      </c>
      <c r="B792" s="398" t="n">
        <v>6811</v>
      </c>
      <c r="C792" s="399" t="inlineStr">
        <is>
          <t>星渊龙息·龙鳞</t>
        </is>
      </c>
      <c r="D792" s="399" t="inlineStr">
        <is>
          <t>星渊龙息</t>
        </is>
      </c>
      <c r="E792" s="399" t="n">
        <v>2</v>
      </c>
      <c r="F792" s="399" t="inlineStr">
        <is>
          <t>生肖8</t>
        </is>
      </c>
      <c r="G792" s="398" t="n">
        <v>22</v>
      </c>
      <c r="H792" s="398" t="n">
        <v>47</v>
      </c>
      <c r="I792" s="398" t="n">
        <v>6811</v>
      </c>
      <c r="J792" s="398" t="n">
        <v>0</v>
      </c>
      <c r="K792" s="398" t="n">
        <v>4</v>
      </c>
      <c r="L792" s="398" t="n">
        <v>8</v>
      </c>
      <c r="M792" s="398" t="n">
        <v>6811</v>
      </c>
      <c r="N792" s="398" t="n">
        <v>6811</v>
      </c>
      <c r="O792" s="398" t="n">
        <v>6811</v>
      </c>
      <c r="P792" s="292" t="n"/>
      <c r="Q792" s="292" t="inlineStr">
        <is>
          <t>candidate-preflight-passed</t>
        </is>
      </c>
      <c r="R792" s="292" t="str"/>
      <c r="S792" s="292" t="inlineStr">
        <is>
          <t>玄渊二十套全装备代码总表.xlsx</t>
        </is>
      </c>
      <c r="T792" s="292" t="inlineStr">
        <is>
          <t>玄渊20套全装备视觉候选；Items/StateItem/DnItems三库同码；属性待策划填写；OverLap=4; Expand1=8</t>
        </is>
      </c>
      <c r="U792">
        <f>IF(COUNTIF($B$2:$B$1076,B792)&gt;1,"重复","")</f>
        <v/>
      </c>
      <c r="V792">
        <f>IF(AND(OR(M792="",M792=B792),OR(N792="",N792=B792),OR(O792="",O792=B792)),"通过","不一致")</f>
        <v/>
      </c>
    </row>
    <row r="793" ht="22" customHeight="1">
      <c r="A793" s="398" t="n">
        <v>792</v>
      </c>
      <c r="B793" s="398" t="n">
        <v>6812</v>
      </c>
      <c r="C793" s="399" t="inlineStr">
        <is>
          <t>星渊龙息·龙鳞</t>
        </is>
      </c>
      <c r="D793" s="399" t="inlineStr">
        <is>
          <t>星渊龙息</t>
        </is>
      </c>
      <c r="E793" s="399" t="n">
        <v>2</v>
      </c>
      <c r="F793" s="399" t="inlineStr">
        <is>
          <t>生肖9</t>
        </is>
      </c>
      <c r="G793" s="398" t="n">
        <v>22</v>
      </c>
      <c r="H793" s="398" t="n">
        <v>48</v>
      </c>
      <c r="I793" s="398" t="n">
        <v>6812</v>
      </c>
      <c r="J793" s="398" t="n">
        <v>0</v>
      </c>
      <c r="K793" s="398" t="n">
        <v>4</v>
      </c>
      <c r="L793" s="398" t="n">
        <v>9</v>
      </c>
      <c r="M793" s="398" t="n">
        <v>6812</v>
      </c>
      <c r="N793" s="398" t="n">
        <v>6812</v>
      </c>
      <c r="O793" s="398" t="n">
        <v>6812</v>
      </c>
      <c r="P793" s="292" t="n"/>
      <c r="Q793" s="292" t="inlineStr">
        <is>
          <t>candidate-preflight-passed</t>
        </is>
      </c>
      <c r="R793" s="292" t="str"/>
      <c r="S793" s="292" t="inlineStr">
        <is>
          <t>玄渊二十套全装备代码总表.xlsx</t>
        </is>
      </c>
      <c r="T793" s="292" t="inlineStr">
        <is>
          <t>玄渊20套全装备视觉候选；Items/StateItem/DnItems三库同码；属性待策划填写；OverLap=4; Expand1=9</t>
        </is>
      </c>
      <c r="U793">
        <f>IF(COUNTIF($B$2:$B$1076,B793)&gt;1,"重复","")</f>
        <v/>
      </c>
      <c r="V793">
        <f>IF(AND(OR(M793="",M793=B793),OR(N793="",N793=B793),OR(O793="",O793=B793)),"通过","不一致")</f>
        <v/>
      </c>
    </row>
    <row r="794" ht="22" customHeight="1">
      <c r="A794" s="398" t="n">
        <v>793</v>
      </c>
      <c r="B794" s="398" t="n">
        <v>6813</v>
      </c>
      <c r="C794" s="399" t="inlineStr">
        <is>
          <t>星渊龙息·龙鳞</t>
        </is>
      </c>
      <c r="D794" s="399" t="inlineStr">
        <is>
          <t>星渊龙息</t>
        </is>
      </c>
      <c r="E794" s="399" t="n">
        <v>2</v>
      </c>
      <c r="F794" s="399" t="inlineStr">
        <is>
          <t>生肖10</t>
        </is>
      </c>
      <c r="G794" s="398" t="n">
        <v>22</v>
      </c>
      <c r="H794" s="398" t="n">
        <v>49</v>
      </c>
      <c r="I794" s="398" t="n">
        <v>6813</v>
      </c>
      <c r="J794" s="398" t="n">
        <v>0</v>
      </c>
      <c r="K794" s="398" t="n">
        <v>4</v>
      </c>
      <c r="L794" s="398" t="n">
        <v>10</v>
      </c>
      <c r="M794" s="398" t="n">
        <v>6813</v>
      </c>
      <c r="N794" s="398" t="n">
        <v>6813</v>
      </c>
      <c r="O794" s="398" t="n">
        <v>6813</v>
      </c>
      <c r="P794" s="292" t="n"/>
      <c r="Q794" s="292" t="inlineStr">
        <is>
          <t>candidate-preflight-passed</t>
        </is>
      </c>
      <c r="R794" s="292" t="str"/>
      <c r="S794" s="292" t="inlineStr">
        <is>
          <t>玄渊二十套全装备代码总表.xlsx</t>
        </is>
      </c>
      <c r="T794" s="292" t="inlineStr">
        <is>
          <t>玄渊20套全装备视觉候选；Items/StateItem/DnItems三库同码；属性待策划填写；OverLap=4; Expand1=10</t>
        </is>
      </c>
      <c r="U794">
        <f>IF(COUNTIF($B$2:$B$1076,B794)&gt;1,"重复","")</f>
        <v/>
      </c>
      <c r="V794">
        <f>IF(AND(OR(M794="",M794=B794),OR(N794="",N794=B794),OR(O794="",O794=B794)),"通过","不一致")</f>
        <v/>
      </c>
    </row>
    <row r="795" ht="22" customHeight="1">
      <c r="A795" s="398" t="n">
        <v>794</v>
      </c>
      <c r="B795" s="398" t="n">
        <v>6814</v>
      </c>
      <c r="C795" s="399" t="inlineStr">
        <is>
          <t>星渊龙息·龙鳞</t>
        </is>
      </c>
      <c r="D795" s="399" t="inlineStr">
        <is>
          <t>星渊龙息</t>
        </is>
      </c>
      <c r="E795" s="399" t="n">
        <v>2</v>
      </c>
      <c r="F795" s="399" t="inlineStr">
        <is>
          <t>生肖11</t>
        </is>
      </c>
      <c r="G795" s="398" t="n">
        <v>22</v>
      </c>
      <c r="H795" s="398" t="n">
        <v>50</v>
      </c>
      <c r="I795" s="398" t="n">
        <v>6814</v>
      </c>
      <c r="J795" s="398" t="n">
        <v>0</v>
      </c>
      <c r="K795" s="398" t="n">
        <v>4</v>
      </c>
      <c r="L795" s="398" t="n">
        <v>11</v>
      </c>
      <c r="M795" s="398" t="n">
        <v>6814</v>
      </c>
      <c r="N795" s="398" t="n">
        <v>6814</v>
      </c>
      <c r="O795" s="398" t="n">
        <v>6814</v>
      </c>
      <c r="P795" s="292" t="n"/>
      <c r="Q795" s="292" t="inlineStr">
        <is>
          <t>candidate-preflight-passed</t>
        </is>
      </c>
      <c r="R795" s="292" t="str"/>
      <c r="S795" s="292" t="inlineStr">
        <is>
          <t>玄渊二十套全装备代码总表.xlsx</t>
        </is>
      </c>
      <c r="T795" s="292" t="inlineStr">
        <is>
          <t>玄渊20套全装备视觉候选；Items/StateItem/DnItems三库同码；属性待策划填写；OverLap=4; Expand1=11</t>
        </is>
      </c>
      <c r="U795">
        <f>IF(COUNTIF($B$2:$B$1076,B795)&gt;1,"重复","")</f>
        <v/>
      </c>
      <c r="V795">
        <f>IF(AND(OR(M795="",M795=B795),OR(N795="",N795=B795),OR(O795="",O795=B795)),"通过","不一致")</f>
        <v/>
      </c>
    </row>
    <row r="796" ht="22" customHeight="1">
      <c r="A796" s="398" t="n">
        <v>795</v>
      </c>
      <c r="B796" s="398" t="n">
        <v>6815</v>
      </c>
      <c r="C796" s="399" t="inlineStr">
        <is>
          <t>星渊龙息·龙鳞</t>
        </is>
      </c>
      <c r="D796" s="399" t="inlineStr">
        <is>
          <t>星渊龙息</t>
        </is>
      </c>
      <c r="E796" s="399" t="n">
        <v>2</v>
      </c>
      <c r="F796" s="399" t="inlineStr">
        <is>
          <t>生肖12</t>
        </is>
      </c>
      <c r="G796" s="398" t="n">
        <v>22</v>
      </c>
      <c r="H796" s="398" t="n">
        <v>51</v>
      </c>
      <c r="I796" s="398" t="n">
        <v>6815</v>
      </c>
      <c r="J796" s="398" t="n">
        <v>0</v>
      </c>
      <c r="K796" s="398" t="n">
        <v>4</v>
      </c>
      <c r="L796" s="398" t="n">
        <v>12</v>
      </c>
      <c r="M796" s="398" t="n">
        <v>6815</v>
      </c>
      <c r="N796" s="398" t="n">
        <v>6815</v>
      </c>
      <c r="O796" s="398" t="n">
        <v>6815</v>
      </c>
      <c r="P796" s="292" t="n"/>
      <c r="Q796" s="292" t="inlineStr">
        <is>
          <t>candidate-preflight-passed</t>
        </is>
      </c>
      <c r="R796" s="292" t="str"/>
      <c r="S796" s="292" t="inlineStr">
        <is>
          <t>玄渊二十套全装备代码总表.xlsx</t>
        </is>
      </c>
      <c r="T796" s="292" t="inlineStr">
        <is>
          <t>玄渊20套全装备视觉候选；Items/StateItem/DnItems三库同码；属性待策划填写；OverLap=4; Expand1=12</t>
        </is>
      </c>
      <c r="U796">
        <f>IF(COUNTIF($B$2:$B$1076,B796)&gt;1,"重复","")</f>
        <v/>
      </c>
      <c r="V796">
        <f>IF(AND(OR(M796="",M796=B796),OR(N796="",N796=B796),OR(O796="",O796=B796)),"通过","不一致")</f>
        <v/>
      </c>
    </row>
    <row r="797" ht="22" customHeight="1">
      <c r="A797" s="398" t="n">
        <v>796</v>
      </c>
      <c r="B797" s="398" t="n">
        <v>6816</v>
      </c>
      <c r="C797" s="399" t="inlineStr">
        <is>
          <t>星渊龙息·渊辉</t>
        </is>
      </c>
      <c r="D797" s="399" t="inlineStr">
        <is>
          <t>星渊龙息</t>
        </is>
      </c>
      <c r="E797" s="399" t="n">
        <v>3</v>
      </c>
      <c r="F797" s="399" t="inlineStr">
        <is>
          <t>武器</t>
        </is>
      </c>
      <c r="G797" s="398" t="n">
        <v>5</v>
      </c>
      <c r="H797" s="398" t="n">
        <v>1</v>
      </c>
      <c r="I797" s="398" t="n">
        <v>6816</v>
      </c>
      <c r="J797" s="398" t="n">
        <v>28</v>
      </c>
      <c r="K797" s="398" t="n">
        <v>0</v>
      </c>
      <c r="L797" s="398" t="n">
        <v>0</v>
      </c>
      <c r="M797" s="398" t="n">
        <v>6816</v>
      </c>
      <c r="N797" s="398" t="n">
        <v>6816</v>
      </c>
      <c r="O797" s="398" t="n">
        <v>6816</v>
      </c>
      <c r="P797" s="292" t="inlineStr">
        <is>
          <t>Weapon.wzl/wzx（复用现有真实动作）</t>
        </is>
      </c>
      <c r="Q797" s="292" t="inlineStr">
        <is>
          <t>candidate-preflight-passed</t>
        </is>
      </c>
      <c r="R797" s="324" t="inlineStr">
        <is>
          <t>C3-C10规划锁定：阿涅的誓渠枪</t>
        </is>
      </c>
      <c r="S797" s="292" t="inlineStr">
        <is>
          <t>玄渊二十套全装备代码总表.xlsx</t>
        </is>
      </c>
      <c r="T797" s="292" t="inlineStr">
        <is>
          <t>玄渊20套全装备视觉候选；Items/StateItem/DnItems三库同码；属性待策划填写；Weapon Shape=28</t>
        </is>
      </c>
      <c r="U797">
        <f>IF(COUNTIF($B$2:$B$1076,B797)&gt;1,"重复","")</f>
        <v/>
      </c>
      <c r="V797">
        <f>IF(AND(OR(M797="",M797=B797),OR(N797="",N797=B797),OR(O797="",O797=B797)),"通过","不一致")</f>
        <v/>
      </c>
    </row>
    <row r="798" ht="22" customHeight="1">
      <c r="A798" s="398" t="n">
        <v>797</v>
      </c>
      <c r="B798" s="398" t="n">
        <v>6817</v>
      </c>
      <c r="C798" s="399" t="inlineStr">
        <is>
          <t>星渊龙息·渊辉</t>
        </is>
      </c>
      <c r="D798" s="399" t="inlineStr">
        <is>
          <t>星渊龙息</t>
        </is>
      </c>
      <c r="E798" s="399" t="n">
        <v>3</v>
      </c>
      <c r="F798" s="399" t="inlineStr">
        <is>
          <t>男衣服</t>
        </is>
      </c>
      <c r="G798" s="398" t="n">
        <v>10</v>
      </c>
      <c r="H798" s="398" t="n">
        <v>0</v>
      </c>
      <c r="I798" s="398" t="n">
        <v>6817</v>
      </c>
      <c r="J798" s="398" t="n">
        <v>5</v>
      </c>
      <c r="K798" s="398" t="n">
        <v>0</v>
      </c>
      <c r="L798" s="398" t="n">
        <v>0</v>
      </c>
      <c r="M798" s="398" t="n">
        <v>6817</v>
      </c>
      <c r="N798" s="398" t="n">
        <v>6817</v>
      </c>
      <c r="O798" s="398" t="n">
        <v>6817</v>
      </c>
      <c r="P798" s="292" t="inlineStr">
        <is>
          <t>Hum.wzl/wzx（复用现有真实动作）</t>
        </is>
      </c>
      <c r="Q798" s="292" t="inlineStr">
        <is>
          <t>candidate-preflight-passed</t>
        </is>
      </c>
      <c r="R798" s="324" t="inlineStr">
        <is>
          <t>C3-C10规划锁定：弥洛镜水衣</t>
        </is>
      </c>
      <c r="S798" s="292" t="inlineStr">
        <is>
          <t>玄渊二十套全装备代码总表.xlsx</t>
        </is>
      </c>
      <c r="T798" s="292" t="inlineStr">
        <is>
          <t>玄渊20套全装备视觉候选；Items/StateItem/DnItems三库同码；属性待策划填写；Hum Shape=5</t>
        </is>
      </c>
      <c r="U798">
        <f>IF(COUNTIF($B$2:$B$1076,B798)&gt;1,"重复","")</f>
        <v/>
      </c>
      <c r="V798">
        <f>IF(AND(OR(M798="",M798=B798),OR(N798="",N798=B798),OR(O798="",O798=B798)),"通过","不一致")</f>
        <v/>
      </c>
    </row>
    <row r="799" ht="22" customHeight="1">
      <c r="A799" s="398" t="n">
        <v>798</v>
      </c>
      <c r="B799" s="398" t="n">
        <v>6818</v>
      </c>
      <c r="C799" s="399" t="inlineStr">
        <is>
          <t>星渊龙息·渊辉</t>
        </is>
      </c>
      <c r="D799" s="399" t="inlineStr">
        <is>
          <t>星渊龙息</t>
        </is>
      </c>
      <c r="E799" s="399" t="n">
        <v>3</v>
      </c>
      <c r="F799" s="399" t="inlineStr">
        <is>
          <t>女衣服</t>
        </is>
      </c>
      <c r="G799" s="398" t="n">
        <v>11</v>
      </c>
      <c r="H799" s="398" t="n">
        <v>0</v>
      </c>
      <c r="I799" s="398" t="n">
        <v>6818</v>
      </c>
      <c r="J799" s="398" t="n">
        <v>5</v>
      </c>
      <c r="K799" s="398" t="n">
        <v>0</v>
      </c>
      <c r="L799" s="398" t="n">
        <v>0</v>
      </c>
      <c r="M799" s="398" t="n">
        <v>6818</v>
      </c>
      <c r="N799" s="398" t="n">
        <v>6818</v>
      </c>
      <c r="O799" s="398" t="n">
        <v>6818</v>
      </c>
      <c r="P799" s="292" t="inlineStr">
        <is>
          <t>Hum.wzl/wzx（复用现有真实动作）</t>
        </is>
      </c>
      <c r="Q799" s="292" t="inlineStr">
        <is>
          <t>candidate-preflight-passed</t>
        </is>
      </c>
      <c r="R799" s="292" t="str"/>
      <c r="S799" s="292" t="inlineStr">
        <is>
          <t>玄渊二十套全装备代码总表.xlsx</t>
        </is>
      </c>
      <c r="T799" s="292" t="inlineStr">
        <is>
          <t>玄渊20套全装备视觉候选；Items/StateItem/DnItems三库同码；属性待策划填写；Hum Shape=5</t>
        </is>
      </c>
      <c r="U799">
        <f>IF(COUNTIF($B$2:$B$1076,B799)&gt;1,"重复","")</f>
        <v/>
      </c>
      <c r="V799">
        <f>IF(AND(OR(M799="",M799=B799),OR(N799="",N799=B799),OR(O799="",O799=B799)),"通过","不一致")</f>
        <v/>
      </c>
    </row>
    <row r="800" ht="22" customHeight="1">
      <c r="A800" s="398" t="n">
        <v>799</v>
      </c>
      <c r="B800" s="398" t="n">
        <v>6819</v>
      </c>
      <c r="C800" s="399" t="inlineStr">
        <is>
          <t>星渊龙息·渊辉</t>
        </is>
      </c>
      <c r="D800" s="399" t="inlineStr">
        <is>
          <t>星渊龙息</t>
        </is>
      </c>
      <c r="E800" s="399" t="n">
        <v>3</v>
      </c>
      <c r="F800" s="399" t="inlineStr">
        <is>
          <t>头盔</t>
        </is>
      </c>
      <c r="G800" s="398" t="n">
        <v>15</v>
      </c>
      <c r="H800" s="398" t="n">
        <v>4</v>
      </c>
      <c r="I800" s="398" t="n">
        <v>6819</v>
      </c>
      <c r="J800" s="398" t="n">
        <v>0</v>
      </c>
      <c r="K800" s="398" t="n">
        <v>0</v>
      </c>
      <c r="L800" s="398" t="n">
        <v>0</v>
      </c>
      <c r="M800" s="398" t="n">
        <v>6819</v>
      </c>
      <c r="N800" s="398" t="n">
        <v>6819</v>
      </c>
      <c r="O800" s="398" t="n">
        <v>6819</v>
      </c>
      <c r="P800" s="292" t="n"/>
      <c r="Q800" s="292" t="inlineStr">
        <is>
          <t>candidate-preflight-passed</t>
        </is>
      </c>
      <c r="R800" s="324" t="inlineStr">
        <is>
          <t>C3-C10规划锁定：骨鸥喙盔</t>
        </is>
      </c>
      <c r="S800" s="292" t="inlineStr">
        <is>
          <t>玄渊二十套全装备代码总表.xlsx</t>
        </is>
      </c>
      <c r="T800" s="292" t="inlineStr">
        <is>
          <t>玄渊20套全装备视觉候选；Items/StateItem/DnItems三库同码；属性待策划填写</t>
        </is>
      </c>
      <c r="U800">
        <f>IF(COUNTIF($B$2:$B$1076,B800)&gt;1,"重复","")</f>
        <v/>
      </c>
      <c r="V800">
        <f>IF(AND(OR(M800="",M800=B800),OR(N800="",N800=B800),OR(O800="",O800=B800)),"通过","不一致")</f>
        <v/>
      </c>
    </row>
    <row r="801" ht="22" customHeight="1">
      <c r="A801" s="398" t="n">
        <v>800</v>
      </c>
      <c r="B801" s="398" t="n">
        <v>6820</v>
      </c>
      <c r="C801" s="399" t="inlineStr">
        <is>
          <t>星渊龙息·渊辉</t>
        </is>
      </c>
      <c r="D801" s="399" t="inlineStr">
        <is>
          <t>星渊龙息</t>
        </is>
      </c>
      <c r="E801" s="399" t="n">
        <v>3</v>
      </c>
      <c r="F801" s="399" t="inlineStr">
        <is>
          <t>面巾</t>
        </is>
      </c>
      <c r="G801" s="398" t="n">
        <v>16</v>
      </c>
      <c r="H801" s="398" t="n">
        <v>13</v>
      </c>
      <c r="I801" s="398" t="n">
        <v>6820</v>
      </c>
      <c r="J801" s="398" t="n">
        <v>0</v>
      </c>
      <c r="K801" s="398" t="n">
        <v>0</v>
      </c>
      <c r="L801" s="398" t="n">
        <v>0</v>
      </c>
      <c r="M801" s="398" t="n">
        <v>6820</v>
      </c>
      <c r="N801" s="398" t="n">
        <v>6820</v>
      </c>
      <c r="O801" s="398" t="n">
        <v>6820</v>
      </c>
      <c r="P801" s="292" t="n"/>
      <c r="Q801" s="292" t="inlineStr">
        <is>
          <t>candidate-preflight-passed</t>
        </is>
      </c>
      <c r="R801" s="324" t="inlineStr">
        <is>
          <t>C3-C10规划锁定：问名官冥笠</t>
        </is>
      </c>
      <c r="S801" s="292" t="inlineStr">
        <is>
          <t>玄渊二十套全装备代码总表.xlsx</t>
        </is>
      </c>
      <c r="T801" s="292" t="inlineStr">
        <is>
          <t>玄渊20套全装备视觉候选；Items/StateItem/DnItems三库同码；属性待策划填写</t>
        </is>
      </c>
      <c r="U801">
        <f>IF(COUNTIF($B$2:$B$1076,B801)&gt;1,"重复","")</f>
        <v/>
      </c>
      <c r="V801">
        <f>IF(AND(OR(M801="",M801=B801),OR(N801="",N801=B801),OR(O801="",O801=B801)),"通过","不一致")</f>
        <v/>
      </c>
    </row>
    <row r="802" ht="22" customHeight="1">
      <c r="A802" s="398" t="n">
        <v>801</v>
      </c>
      <c r="B802" s="398" t="n">
        <v>6821</v>
      </c>
      <c r="C802" s="399" t="inlineStr">
        <is>
          <t>星渊龙息·渊辉</t>
        </is>
      </c>
      <c r="D802" s="399" t="inlineStr">
        <is>
          <t>星渊龙息</t>
        </is>
      </c>
      <c r="E802" s="399" t="n">
        <v>3</v>
      </c>
      <c r="F802" s="399" t="inlineStr">
        <is>
          <t>项链</t>
        </is>
      </c>
      <c r="G802" s="398" t="n">
        <v>19</v>
      </c>
      <c r="H802" s="398" t="n">
        <v>3</v>
      </c>
      <c r="I802" s="398" t="n">
        <v>6821</v>
      </c>
      <c r="J802" s="398" t="n">
        <v>0</v>
      </c>
      <c r="K802" s="398" t="n">
        <v>0</v>
      </c>
      <c r="L802" s="398" t="n">
        <v>0</v>
      </c>
      <c r="M802" s="398" t="n">
        <v>6821</v>
      </c>
      <c r="N802" s="398" t="n">
        <v>6821</v>
      </c>
      <c r="O802" s="398" t="n">
        <v>6821</v>
      </c>
      <c r="P802" s="292" t="n"/>
      <c r="Q802" s="292" t="inlineStr">
        <is>
          <t>candidate-preflight-passed</t>
        </is>
      </c>
      <c r="R802" s="324" t="inlineStr">
        <is>
          <t>C3-C10规划锁定：引魂铜铃链</t>
        </is>
      </c>
      <c r="S802" s="292" t="inlineStr">
        <is>
          <t>玄渊二十套全装备代码总表.xlsx</t>
        </is>
      </c>
      <c r="T802" s="292" t="inlineStr">
        <is>
          <t>玄渊20套全装备视觉候选；Items/StateItem/DnItems三库同码；属性待策划填写</t>
        </is>
      </c>
      <c r="U802">
        <f>IF(COUNTIF($B$2:$B$1076,B802)&gt;1,"重复","")</f>
        <v/>
      </c>
      <c r="V802">
        <f>IF(AND(OR(M802="",M802=B802),OR(N802="",N802=B802),OR(O802="",O802=B802)),"通过","不一致")</f>
        <v/>
      </c>
    </row>
    <row r="803" ht="22" customHeight="1">
      <c r="A803" s="398" t="n">
        <v>802</v>
      </c>
      <c r="B803" s="398" t="n">
        <v>6822</v>
      </c>
      <c r="C803" s="399" t="inlineStr">
        <is>
          <t>星渊龙息·渊辉</t>
        </is>
      </c>
      <c r="D803" s="399" t="inlineStr">
        <is>
          <t>星渊龙息</t>
        </is>
      </c>
      <c r="E803" s="399" t="n">
        <v>3</v>
      </c>
      <c r="F803" s="399" t="inlineStr">
        <is>
          <t>手镯</t>
        </is>
      </c>
      <c r="G803" s="398" t="n">
        <v>26</v>
      </c>
      <c r="H803" s="398" t="n">
        <v>5</v>
      </c>
      <c r="I803" s="398" t="n">
        <v>6822</v>
      </c>
      <c r="J803" s="398" t="n">
        <v>0</v>
      </c>
      <c r="K803" s="398" t="n">
        <v>0</v>
      </c>
      <c r="L803" s="398" t="n">
        <v>0</v>
      </c>
      <c r="M803" s="398" t="n">
        <v>6822</v>
      </c>
      <c r="N803" s="398" t="n">
        <v>6822</v>
      </c>
      <c r="O803" s="398" t="n">
        <v>6822</v>
      </c>
      <c r="P803" s="292" t="n"/>
      <c r="Q803" s="292" t="inlineStr">
        <is>
          <t>candidate-preflight-passed</t>
        </is>
      </c>
      <c r="R803" s="324" t="inlineStr">
        <is>
          <t>C3-C10规划锁定：月痕咒镯</t>
        </is>
      </c>
      <c r="S803" s="292" t="inlineStr">
        <is>
          <t>玄渊二十套全装备代码总表.xlsx</t>
        </is>
      </c>
      <c r="T803" s="292" t="inlineStr">
        <is>
          <t>玄渊20套全装备视觉候选；Items/StateItem/DnItems三库同码；属性待策划填写</t>
        </is>
      </c>
      <c r="U803">
        <f>IF(COUNTIF($B$2:$B$1076,B803)&gt;1,"重复","")</f>
        <v/>
      </c>
      <c r="V803">
        <f>IF(AND(OR(M803="",M803=B803),OR(N803="",N803=B803),OR(O803="",O803=B803)),"通过","不一致")</f>
        <v/>
      </c>
    </row>
    <row r="804" ht="22" customHeight="1">
      <c r="A804" s="398" t="n">
        <v>803</v>
      </c>
      <c r="B804" s="398" t="n">
        <v>6823</v>
      </c>
      <c r="C804" s="399" t="inlineStr">
        <is>
          <t>星渊龙息·渊辉</t>
        </is>
      </c>
      <c r="D804" s="399" t="inlineStr">
        <is>
          <t>星渊龙息</t>
        </is>
      </c>
      <c r="E804" s="399" t="n">
        <v>3</v>
      </c>
      <c r="F804" s="399" t="inlineStr">
        <is>
          <t>戒指</t>
        </is>
      </c>
      <c r="G804" s="398" t="n">
        <v>22</v>
      </c>
      <c r="H804" s="398" t="n">
        <v>7</v>
      </c>
      <c r="I804" s="398" t="n">
        <v>6823</v>
      </c>
      <c r="J804" s="398" t="n">
        <v>0</v>
      </c>
      <c r="K804" s="398" t="n">
        <v>0</v>
      </c>
      <c r="L804" s="398" t="n">
        <v>0</v>
      </c>
      <c r="M804" s="398" t="n">
        <v>6823</v>
      </c>
      <c r="N804" s="398" t="n">
        <v>6823</v>
      </c>
      <c r="O804" s="398" t="n">
        <v>6823</v>
      </c>
      <c r="P804" s="292" t="n"/>
      <c r="Q804" s="292" t="inlineStr">
        <is>
          <t>candidate-preflight-passed</t>
        </is>
      </c>
      <c r="R804" s="324" t="inlineStr">
        <is>
          <t>C3-C10规划锁定：黑帆魂戒</t>
        </is>
      </c>
      <c r="S804" s="292" t="inlineStr">
        <is>
          <t>玄渊二十套全装备代码总表.xlsx</t>
        </is>
      </c>
      <c r="T804" s="292" t="inlineStr">
        <is>
          <t>玄渊20套全装备视觉候选；Items/StateItem/DnItems三库同码；属性待策划填写</t>
        </is>
      </c>
      <c r="U804">
        <f>IF(COUNTIF($B$2:$B$1076,B804)&gt;1,"重复","")</f>
        <v/>
      </c>
      <c r="V804">
        <f>IF(AND(OR(M804="",M804=B804),OR(N804="",N804=B804),OR(O804="",O804=B804)),"通过","不一致")</f>
        <v/>
      </c>
    </row>
    <row r="805" ht="22" customHeight="1">
      <c r="A805" s="398" t="n">
        <v>804</v>
      </c>
      <c r="B805" s="398" t="n">
        <v>6824</v>
      </c>
      <c r="C805" s="399" t="inlineStr">
        <is>
          <t>星渊龙息·渊辉</t>
        </is>
      </c>
      <c r="D805" s="399" t="inlineStr">
        <is>
          <t>星渊龙息</t>
        </is>
      </c>
      <c r="E805" s="399" t="n">
        <v>3</v>
      </c>
      <c r="F805" s="399" t="inlineStr">
        <is>
          <t>勋章</t>
        </is>
      </c>
      <c r="G805" s="398" t="n">
        <v>30</v>
      </c>
      <c r="H805" s="398" t="n">
        <v>2</v>
      </c>
      <c r="I805" s="398" t="n">
        <v>6824</v>
      </c>
      <c r="J805" s="398" t="n">
        <v>0</v>
      </c>
      <c r="K805" s="398" t="n">
        <v>0</v>
      </c>
      <c r="L805" s="398" t="n">
        <v>0</v>
      </c>
      <c r="M805" s="398" t="n">
        <v>6824</v>
      </c>
      <c r="N805" s="398" t="n">
        <v>6824</v>
      </c>
      <c r="O805" s="398" t="n">
        <v>6824</v>
      </c>
      <c r="P805" s="292" t="n"/>
      <c r="Q805" s="292" t="inlineStr">
        <is>
          <t>candidate-preflight-passed</t>
        </is>
      </c>
      <c r="R805" s="324" t="inlineStr">
        <is>
          <t>C3-C10规划锁定：琉潮白鳍章</t>
        </is>
      </c>
      <c r="S805" s="292" t="inlineStr">
        <is>
          <t>玄渊二十套全装备代码总表.xlsx</t>
        </is>
      </c>
      <c r="T805" s="292" t="inlineStr">
        <is>
          <t>玄渊20套全装备视觉候选；Items/StateItem/DnItems三库同码；属性待策划填写</t>
        </is>
      </c>
      <c r="U805">
        <f>IF(COUNTIF($B$2:$B$1076,B805)&gt;1,"重复","")</f>
        <v/>
      </c>
      <c r="V805">
        <f>IF(AND(OR(M805="",M805=B805),OR(N805="",N805=B805),OR(O805="",O805=B805)),"通过","不一致")</f>
        <v/>
      </c>
    </row>
    <row r="806" ht="22" customHeight="1">
      <c r="A806" s="398" t="n">
        <v>805</v>
      </c>
      <c r="B806" s="398" t="n">
        <v>6825</v>
      </c>
      <c r="C806" s="399" t="inlineStr">
        <is>
          <t>星渊龙息·渊辉</t>
        </is>
      </c>
      <c r="D806" s="399" t="inlineStr">
        <is>
          <t>星渊龙息</t>
        </is>
      </c>
      <c r="E806" s="399" t="n">
        <v>3</v>
      </c>
      <c r="F806" s="399" t="inlineStr">
        <is>
          <t>盾牌</t>
        </is>
      </c>
      <c r="G806" s="398" t="n">
        <v>12</v>
      </c>
      <c r="H806" s="398" t="n">
        <v>16</v>
      </c>
      <c r="I806" s="398" t="n">
        <v>6825</v>
      </c>
      <c r="J806" s="398" t="n">
        <v>0</v>
      </c>
      <c r="K806" s="398" t="n">
        <v>0</v>
      </c>
      <c r="L806" s="398" t="n">
        <v>0</v>
      </c>
      <c r="M806" s="398" t="n">
        <v>6825</v>
      </c>
      <c r="N806" s="398" t="n">
        <v>6825</v>
      </c>
      <c r="O806" s="398" t="n">
        <v>6825</v>
      </c>
      <c r="P806" s="292" t="n"/>
      <c r="Q806" s="292" t="inlineStr">
        <is>
          <t>candidate-preflight-passed</t>
        </is>
      </c>
      <c r="R806" s="324" t="inlineStr">
        <is>
          <t>C3-C10规划锁定：苔纹潮壳盾</t>
        </is>
      </c>
      <c r="S806" s="292" t="inlineStr">
        <is>
          <t>玄渊二十套全装备代码总表.xlsx</t>
        </is>
      </c>
      <c r="T806" s="292" t="inlineStr">
        <is>
          <t>玄渊20套全装备视觉候选；Items/StateItem/DnItems三库同码；属性待策划填写</t>
        </is>
      </c>
      <c r="U806">
        <f>IF(COUNTIF($B$2:$B$1076,B806)&gt;1,"重复","")</f>
        <v/>
      </c>
      <c r="V806">
        <f>IF(AND(OR(M806="",M806=B806),OR(N806="",N806=B806),OR(O806="",O806=B806)),"通过","不一致")</f>
        <v/>
      </c>
    </row>
    <row r="807" ht="22" customHeight="1">
      <c r="A807" s="398" t="n">
        <v>806</v>
      </c>
      <c r="B807" s="398" t="n">
        <v>6826</v>
      </c>
      <c r="C807" s="399" t="inlineStr">
        <is>
          <t>星渊龙息·渊辉</t>
        </is>
      </c>
      <c r="D807" s="399" t="inlineStr">
        <is>
          <t>星渊龙息</t>
        </is>
      </c>
      <c r="E807" s="399" t="n">
        <v>3</v>
      </c>
      <c r="F807" s="399" t="inlineStr">
        <is>
          <t>灵玉</t>
        </is>
      </c>
      <c r="G807" s="398" t="n">
        <v>90</v>
      </c>
      <c r="H807" s="398" t="n">
        <v>17</v>
      </c>
      <c r="I807" s="398" t="n">
        <v>6826</v>
      </c>
      <c r="J807" s="398" t="n">
        <v>0</v>
      </c>
      <c r="K807" s="398" t="n">
        <v>0</v>
      </c>
      <c r="L807" s="398" t="n">
        <v>0</v>
      </c>
      <c r="M807" s="398" t="n">
        <v>6826</v>
      </c>
      <c r="N807" s="398" t="n">
        <v>6826</v>
      </c>
      <c r="O807" s="398" t="n">
        <v>6826</v>
      </c>
      <c r="P807" s="292" t="n"/>
      <c r="Q807" s="292" t="inlineStr">
        <is>
          <t>candidate-preflight-passed</t>
        </is>
      </c>
      <c r="R807" s="292" t="str"/>
      <c r="S807" s="292" t="inlineStr">
        <is>
          <t>玄渊二十套全装备代码总表.xlsx</t>
        </is>
      </c>
      <c r="T807" s="292" t="inlineStr">
        <is>
          <t>玄渊20套全装备视觉候选；Items/StateItem/DnItems三库同码；属性待策划填写</t>
        </is>
      </c>
      <c r="U807">
        <f>IF(COUNTIF($B$2:$B$1076,B807)&gt;1,"重复","")</f>
        <v/>
      </c>
      <c r="V807">
        <f>IF(AND(OR(M807="",M807=B807),OR(N807="",N807=B807),OR(O807="",O807=B807)),"通过","不一致")</f>
        <v/>
      </c>
    </row>
    <row r="808" ht="22" customHeight="1">
      <c r="A808" s="398" t="n">
        <v>807</v>
      </c>
      <c r="B808" s="398" t="n">
        <v>6827</v>
      </c>
      <c r="C808" s="399" t="inlineStr">
        <is>
          <t>星渊龙息·渊辉</t>
        </is>
      </c>
      <c r="D808" s="399" t="inlineStr">
        <is>
          <t>星渊龙息</t>
        </is>
      </c>
      <c r="E808" s="399" t="n">
        <v>3</v>
      </c>
      <c r="F808" s="399" t="inlineStr">
        <is>
          <t>鞋子</t>
        </is>
      </c>
      <c r="G808" s="398" t="n">
        <v>62</v>
      </c>
      <c r="H808" s="398" t="n">
        <v>11</v>
      </c>
      <c r="I808" s="398" t="n">
        <v>6827</v>
      </c>
      <c r="J808" s="398" t="n">
        <v>0</v>
      </c>
      <c r="K808" s="398" t="n">
        <v>0</v>
      </c>
      <c r="L808" s="398" t="n">
        <v>0</v>
      </c>
      <c r="M808" s="398" t="n">
        <v>6827</v>
      </c>
      <c r="N808" s="398" t="n">
        <v>6827</v>
      </c>
      <c r="O808" s="398" t="n">
        <v>6827</v>
      </c>
      <c r="P808" s="292" t="n"/>
      <c r="Q808" s="292" t="inlineStr">
        <is>
          <t>candidate-preflight-passed</t>
        </is>
      </c>
      <c r="R808" s="324" t="inlineStr">
        <is>
          <t>C3-C10规划锁定：封门泥履</t>
        </is>
      </c>
      <c r="S808" s="292" t="inlineStr">
        <is>
          <t>玄渊二十套全装备代码总表.xlsx</t>
        </is>
      </c>
      <c r="T808" s="292" t="inlineStr">
        <is>
          <t>玄渊20套全装备视觉候选；Items/StateItem/DnItems三库同码；属性待策划填写</t>
        </is>
      </c>
      <c r="U808">
        <f>IF(COUNTIF($B$2:$B$1076,B808)&gt;1,"重复","")</f>
        <v/>
      </c>
      <c r="V808">
        <f>IF(AND(OR(M808="",M808=B808),OR(N808="",N808=B808),OR(O808="",O808=B808)),"通过","不一致")</f>
        <v/>
      </c>
    </row>
    <row r="809" ht="22" customHeight="1">
      <c r="A809" s="398" t="n">
        <v>808</v>
      </c>
      <c r="B809" s="398" t="n">
        <v>6828</v>
      </c>
      <c r="C809" s="399" t="inlineStr">
        <is>
          <t>星渊龙息·渊辉</t>
        </is>
      </c>
      <c r="D809" s="399" t="inlineStr">
        <is>
          <t>星渊龙息</t>
        </is>
      </c>
      <c r="E809" s="399" t="n">
        <v>3</v>
      </c>
      <c r="F809" s="399" t="inlineStr">
        <is>
          <t>腰带</t>
        </is>
      </c>
      <c r="G809" s="398" t="n">
        <v>64</v>
      </c>
      <c r="H809" s="398" t="n">
        <v>10</v>
      </c>
      <c r="I809" s="398" t="n">
        <v>6828</v>
      </c>
      <c r="J809" s="398" t="n">
        <v>0</v>
      </c>
      <c r="K809" s="398" t="n">
        <v>0</v>
      </c>
      <c r="L809" s="398" t="n">
        <v>0</v>
      </c>
      <c r="M809" s="398" t="n">
        <v>6828</v>
      </c>
      <c r="N809" s="398" t="n">
        <v>6828</v>
      </c>
      <c r="O809" s="398" t="n">
        <v>6828</v>
      </c>
      <c r="P809" s="292" t="n"/>
      <c r="Q809" s="292" t="inlineStr">
        <is>
          <t>candidate-preflight-passed</t>
        </is>
      </c>
      <c r="R809" s="324" t="inlineStr">
        <is>
          <t>C3-C10规划锁定：辉壳束腰</t>
        </is>
      </c>
      <c r="S809" s="292" t="inlineStr">
        <is>
          <t>玄渊二十套全装备代码总表.xlsx</t>
        </is>
      </c>
      <c r="T809" s="292" t="inlineStr">
        <is>
          <t>玄渊20套全装备视觉候选；Items/StateItem/DnItems三库同码；属性待策划填写</t>
        </is>
      </c>
      <c r="U809">
        <f>IF(COUNTIF($B$2:$B$1076,B809)&gt;1,"重复","")</f>
        <v/>
      </c>
      <c r="V809">
        <f>IF(AND(OR(M809="",M809=B809),OR(N809="",N809=B809),OR(O809="",O809=B809)),"通过","不一致")</f>
        <v/>
      </c>
    </row>
    <row r="810" ht="22" customHeight="1">
      <c r="A810" s="398" t="n">
        <v>809</v>
      </c>
      <c r="B810" s="398" t="n">
        <v>6829</v>
      </c>
      <c r="C810" s="399" t="inlineStr">
        <is>
          <t>星渊龙息·渊辉</t>
        </is>
      </c>
      <c r="D810" s="399" t="inlineStr">
        <is>
          <t>星渊龙息</t>
        </is>
      </c>
      <c r="E810" s="399" t="n">
        <v>3</v>
      </c>
      <c r="F810" s="399" t="inlineStr">
        <is>
          <t>护身符</t>
        </is>
      </c>
      <c r="G810" s="398" t="n">
        <v>25</v>
      </c>
      <c r="H810" s="398" t="n">
        <v>9</v>
      </c>
      <c r="I810" s="398" t="n">
        <v>6829</v>
      </c>
      <c r="J810" s="398" t="n">
        <v>0</v>
      </c>
      <c r="K810" s="398" t="n">
        <v>0</v>
      </c>
      <c r="L810" s="398" t="n">
        <v>0</v>
      </c>
      <c r="M810" s="398" t="n">
        <v>6829</v>
      </c>
      <c r="N810" s="398" t="n">
        <v>6829</v>
      </c>
      <c r="O810" s="398" t="n">
        <v>6829</v>
      </c>
      <c r="P810" s="292" t="n"/>
      <c r="Q810" s="292" t="inlineStr">
        <is>
          <t>candidate-preflight-passed</t>
        </is>
      </c>
      <c r="R810" s="292" t="str"/>
      <c r="S810" s="292" t="inlineStr">
        <is>
          <t>玄渊二十套全装备代码总表.xlsx</t>
        </is>
      </c>
      <c r="T810" s="292" t="inlineStr">
        <is>
          <t>玄渊20套全装备视觉候选；Items/StateItem/DnItems三库同码；属性待策划填写</t>
        </is>
      </c>
      <c r="U810">
        <f>IF(COUNTIF($B$2:$B$1076,B810)&gt;1,"重复","")</f>
        <v/>
      </c>
      <c r="V810">
        <f>IF(AND(OR(M810="",M810=B810),OR(N810="",N810=B810),OR(O810="",O810=B810)),"通过","不一致")</f>
        <v/>
      </c>
    </row>
    <row r="811" ht="22" customHeight="1">
      <c r="A811" s="398" t="n">
        <v>810</v>
      </c>
      <c r="B811" s="398" t="n">
        <v>6830</v>
      </c>
      <c r="C811" s="399" t="inlineStr">
        <is>
          <t>星渊龙息·渊辉</t>
        </is>
      </c>
      <c r="D811" s="399" t="inlineStr">
        <is>
          <t>星渊龙息</t>
        </is>
      </c>
      <c r="E811" s="399" t="n">
        <v>3</v>
      </c>
      <c r="F811" s="399" t="inlineStr">
        <is>
          <t>宝石</t>
        </is>
      </c>
      <c r="G811" s="398" t="n">
        <v>63</v>
      </c>
      <c r="H811" s="398" t="n">
        <v>12</v>
      </c>
      <c r="I811" s="398" t="n">
        <v>6830</v>
      </c>
      <c r="J811" s="398" t="n">
        <v>0</v>
      </c>
      <c r="K811" s="398" t="n">
        <v>0</v>
      </c>
      <c r="L811" s="398" t="n">
        <v>0</v>
      </c>
      <c r="M811" s="398" t="n">
        <v>6830</v>
      </c>
      <c r="N811" s="398" t="n">
        <v>6830</v>
      </c>
      <c r="O811" s="398" t="n">
        <v>6830</v>
      </c>
      <c r="P811" s="292" t="n"/>
      <c r="Q811" s="292" t="inlineStr">
        <is>
          <t>candidate-preflight-passed</t>
        </is>
      </c>
      <c r="R811" s="292" t="str"/>
      <c r="S811" s="292" t="inlineStr">
        <is>
          <t>玄渊二十套全装备代码总表.xlsx</t>
        </is>
      </c>
      <c r="T811" s="292" t="inlineStr">
        <is>
          <t>玄渊20套全装备视觉候选；Items/StateItem/DnItems三库同码；属性待策划填写</t>
        </is>
      </c>
      <c r="U811">
        <f>IF(COUNTIF($B$2:$B$1076,B811)&gt;1,"重复","")</f>
        <v/>
      </c>
      <c r="V811">
        <f>IF(AND(OR(M811="",M811=B811),OR(N811="",N811=B811),OR(O811="",O811=B811)),"通过","不一致")</f>
        <v/>
      </c>
    </row>
    <row r="812" ht="22" customHeight="1">
      <c r="A812" s="398" t="n">
        <v>811</v>
      </c>
      <c r="B812" s="398" t="n">
        <v>6831</v>
      </c>
      <c r="C812" s="399" t="inlineStr">
        <is>
          <t>星渊龙息·渊辉</t>
        </is>
      </c>
      <c r="D812" s="399" t="inlineStr">
        <is>
          <t>星渊龙息</t>
        </is>
      </c>
      <c r="E812" s="399" t="n">
        <v>3</v>
      </c>
      <c r="F812" s="399" t="inlineStr">
        <is>
          <t>军鼓</t>
        </is>
      </c>
      <c r="G812" s="398" t="n">
        <v>65</v>
      </c>
      <c r="H812" s="398" t="n">
        <v>14</v>
      </c>
      <c r="I812" s="398" t="n">
        <v>6831</v>
      </c>
      <c r="J812" s="398" t="n">
        <v>0</v>
      </c>
      <c r="K812" s="398" t="n">
        <v>0</v>
      </c>
      <c r="L812" s="398" t="n">
        <v>0</v>
      </c>
      <c r="M812" s="398" t="n">
        <v>6831</v>
      </c>
      <c r="N812" s="398" t="n">
        <v>6831</v>
      </c>
      <c r="O812" s="398" t="n">
        <v>6831</v>
      </c>
      <c r="P812" s="292" t="n"/>
      <c r="Q812" s="292" t="inlineStr">
        <is>
          <t>candidate-preflight-passed</t>
        </is>
      </c>
      <c r="R812" s="292" t="str"/>
      <c r="S812" s="292" t="inlineStr">
        <is>
          <t>玄渊二十套全装备代码总表.xlsx</t>
        </is>
      </c>
      <c r="T812" s="292" t="inlineStr">
        <is>
          <t>玄渊20套全装备视觉候选；Items/StateItem/DnItems三库同码；属性待策划填写</t>
        </is>
      </c>
      <c r="U812">
        <f>IF(COUNTIF($B$2:$B$1076,B812)&gt;1,"重复","")</f>
        <v/>
      </c>
      <c r="V812">
        <f>IF(AND(OR(M812="",M812=B812),OR(N812="",N812=B812),OR(O812="",O812=B812)),"通过","不一致")</f>
        <v/>
      </c>
    </row>
    <row r="813" ht="22" customHeight="1">
      <c r="A813" s="398" t="n">
        <v>812</v>
      </c>
      <c r="B813" s="398" t="n">
        <v>6832</v>
      </c>
      <c r="C813" s="399" t="inlineStr">
        <is>
          <t>星渊龙息·渊辉</t>
        </is>
      </c>
      <c r="D813" s="399" t="inlineStr">
        <is>
          <t>星渊龙息</t>
        </is>
      </c>
      <c r="E813" s="399" t="n">
        <v>3</v>
      </c>
      <c r="F813" s="399" t="inlineStr">
        <is>
          <t>马牌</t>
        </is>
      </c>
      <c r="G813" s="398" t="n">
        <v>28</v>
      </c>
      <c r="H813" s="398" t="n">
        <v>15</v>
      </c>
      <c r="I813" s="398" t="n">
        <v>6832</v>
      </c>
      <c r="J813" s="398" t="n">
        <v>0</v>
      </c>
      <c r="K813" s="398" t="n">
        <v>0</v>
      </c>
      <c r="L813" s="398" t="n">
        <v>0</v>
      </c>
      <c r="M813" s="398" t="n">
        <v>6832</v>
      </c>
      <c r="N813" s="398" t="n">
        <v>6832</v>
      </c>
      <c r="O813" s="398" t="n">
        <v>6832</v>
      </c>
      <c r="P813" s="292" t="n"/>
      <c r="Q813" s="292" t="inlineStr">
        <is>
          <t>candidate-preflight-passed</t>
        </is>
      </c>
      <c r="R813" s="292" t="str"/>
      <c r="S813" s="292" t="inlineStr">
        <is>
          <t>玄渊二十套全装备代码总表.xlsx</t>
        </is>
      </c>
      <c r="T813" s="292" t="inlineStr">
        <is>
          <t>玄渊20套全装备视觉候选；Items/StateItem/DnItems三库同码；属性待策划填写</t>
        </is>
      </c>
      <c r="U813">
        <f>IF(COUNTIF($B$2:$B$1076,B813)&gt;1,"重复","")</f>
        <v/>
      </c>
      <c r="V813">
        <f>IF(AND(OR(M813="",M813=B813),OR(N813="",N813=B813),OR(O813="",O813=B813)),"通过","不一致")</f>
        <v/>
      </c>
    </row>
    <row r="814" ht="22" customHeight="1">
      <c r="A814" s="398" t="n">
        <v>813</v>
      </c>
      <c r="B814" s="398" t="n">
        <v>6833</v>
      </c>
      <c r="C814" s="399" t="inlineStr">
        <is>
          <t>星渊龙息·渊辉</t>
        </is>
      </c>
      <c r="D814" s="399" t="inlineStr">
        <is>
          <t>星渊龙息</t>
        </is>
      </c>
      <c r="E814" s="399" t="n">
        <v>3</v>
      </c>
      <c r="F814" s="399" t="inlineStr">
        <is>
          <t>首饰盒1</t>
        </is>
      </c>
      <c r="G814" s="398" t="n">
        <v>22</v>
      </c>
      <c r="H814" s="398" t="n">
        <v>30</v>
      </c>
      <c r="I814" s="398" t="n">
        <v>6833</v>
      </c>
      <c r="J814" s="398" t="n">
        <v>0</v>
      </c>
      <c r="K814" s="398" t="n">
        <v>2</v>
      </c>
      <c r="L814" s="398" t="n">
        <v>1</v>
      </c>
      <c r="M814" s="398" t="n">
        <v>6833</v>
      </c>
      <c r="N814" s="398" t="n">
        <v>6833</v>
      </c>
      <c r="O814" s="398" t="n">
        <v>6833</v>
      </c>
      <c r="P814" s="292" t="n"/>
      <c r="Q814" s="292" t="inlineStr">
        <is>
          <t>candidate-preflight-passed</t>
        </is>
      </c>
      <c r="R814" s="292" t="str"/>
      <c r="S814" s="292" t="inlineStr">
        <is>
          <t>玄渊二十套全装备代码总表.xlsx</t>
        </is>
      </c>
      <c r="T814" s="292" t="inlineStr">
        <is>
          <t>玄渊20套全装备视觉候选；Items/StateItem/DnItems三库同码；属性待策划填写；OverLap=2; Expand1=1</t>
        </is>
      </c>
      <c r="U814">
        <f>IF(COUNTIF($B$2:$B$1076,B814)&gt;1,"重复","")</f>
        <v/>
      </c>
      <c r="V814">
        <f>IF(AND(OR(M814="",M814=B814),OR(N814="",N814=B814),OR(O814="",O814=B814)),"通过","不一致")</f>
        <v/>
      </c>
    </row>
    <row r="815" ht="22" customHeight="1">
      <c r="A815" s="398" t="n">
        <v>814</v>
      </c>
      <c r="B815" s="398" t="n">
        <v>6834</v>
      </c>
      <c r="C815" s="399" t="inlineStr">
        <is>
          <t>星渊龙息·渊辉</t>
        </is>
      </c>
      <c r="D815" s="399" t="inlineStr">
        <is>
          <t>星渊龙息</t>
        </is>
      </c>
      <c r="E815" s="399" t="n">
        <v>3</v>
      </c>
      <c r="F815" s="399" t="inlineStr">
        <is>
          <t>首饰盒2</t>
        </is>
      </c>
      <c r="G815" s="398" t="n">
        <v>22</v>
      </c>
      <c r="H815" s="398" t="n">
        <v>31</v>
      </c>
      <c r="I815" s="398" t="n">
        <v>6834</v>
      </c>
      <c r="J815" s="398" t="n">
        <v>0</v>
      </c>
      <c r="K815" s="398" t="n">
        <v>2</v>
      </c>
      <c r="L815" s="398" t="n">
        <v>2</v>
      </c>
      <c r="M815" s="398" t="n">
        <v>6834</v>
      </c>
      <c r="N815" s="398" t="n">
        <v>6834</v>
      </c>
      <c r="O815" s="398" t="n">
        <v>6834</v>
      </c>
      <c r="P815" s="292" t="n"/>
      <c r="Q815" s="292" t="inlineStr">
        <is>
          <t>candidate-preflight-passed</t>
        </is>
      </c>
      <c r="R815" s="292" t="str"/>
      <c r="S815" s="292" t="inlineStr">
        <is>
          <t>玄渊二十套全装备代码总表.xlsx</t>
        </is>
      </c>
      <c r="T815" s="292" t="inlineStr">
        <is>
          <t>玄渊20套全装备视觉候选；Items/StateItem/DnItems三库同码；属性待策划填写；OverLap=2; Expand1=2</t>
        </is>
      </c>
      <c r="U815">
        <f>IF(COUNTIF($B$2:$B$1076,B815)&gt;1,"重复","")</f>
        <v/>
      </c>
      <c r="V815">
        <f>IF(AND(OR(M815="",M815=B815),OR(N815="",N815=B815),OR(O815="",O815=B815)),"通过","不一致")</f>
        <v/>
      </c>
    </row>
    <row r="816" ht="22" customHeight="1">
      <c r="A816" s="398" t="n">
        <v>815</v>
      </c>
      <c r="B816" s="398" t="n">
        <v>6835</v>
      </c>
      <c r="C816" s="399" t="inlineStr">
        <is>
          <t>星渊龙息·渊辉</t>
        </is>
      </c>
      <c r="D816" s="399" t="inlineStr">
        <is>
          <t>星渊龙息</t>
        </is>
      </c>
      <c r="E816" s="399" t="n">
        <v>3</v>
      </c>
      <c r="F816" s="399" t="inlineStr">
        <is>
          <t>首饰盒3</t>
        </is>
      </c>
      <c r="G816" s="398" t="n">
        <v>22</v>
      </c>
      <c r="H816" s="398" t="n">
        <v>32</v>
      </c>
      <c r="I816" s="398" t="n">
        <v>6835</v>
      </c>
      <c r="J816" s="398" t="n">
        <v>0</v>
      </c>
      <c r="K816" s="398" t="n">
        <v>2</v>
      </c>
      <c r="L816" s="398" t="n">
        <v>3</v>
      </c>
      <c r="M816" s="398" t="n">
        <v>6835</v>
      </c>
      <c r="N816" s="398" t="n">
        <v>6835</v>
      </c>
      <c r="O816" s="398" t="n">
        <v>6835</v>
      </c>
      <c r="P816" s="292" t="n"/>
      <c r="Q816" s="292" t="inlineStr">
        <is>
          <t>candidate-preflight-passed</t>
        </is>
      </c>
      <c r="R816" s="292" t="str"/>
      <c r="S816" s="292" t="inlineStr">
        <is>
          <t>玄渊二十套全装备代码总表.xlsx</t>
        </is>
      </c>
      <c r="T816" s="292" t="inlineStr">
        <is>
          <t>玄渊20套全装备视觉候选；Items/StateItem/DnItems三库同码；属性待策划填写；OverLap=2; Expand1=3</t>
        </is>
      </c>
      <c r="U816">
        <f>IF(COUNTIF($B$2:$B$1076,B816)&gt;1,"重复","")</f>
        <v/>
      </c>
      <c r="V816">
        <f>IF(AND(OR(M816="",M816=B816),OR(N816="",N816=B816),OR(O816="",O816=B816)),"通过","不一致")</f>
        <v/>
      </c>
    </row>
    <row r="817" ht="22" customHeight="1">
      <c r="A817" s="398" t="n">
        <v>816</v>
      </c>
      <c r="B817" s="398" t="n">
        <v>6836</v>
      </c>
      <c r="C817" s="399" t="inlineStr">
        <is>
          <t>星渊龙息·渊辉</t>
        </is>
      </c>
      <c r="D817" s="399" t="inlineStr">
        <is>
          <t>星渊龙息</t>
        </is>
      </c>
      <c r="E817" s="399" t="n">
        <v>3</v>
      </c>
      <c r="F817" s="399" t="inlineStr">
        <is>
          <t>首饰盒4</t>
        </is>
      </c>
      <c r="G817" s="398" t="n">
        <v>22</v>
      </c>
      <c r="H817" s="398" t="n">
        <v>33</v>
      </c>
      <c r="I817" s="398" t="n">
        <v>6836</v>
      </c>
      <c r="J817" s="398" t="n">
        <v>0</v>
      </c>
      <c r="K817" s="398" t="n">
        <v>2</v>
      </c>
      <c r="L817" s="398" t="n">
        <v>4</v>
      </c>
      <c r="M817" s="398" t="n">
        <v>6836</v>
      </c>
      <c r="N817" s="398" t="n">
        <v>6836</v>
      </c>
      <c r="O817" s="398" t="n">
        <v>6836</v>
      </c>
      <c r="P817" s="292" t="n"/>
      <c r="Q817" s="292" t="inlineStr">
        <is>
          <t>candidate-preflight-passed</t>
        </is>
      </c>
      <c r="R817" s="292" t="str"/>
      <c r="S817" s="292" t="inlineStr">
        <is>
          <t>玄渊二十套全装备代码总表.xlsx</t>
        </is>
      </c>
      <c r="T817" s="292" t="inlineStr">
        <is>
          <t>玄渊20套全装备视觉候选；Items/StateItem/DnItems三库同码；属性待策划填写；OverLap=2; Expand1=4</t>
        </is>
      </c>
      <c r="U817">
        <f>IF(COUNTIF($B$2:$B$1076,B817)&gt;1,"重复","")</f>
        <v/>
      </c>
      <c r="V817">
        <f>IF(AND(OR(M817="",M817=B817),OR(N817="",N817=B817),OR(O817="",O817=B817)),"通过","不一致")</f>
        <v/>
      </c>
    </row>
    <row r="818" ht="22" customHeight="1">
      <c r="A818" s="398" t="n">
        <v>817</v>
      </c>
      <c r="B818" s="398" t="n">
        <v>6837</v>
      </c>
      <c r="C818" s="399" t="inlineStr">
        <is>
          <t>星渊龙息·渊辉</t>
        </is>
      </c>
      <c r="D818" s="399" t="inlineStr">
        <is>
          <t>星渊龙息</t>
        </is>
      </c>
      <c r="E818" s="399" t="n">
        <v>3</v>
      </c>
      <c r="F818" s="399" t="inlineStr">
        <is>
          <t>首饰盒5</t>
        </is>
      </c>
      <c r="G818" s="398" t="n">
        <v>22</v>
      </c>
      <c r="H818" s="398" t="n">
        <v>34</v>
      </c>
      <c r="I818" s="398" t="n">
        <v>6837</v>
      </c>
      <c r="J818" s="398" t="n">
        <v>0</v>
      </c>
      <c r="K818" s="398" t="n">
        <v>2</v>
      </c>
      <c r="L818" s="398" t="n">
        <v>5</v>
      </c>
      <c r="M818" s="398" t="n">
        <v>6837</v>
      </c>
      <c r="N818" s="398" t="n">
        <v>6837</v>
      </c>
      <c r="O818" s="398" t="n">
        <v>6837</v>
      </c>
      <c r="P818" s="292" t="n"/>
      <c r="Q818" s="292" t="inlineStr">
        <is>
          <t>candidate-preflight-passed</t>
        </is>
      </c>
      <c r="R818" s="292" t="str"/>
      <c r="S818" s="292" t="inlineStr">
        <is>
          <t>玄渊二十套全装备代码总表.xlsx</t>
        </is>
      </c>
      <c r="T818" s="292" t="inlineStr">
        <is>
          <t>玄渊20套全装备视觉候选；Items/StateItem/DnItems三库同码；属性待策划填写；OverLap=2; Expand1=5</t>
        </is>
      </c>
      <c r="U818">
        <f>IF(COUNTIF($B$2:$B$1076,B818)&gt;1,"重复","")</f>
        <v/>
      </c>
      <c r="V818">
        <f>IF(AND(OR(M818="",M818=B818),OR(N818="",N818=B818),OR(O818="",O818=B818)),"通过","不一致")</f>
        <v/>
      </c>
    </row>
    <row r="819" ht="22" customHeight="1">
      <c r="A819" s="398" t="n">
        <v>818</v>
      </c>
      <c r="B819" s="398" t="n">
        <v>6838</v>
      </c>
      <c r="C819" s="399" t="inlineStr">
        <is>
          <t>星渊龙息·渊辉</t>
        </is>
      </c>
      <c r="D819" s="399" t="inlineStr">
        <is>
          <t>星渊龙息</t>
        </is>
      </c>
      <c r="E819" s="399" t="n">
        <v>3</v>
      </c>
      <c r="F819" s="399" t="inlineStr">
        <is>
          <t>首饰盒6</t>
        </is>
      </c>
      <c r="G819" s="398" t="n">
        <v>22</v>
      </c>
      <c r="H819" s="398" t="n">
        <v>35</v>
      </c>
      <c r="I819" s="398" t="n">
        <v>6838</v>
      </c>
      <c r="J819" s="398" t="n">
        <v>0</v>
      </c>
      <c r="K819" s="398" t="n">
        <v>2</v>
      </c>
      <c r="L819" s="398" t="n">
        <v>6</v>
      </c>
      <c r="M819" s="398" t="n">
        <v>6838</v>
      </c>
      <c r="N819" s="398" t="n">
        <v>6838</v>
      </c>
      <c r="O819" s="398" t="n">
        <v>6838</v>
      </c>
      <c r="P819" s="292" t="n"/>
      <c r="Q819" s="292" t="inlineStr">
        <is>
          <t>candidate-preflight-passed</t>
        </is>
      </c>
      <c r="R819" s="292" t="str"/>
      <c r="S819" s="292" t="inlineStr">
        <is>
          <t>玄渊二十套全装备代码总表.xlsx</t>
        </is>
      </c>
      <c r="T819" s="292" t="inlineStr">
        <is>
          <t>玄渊20套全装备视觉候选；Items/StateItem/DnItems三库同码；属性待策划填写；OverLap=2; Expand1=6</t>
        </is>
      </c>
      <c r="U819">
        <f>IF(COUNTIF($B$2:$B$1076,B819)&gt;1,"重复","")</f>
        <v/>
      </c>
      <c r="V819">
        <f>IF(AND(OR(M819="",M819=B819),OR(N819="",N819=B819),OR(O819="",O819=B819)),"通过","不一致")</f>
        <v/>
      </c>
    </row>
    <row r="820" ht="22" customHeight="1">
      <c r="A820" s="398" t="n">
        <v>819</v>
      </c>
      <c r="B820" s="398" t="n">
        <v>6839</v>
      </c>
      <c r="C820" s="399" t="inlineStr">
        <is>
          <t>星渊龙息·渊辉</t>
        </is>
      </c>
      <c r="D820" s="399" t="inlineStr">
        <is>
          <t>星渊龙息</t>
        </is>
      </c>
      <c r="E820" s="399" t="n">
        <v>3</v>
      </c>
      <c r="F820" s="399" t="inlineStr">
        <is>
          <t>生肖1</t>
        </is>
      </c>
      <c r="G820" s="398" t="n">
        <v>22</v>
      </c>
      <c r="H820" s="398" t="n">
        <v>40</v>
      </c>
      <c r="I820" s="398" t="n">
        <v>6839</v>
      </c>
      <c r="J820" s="398" t="n">
        <v>0</v>
      </c>
      <c r="K820" s="398" t="n">
        <v>4</v>
      </c>
      <c r="L820" s="398" t="n">
        <v>1</v>
      </c>
      <c r="M820" s="398" t="n">
        <v>6839</v>
      </c>
      <c r="N820" s="398" t="n">
        <v>6839</v>
      </c>
      <c r="O820" s="398" t="n">
        <v>6839</v>
      </c>
      <c r="P820" s="292" t="n"/>
      <c r="Q820" s="292" t="inlineStr">
        <is>
          <t>candidate-preflight-passed</t>
        </is>
      </c>
      <c r="R820" s="292" t="str"/>
      <c r="S820" s="292" t="inlineStr">
        <is>
          <t>玄渊二十套全装备代码总表.xlsx</t>
        </is>
      </c>
      <c r="T820" s="292" t="inlineStr">
        <is>
          <t>玄渊20套全装备视觉候选；Items/StateItem/DnItems三库同码；属性待策划填写；OverLap=4; Expand1=1</t>
        </is>
      </c>
      <c r="U820">
        <f>IF(COUNTIF($B$2:$B$1076,B820)&gt;1,"重复","")</f>
        <v/>
      </c>
      <c r="V820">
        <f>IF(AND(OR(M820="",M820=B820),OR(N820="",N820=B820),OR(O820="",O820=B820)),"通过","不一致")</f>
        <v/>
      </c>
    </row>
    <row r="821" ht="22" customHeight="1">
      <c r="A821" s="398" t="n">
        <v>820</v>
      </c>
      <c r="B821" s="398" t="n">
        <v>6840</v>
      </c>
      <c r="C821" s="399" t="inlineStr">
        <is>
          <t>星渊龙息·渊辉</t>
        </is>
      </c>
      <c r="D821" s="399" t="inlineStr">
        <is>
          <t>星渊龙息</t>
        </is>
      </c>
      <c r="E821" s="399" t="n">
        <v>3</v>
      </c>
      <c r="F821" s="399" t="inlineStr">
        <is>
          <t>生肖2</t>
        </is>
      </c>
      <c r="G821" s="398" t="n">
        <v>22</v>
      </c>
      <c r="H821" s="398" t="n">
        <v>41</v>
      </c>
      <c r="I821" s="398" t="n">
        <v>6840</v>
      </c>
      <c r="J821" s="398" t="n">
        <v>0</v>
      </c>
      <c r="K821" s="398" t="n">
        <v>4</v>
      </c>
      <c r="L821" s="398" t="n">
        <v>2</v>
      </c>
      <c r="M821" s="398" t="n">
        <v>6840</v>
      </c>
      <c r="N821" s="398" t="n">
        <v>6840</v>
      </c>
      <c r="O821" s="398" t="n">
        <v>6840</v>
      </c>
      <c r="P821" s="292" t="n"/>
      <c r="Q821" s="292" t="inlineStr">
        <is>
          <t>candidate-preflight-passed</t>
        </is>
      </c>
      <c r="R821" s="292" t="str"/>
      <c r="S821" s="292" t="inlineStr">
        <is>
          <t>玄渊二十套全装备代码总表.xlsx</t>
        </is>
      </c>
      <c r="T821" s="292" t="inlineStr">
        <is>
          <t>玄渊20套全装备视觉候选；Items/StateItem/DnItems三库同码；属性待策划填写；OverLap=4; Expand1=2</t>
        </is>
      </c>
      <c r="U821">
        <f>IF(COUNTIF($B$2:$B$1076,B821)&gt;1,"重复","")</f>
        <v/>
      </c>
      <c r="V821">
        <f>IF(AND(OR(M821="",M821=B821),OR(N821="",N821=B821),OR(O821="",O821=B821)),"通过","不一致")</f>
        <v/>
      </c>
    </row>
    <row r="822" ht="22" customHeight="1">
      <c r="A822" s="398" t="n">
        <v>821</v>
      </c>
      <c r="B822" s="398" t="n">
        <v>6841</v>
      </c>
      <c r="C822" s="399" t="inlineStr">
        <is>
          <t>星渊龙息·渊辉</t>
        </is>
      </c>
      <c r="D822" s="399" t="inlineStr">
        <is>
          <t>星渊龙息</t>
        </is>
      </c>
      <c r="E822" s="399" t="n">
        <v>3</v>
      </c>
      <c r="F822" s="399" t="inlineStr">
        <is>
          <t>生肖3</t>
        </is>
      </c>
      <c r="G822" s="398" t="n">
        <v>22</v>
      </c>
      <c r="H822" s="398" t="n">
        <v>42</v>
      </c>
      <c r="I822" s="398" t="n">
        <v>6841</v>
      </c>
      <c r="J822" s="398" t="n">
        <v>0</v>
      </c>
      <c r="K822" s="398" t="n">
        <v>4</v>
      </c>
      <c r="L822" s="398" t="n">
        <v>3</v>
      </c>
      <c r="M822" s="398" t="n">
        <v>6841</v>
      </c>
      <c r="N822" s="398" t="n">
        <v>6841</v>
      </c>
      <c r="O822" s="398" t="n">
        <v>6841</v>
      </c>
      <c r="P822" s="292" t="n"/>
      <c r="Q822" s="292" t="inlineStr">
        <is>
          <t>candidate-preflight-passed</t>
        </is>
      </c>
      <c r="R822" s="292" t="str"/>
      <c r="S822" s="292" t="inlineStr">
        <is>
          <t>玄渊二十套全装备代码总表.xlsx</t>
        </is>
      </c>
      <c r="T822" s="292" t="inlineStr">
        <is>
          <t>玄渊20套全装备视觉候选；Items/StateItem/DnItems三库同码；属性待策划填写；OverLap=4; Expand1=3</t>
        </is>
      </c>
      <c r="U822">
        <f>IF(COUNTIF($B$2:$B$1076,B822)&gt;1,"重复","")</f>
        <v/>
      </c>
      <c r="V822">
        <f>IF(AND(OR(M822="",M822=B822),OR(N822="",N822=B822),OR(O822="",O822=B822)),"通过","不一致")</f>
        <v/>
      </c>
    </row>
    <row r="823" ht="22" customHeight="1">
      <c r="A823" s="398" t="n">
        <v>822</v>
      </c>
      <c r="B823" s="398" t="n">
        <v>6842</v>
      </c>
      <c r="C823" s="399" t="inlineStr">
        <is>
          <t>星渊龙息·渊辉</t>
        </is>
      </c>
      <c r="D823" s="399" t="inlineStr">
        <is>
          <t>星渊龙息</t>
        </is>
      </c>
      <c r="E823" s="399" t="n">
        <v>3</v>
      </c>
      <c r="F823" s="399" t="inlineStr">
        <is>
          <t>生肖4</t>
        </is>
      </c>
      <c r="G823" s="398" t="n">
        <v>22</v>
      </c>
      <c r="H823" s="398" t="n">
        <v>43</v>
      </c>
      <c r="I823" s="398" t="n">
        <v>6842</v>
      </c>
      <c r="J823" s="398" t="n">
        <v>0</v>
      </c>
      <c r="K823" s="398" t="n">
        <v>4</v>
      </c>
      <c r="L823" s="398" t="n">
        <v>4</v>
      </c>
      <c r="M823" s="398" t="n">
        <v>6842</v>
      </c>
      <c r="N823" s="398" t="n">
        <v>6842</v>
      </c>
      <c r="O823" s="398" t="n">
        <v>6842</v>
      </c>
      <c r="P823" s="292" t="n"/>
      <c r="Q823" s="292" t="inlineStr">
        <is>
          <t>candidate-preflight-passed</t>
        </is>
      </c>
      <c r="R823" s="292" t="str"/>
      <c r="S823" s="292" t="inlineStr">
        <is>
          <t>玄渊二十套全装备代码总表.xlsx</t>
        </is>
      </c>
      <c r="T823" s="292" t="inlineStr">
        <is>
          <t>玄渊20套全装备视觉候选；Items/StateItem/DnItems三库同码；属性待策划填写；OverLap=4; Expand1=4</t>
        </is>
      </c>
      <c r="U823">
        <f>IF(COUNTIF($B$2:$B$1076,B823)&gt;1,"重复","")</f>
        <v/>
      </c>
      <c r="V823">
        <f>IF(AND(OR(M823="",M823=B823),OR(N823="",N823=B823),OR(O823="",O823=B823)),"通过","不一致")</f>
        <v/>
      </c>
    </row>
    <row r="824" ht="22" customHeight="1">
      <c r="A824" s="398" t="n">
        <v>823</v>
      </c>
      <c r="B824" s="398" t="n">
        <v>6843</v>
      </c>
      <c r="C824" s="399" t="inlineStr">
        <is>
          <t>星渊龙息·渊辉</t>
        </is>
      </c>
      <c r="D824" s="399" t="inlineStr">
        <is>
          <t>星渊龙息</t>
        </is>
      </c>
      <c r="E824" s="399" t="n">
        <v>3</v>
      </c>
      <c r="F824" s="399" t="inlineStr">
        <is>
          <t>生肖5</t>
        </is>
      </c>
      <c r="G824" s="398" t="n">
        <v>22</v>
      </c>
      <c r="H824" s="398" t="n">
        <v>44</v>
      </c>
      <c r="I824" s="398" t="n">
        <v>6843</v>
      </c>
      <c r="J824" s="398" t="n">
        <v>0</v>
      </c>
      <c r="K824" s="398" t="n">
        <v>4</v>
      </c>
      <c r="L824" s="398" t="n">
        <v>5</v>
      </c>
      <c r="M824" s="398" t="n">
        <v>6843</v>
      </c>
      <c r="N824" s="398" t="n">
        <v>6843</v>
      </c>
      <c r="O824" s="398" t="n">
        <v>6843</v>
      </c>
      <c r="P824" s="292" t="n"/>
      <c r="Q824" s="292" t="inlineStr">
        <is>
          <t>candidate-preflight-passed</t>
        </is>
      </c>
      <c r="R824" s="292" t="str"/>
      <c r="S824" s="292" t="inlineStr">
        <is>
          <t>玄渊二十套全装备代码总表.xlsx</t>
        </is>
      </c>
      <c r="T824" s="292" t="inlineStr">
        <is>
          <t>玄渊20套全装备视觉候选；Items/StateItem/DnItems三库同码；属性待策划填写；OverLap=4; Expand1=5</t>
        </is>
      </c>
      <c r="U824">
        <f>IF(COUNTIF($B$2:$B$1076,B824)&gt;1,"重复","")</f>
        <v/>
      </c>
      <c r="V824">
        <f>IF(AND(OR(M824="",M824=B824),OR(N824="",N824=B824),OR(O824="",O824=B824)),"通过","不一致")</f>
        <v/>
      </c>
    </row>
    <row r="825" ht="22" customHeight="1">
      <c r="A825" s="398" t="n">
        <v>824</v>
      </c>
      <c r="B825" s="398" t="n">
        <v>6844</v>
      </c>
      <c r="C825" s="399" t="inlineStr">
        <is>
          <t>星渊龙息·渊辉</t>
        </is>
      </c>
      <c r="D825" s="399" t="inlineStr">
        <is>
          <t>星渊龙息</t>
        </is>
      </c>
      <c r="E825" s="399" t="n">
        <v>3</v>
      </c>
      <c r="F825" s="399" t="inlineStr">
        <is>
          <t>生肖6</t>
        </is>
      </c>
      <c r="G825" s="398" t="n">
        <v>22</v>
      </c>
      <c r="H825" s="398" t="n">
        <v>45</v>
      </c>
      <c r="I825" s="398" t="n">
        <v>6844</v>
      </c>
      <c r="J825" s="398" t="n">
        <v>0</v>
      </c>
      <c r="K825" s="398" t="n">
        <v>4</v>
      </c>
      <c r="L825" s="398" t="n">
        <v>6</v>
      </c>
      <c r="M825" s="398" t="n">
        <v>6844</v>
      </c>
      <c r="N825" s="398" t="n">
        <v>6844</v>
      </c>
      <c r="O825" s="398" t="n">
        <v>6844</v>
      </c>
      <c r="P825" s="292" t="n"/>
      <c r="Q825" s="292" t="inlineStr">
        <is>
          <t>candidate-preflight-passed</t>
        </is>
      </c>
      <c r="R825" s="292" t="str"/>
      <c r="S825" s="292" t="inlineStr">
        <is>
          <t>玄渊二十套全装备代码总表.xlsx</t>
        </is>
      </c>
      <c r="T825" s="292" t="inlineStr">
        <is>
          <t>玄渊20套全装备视觉候选；Items/StateItem/DnItems三库同码；属性待策划填写；OverLap=4; Expand1=6</t>
        </is>
      </c>
      <c r="U825">
        <f>IF(COUNTIF($B$2:$B$1076,B825)&gt;1,"重复","")</f>
        <v/>
      </c>
      <c r="V825">
        <f>IF(AND(OR(M825="",M825=B825),OR(N825="",N825=B825),OR(O825="",O825=B825)),"通过","不一致")</f>
        <v/>
      </c>
    </row>
    <row r="826" ht="22" customHeight="1">
      <c r="A826" s="398" t="n">
        <v>825</v>
      </c>
      <c r="B826" s="398" t="n">
        <v>6845</v>
      </c>
      <c r="C826" s="399" t="inlineStr">
        <is>
          <t>星渊龙息·渊辉</t>
        </is>
      </c>
      <c r="D826" s="399" t="inlineStr">
        <is>
          <t>星渊龙息</t>
        </is>
      </c>
      <c r="E826" s="399" t="n">
        <v>3</v>
      </c>
      <c r="F826" s="399" t="inlineStr">
        <is>
          <t>生肖7</t>
        </is>
      </c>
      <c r="G826" s="398" t="n">
        <v>22</v>
      </c>
      <c r="H826" s="398" t="n">
        <v>46</v>
      </c>
      <c r="I826" s="398" t="n">
        <v>6845</v>
      </c>
      <c r="J826" s="398" t="n">
        <v>0</v>
      </c>
      <c r="K826" s="398" t="n">
        <v>4</v>
      </c>
      <c r="L826" s="398" t="n">
        <v>7</v>
      </c>
      <c r="M826" s="398" t="n">
        <v>6845</v>
      </c>
      <c r="N826" s="398" t="n">
        <v>6845</v>
      </c>
      <c r="O826" s="398" t="n">
        <v>6845</v>
      </c>
      <c r="P826" s="292" t="n"/>
      <c r="Q826" s="292" t="inlineStr">
        <is>
          <t>candidate-preflight-passed</t>
        </is>
      </c>
      <c r="R826" s="292" t="str"/>
      <c r="S826" s="292" t="inlineStr">
        <is>
          <t>玄渊二十套全装备代码总表.xlsx</t>
        </is>
      </c>
      <c r="T826" s="292" t="inlineStr">
        <is>
          <t>玄渊20套全装备视觉候选；Items/StateItem/DnItems三库同码；属性待策划填写；OverLap=4; Expand1=7</t>
        </is>
      </c>
      <c r="U826">
        <f>IF(COUNTIF($B$2:$B$1076,B826)&gt;1,"重复","")</f>
        <v/>
      </c>
      <c r="V826">
        <f>IF(AND(OR(M826="",M826=B826),OR(N826="",N826=B826),OR(O826="",O826=B826)),"通过","不一致")</f>
        <v/>
      </c>
    </row>
    <row r="827" ht="22" customHeight="1">
      <c r="A827" s="398" t="n">
        <v>826</v>
      </c>
      <c r="B827" s="398" t="n">
        <v>6846</v>
      </c>
      <c r="C827" s="399" t="inlineStr">
        <is>
          <t>星渊龙息·渊辉</t>
        </is>
      </c>
      <c r="D827" s="399" t="inlineStr">
        <is>
          <t>星渊龙息</t>
        </is>
      </c>
      <c r="E827" s="399" t="n">
        <v>3</v>
      </c>
      <c r="F827" s="399" t="inlineStr">
        <is>
          <t>生肖8</t>
        </is>
      </c>
      <c r="G827" s="398" t="n">
        <v>22</v>
      </c>
      <c r="H827" s="398" t="n">
        <v>47</v>
      </c>
      <c r="I827" s="398" t="n">
        <v>6846</v>
      </c>
      <c r="J827" s="398" t="n">
        <v>0</v>
      </c>
      <c r="K827" s="398" t="n">
        <v>4</v>
      </c>
      <c r="L827" s="398" t="n">
        <v>8</v>
      </c>
      <c r="M827" s="398" t="n">
        <v>6846</v>
      </c>
      <c r="N827" s="398" t="n">
        <v>6846</v>
      </c>
      <c r="O827" s="398" t="n">
        <v>6846</v>
      </c>
      <c r="P827" s="292" t="n"/>
      <c r="Q827" s="292" t="inlineStr">
        <is>
          <t>candidate-preflight-passed</t>
        </is>
      </c>
      <c r="R827" s="292" t="str"/>
      <c r="S827" s="292" t="inlineStr">
        <is>
          <t>玄渊二十套全装备代码总表.xlsx</t>
        </is>
      </c>
      <c r="T827" s="292" t="inlineStr">
        <is>
          <t>玄渊20套全装备视觉候选；Items/StateItem/DnItems三库同码；属性待策划填写；OverLap=4; Expand1=8</t>
        </is>
      </c>
      <c r="U827">
        <f>IF(COUNTIF($B$2:$B$1076,B827)&gt;1,"重复","")</f>
        <v/>
      </c>
      <c r="V827">
        <f>IF(AND(OR(M827="",M827=B827),OR(N827="",N827=B827),OR(O827="",O827=B827)),"通过","不一致")</f>
        <v/>
      </c>
    </row>
    <row r="828" ht="22" customHeight="1">
      <c r="A828" s="398" t="n">
        <v>827</v>
      </c>
      <c r="B828" s="398" t="n">
        <v>6847</v>
      </c>
      <c r="C828" s="399" t="inlineStr">
        <is>
          <t>星渊龙息·渊辉</t>
        </is>
      </c>
      <c r="D828" s="399" t="inlineStr">
        <is>
          <t>星渊龙息</t>
        </is>
      </c>
      <c r="E828" s="399" t="n">
        <v>3</v>
      </c>
      <c r="F828" s="399" t="inlineStr">
        <is>
          <t>生肖9</t>
        </is>
      </c>
      <c r="G828" s="398" t="n">
        <v>22</v>
      </c>
      <c r="H828" s="398" t="n">
        <v>48</v>
      </c>
      <c r="I828" s="398" t="n">
        <v>6847</v>
      </c>
      <c r="J828" s="398" t="n">
        <v>0</v>
      </c>
      <c r="K828" s="398" t="n">
        <v>4</v>
      </c>
      <c r="L828" s="398" t="n">
        <v>9</v>
      </c>
      <c r="M828" s="398" t="n">
        <v>6847</v>
      </c>
      <c r="N828" s="398" t="n">
        <v>6847</v>
      </c>
      <c r="O828" s="398" t="n">
        <v>6847</v>
      </c>
      <c r="P828" s="292" t="n"/>
      <c r="Q828" s="292" t="inlineStr">
        <is>
          <t>candidate-preflight-passed</t>
        </is>
      </c>
      <c r="R828" s="292" t="str"/>
      <c r="S828" s="292" t="inlineStr">
        <is>
          <t>玄渊二十套全装备代码总表.xlsx</t>
        </is>
      </c>
      <c r="T828" s="292" t="inlineStr">
        <is>
          <t>玄渊20套全装备视觉候选；Items/StateItem/DnItems三库同码；属性待策划填写；OverLap=4; Expand1=9</t>
        </is>
      </c>
      <c r="U828">
        <f>IF(COUNTIF($B$2:$B$1076,B828)&gt;1,"重复","")</f>
        <v/>
      </c>
      <c r="V828">
        <f>IF(AND(OR(M828="",M828=B828),OR(N828="",N828=B828),OR(O828="",O828=B828)),"通过","不一致")</f>
        <v/>
      </c>
    </row>
    <row r="829" ht="22" customHeight="1">
      <c r="A829" s="398" t="n">
        <v>828</v>
      </c>
      <c r="B829" s="398" t="n">
        <v>6848</v>
      </c>
      <c r="C829" s="399" t="inlineStr">
        <is>
          <t>星渊龙息·渊辉</t>
        </is>
      </c>
      <c r="D829" s="399" t="inlineStr">
        <is>
          <t>星渊龙息</t>
        </is>
      </c>
      <c r="E829" s="399" t="n">
        <v>3</v>
      </c>
      <c r="F829" s="399" t="inlineStr">
        <is>
          <t>生肖10</t>
        </is>
      </c>
      <c r="G829" s="398" t="n">
        <v>22</v>
      </c>
      <c r="H829" s="398" t="n">
        <v>49</v>
      </c>
      <c r="I829" s="398" t="n">
        <v>6848</v>
      </c>
      <c r="J829" s="398" t="n">
        <v>0</v>
      </c>
      <c r="K829" s="398" t="n">
        <v>4</v>
      </c>
      <c r="L829" s="398" t="n">
        <v>10</v>
      </c>
      <c r="M829" s="398" t="n">
        <v>6848</v>
      </c>
      <c r="N829" s="398" t="n">
        <v>6848</v>
      </c>
      <c r="O829" s="398" t="n">
        <v>6848</v>
      </c>
      <c r="P829" s="292" t="n"/>
      <c r="Q829" s="292" t="inlineStr">
        <is>
          <t>candidate-preflight-passed</t>
        </is>
      </c>
      <c r="R829" s="292" t="str"/>
      <c r="S829" s="292" t="inlineStr">
        <is>
          <t>玄渊二十套全装备代码总表.xlsx</t>
        </is>
      </c>
      <c r="T829" s="292" t="inlineStr">
        <is>
          <t>玄渊20套全装备视觉候选；Items/StateItem/DnItems三库同码；属性待策划填写；OverLap=4; Expand1=10</t>
        </is>
      </c>
      <c r="U829">
        <f>IF(COUNTIF($B$2:$B$1076,B829)&gt;1,"重复","")</f>
        <v/>
      </c>
      <c r="V829">
        <f>IF(AND(OR(M829="",M829=B829),OR(N829="",N829=B829),OR(O829="",O829=B829)),"通过","不一致")</f>
        <v/>
      </c>
    </row>
    <row r="830" ht="22" customHeight="1">
      <c r="A830" s="398" t="n">
        <v>829</v>
      </c>
      <c r="B830" s="398" t="n">
        <v>6849</v>
      </c>
      <c r="C830" s="399" t="inlineStr">
        <is>
          <t>星渊龙息·渊辉</t>
        </is>
      </c>
      <c r="D830" s="399" t="inlineStr">
        <is>
          <t>星渊龙息</t>
        </is>
      </c>
      <c r="E830" s="399" t="n">
        <v>3</v>
      </c>
      <c r="F830" s="399" t="inlineStr">
        <is>
          <t>生肖11</t>
        </is>
      </c>
      <c r="G830" s="398" t="n">
        <v>22</v>
      </c>
      <c r="H830" s="398" t="n">
        <v>50</v>
      </c>
      <c r="I830" s="398" t="n">
        <v>6849</v>
      </c>
      <c r="J830" s="398" t="n">
        <v>0</v>
      </c>
      <c r="K830" s="398" t="n">
        <v>4</v>
      </c>
      <c r="L830" s="398" t="n">
        <v>11</v>
      </c>
      <c r="M830" s="398" t="n">
        <v>6849</v>
      </c>
      <c r="N830" s="398" t="n">
        <v>6849</v>
      </c>
      <c r="O830" s="398" t="n">
        <v>6849</v>
      </c>
      <c r="P830" s="292" t="n"/>
      <c r="Q830" s="292" t="inlineStr">
        <is>
          <t>candidate-preflight-passed</t>
        </is>
      </c>
      <c r="R830" s="292" t="str"/>
      <c r="S830" s="292" t="inlineStr">
        <is>
          <t>玄渊二十套全装备代码总表.xlsx</t>
        </is>
      </c>
      <c r="T830" s="292" t="inlineStr">
        <is>
          <t>玄渊20套全装备视觉候选；Items/StateItem/DnItems三库同码；属性待策划填写；OverLap=4; Expand1=11</t>
        </is>
      </c>
      <c r="U830">
        <f>IF(COUNTIF($B$2:$B$1076,B830)&gt;1,"重复","")</f>
        <v/>
      </c>
      <c r="V830">
        <f>IF(AND(OR(M830="",M830=B830),OR(N830="",N830=B830),OR(O830="",O830=B830)),"通过","不一致")</f>
        <v/>
      </c>
    </row>
    <row r="831" ht="22" customHeight="1">
      <c r="A831" s="398" t="n">
        <v>830</v>
      </c>
      <c r="B831" s="398" t="n">
        <v>6850</v>
      </c>
      <c r="C831" s="399" t="inlineStr">
        <is>
          <t>星渊龙息·渊辉</t>
        </is>
      </c>
      <c r="D831" s="399" t="inlineStr">
        <is>
          <t>星渊龙息</t>
        </is>
      </c>
      <c r="E831" s="399" t="n">
        <v>3</v>
      </c>
      <c r="F831" s="399" t="inlineStr">
        <is>
          <t>生肖12</t>
        </is>
      </c>
      <c r="G831" s="398" t="n">
        <v>22</v>
      </c>
      <c r="H831" s="398" t="n">
        <v>51</v>
      </c>
      <c r="I831" s="398" t="n">
        <v>6850</v>
      </c>
      <c r="J831" s="398" t="n">
        <v>0</v>
      </c>
      <c r="K831" s="398" t="n">
        <v>4</v>
      </c>
      <c r="L831" s="398" t="n">
        <v>12</v>
      </c>
      <c r="M831" s="398" t="n">
        <v>6850</v>
      </c>
      <c r="N831" s="398" t="n">
        <v>6850</v>
      </c>
      <c r="O831" s="398" t="n">
        <v>6850</v>
      </c>
      <c r="P831" s="292" t="n"/>
      <c r="Q831" s="292" t="inlineStr">
        <is>
          <t>candidate-preflight-passed</t>
        </is>
      </c>
      <c r="R831" s="292" t="str"/>
      <c r="S831" s="292" t="inlineStr">
        <is>
          <t>玄渊二十套全装备代码总表.xlsx</t>
        </is>
      </c>
      <c r="T831" s="292" t="inlineStr">
        <is>
          <t>玄渊20套全装备视觉候选；Items/StateItem/DnItems三库同码；属性待策划填写；OverLap=4; Expand1=12</t>
        </is>
      </c>
      <c r="U831">
        <f>IF(COUNTIF($B$2:$B$1076,B831)&gt;1,"重复","")</f>
        <v/>
      </c>
      <c r="V831">
        <f>IF(AND(OR(M831="",M831=B831),OR(N831="",N831=B831),OR(O831="",O831=B831)),"通过","不一致")</f>
        <v/>
      </c>
    </row>
    <row r="832" ht="22" customHeight="1">
      <c r="A832" s="398" t="n">
        <v>831</v>
      </c>
      <c r="B832" s="398" t="n">
        <v>6851</v>
      </c>
      <c r="C832" s="399" t="inlineStr">
        <is>
          <t>星渊龙息·天穹</t>
        </is>
      </c>
      <c r="D832" s="399" t="inlineStr">
        <is>
          <t>星渊龙息</t>
        </is>
      </c>
      <c r="E832" s="399" t="n">
        <v>4</v>
      </c>
      <c r="F832" s="399" t="inlineStr">
        <is>
          <t>武器</t>
        </is>
      </c>
      <c r="G832" s="398" t="n">
        <v>5</v>
      </c>
      <c r="H832" s="398" t="n">
        <v>1</v>
      </c>
      <c r="I832" s="398" t="n">
        <v>6851</v>
      </c>
      <c r="J832" s="398" t="n">
        <v>29</v>
      </c>
      <c r="K832" s="398" t="n">
        <v>0</v>
      </c>
      <c r="L832" s="398" t="n">
        <v>0</v>
      </c>
      <c r="M832" s="398" t="n">
        <v>6851</v>
      </c>
      <c r="N832" s="398" t="n">
        <v>6851</v>
      </c>
      <c r="O832" s="398" t="n">
        <v>6851</v>
      </c>
      <c r="P832" s="292" t="inlineStr">
        <is>
          <t>Weapon.wzl/wzx（复用现有真实动作）</t>
        </is>
      </c>
      <c r="Q832" s="292" t="inlineStr">
        <is>
          <t>candidate-preflight-passed</t>
        </is>
      </c>
      <c r="R832" s="324" t="inlineStr">
        <is>
          <t>C3-C10规划锁定：莱弥恩的封湖巨剑</t>
        </is>
      </c>
      <c r="S832" s="292" t="inlineStr">
        <is>
          <t>玄渊二十套全装备代码总表.xlsx</t>
        </is>
      </c>
      <c r="T832" s="292" t="inlineStr">
        <is>
          <t>玄渊20套全装备视觉候选；Items/StateItem/DnItems三库同码；属性待策划填写；Weapon Shape=29</t>
        </is>
      </c>
      <c r="U832">
        <f>IF(COUNTIF($B$2:$B$1076,B832)&gt;1,"重复","")</f>
        <v/>
      </c>
      <c r="V832">
        <f>IF(AND(OR(M832="",M832=B832),OR(N832="",N832=B832),OR(O832="",O832=B832)),"通过","不一致")</f>
        <v/>
      </c>
    </row>
    <row r="833" ht="22" customHeight="1">
      <c r="A833" s="398" t="n">
        <v>832</v>
      </c>
      <c r="B833" s="398" t="n">
        <v>6852</v>
      </c>
      <c r="C833" s="399" t="inlineStr">
        <is>
          <t>星渊龙息·天穹</t>
        </is>
      </c>
      <c r="D833" s="399" t="inlineStr">
        <is>
          <t>星渊龙息</t>
        </is>
      </c>
      <c r="E833" s="399" t="n">
        <v>4</v>
      </c>
      <c r="F833" s="399" t="inlineStr">
        <is>
          <t>男衣服</t>
        </is>
      </c>
      <c r="G833" s="398" t="n">
        <v>10</v>
      </c>
      <c r="H833" s="398" t="n">
        <v>0</v>
      </c>
      <c r="I833" s="398" t="n">
        <v>6852</v>
      </c>
      <c r="J833" s="398" t="n">
        <v>6</v>
      </c>
      <c r="K833" s="398" t="n">
        <v>0</v>
      </c>
      <c r="L833" s="398" t="n">
        <v>0</v>
      </c>
      <c r="M833" s="398" t="n">
        <v>6852</v>
      </c>
      <c r="N833" s="398" t="n">
        <v>6852</v>
      </c>
      <c r="O833" s="398" t="n">
        <v>6852</v>
      </c>
      <c r="P833" s="292" t="inlineStr">
        <is>
          <t>Hum.wzl/wzx（复用现有真实动作）</t>
        </is>
      </c>
      <c r="Q833" s="292" t="inlineStr">
        <is>
          <t>candidate-preflight-passed</t>
        </is>
      </c>
      <c r="R833" s="324" t="inlineStr">
        <is>
          <t>C3-C10规划锁定：沉月镜池华服</t>
        </is>
      </c>
      <c r="S833" s="292" t="inlineStr">
        <is>
          <t>玄渊二十套全装备代码总表.xlsx</t>
        </is>
      </c>
      <c r="T833" s="292" t="inlineStr">
        <is>
          <t>玄渊20套全装备视觉候选；Items/StateItem/DnItems三库同码；属性待策划填写；Hum Shape=6</t>
        </is>
      </c>
      <c r="U833">
        <f>IF(COUNTIF($B$2:$B$1076,B833)&gt;1,"重复","")</f>
        <v/>
      </c>
      <c r="V833">
        <f>IF(AND(OR(M833="",M833=B833),OR(N833="",N833=B833),OR(O833="",O833=B833)),"通过","不一致")</f>
        <v/>
      </c>
    </row>
    <row r="834" ht="22" customHeight="1">
      <c r="A834" s="398" t="n">
        <v>833</v>
      </c>
      <c r="B834" s="398" t="n">
        <v>6853</v>
      </c>
      <c r="C834" s="399" t="inlineStr">
        <is>
          <t>星渊龙息·天穹</t>
        </is>
      </c>
      <c r="D834" s="399" t="inlineStr">
        <is>
          <t>星渊龙息</t>
        </is>
      </c>
      <c r="E834" s="399" t="n">
        <v>4</v>
      </c>
      <c r="F834" s="399" t="inlineStr">
        <is>
          <t>女衣服</t>
        </is>
      </c>
      <c r="G834" s="398" t="n">
        <v>11</v>
      </c>
      <c r="H834" s="398" t="n">
        <v>0</v>
      </c>
      <c r="I834" s="398" t="n">
        <v>6853</v>
      </c>
      <c r="J834" s="398" t="n">
        <v>6</v>
      </c>
      <c r="K834" s="398" t="n">
        <v>0</v>
      </c>
      <c r="L834" s="398" t="n">
        <v>0</v>
      </c>
      <c r="M834" s="398" t="n">
        <v>6853</v>
      </c>
      <c r="N834" s="398" t="n">
        <v>6853</v>
      </c>
      <c r="O834" s="398" t="n">
        <v>6853</v>
      </c>
      <c r="P834" s="292" t="inlineStr">
        <is>
          <t>Hum.wzl/wzx（复用现有真实动作）</t>
        </is>
      </c>
      <c r="Q834" s="292" t="inlineStr">
        <is>
          <t>candidate-preflight-passed</t>
        </is>
      </c>
      <c r="R834" s="292" t="str"/>
      <c r="S834" s="292" t="inlineStr">
        <is>
          <t>玄渊二十套全装备代码总表.xlsx</t>
        </is>
      </c>
      <c r="T834" s="292" t="inlineStr">
        <is>
          <t>玄渊20套全装备视觉候选；Items/StateItem/DnItems三库同码；属性待策划填写；Hum Shape=6</t>
        </is>
      </c>
      <c r="U834">
        <f>IF(COUNTIF($B$2:$B$1076,B834)&gt;1,"重复","")</f>
        <v/>
      </c>
      <c r="V834">
        <f>IF(AND(OR(M834="",M834=B834),OR(N834="",N834=B834),OR(O834="",O834=B834)),"通过","不一致")</f>
        <v/>
      </c>
    </row>
    <row r="835" ht="22" customHeight="1">
      <c r="A835" s="398" t="n">
        <v>834</v>
      </c>
      <c r="B835" s="398" t="n">
        <v>6854</v>
      </c>
      <c r="C835" s="399" t="inlineStr">
        <is>
          <t>星渊龙息·天穹</t>
        </is>
      </c>
      <c r="D835" s="399" t="inlineStr">
        <is>
          <t>星渊龙息</t>
        </is>
      </c>
      <c r="E835" s="399" t="n">
        <v>4</v>
      </c>
      <c r="F835" s="399" t="inlineStr">
        <is>
          <t>头盔</t>
        </is>
      </c>
      <c r="G835" s="398" t="n">
        <v>15</v>
      </c>
      <c r="H835" s="398" t="n">
        <v>4</v>
      </c>
      <c r="I835" s="398" t="n">
        <v>6854</v>
      </c>
      <c r="J835" s="398" t="n">
        <v>0</v>
      </c>
      <c r="K835" s="398" t="n">
        <v>0</v>
      </c>
      <c r="L835" s="398" t="n">
        <v>0</v>
      </c>
      <c r="M835" s="398" t="n">
        <v>6854</v>
      </c>
      <c r="N835" s="398" t="n">
        <v>6854</v>
      </c>
      <c r="O835" s="398" t="n">
        <v>6854</v>
      </c>
      <c r="P835" s="292" t="n"/>
      <c r="Q835" s="292" t="inlineStr">
        <is>
          <t>candidate-preflight-passed</t>
        </is>
      </c>
      <c r="R835" s="324" t="inlineStr">
        <is>
          <t>C3-C10规划锁定：盔虾壳帽</t>
        </is>
      </c>
      <c r="S835" s="292" t="inlineStr">
        <is>
          <t>玄渊二十套全装备代码总表.xlsx</t>
        </is>
      </c>
      <c r="T835" s="292" t="inlineStr">
        <is>
          <t>玄渊20套全装备视觉候选；Items/StateItem/DnItems三库同码；属性待策划填写</t>
        </is>
      </c>
      <c r="U835">
        <f>IF(COUNTIF($B$2:$B$1076,B835)&gt;1,"重复","")</f>
        <v/>
      </c>
      <c r="V835">
        <f>IF(AND(OR(M835="",M835=B835),OR(N835="",N835=B835),OR(O835="",O835=B835)),"通过","不一致")</f>
        <v/>
      </c>
    </row>
    <row r="836" ht="22" customHeight="1">
      <c r="A836" s="398" t="n">
        <v>835</v>
      </c>
      <c r="B836" s="398" t="n">
        <v>6855</v>
      </c>
      <c r="C836" s="399" t="inlineStr">
        <is>
          <t>星渊龙息·天穹</t>
        </is>
      </c>
      <c r="D836" s="399" t="inlineStr">
        <is>
          <t>星渊龙息</t>
        </is>
      </c>
      <c r="E836" s="399" t="n">
        <v>4</v>
      </c>
      <c r="F836" s="399" t="inlineStr">
        <is>
          <t>面巾</t>
        </is>
      </c>
      <c r="G836" s="398" t="n">
        <v>16</v>
      </c>
      <c r="H836" s="398" t="n">
        <v>13</v>
      </c>
      <c r="I836" s="398" t="n">
        <v>6855</v>
      </c>
      <c r="J836" s="398" t="n">
        <v>0</v>
      </c>
      <c r="K836" s="398" t="n">
        <v>0</v>
      </c>
      <c r="L836" s="398" t="n">
        <v>0</v>
      </c>
      <c r="M836" s="398" t="n">
        <v>6855</v>
      </c>
      <c r="N836" s="398" t="n">
        <v>6855</v>
      </c>
      <c r="O836" s="398" t="n">
        <v>6855</v>
      </c>
      <c r="P836" s="292" t="n"/>
      <c r="Q836" s="292" t="inlineStr">
        <is>
          <t>candidate-preflight-passed</t>
        </is>
      </c>
      <c r="R836" s="324" t="inlineStr">
        <is>
          <t>C3-C10规划锁定：无声司铎笠</t>
        </is>
      </c>
      <c r="S836" s="292" t="inlineStr">
        <is>
          <t>玄渊二十套全装备代码总表.xlsx</t>
        </is>
      </c>
      <c r="T836" s="292" t="inlineStr">
        <is>
          <t>玄渊20套全装备视觉候选；Items/StateItem/DnItems三库同码；属性待策划填写</t>
        </is>
      </c>
      <c r="U836">
        <f>IF(COUNTIF($B$2:$B$1076,B836)&gt;1,"重复","")</f>
        <v/>
      </c>
      <c r="V836">
        <f>IF(AND(OR(M836="",M836=B836),OR(N836="",N836=B836),OR(O836="",O836=B836)),"通过","不一致")</f>
        <v/>
      </c>
    </row>
    <row r="837" ht="22" customHeight="1">
      <c r="A837" s="398" t="n">
        <v>836</v>
      </c>
      <c r="B837" s="398" t="n">
        <v>6856</v>
      </c>
      <c r="C837" s="399" t="inlineStr">
        <is>
          <t>星渊龙息·天穹</t>
        </is>
      </c>
      <c r="D837" s="399" t="inlineStr">
        <is>
          <t>星渊龙息</t>
        </is>
      </c>
      <c r="E837" s="399" t="n">
        <v>4</v>
      </c>
      <c r="F837" s="399" t="inlineStr">
        <is>
          <t>项链</t>
        </is>
      </c>
      <c r="G837" s="398" t="n">
        <v>19</v>
      </c>
      <c r="H837" s="398" t="n">
        <v>3</v>
      </c>
      <c r="I837" s="398" t="n">
        <v>6856</v>
      </c>
      <c r="J837" s="398" t="n">
        <v>0</v>
      </c>
      <c r="K837" s="398" t="n">
        <v>0</v>
      </c>
      <c r="L837" s="398" t="n">
        <v>0</v>
      </c>
      <c r="M837" s="398" t="n">
        <v>6856</v>
      </c>
      <c r="N837" s="398" t="n">
        <v>6856</v>
      </c>
      <c r="O837" s="398" t="n">
        <v>6856</v>
      </c>
      <c r="P837" s="292" t="n"/>
      <c r="Q837" s="292" t="inlineStr">
        <is>
          <t>candidate-preflight-passed</t>
        </is>
      </c>
      <c r="R837" s="324" t="inlineStr">
        <is>
          <t>C3-C10规划锁定：诱猎声坠</t>
        </is>
      </c>
      <c r="S837" s="292" t="inlineStr">
        <is>
          <t>玄渊二十套全装备代码总表.xlsx</t>
        </is>
      </c>
      <c r="T837" s="292" t="inlineStr">
        <is>
          <t>玄渊20套全装备视觉候选；Items/StateItem/DnItems三库同码；属性待策划填写</t>
        </is>
      </c>
      <c r="U837">
        <f>IF(COUNTIF($B$2:$B$1076,B837)&gt;1,"重复","")</f>
        <v/>
      </c>
      <c r="V837">
        <f>IF(AND(OR(M837="",M837=B837),OR(N837="",N837=B837),OR(O837="",O837=B837)),"通过","不一致")</f>
        <v/>
      </c>
    </row>
    <row r="838" ht="22" customHeight="1">
      <c r="A838" s="398" t="n">
        <v>837</v>
      </c>
      <c r="B838" s="398" t="n">
        <v>6857</v>
      </c>
      <c r="C838" s="399" t="inlineStr">
        <is>
          <t>星渊龙息·天穹</t>
        </is>
      </c>
      <c r="D838" s="399" t="inlineStr">
        <is>
          <t>星渊龙息</t>
        </is>
      </c>
      <c r="E838" s="399" t="n">
        <v>4</v>
      </c>
      <c r="F838" s="399" t="inlineStr">
        <is>
          <t>手镯</t>
        </is>
      </c>
      <c r="G838" s="398" t="n">
        <v>26</v>
      </c>
      <c r="H838" s="398" t="n">
        <v>5</v>
      </c>
      <c r="I838" s="398" t="n">
        <v>6857</v>
      </c>
      <c r="J838" s="398" t="n">
        <v>0</v>
      </c>
      <c r="K838" s="398" t="n">
        <v>0</v>
      </c>
      <c r="L838" s="398" t="n">
        <v>0</v>
      </c>
      <c r="M838" s="398" t="n">
        <v>6857</v>
      </c>
      <c r="N838" s="398" t="n">
        <v>6857</v>
      </c>
      <c r="O838" s="398" t="n">
        <v>6857</v>
      </c>
      <c r="P838" s="292" t="n"/>
      <c r="Q838" s="292" t="inlineStr">
        <is>
          <t>candidate-preflight-passed</t>
        </is>
      </c>
      <c r="R838" s="324" t="inlineStr">
        <is>
          <t>C3-C10规划锁定：缚链僧镯</t>
        </is>
      </c>
      <c r="S838" s="292" t="inlineStr">
        <is>
          <t>玄渊二十套全装备代码总表.xlsx</t>
        </is>
      </c>
      <c r="T838" s="292" t="inlineStr">
        <is>
          <t>玄渊20套全装备视觉候选；Items/StateItem/DnItems三库同码；属性待策划填写</t>
        </is>
      </c>
      <c r="U838">
        <f>IF(COUNTIF($B$2:$B$1076,B838)&gt;1,"重复","")</f>
        <v/>
      </c>
      <c r="V838">
        <f>IF(AND(OR(M838="",M838=B838),OR(N838="",N838=B838),OR(O838="",O838=B838)),"通过","不一致")</f>
        <v/>
      </c>
    </row>
    <row r="839" ht="22" customHeight="1">
      <c r="A839" s="398" t="n">
        <v>838</v>
      </c>
      <c r="B839" s="398" t="n">
        <v>6858</v>
      </c>
      <c r="C839" s="399" t="inlineStr">
        <is>
          <t>星渊龙息·天穹</t>
        </is>
      </c>
      <c r="D839" s="399" t="inlineStr">
        <is>
          <t>星渊龙息</t>
        </is>
      </c>
      <c r="E839" s="399" t="n">
        <v>4</v>
      </c>
      <c r="F839" s="399" t="inlineStr">
        <is>
          <t>戒指</t>
        </is>
      </c>
      <c r="G839" s="398" t="n">
        <v>22</v>
      </c>
      <c r="H839" s="398" t="n">
        <v>7</v>
      </c>
      <c r="I839" s="398" t="n">
        <v>6858</v>
      </c>
      <c r="J839" s="398" t="n">
        <v>0</v>
      </c>
      <c r="K839" s="398" t="n">
        <v>0</v>
      </c>
      <c r="L839" s="398" t="n">
        <v>0</v>
      </c>
      <c r="M839" s="398" t="n">
        <v>6858</v>
      </c>
      <c r="N839" s="398" t="n">
        <v>6858</v>
      </c>
      <c r="O839" s="398" t="n">
        <v>6858</v>
      </c>
      <c r="P839" s="292" t="n"/>
      <c r="Q839" s="292" t="inlineStr">
        <is>
          <t>candidate-preflight-passed</t>
        </is>
      </c>
      <c r="R839" s="324" t="inlineStr">
        <is>
          <t>C3-C10规划锁定：吞灯牙戒</t>
        </is>
      </c>
      <c r="S839" s="292" t="inlineStr">
        <is>
          <t>玄渊二十套全装备代码总表.xlsx</t>
        </is>
      </c>
      <c r="T839" s="292" t="inlineStr">
        <is>
          <t>玄渊20套全装备视觉候选；Items/StateItem/DnItems三库同码；属性待策划填写</t>
        </is>
      </c>
      <c r="U839">
        <f>IF(COUNTIF($B$2:$B$1076,B839)&gt;1,"重复","")</f>
        <v/>
      </c>
      <c r="V839">
        <f>IF(AND(OR(M839="",M839=B839),OR(N839="",N839=B839),OR(O839="",O839=B839)),"通过","不一致")</f>
        <v/>
      </c>
    </row>
    <row r="840" ht="22" customHeight="1">
      <c r="A840" s="398" t="n">
        <v>839</v>
      </c>
      <c r="B840" s="398" t="n">
        <v>6859</v>
      </c>
      <c r="C840" s="399" t="inlineStr">
        <is>
          <t>星渊龙息·天穹</t>
        </is>
      </c>
      <c r="D840" s="399" t="inlineStr">
        <is>
          <t>星渊龙息</t>
        </is>
      </c>
      <c r="E840" s="399" t="n">
        <v>4</v>
      </c>
      <c r="F840" s="399" t="inlineStr">
        <is>
          <t>勋章</t>
        </is>
      </c>
      <c r="G840" s="398" t="n">
        <v>30</v>
      </c>
      <c r="H840" s="398" t="n">
        <v>2</v>
      </c>
      <c r="I840" s="398" t="n">
        <v>6859</v>
      </c>
      <c r="J840" s="398" t="n">
        <v>0</v>
      </c>
      <c r="K840" s="398" t="n">
        <v>0</v>
      </c>
      <c r="L840" s="398" t="n">
        <v>0</v>
      </c>
      <c r="M840" s="398" t="n">
        <v>6859</v>
      </c>
      <c r="N840" s="398" t="n">
        <v>6859</v>
      </c>
      <c r="O840" s="398" t="n">
        <v>6859</v>
      </c>
      <c r="P840" s="292" t="n"/>
      <c r="Q840" s="292" t="inlineStr">
        <is>
          <t>candidate-preflight-passed</t>
        </is>
      </c>
      <c r="R840" s="324" t="inlineStr">
        <is>
          <t>C3-C10规划锁定：蚀冠密殿章</t>
        </is>
      </c>
      <c r="S840" s="292" t="inlineStr">
        <is>
          <t>玄渊二十套全装备代码总表.xlsx</t>
        </is>
      </c>
      <c r="T840" s="292" t="inlineStr">
        <is>
          <t>玄渊20套全装备视觉候选；Items/StateItem/DnItems三库同码；属性待策划填写</t>
        </is>
      </c>
      <c r="U840">
        <f>IF(COUNTIF($B$2:$B$1076,B840)&gt;1,"重复","")</f>
        <v/>
      </c>
      <c r="V840">
        <f>IF(AND(OR(M840="",M840=B840),OR(N840="",N840=B840),OR(O840="",O840=B840)),"通过","不一致")</f>
        <v/>
      </c>
    </row>
    <row r="841" ht="22" customHeight="1">
      <c r="A841" s="398" t="n">
        <v>840</v>
      </c>
      <c r="B841" s="398" t="n">
        <v>6860</v>
      </c>
      <c r="C841" s="399" t="inlineStr">
        <is>
          <t>星渊龙息·天穹</t>
        </is>
      </c>
      <c r="D841" s="399" t="inlineStr">
        <is>
          <t>星渊龙息</t>
        </is>
      </c>
      <c r="E841" s="399" t="n">
        <v>4</v>
      </c>
      <c r="F841" s="399" t="inlineStr">
        <is>
          <t>盾牌</t>
        </is>
      </c>
      <c r="G841" s="398" t="n">
        <v>12</v>
      </c>
      <c r="H841" s="398" t="n">
        <v>16</v>
      </c>
      <c r="I841" s="398" t="n">
        <v>6860</v>
      </c>
      <c r="J841" s="398" t="n">
        <v>0</v>
      </c>
      <c r="K841" s="398" t="n">
        <v>0</v>
      </c>
      <c r="L841" s="398" t="n">
        <v>0</v>
      </c>
      <c r="M841" s="398" t="n">
        <v>6860</v>
      </c>
      <c r="N841" s="398" t="n">
        <v>6860</v>
      </c>
      <c r="O841" s="398" t="n">
        <v>6860</v>
      </c>
      <c r="P841" s="292" t="n"/>
      <c r="Q841" s="292" t="inlineStr">
        <is>
          <t>candidate-preflight-passed</t>
        </is>
      </c>
      <c r="R841" s="324" t="inlineStr">
        <is>
          <t>C3-C10规划锁定：砾晶护庭盾</t>
        </is>
      </c>
      <c r="S841" s="292" t="inlineStr">
        <is>
          <t>玄渊二十套全装备代码总表.xlsx</t>
        </is>
      </c>
      <c r="T841" s="292" t="inlineStr">
        <is>
          <t>玄渊20套全装备视觉候选；Items/StateItem/DnItems三库同码；属性待策划填写</t>
        </is>
      </c>
      <c r="U841">
        <f>IF(COUNTIF($B$2:$B$1076,B841)&gt;1,"重复","")</f>
        <v/>
      </c>
      <c r="V841">
        <f>IF(AND(OR(M841="",M841=B841),OR(N841="",N841=B841),OR(O841="",O841=B841)),"通过","不一致")</f>
        <v/>
      </c>
    </row>
    <row r="842" ht="22" customHeight="1">
      <c r="A842" s="398" t="n">
        <v>841</v>
      </c>
      <c r="B842" s="398" t="n">
        <v>6861</v>
      </c>
      <c r="C842" s="399" t="inlineStr">
        <is>
          <t>星渊龙息·天穹</t>
        </is>
      </c>
      <c r="D842" s="399" t="inlineStr">
        <is>
          <t>星渊龙息</t>
        </is>
      </c>
      <c r="E842" s="399" t="n">
        <v>4</v>
      </c>
      <c r="F842" s="399" t="inlineStr">
        <is>
          <t>灵玉</t>
        </is>
      </c>
      <c r="G842" s="398" t="n">
        <v>90</v>
      </c>
      <c r="H842" s="398" t="n">
        <v>17</v>
      </c>
      <c r="I842" s="398" t="n">
        <v>6861</v>
      </c>
      <c r="J842" s="398" t="n">
        <v>0</v>
      </c>
      <c r="K842" s="398" t="n">
        <v>0</v>
      </c>
      <c r="L842" s="398" t="n">
        <v>0</v>
      </c>
      <c r="M842" s="398" t="n">
        <v>6861</v>
      </c>
      <c r="N842" s="398" t="n">
        <v>6861</v>
      </c>
      <c r="O842" s="398" t="n">
        <v>6861</v>
      </c>
      <c r="P842" s="292" t="n"/>
      <c r="Q842" s="292" t="inlineStr">
        <is>
          <t>candidate-preflight-passed</t>
        </is>
      </c>
      <c r="R842" s="292" t="str"/>
      <c r="S842" s="292" t="inlineStr">
        <is>
          <t>玄渊二十套全装备代码总表.xlsx</t>
        </is>
      </c>
      <c r="T842" s="292" t="inlineStr">
        <is>
          <t>玄渊20套全装备视觉候选；Items/StateItem/DnItems三库同码；属性待策划填写</t>
        </is>
      </c>
      <c r="U842">
        <f>IF(COUNTIF($B$2:$B$1076,B842)&gt;1,"重复","")</f>
        <v/>
      </c>
      <c r="V842">
        <f>IF(AND(OR(M842="",M842=B842),OR(N842="",N842=B842),OR(O842="",O842=B842)),"通过","不一致")</f>
        <v/>
      </c>
    </row>
    <row r="843" ht="22" customHeight="1">
      <c r="A843" s="398" t="n">
        <v>842</v>
      </c>
      <c r="B843" s="398" t="n">
        <v>6862</v>
      </c>
      <c r="C843" s="399" t="inlineStr">
        <is>
          <t>星渊龙息·天穹</t>
        </is>
      </c>
      <c r="D843" s="399" t="inlineStr">
        <is>
          <t>星渊龙息</t>
        </is>
      </c>
      <c r="E843" s="399" t="n">
        <v>4</v>
      </c>
      <c r="F843" s="399" t="inlineStr">
        <is>
          <t>鞋子</t>
        </is>
      </c>
      <c r="G843" s="398" t="n">
        <v>62</v>
      </c>
      <c r="H843" s="398" t="n">
        <v>11</v>
      </c>
      <c r="I843" s="398" t="n">
        <v>6862</v>
      </c>
      <c r="J843" s="398" t="n">
        <v>0</v>
      </c>
      <c r="K843" s="398" t="n">
        <v>0</v>
      </c>
      <c r="L843" s="398" t="n">
        <v>0</v>
      </c>
      <c r="M843" s="398" t="n">
        <v>6862</v>
      </c>
      <c r="N843" s="398" t="n">
        <v>6862</v>
      </c>
      <c r="O843" s="398" t="n">
        <v>6862</v>
      </c>
      <c r="P843" s="292" t="n"/>
      <c r="Q843" s="292" t="inlineStr">
        <is>
          <t>candidate-preflight-passed</t>
        </is>
      </c>
      <c r="R843" s="324" t="inlineStr">
        <is>
          <t>C3-C10规划锁定：雾汐踏波履</t>
        </is>
      </c>
      <c r="S843" s="292" t="inlineStr">
        <is>
          <t>玄渊二十套全装备代码总表.xlsx</t>
        </is>
      </c>
      <c r="T843" s="292" t="inlineStr">
        <is>
          <t>玄渊20套全装备视觉候选；Items/StateItem/DnItems三库同码；属性待策划填写</t>
        </is>
      </c>
      <c r="U843">
        <f>IF(COUNTIF($B$2:$B$1076,B843)&gt;1,"重复","")</f>
        <v/>
      </c>
      <c r="V843">
        <f>IF(AND(OR(M843="",M843=B843),OR(N843="",N843=B843),OR(O843="",O843=B843)),"通过","不一致")</f>
        <v/>
      </c>
    </row>
    <row r="844" ht="22" customHeight="1">
      <c r="A844" s="398" t="n">
        <v>843</v>
      </c>
      <c r="B844" s="398" t="n">
        <v>6863</v>
      </c>
      <c r="C844" s="399" t="inlineStr">
        <is>
          <t>星渊龙息·天穹</t>
        </is>
      </c>
      <c r="D844" s="399" t="inlineStr">
        <is>
          <t>星渊龙息</t>
        </is>
      </c>
      <c r="E844" s="399" t="n">
        <v>4</v>
      </c>
      <c r="F844" s="399" t="inlineStr">
        <is>
          <t>腰带</t>
        </is>
      </c>
      <c r="G844" s="398" t="n">
        <v>64</v>
      </c>
      <c r="H844" s="398" t="n">
        <v>10</v>
      </c>
      <c r="I844" s="398" t="n">
        <v>6863</v>
      </c>
      <c r="J844" s="398" t="n">
        <v>0</v>
      </c>
      <c r="K844" s="398" t="n">
        <v>0</v>
      </c>
      <c r="L844" s="398" t="n">
        <v>0</v>
      </c>
      <c r="M844" s="398" t="n">
        <v>6863</v>
      </c>
      <c r="N844" s="398" t="n">
        <v>6863</v>
      </c>
      <c r="O844" s="398" t="n">
        <v>6863</v>
      </c>
      <c r="P844" s="292" t="n"/>
      <c r="Q844" s="292" t="inlineStr">
        <is>
          <t>candidate-preflight-passed</t>
        </is>
      </c>
      <c r="R844" s="324" t="inlineStr">
        <is>
          <t>C3-C10规划锁定：银规巡课束带</t>
        </is>
      </c>
      <c r="S844" s="292" t="inlineStr">
        <is>
          <t>玄渊二十套全装备代码总表.xlsx</t>
        </is>
      </c>
      <c r="T844" s="292" t="inlineStr">
        <is>
          <t>玄渊20套全装备视觉候选；Items/StateItem/DnItems三库同码；属性待策划填写</t>
        </is>
      </c>
      <c r="U844">
        <f>IF(COUNTIF($B$2:$B$1076,B844)&gt;1,"重复","")</f>
        <v/>
      </c>
      <c r="V844">
        <f>IF(AND(OR(M844="",M844=B844),OR(N844="",N844=B844),OR(O844="",O844=B844)),"通过","不一致")</f>
        <v/>
      </c>
    </row>
    <row r="845" ht="22" customHeight="1">
      <c r="A845" s="398" t="n">
        <v>844</v>
      </c>
      <c r="B845" s="398" t="n">
        <v>6864</v>
      </c>
      <c r="C845" s="399" t="inlineStr">
        <is>
          <t>星渊龙息·天穹</t>
        </is>
      </c>
      <c r="D845" s="399" t="inlineStr">
        <is>
          <t>星渊龙息</t>
        </is>
      </c>
      <c r="E845" s="399" t="n">
        <v>4</v>
      </c>
      <c r="F845" s="399" t="inlineStr">
        <is>
          <t>护身符</t>
        </is>
      </c>
      <c r="G845" s="398" t="n">
        <v>25</v>
      </c>
      <c r="H845" s="398" t="n">
        <v>9</v>
      </c>
      <c r="I845" s="398" t="n">
        <v>6864</v>
      </c>
      <c r="J845" s="398" t="n">
        <v>0</v>
      </c>
      <c r="K845" s="398" t="n">
        <v>0</v>
      </c>
      <c r="L845" s="398" t="n">
        <v>0</v>
      </c>
      <c r="M845" s="398" t="n">
        <v>6864</v>
      </c>
      <c r="N845" s="398" t="n">
        <v>6864</v>
      </c>
      <c r="O845" s="398" t="n">
        <v>6864</v>
      </c>
      <c r="P845" s="292" t="n"/>
      <c r="Q845" s="292" t="inlineStr">
        <is>
          <t>candidate-preflight-passed</t>
        </is>
      </c>
      <c r="R845" s="292" t="str"/>
      <c r="S845" s="292" t="inlineStr">
        <is>
          <t>玄渊二十套全装备代码总表.xlsx</t>
        </is>
      </c>
      <c r="T845" s="292" t="inlineStr">
        <is>
          <t>玄渊20套全装备视觉候选；Items/StateItem/DnItems三库同码；属性待策划填写</t>
        </is>
      </c>
      <c r="U845">
        <f>IF(COUNTIF($B$2:$B$1076,B845)&gt;1,"重复","")</f>
        <v/>
      </c>
      <c r="V845">
        <f>IF(AND(OR(M845="",M845=B845),OR(N845="",N845=B845),OR(O845="",O845=B845)),"通过","不一致")</f>
        <v/>
      </c>
    </row>
    <row r="846" ht="22" customHeight="1">
      <c r="A846" s="398" t="n">
        <v>845</v>
      </c>
      <c r="B846" s="398" t="n">
        <v>6865</v>
      </c>
      <c r="C846" s="399" t="inlineStr">
        <is>
          <t>星渊龙息·天穹</t>
        </is>
      </c>
      <c r="D846" s="399" t="inlineStr">
        <is>
          <t>星渊龙息</t>
        </is>
      </c>
      <c r="E846" s="399" t="n">
        <v>4</v>
      </c>
      <c r="F846" s="399" t="inlineStr">
        <is>
          <t>宝石</t>
        </is>
      </c>
      <c r="G846" s="398" t="n">
        <v>63</v>
      </c>
      <c r="H846" s="398" t="n">
        <v>12</v>
      </c>
      <c r="I846" s="398" t="n">
        <v>6865</v>
      </c>
      <c r="J846" s="398" t="n">
        <v>0</v>
      </c>
      <c r="K846" s="398" t="n">
        <v>0</v>
      </c>
      <c r="L846" s="398" t="n">
        <v>0</v>
      </c>
      <c r="M846" s="398" t="n">
        <v>6865</v>
      </c>
      <c r="N846" s="398" t="n">
        <v>6865</v>
      </c>
      <c r="O846" s="398" t="n">
        <v>6865</v>
      </c>
      <c r="P846" s="292" t="n"/>
      <c r="Q846" s="292" t="inlineStr">
        <is>
          <t>candidate-preflight-passed</t>
        </is>
      </c>
      <c r="R846" s="292" t="str"/>
      <c r="S846" s="292" t="inlineStr">
        <is>
          <t>玄渊二十套全装备代码总表.xlsx</t>
        </is>
      </c>
      <c r="T846" s="292" t="inlineStr">
        <is>
          <t>玄渊20套全装备视觉候选；Items/StateItem/DnItems三库同码；属性待策划填写</t>
        </is>
      </c>
      <c r="U846">
        <f>IF(COUNTIF($B$2:$B$1076,B846)&gt;1,"重复","")</f>
        <v/>
      </c>
      <c r="V846">
        <f>IF(AND(OR(M846="",M846=B846),OR(N846="",N846=B846),OR(O846="",O846=B846)),"通过","不一致")</f>
        <v/>
      </c>
    </row>
    <row r="847" ht="22" customHeight="1">
      <c r="A847" s="398" t="n">
        <v>846</v>
      </c>
      <c r="B847" s="398" t="n">
        <v>6866</v>
      </c>
      <c r="C847" s="399" t="inlineStr">
        <is>
          <t>星渊龙息·天穹</t>
        </is>
      </c>
      <c r="D847" s="399" t="inlineStr">
        <is>
          <t>星渊龙息</t>
        </is>
      </c>
      <c r="E847" s="399" t="n">
        <v>4</v>
      </c>
      <c r="F847" s="399" t="inlineStr">
        <is>
          <t>军鼓</t>
        </is>
      </c>
      <c r="G847" s="398" t="n">
        <v>65</v>
      </c>
      <c r="H847" s="398" t="n">
        <v>14</v>
      </c>
      <c r="I847" s="398" t="n">
        <v>6866</v>
      </c>
      <c r="J847" s="398" t="n">
        <v>0</v>
      </c>
      <c r="K847" s="398" t="n">
        <v>0</v>
      </c>
      <c r="L847" s="398" t="n">
        <v>0</v>
      </c>
      <c r="M847" s="398" t="n">
        <v>6866</v>
      </c>
      <c r="N847" s="398" t="n">
        <v>6866</v>
      </c>
      <c r="O847" s="398" t="n">
        <v>6866</v>
      </c>
      <c r="P847" s="292" t="n"/>
      <c r="Q847" s="292" t="inlineStr">
        <is>
          <t>candidate-preflight-passed</t>
        </is>
      </c>
      <c r="R847" s="292" t="str"/>
      <c r="S847" s="292" t="inlineStr">
        <is>
          <t>玄渊二十套全装备代码总表.xlsx</t>
        </is>
      </c>
      <c r="T847" s="292" t="inlineStr">
        <is>
          <t>玄渊20套全装备视觉候选；Items/StateItem/DnItems三库同码；属性待策划填写</t>
        </is>
      </c>
      <c r="U847">
        <f>IF(COUNTIF($B$2:$B$1076,B847)&gt;1,"重复","")</f>
        <v/>
      </c>
      <c r="V847">
        <f>IF(AND(OR(M847="",M847=B847),OR(N847="",N847=B847),OR(O847="",O847=B847)),"通过","不一致")</f>
        <v/>
      </c>
    </row>
    <row r="848" ht="22" customHeight="1">
      <c r="A848" s="398" t="n">
        <v>847</v>
      </c>
      <c r="B848" s="398" t="n">
        <v>6867</v>
      </c>
      <c r="C848" s="399" t="inlineStr">
        <is>
          <t>星渊龙息·天穹</t>
        </is>
      </c>
      <c r="D848" s="399" t="inlineStr">
        <is>
          <t>星渊龙息</t>
        </is>
      </c>
      <c r="E848" s="399" t="n">
        <v>4</v>
      </c>
      <c r="F848" s="399" t="inlineStr">
        <is>
          <t>马牌</t>
        </is>
      </c>
      <c r="G848" s="398" t="n">
        <v>28</v>
      </c>
      <c r="H848" s="398" t="n">
        <v>15</v>
      </c>
      <c r="I848" s="398" t="n">
        <v>6867</v>
      </c>
      <c r="J848" s="398" t="n">
        <v>0</v>
      </c>
      <c r="K848" s="398" t="n">
        <v>0</v>
      </c>
      <c r="L848" s="398" t="n">
        <v>0</v>
      </c>
      <c r="M848" s="398" t="n">
        <v>6867</v>
      </c>
      <c r="N848" s="398" t="n">
        <v>6867</v>
      </c>
      <c r="O848" s="398" t="n">
        <v>6867</v>
      </c>
      <c r="P848" s="292" t="n"/>
      <c r="Q848" s="292" t="inlineStr">
        <is>
          <t>candidate-preflight-passed</t>
        </is>
      </c>
      <c r="R848" s="292" t="str"/>
      <c r="S848" s="292" t="inlineStr">
        <is>
          <t>玄渊二十套全装备代码总表.xlsx</t>
        </is>
      </c>
      <c r="T848" s="292" t="inlineStr">
        <is>
          <t>玄渊20套全装备视觉候选；Items/StateItem/DnItems三库同码；属性待策划填写</t>
        </is>
      </c>
      <c r="U848">
        <f>IF(COUNTIF($B$2:$B$1076,B848)&gt;1,"重复","")</f>
        <v/>
      </c>
      <c r="V848">
        <f>IF(AND(OR(M848="",M848=B848),OR(N848="",N848=B848),OR(O848="",O848=B848)),"通过","不一致")</f>
        <v/>
      </c>
    </row>
    <row r="849" ht="22" customHeight="1">
      <c r="A849" s="398" t="n">
        <v>848</v>
      </c>
      <c r="B849" s="398" t="n">
        <v>6868</v>
      </c>
      <c r="C849" s="399" t="inlineStr">
        <is>
          <t>星渊龙息·天穹</t>
        </is>
      </c>
      <c r="D849" s="399" t="inlineStr">
        <is>
          <t>星渊龙息</t>
        </is>
      </c>
      <c r="E849" s="399" t="n">
        <v>4</v>
      </c>
      <c r="F849" s="399" t="inlineStr">
        <is>
          <t>首饰盒1</t>
        </is>
      </c>
      <c r="G849" s="398" t="n">
        <v>22</v>
      </c>
      <c r="H849" s="398" t="n">
        <v>30</v>
      </c>
      <c r="I849" s="398" t="n">
        <v>6868</v>
      </c>
      <c r="J849" s="398" t="n">
        <v>0</v>
      </c>
      <c r="K849" s="398" t="n">
        <v>2</v>
      </c>
      <c r="L849" s="398" t="n">
        <v>1</v>
      </c>
      <c r="M849" s="398" t="n">
        <v>6868</v>
      </c>
      <c r="N849" s="398" t="n">
        <v>6868</v>
      </c>
      <c r="O849" s="398" t="n">
        <v>6868</v>
      </c>
      <c r="P849" s="292" t="n"/>
      <c r="Q849" s="292" t="inlineStr">
        <is>
          <t>candidate-preflight-passed</t>
        </is>
      </c>
      <c r="R849" s="292" t="str"/>
      <c r="S849" s="292" t="inlineStr">
        <is>
          <t>玄渊二十套全装备代码总表.xlsx</t>
        </is>
      </c>
      <c r="T849" s="292" t="inlineStr">
        <is>
          <t>玄渊20套全装备视觉候选；Items/StateItem/DnItems三库同码；属性待策划填写；OverLap=2; Expand1=1</t>
        </is>
      </c>
      <c r="U849">
        <f>IF(COUNTIF($B$2:$B$1076,B849)&gt;1,"重复","")</f>
        <v/>
      </c>
      <c r="V849">
        <f>IF(AND(OR(M849="",M849=B849),OR(N849="",N849=B849),OR(O849="",O849=B849)),"通过","不一致")</f>
        <v/>
      </c>
    </row>
    <row r="850" ht="22" customHeight="1">
      <c r="A850" s="398" t="n">
        <v>849</v>
      </c>
      <c r="B850" s="398" t="n">
        <v>6869</v>
      </c>
      <c r="C850" s="399" t="inlineStr">
        <is>
          <t>星渊龙息·天穹</t>
        </is>
      </c>
      <c r="D850" s="399" t="inlineStr">
        <is>
          <t>星渊龙息</t>
        </is>
      </c>
      <c r="E850" s="399" t="n">
        <v>4</v>
      </c>
      <c r="F850" s="399" t="inlineStr">
        <is>
          <t>首饰盒2</t>
        </is>
      </c>
      <c r="G850" s="398" t="n">
        <v>22</v>
      </c>
      <c r="H850" s="398" t="n">
        <v>31</v>
      </c>
      <c r="I850" s="398" t="n">
        <v>6869</v>
      </c>
      <c r="J850" s="398" t="n">
        <v>0</v>
      </c>
      <c r="K850" s="398" t="n">
        <v>2</v>
      </c>
      <c r="L850" s="398" t="n">
        <v>2</v>
      </c>
      <c r="M850" s="398" t="n">
        <v>6869</v>
      </c>
      <c r="N850" s="398" t="n">
        <v>6869</v>
      </c>
      <c r="O850" s="398" t="n">
        <v>6869</v>
      </c>
      <c r="P850" s="292" t="n"/>
      <c r="Q850" s="292" t="inlineStr">
        <is>
          <t>candidate-preflight-passed</t>
        </is>
      </c>
      <c r="R850" s="292" t="str"/>
      <c r="S850" s="292" t="inlineStr">
        <is>
          <t>玄渊二十套全装备代码总表.xlsx</t>
        </is>
      </c>
      <c r="T850" s="292" t="inlineStr">
        <is>
          <t>玄渊20套全装备视觉候选；Items/StateItem/DnItems三库同码；属性待策划填写；OverLap=2; Expand1=2</t>
        </is>
      </c>
      <c r="U850">
        <f>IF(COUNTIF($B$2:$B$1076,B850)&gt;1,"重复","")</f>
        <v/>
      </c>
      <c r="V850">
        <f>IF(AND(OR(M850="",M850=B850),OR(N850="",N850=B850),OR(O850="",O850=B850)),"通过","不一致")</f>
        <v/>
      </c>
    </row>
    <row r="851" ht="22" customHeight="1">
      <c r="A851" s="398" t="n">
        <v>850</v>
      </c>
      <c r="B851" s="398" t="n">
        <v>6870</v>
      </c>
      <c r="C851" s="399" t="inlineStr">
        <is>
          <t>星渊龙息·天穹</t>
        </is>
      </c>
      <c r="D851" s="399" t="inlineStr">
        <is>
          <t>星渊龙息</t>
        </is>
      </c>
      <c r="E851" s="399" t="n">
        <v>4</v>
      </c>
      <c r="F851" s="399" t="inlineStr">
        <is>
          <t>首饰盒3</t>
        </is>
      </c>
      <c r="G851" s="398" t="n">
        <v>22</v>
      </c>
      <c r="H851" s="398" t="n">
        <v>32</v>
      </c>
      <c r="I851" s="398" t="n">
        <v>6870</v>
      </c>
      <c r="J851" s="398" t="n">
        <v>0</v>
      </c>
      <c r="K851" s="398" t="n">
        <v>2</v>
      </c>
      <c r="L851" s="398" t="n">
        <v>3</v>
      </c>
      <c r="M851" s="398" t="n">
        <v>6870</v>
      </c>
      <c r="N851" s="398" t="n">
        <v>6870</v>
      </c>
      <c r="O851" s="398" t="n">
        <v>6870</v>
      </c>
      <c r="P851" s="292" t="n"/>
      <c r="Q851" s="292" t="inlineStr">
        <is>
          <t>candidate-preflight-passed</t>
        </is>
      </c>
      <c r="R851" s="292" t="str"/>
      <c r="S851" s="292" t="inlineStr">
        <is>
          <t>玄渊二十套全装备代码总表.xlsx</t>
        </is>
      </c>
      <c r="T851" s="292" t="inlineStr">
        <is>
          <t>玄渊20套全装备视觉候选；Items/StateItem/DnItems三库同码；属性待策划填写；OverLap=2; Expand1=3</t>
        </is>
      </c>
      <c r="U851">
        <f>IF(COUNTIF($B$2:$B$1076,B851)&gt;1,"重复","")</f>
        <v/>
      </c>
      <c r="V851">
        <f>IF(AND(OR(M851="",M851=B851),OR(N851="",N851=B851),OR(O851="",O851=B851)),"通过","不一致")</f>
        <v/>
      </c>
    </row>
    <row r="852" ht="22" customHeight="1">
      <c r="A852" s="398" t="n">
        <v>851</v>
      </c>
      <c r="B852" s="398" t="n">
        <v>6871</v>
      </c>
      <c r="C852" s="399" t="inlineStr">
        <is>
          <t>星渊龙息·天穹</t>
        </is>
      </c>
      <c r="D852" s="399" t="inlineStr">
        <is>
          <t>星渊龙息</t>
        </is>
      </c>
      <c r="E852" s="399" t="n">
        <v>4</v>
      </c>
      <c r="F852" s="399" t="inlineStr">
        <is>
          <t>首饰盒4</t>
        </is>
      </c>
      <c r="G852" s="398" t="n">
        <v>22</v>
      </c>
      <c r="H852" s="398" t="n">
        <v>33</v>
      </c>
      <c r="I852" s="398" t="n">
        <v>6871</v>
      </c>
      <c r="J852" s="398" t="n">
        <v>0</v>
      </c>
      <c r="K852" s="398" t="n">
        <v>2</v>
      </c>
      <c r="L852" s="398" t="n">
        <v>4</v>
      </c>
      <c r="M852" s="398" t="n">
        <v>6871</v>
      </c>
      <c r="N852" s="398" t="n">
        <v>6871</v>
      </c>
      <c r="O852" s="398" t="n">
        <v>6871</v>
      </c>
      <c r="P852" s="292" t="n"/>
      <c r="Q852" s="292" t="inlineStr">
        <is>
          <t>candidate-preflight-passed</t>
        </is>
      </c>
      <c r="R852" s="292" t="str"/>
      <c r="S852" s="292" t="inlineStr">
        <is>
          <t>玄渊二十套全装备代码总表.xlsx</t>
        </is>
      </c>
      <c r="T852" s="292" t="inlineStr">
        <is>
          <t>玄渊20套全装备视觉候选；Items/StateItem/DnItems三库同码；属性待策划填写；OverLap=2; Expand1=4</t>
        </is>
      </c>
      <c r="U852">
        <f>IF(COUNTIF($B$2:$B$1076,B852)&gt;1,"重复","")</f>
        <v/>
      </c>
      <c r="V852">
        <f>IF(AND(OR(M852="",M852=B852),OR(N852="",N852=B852),OR(O852="",O852=B852)),"通过","不一致")</f>
        <v/>
      </c>
    </row>
    <row r="853" ht="22" customHeight="1">
      <c r="A853" s="398" t="n">
        <v>852</v>
      </c>
      <c r="B853" s="398" t="n">
        <v>6872</v>
      </c>
      <c r="C853" s="399" t="inlineStr">
        <is>
          <t>星渊龙息·天穹</t>
        </is>
      </c>
      <c r="D853" s="399" t="inlineStr">
        <is>
          <t>星渊龙息</t>
        </is>
      </c>
      <c r="E853" s="399" t="n">
        <v>4</v>
      </c>
      <c r="F853" s="399" t="inlineStr">
        <is>
          <t>首饰盒5</t>
        </is>
      </c>
      <c r="G853" s="398" t="n">
        <v>22</v>
      </c>
      <c r="H853" s="398" t="n">
        <v>34</v>
      </c>
      <c r="I853" s="398" t="n">
        <v>6872</v>
      </c>
      <c r="J853" s="398" t="n">
        <v>0</v>
      </c>
      <c r="K853" s="398" t="n">
        <v>2</v>
      </c>
      <c r="L853" s="398" t="n">
        <v>5</v>
      </c>
      <c r="M853" s="398" t="n">
        <v>6872</v>
      </c>
      <c r="N853" s="398" t="n">
        <v>6872</v>
      </c>
      <c r="O853" s="398" t="n">
        <v>6872</v>
      </c>
      <c r="P853" s="292" t="n"/>
      <c r="Q853" s="292" t="inlineStr">
        <is>
          <t>candidate-preflight-passed</t>
        </is>
      </c>
      <c r="R853" s="292" t="str"/>
      <c r="S853" s="292" t="inlineStr">
        <is>
          <t>玄渊二十套全装备代码总表.xlsx</t>
        </is>
      </c>
      <c r="T853" s="292" t="inlineStr">
        <is>
          <t>玄渊20套全装备视觉候选；Items/StateItem/DnItems三库同码；属性待策划填写；OverLap=2; Expand1=5</t>
        </is>
      </c>
      <c r="U853">
        <f>IF(COUNTIF($B$2:$B$1076,B853)&gt;1,"重复","")</f>
        <v/>
      </c>
      <c r="V853">
        <f>IF(AND(OR(M853="",M853=B853),OR(N853="",N853=B853),OR(O853="",O853=B853)),"通过","不一致")</f>
        <v/>
      </c>
    </row>
    <row r="854" ht="22" customHeight="1">
      <c r="A854" s="398" t="n">
        <v>853</v>
      </c>
      <c r="B854" s="398" t="n">
        <v>6873</v>
      </c>
      <c r="C854" s="399" t="inlineStr">
        <is>
          <t>星渊龙息·天穹</t>
        </is>
      </c>
      <c r="D854" s="399" t="inlineStr">
        <is>
          <t>星渊龙息</t>
        </is>
      </c>
      <c r="E854" s="399" t="n">
        <v>4</v>
      </c>
      <c r="F854" s="399" t="inlineStr">
        <is>
          <t>首饰盒6</t>
        </is>
      </c>
      <c r="G854" s="398" t="n">
        <v>22</v>
      </c>
      <c r="H854" s="398" t="n">
        <v>35</v>
      </c>
      <c r="I854" s="398" t="n">
        <v>6873</v>
      </c>
      <c r="J854" s="398" t="n">
        <v>0</v>
      </c>
      <c r="K854" s="398" t="n">
        <v>2</v>
      </c>
      <c r="L854" s="398" t="n">
        <v>6</v>
      </c>
      <c r="M854" s="398" t="n">
        <v>6873</v>
      </c>
      <c r="N854" s="398" t="n">
        <v>6873</v>
      </c>
      <c r="O854" s="398" t="n">
        <v>6873</v>
      </c>
      <c r="P854" s="292" t="n"/>
      <c r="Q854" s="292" t="inlineStr">
        <is>
          <t>candidate-preflight-passed</t>
        </is>
      </c>
      <c r="R854" s="292" t="str"/>
      <c r="S854" s="292" t="inlineStr">
        <is>
          <t>玄渊二十套全装备代码总表.xlsx</t>
        </is>
      </c>
      <c r="T854" s="292" t="inlineStr">
        <is>
          <t>玄渊20套全装备视觉候选；Items/StateItem/DnItems三库同码；属性待策划填写；OverLap=2; Expand1=6</t>
        </is>
      </c>
      <c r="U854">
        <f>IF(COUNTIF($B$2:$B$1076,B854)&gt;1,"重复","")</f>
        <v/>
      </c>
      <c r="V854">
        <f>IF(AND(OR(M854="",M854=B854),OR(N854="",N854=B854),OR(O854="",O854=B854)),"通过","不一致")</f>
        <v/>
      </c>
    </row>
    <row r="855" ht="22" customHeight="1">
      <c r="A855" s="398" t="n">
        <v>854</v>
      </c>
      <c r="B855" s="398" t="n">
        <v>6874</v>
      </c>
      <c r="C855" s="399" t="inlineStr">
        <is>
          <t>星渊龙息·天穹</t>
        </is>
      </c>
      <c r="D855" s="399" t="inlineStr">
        <is>
          <t>星渊龙息</t>
        </is>
      </c>
      <c r="E855" s="399" t="n">
        <v>4</v>
      </c>
      <c r="F855" s="399" t="inlineStr">
        <is>
          <t>生肖1</t>
        </is>
      </c>
      <c r="G855" s="398" t="n">
        <v>22</v>
      </c>
      <c r="H855" s="398" t="n">
        <v>40</v>
      </c>
      <c r="I855" s="398" t="n">
        <v>6874</v>
      </c>
      <c r="J855" s="398" t="n">
        <v>0</v>
      </c>
      <c r="K855" s="398" t="n">
        <v>4</v>
      </c>
      <c r="L855" s="398" t="n">
        <v>1</v>
      </c>
      <c r="M855" s="398" t="n">
        <v>6874</v>
      </c>
      <c r="N855" s="398" t="n">
        <v>6874</v>
      </c>
      <c r="O855" s="398" t="n">
        <v>6874</v>
      </c>
      <c r="P855" s="292" t="n"/>
      <c r="Q855" s="292" t="inlineStr">
        <is>
          <t>candidate-preflight-passed</t>
        </is>
      </c>
      <c r="R855" s="292" t="str"/>
      <c r="S855" s="292" t="inlineStr">
        <is>
          <t>玄渊二十套全装备代码总表.xlsx</t>
        </is>
      </c>
      <c r="T855" s="292" t="inlineStr">
        <is>
          <t>玄渊20套全装备视觉候选；Items/StateItem/DnItems三库同码；属性待策划填写；OverLap=4; Expand1=1</t>
        </is>
      </c>
      <c r="U855">
        <f>IF(COUNTIF($B$2:$B$1076,B855)&gt;1,"重复","")</f>
        <v/>
      </c>
      <c r="V855">
        <f>IF(AND(OR(M855="",M855=B855),OR(N855="",N855=B855),OR(O855="",O855=B855)),"通过","不一致")</f>
        <v/>
      </c>
    </row>
    <row r="856" ht="22" customHeight="1">
      <c r="A856" s="398" t="n">
        <v>855</v>
      </c>
      <c r="B856" s="398" t="n">
        <v>6875</v>
      </c>
      <c r="C856" s="399" t="inlineStr">
        <is>
          <t>星渊龙息·天穹</t>
        </is>
      </c>
      <c r="D856" s="399" t="inlineStr">
        <is>
          <t>星渊龙息</t>
        </is>
      </c>
      <c r="E856" s="399" t="n">
        <v>4</v>
      </c>
      <c r="F856" s="399" t="inlineStr">
        <is>
          <t>生肖2</t>
        </is>
      </c>
      <c r="G856" s="398" t="n">
        <v>22</v>
      </c>
      <c r="H856" s="398" t="n">
        <v>41</v>
      </c>
      <c r="I856" s="398" t="n">
        <v>6875</v>
      </c>
      <c r="J856" s="398" t="n">
        <v>0</v>
      </c>
      <c r="K856" s="398" t="n">
        <v>4</v>
      </c>
      <c r="L856" s="398" t="n">
        <v>2</v>
      </c>
      <c r="M856" s="398" t="n">
        <v>6875</v>
      </c>
      <c r="N856" s="398" t="n">
        <v>6875</v>
      </c>
      <c r="O856" s="398" t="n">
        <v>6875</v>
      </c>
      <c r="P856" s="292" t="n"/>
      <c r="Q856" s="292" t="inlineStr">
        <is>
          <t>candidate-preflight-passed</t>
        </is>
      </c>
      <c r="R856" s="292" t="str"/>
      <c r="S856" s="292" t="inlineStr">
        <is>
          <t>玄渊二十套全装备代码总表.xlsx</t>
        </is>
      </c>
      <c r="T856" s="292" t="inlineStr">
        <is>
          <t>玄渊20套全装备视觉候选；Items/StateItem/DnItems三库同码；属性待策划填写；OverLap=4; Expand1=2</t>
        </is>
      </c>
      <c r="U856">
        <f>IF(COUNTIF($B$2:$B$1076,B856)&gt;1,"重复","")</f>
        <v/>
      </c>
      <c r="V856">
        <f>IF(AND(OR(M856="",M856=B856),OR(N856="",N856=B856),OR(O856="",O856=B856)),"通过","不一致")</f>
        <v/>
      </c>
    </row>
    <row r="857" ht="22" customHeight="1">
      <c r="A857" s="398" t="n">
        <v>856</v>
      </c>
      <c r="B857" s="398" t="n">
        <v>6876</v>
      </c>
      <c r="C857" s="399" t="inlineStr">
        <is>
          <t>星渊龙息·天穹</t>
        </is>
      </c>
      <c r="D857" s="399" t="inlineStr">
        <is>
          <t>星渊龙息</t>
        </is>
      </c>
      <c r="E857" s="399" t="n">
        <v>4</v>
      </c>
      <c r="F857" s="399" t="inlineStr">
        <is>
          <t>生肖3</t>
        </is>
      </c>
      <c r="G857" s="398" t="n">
        <v>22</v>
      </c>
      <c r="H857" s="398" t="n">
        <v>42</v>
      </c>
      <c r="I857" s="398" t="n">
        <v>6876</v>
      </c>
      <c r="J857" s="398" t="n">
        <v>0</v>
      </c>
      <c r="K857" s="398" t="n">
        <v>4</v>
      </c>
      <c r="L857" s="398" t="n">
        <v>3</v>
      </c>
      <c r="M857" s="398" t="n">
        <v>6876</v>
      </c>
      <c r="N857" s="398" t="n">
        <v>6876</v>
      </c>
      <c r="O857" s="398" t="n">
        <v>6876</v>
      </c>
      <c r="P857" s="292" t="n"/>
      <c r="Q857" s="292" t="inlineStr">
        <is>
          <t>candidate-preflight-passed</t>
        </is>
      </c>
      <c r="R857" s="292" t="str"/>
      <c r="S857" s="292" t="inlineStr">
        <is>
          <t>玄渊二十套全装备代码总表.xlsx</t>
        </is>
      </c>
      <c r="T857" s="292" t="inlineStr">
        <is>
          <t>玄渊20套全装备视觉候选；Items/StateItem/DnItems三库同码；属性待策划填写；OverLap=4; Expand1=3</t>
        </is>
      </c>
      <c r="U857">
        <f>IF(COUNTIF($B$2:$B$1076,B857)&gt;1,"重复","")</f>
        <v/>
      </c>
      <c r="V857">
        <f>IF(AND(OR(M857="",M857=B857),OR(N857="",N857=B857),OR(O857="",O857=B857)),"通过","不一致")</f>
        <v/>
      </c>
    </row>
    <row r="858" ht="22" customHeight="1">
      <c r="A858" s="398" t="n">
        <v>857</v>
      </c>
      <c r="B858" s="398" t="n">
        <v>6877</v>
      </c>
      <c r="C858" s="399" t="inlineStr">
        <is>
          <t>星渊龙息·天穹</t>
        </is>
      </c>
      <c r="D858" s="399" t="inlineStr">
        <is>
          <t>星渊龙息</t>
        </is>
      </c>
      <c r="E858" s="399" t="n">
        <v>4</v>
      </c>
      <c r="F858" s="399" t="inlineStr">
        <is>
          <t>生肖4</t>
        </is>
      </c>
      <c r="G858" s="398" t="n">
        <v>22</v>
      </c>
      <c r="H858" s="398" t="n">
        <v>43</v>
      </c>
      <c r="I858" s="398" t="n">
        <v>6877</v>
      </c>
      <c r="J858" s="398" t="n">
        <v>0</v>
      </c>
      <c r="K858" s="398" t="n">
        <v>4</v>
      </c>
      <c r="L858" s="398" t="n">
        <v>4</v>
      </c>
      <c r="M858" s="398" t="n">
        <v>6877</v>
      </c>
      <c r="N858" s="398" t="n">
        <v>6877</v>
      </c>
      <c r="O858" s="398" t="n">
        <v>6877</v>
      </c>
      <c r="P858" s="292" t="n"/>
      <c r="Q858" s="292" t="inlineStr">
        <is>
          <t>candidate-preflight-passed</t>
        </is>
      </c>
      <c r="R858" s="292" t="str"/>
      <c r="S858" s="292" t="inlineStr">
        <is>
          <t>玄渊二十套全装备代码总表.xlsx</t>
        </is>
      </c>
      <c r="T858" s="292" t="inlineStr">
        <is>
          <t>玄渊20套全装备视觉候选；Items/StateItem/DnItems三库同码；属性待策划填写；OverLap=4; Expand1=4</t>
        </is>
      </c>
      <c r="U858">
        <f>IF(COUNTIF($B$2:$B$1076,B858)&gt;1,"重复","")</f>
        <v/>
      </c>
      <c r="V858">
        <f>IF(AND(OR(M858="",M858=B858),OR(N858="",N858=B858),OR(O858="",O858=B858)),"通过","不一致")</f>
        <v/>
      </c>
    </row>
    <row r="859" ht="22" customHeight="1">
      <c r="A859" s="398" t="n">
        <v>858</v>
      </c>
      <c r="B859" s="398" t="n">
        <v>6878</v>
      </c>
      <c r="C859" s="399" t="inlineStr">
        <is>
          <t>星渊龙息·天穹</t>
        </is>
      </c>
      <c r="D859" s="399" t="inlineStr">
        <is>
          <t>星渊龙息</t>
        </is>
      </c>
      <c r="E859" s="399" t="n">
        <v>4</v>
      </c>
      <c r="F859" s="399" t="inlineStr">
        <is>
          <t>生肖5</t>
        </is>
      </c>
      <c r="G859" s="398" t="n">
        <v>22</v>
      </c>
      <c r="H859" s="398" t="n">
        <v>44</v>
      </c>
      <c r="I859" s="398" t="n">
        <v>6878</v>
      </c>
      <c r="J859" s="398" t="n">
        <v>0</v>
      </c>
      <c r="K859" s="398" t="n">
        <v>4</v>
      </c>
      <c r="L859" s="398" t="n">
        <v>5</v>
      </c>
      <c r="M859" s="398" t="n">
        <v>6878</v>
      </c>
      <c r="N859" s="398" t="n">
        <v>6878</v>
      </c>
      <c r="O859" s="398" t="n">
        <v>6878</v>
      </c>
      <c r="P859" s="292" t="n"/>
      <c r="Q859" s="292" t="inlineStr">
        <is>
          <t>candidate-preflight-passed</t>
        </is>
      </c>
      <c r="R859" s="292" t="str"/>
      <c r="S859" s="292" t="inlineStr">
        <is>
          <t>玄渊二十套全装备代码总表.xlsx</t>
        </is>
      </c>
      <c r="T859" s="292" t="inlineStr">
        <is>
          <t>玄渊20套全装备视觉候选；Items/StateItem/DnItems三库同码；属性待策划填写；OverLap=4; Expand1=5</t>
        </is>
      </c>
      <c r="U859">
        <f>IF(COUNTIF($B$2:$B$1076,B859)&gt;1,"重复","")</f>
        <v/>
      </c>
      <c r="V859">
        <f>IF(AND(OR(M859="",M859=B859),OR(N859="",N859=B859),OR(O859="",O859=B859)),"通过","不一致")</f>
        <v/>
      </c>
    </row>
    <row r="860" ht="22" customHeight="1">
      <c r="A860" s="398" t="n">
        <v>859</v>
      </c>
      <c r="B860" s="398" t="n">
        <v>6879</v>
      </c>
      <c r="C860" s="399" t="inlineStr">
        <is>
          <t>星渊龙息·天穹</t>
        </is>
      </c>
      <c r="D860" s="399" t="inlineStr">
        <is>
          <t>星渊龙息</t>
        </is>
      </c>
      <c r="E860" s="399" t="n">
        <v>4</v>
      </c>
      <c r="F860" s="399" t="inlineStr">
        <is>
          <t>生肖6</t>
        </is>
      </c>
      <c r="G860" s="398" t="n">
        <v>22</v>
      </c>
      <c r="H860" s="398" t="n">
        <v>45</v>
      </c>
      <c r="I860" s="398" t="n">
        <v>6879</v>
      </c>
      <c r="J860" s="398" t="n">
        <v>0</v>
      </c>
      <c r="K860" s="398" t="n">
        <v>4</v>
      </c>
      <c r="L860" s="398" t="n">
        <v>6</v>
      </c>
      <c r="M860" s="398" t="n">
        <v>6879</v>
      </c>
      <c r="N860" s="398" t="n">
        <v>6879</v>
      </c>
      <c r="O860" s="398" t="n">
        <v>6879</v>
      </c>
      <c r="P860" s="292" t="n"/>
      <c r="Q860" s="292" t="inlineStr">
        <is>
          <t>candidate-preflight-passed</t>
        </is>
      </c>
      <c r="R860" s="292" t="str"/>
      <c r="S860" s="292" t="inlineStr">
        <is>
          <t>玄渊二十套全装备代码总表.xlsx</t>
        </is>
      </c>
      <c r="T860" s="292" t="inlineStr">
        <is>
          <t>玄渊20套全装备视觉候选；Items/StateItem/DnItems三库同码；属性待策划填写；OverLap=4; Expand1=6</t>
        </is>
      </c>
      <c r="U860">
        <f>IF(COUNTIF($B$2:$B$1076,B860)&gt;1,"重复","")</f>
        <v/>
      </c>
      <c r="V860">
        <f>IF(AND(OR(M860="",M860=B860),OR(N860="",N860=B860),OR(O860="",O860=B860)),"通过","不一致")</f>
        <v/>
      </c>
    </row>
    <row r="861" ht="22" customHeight="1">
      <c r="A861" s="398" t="n">
        <v>860</v>
      </c>
      <c r="B861" s="398" t="n">
        <v>6880</v>
      </c>
      <c r="C861" s="399" t="inlineStr">
        <is>
          <t>星渊龙息·天穹</t>
        </is>
      </c>
      <c r="D861" s="399" t="inlineStr">
        <is>
          <t>星渊龙息</t>
        </is>
      </c>
      <c r="E861" s="399" t="n">
        <v>4</v>
      </c>
      <c r="F861" s="399" t="inlineStr">
        <is>
          <t>生肖7</t>
        </is>
      </c>
      <c r="G861" s="398" t="n">
        <v>22</v>
      </c>
      <c r="H861" s="398" t="n">
        <v>46</v>
      </c>
      <c r="I861" s="398" t="n">
        <v>6880</v>
      </c>
      <c r="J861" s="398" t="n">
        <v>0</v>
      </c>
      <c r="K861" s="398" t="n">
        <v>4</v>
      </c>
      <c r="L861" s="398" t="n">
        <v>7</v>
      </c>
      <c r="M861" s="398" t="n">
        <v>6880</v>
      </c>
      <c r="N861" s="398" t="n">
        <v>6880</v>
      </c>
      <c r="O861" s="398" t="n">
        <v>6880</v>
      </c>
      <c r="P861" s="292" t="n"/>
      <c r="Q861" s="292" t="inlineStr">
        <is>
          <t>candidate-preflight-passed</t>
        </is>
      </c>
      <c r="R861" s="292" t="str"/>
      <c r="S861" s="292" t="inlineStr">
        <is>
          <t>玄渊二十套全装备代码总表.xlsx</t>
        </is>
      </c>
      <c r="T861" s="292" t="inlineStr">
        <is>
          <t>玄渊20套全装备视觉候选；Items/StateItem/DnItems三库同码；属性待策划填写；OverLap=4; Expand1=7</t>
        </is>
      </c>
      <c r="U861">
        <f>IF(COUNTIF($B$2:$B$1076,B861)&gt;1,"重复","")</f>
        <v/>
      </c>
      <c r="V861">
        <f>IF(AND(OR(M861="",M861=B861),OR(N861="",N861=B861),OR(O861="",O861=B861)),"通过","不一致")</f>
        <v/>
      </c>
    </row>
    <row r="862" ht="22" customHeight="1">
      <c r="A862" s="398" t="n">
        <v>861</v>
      </c>
      <c r="B862" s="398" t="n">
        <v>6881</v>
      </c>
      <c r="C862" s="399" t="inlineStr">
        <is>
          <t>星渊龙息·天穹</t>
        </is>
      </c>
      <c r="D862" s="399" t="inlineStr">
        <is>
          <t>星渊龙息</t>
        </is>
      </c>
      <c r="E862" s="399" t="n">
        <v>4</v>
      </c>
      <c r="F862" s="399" t="inlineStr">
        <is>
          <t>生肖8</t>
        </is>
      </c>
      <c r="G862" s="398" t="n">
        <v>22</v>
      </c>
      <c r="H862" s="398" t="n">
        <v>47</v>
      </c>
      <c r="I862" s="398" t="n">
        <v>6881</v>
      </c>
      <c r="J862" s="398" t="n">
        <v>0</v>
      </c>
      <c r="K862" s="398" t="n">
        <v>4</v>
      </c>
      <c r="L862" s="398" t="n">
        <v>8</v>
      </c>
      <c r="M862" s="398" t="n">
        <v>6881</v>
      </c>
      <c r="N862" s="398" t="n">
        <v>6881</v>
      </c>
      <c r="O862" s="398" t="n">
        <v>6881</v>
      </c>
      <c r="P862" s="292" t="n"/>
      <c r="Q862" s="292" t="inlineStr">
        <is>
          <t>candidate-preflight-passed</t>
        </is>
      </c>
      <c r="R862" s="292" t="str"/>
      <c r="S862" s="292" t="inlineStr">
        <is>
          <t>玄渊二十套全装备代码总表.xlsx</t>
        </is>
      </c>
      <c r="T862" s="292" t="inlineStr">
        <is>
          <t>玄渊20套全装备视觉候选；Items/StateItem/DnItems三库同码；属性待策划填写；OverLap=4; Expand1=8</t>
        </is>
      </c>
      <c r="U862">
        <f>IF(COUNTIF($B$2:$B$1076,B862)&gt;1,"重复","")</f>
        <v/>
      </c>
      <c r="V862">
        <f>IF(AND(OR(M862="",M862=B862),OR(N862="",N862=B862),OR(O862="",O862=B862)),"通过","不一致")</f>
        <v/>
      </c>
    </row>
    <row r="863" ht="22" customHeight="1">
      <c r="A863" s="398" t="n">
        <v>862</v>
      </c>
      <c r="B863" s="398" t="n">
        <v>6882</v>
      </c>
      <c r="C863" s="399" t="inlineStr">
        <is>
          <t>星渊龙息·天穹</t>
        </is>
      </c>
      <c r="D863" s="399" t="inlineStr">
        <is>
          <t>星渊龙息</t>
        </is>
      </c>
      <c r="E863" s="399" t="n">
        <v>4</v>
      </c>
      <c r="F863" s="399" t="inlineStr">
        <is>
          <t>生肖9</t>
        </is>
      </c>
      <c r="G863" s="398" t="n">
        <v>22</v>
      </c>
      <c r="H863" s="398" t="n">
        <v>48</v>
      </c>
      <c r="I863" s="398" t="n">
        <v>6882</v>
      </c>
      <c r="J863" s="398" t="n">
        <v>0</v>
      </c>
      <c r="K863" s="398" t="n">
        <v>4</v>
      </c>
      <c r="L863" s="398" t="n">
        <v>9</v>
      </c>
      <c r="M863" s="398" t="n">
        <v>6882</v>
      </c>
      <c r="N863" s="398" t="n">
        <v>6882</v>
      </c>
      <c r="O863" s="398" t="n">
        <v>6882</v>
      </c>
      <c r="P863" s="292" t="n"/>
      <c r="Q863" s="292" t="inlineStr">
        <is>
          <t>candidate-preflight-passed</t>
        </is>
      </c>
      <c r="R863" s="292" t="str"/>
      <c r="S863" s="292" t="inlineStr">
        <is>
          <t>玄渊二十套全装备代码总表.xlsx</t>
        </is>
      </c>
      <c r="T863" s="292" t="inlineStr">
        <is>
          <t>玄渊20套全装备视觉候选；Items/StateItem/DnItems三库同码；属性待策划填写；OverLap=4; Expand1=9</t>
        </is>
      </c>
      <c r="U863">
        <f>IF(COUNTIF($B$2:$B$1076,B863)&gt;1,"重复","")</f>
        <v/>
      </c>
      <c r="V863">
        <f>IF(AND(OR(M863="",M863=B863),OR(N863="",N863=B863),OR(O863="",O863=B863)),"通过","不一致")</f>
        <v/>
      </c>
    </row>
    <row r="864" ht="22" customHeight="1">
      <c r="A864" s="398" t="n">
        <v>863</v>
      </c>
      <c r="B864" s="398" t="n">
        <v>6883</v>
      </c>
      <c r="C864" s="399" t="inlineStr">
        <is>
          <t>星渊龙息·天穹</t>
        </is>
      </c>
      <c r="D864" s="399" t="inlineStr">
        <is>
          <t>星渊龙息</t>
        </is>
      </c>
      <c r="E864" s="399" t="n">
        <v>4</v>
      </c>
      <c r="F864" s="399" t="inlineStr">
        <is>
          <t>生肖10</t>
        </is>
      </c>
      <c r="G864" s="398" t="n">
        <v>22</v>
      </c>
      <c r="H864" s="398" t="n">
        <v>49</v>
      </c>
      <c r="I864" s="398" t="n">
        <v>6883</v>
      </c>
      <c r="J864" s="398" t="n">
        <v>0</v>
      </c>
      <c r="K864" s="398" t="n">
        <v>4</v>
      </c>
      <c r="L864" s="398" t="n">
        <v>10</v>
      </c>
      <c r="M864" s="398" t="n">
        <v>6883</v>
      </c>
      <c r="N864" s="398" t="n">
        <v>6883</v>
      </c>
      <c r="O864" s="398" t="n">
        <v>6883</v>
      </c>
      <c r="P864" s="292" t="n"/>
      <c r="Q864" s="292" t="inlineStr">
        <is>
          <t>candidate-preflight-passed</t>
        </is>
      </c>
      <c r="R864" s="292" t="str"/>
      <c r="S864" s="292" t="inlineStr">
        <is>
          <t>玄渊二十套全装备代码总表.xlsx</t>
        </is>
      </c>
      <c r="T864" s="292" t="inlineStr">
        <is>
          <t>玄渊20套全装备视觉候选；Items/StateItem/DnItems三库同码；属性待策划填写；OverLap=4; Expand1=10</t>
        </is>
      </c>
      <c r="U864">
        <f>IF(COUNTIF($B$2:$B$1076,B864)&gt;1,"重复","")</f>
        <v/>
      </c>
      <c r="V864">
        <f>IF(AND(OR(M864="",M864=B864),OR(N864="",N864=B864),OR(O864="",O864=B864)),"通过","不一致")</f>
        <v/>
      </c>
    </row>
    <row r="865" ht="22" customHeight="1">
      <c r="A865" s="398" t="n">
        <v>864</v>
      </c>
      <c r="B865" s="398" t="n">
        <v>6884</v>
      </c>
      <c r="C865" s="399" t="inlineStr">
        <is>
          <t>星渊龙息·天穹</t>
        </is>
      </c>
      <c r="D865" s="399" t="inlineStr">
        <is>
          <t>星渊龙息</t>
        </is>
      </c>
      <c r="E865" s="399" t="n">
        <v>4</v>
      </c>
      <c r="F865" s="399" t="inlineStr">
        <is>
          <t>生肖11</t>
        </is>
      </c>
      <c r="G865" s="398" t="n">
        <v>22</v>
      </c>
      <c r="H865" s="398" t="n">
        <v>50</v>
      </c>
      <c r="I865" s="398" t="n">
        <v>6884</v>
      </c>
      <c r="J865" s="398" t="n">
        <v>0</v>
      </c>
      <c r="K865" s="398" t="n">
        <v>4</v>
      </c>
      <c r="L865" s="398" t="n">
        <v>11</v>
      </c>
      <c r="M865" s="398" t="n">
        <v>6884</v>
      </c>
      <c r="N865" s="398" t="n">
        <v>6884</v>
      </c>
      <c r="O865" s="398" t="n">
        <v>6884</v>
      </c>
      <c r="P865" s="292" t="n"/>
      <c r="Q865" s="292" t="inlineStr">
        <is>
          <t>candidate-preflight-passed</t>
        </is>
      </c>
      <c r="R865" s="292" t="str"/>
      <c r="S865" s="292" t="inlineStr">
        <is>
          <t>玄渊二十套全装备代码总表.xlsx</t>
        </is>
      </c>
      <c r="T865" s="292" t="inlineStr">
        <is>
          <t>玄渊20套全装备视觉候选；Items/StateItem/DnItems三库同码；属性待策划填写；OverLap=4; Expand1=11</t>
        </is>
      </c>
      <c r="U865">
        <f>IF(COUNTIF($B$2:$B$1076,B865)&gt;1,"重复","")</f>
        <v/>
      </c>
      <c r="V865">
        <f>IF(AND(OR(M865="",M865=B865),OR(N865="",N865=B865),OR(O865="",O865=B865)),"通过","不一致")</f>
        <v/>
      </c>
    </row>
    <row r="866" ht="22" customHeight="1">
      <c r="A866" s="398" t="n">
        <v>865</v>
      </c>
      <c r="B866" s="398" t="n">
        <v>6885</v>
      </c>
      <c r="C866" s="399" t="inlineStr">
        <is>
          <t>星渊龙息·天穹</t>
        </is>
      </c>
      <c r="D866" s="399" t="inlineStr">
        <is>
          <t>星渊龙息</t>
        </is>
      </c>
      <c r="E866" s="399" t="n">
        <v>4</v>
      </c>
      <c r="F866" s="399" t="inlineStr">
        <is>
          <t>生肖12</t>
        </is>
      </c>
      <c r="G866" s="398" t="n">
        <v>22</v>
      </c>
      <c r="H866" s="398" t="n">
        <v>51</v>
      </c>
      <c r="I866" s="398" t="n">
        <v>6885</v>
      </c>
      <c r="J866" s="398" t="n">
        <v>0</v>
      </c>
      <c r="K866" s="398" t="n">
        <v>4</v>
      </c>
      <c r="L866" s="398" t="n">
        <v>12</v>
      </c>
      <c r="M866" s="398" t="n">
        <v>6885</v>
      </c>
      <c r="N866" s="398" t="n">
        <v>6885</v>
      </c>
      <c r="O866" s="398" t="n">
        <v>6885</v>
      </c>
      <c r="P866" s="292" t="n"/>
      <c r="Q866" s="292" t="inlineStr">
        <is>
          <t>candidate-preflight-passed</t>
        </is>
      </c>
      <c r="R866" s="292" t="str"/>
      <c r="S866" s="292" t="inlineStr">
        <is>
          <t>玄渊二十套全装备代码总表.xlsx</t>
        </is>
      </c>
      <c r="T866" s="292" t="inlineStr">
        <is>
          <t>玄渊20套全装备视觉候选；Items/StateItem/DnItems三库同码；属性待策划填写；OverLap=4; Expand1=12</t>
        </is>
      </c>
      <c r="U866">
        <f>IF(COUNTIF($B$2:$B$1076,B866)&gt;1,"重复","")</f>
        <v/>
      </c>
      <c r="V866">
        <f>IF(AND(OR(M866="",M866=B866),OR(N866="",N866=B866),OR(O866="",O866=B866)),"通过","不一致")</f>
        <v/>
      </c>
    </row>
    <row r="867" ht="22" customHeight="1">
      <c r="A867" s="398" t="n">
        <v>866</v>
      </c>
      <c r="B867" s="398" t="n">
        <v>6886</v>
      </c>
      <c r="C867" s="399" t="inlineStr">
        <is>
          <t>星渊龙息·无垠</t>
        </is>
      </c>
      <c r="D867" s="399" t="inlineStr">
        <is>
          <t>星渊龙息</t>
        </is>
      </c>
      <c r="E867" s="399" t="n">
        <v>5</v>
      </c>
      <c r="F867" s="399" t="inlineStr">
        <is>
          <t>武器</t>
        </is>
      </c>
      <c r="G867" s="398" t="n">
        <v>5</v>
      </c>
      <c r="H867" s="398" t="n">
        <v>1</v>
      </c>
      <c r="I867" s="398" t="n">
        <v>6886</v>
      </c>
      <c r="J867" s="398" t="n">
        <v>30</v>
      </c>
      <c r="K867" s="398" t="n">
        <v>0</v>
      </c>
      <c r="L867" s="398" t="n">
        <v>0</v>
      </c>
      <c r="M867" s="398" t="n">
        <v>6886</v>
      </c>
      <c r="N867" s="398" t="n">
        <v>6886</v>
      </c>
      <c r="O867" s="398" t="n">
        <v>6886</v>
      </c>
      <c r="P867" s="292" t="inlineStr">
        <is>
          <t>Weapon.wzl/wzx（复用现有真实动作）</t>
        </is>
      </c>
      <c r="Q867" s="292" t="inlineStr">
        <is>
          <t>candidate-preflight-passed</t>
        </is>
      </c>
      <c r="R867" s="324" t="inlineStr">
        <is>
          <t>C3-C10规划锁定：雾冠巡庭刃</t>
        </is>
      </c>
      <c r="S867" s="292" t="inlineStr">
        <is>
          <t>玄渊二十套全装备代码总表.xlsx</t>
        </is>
      </c>
      <c r="T867" s="292" t="inlineStr">
        <is>
          <t>玄渊20套全装备视觉候选；Items/StateItem/DnItems三库同码；属性待策划填写；Weapon Shape=30</t>
        </is>
      </c>
      <c r="U867">
        <f>IF(COUNTIF($B$2:$B$1076,B867)&gt;1,"重复","")</f>
        <v/>
      </c>
      <c r="V867">
        <f>IF(AND(OR(M867="",M867=B867),OR(N867="",N867=B867),OR(O867="",O867=B867)),"通过","不一致")</f>
        <v/>
      </c>
    </row>
    <row r="868" ht="22" customHeight="1">
      <c r="A868" s="398" t="n">
        <v>867</v>
      </c>
      <c r="B868" s="398" t="n">
        <v>6887</v>
      </c>
      <c r="C868" s="399" t="inlineStr">
        <is>
          <t>星渊龙息·无垠</t>
        </is>
      </c>
      <c r="D868" s="399" t="inlineStr">
        <is>
          <t>星渊龙息</t>
        </is>
      </c>
      <c r="E868" s="399" t="n">
        <v>5</v>
      </c>
      <c r="F868" s="399" t="inlineStr">
        <is>
          <t>男衣服</t>
        </is>
      </c>
      <c r="G868" s="398" t="n">
        <v>10</v>
      </c>
      <c r="H868" s="398" t="n">
        <v>0</v>
      </c>
      <c r="I868" s="398" t="n">
        <v>6887</v>
      </c>
      <c r="J868" s="398" t="n">
        <v>7</v>
      </c>
      <c r="K868" s="398" t="n">
        <v>0</v>
      </c>
      <c r="L868" s="398" t="n">
        <v>0</v>
      </c>
      <c r="M868" s="398" t="n">
        <v>6887</v>
      </c>
      <c r="N868" s="398" t="n">
        <v>6887</v>
      </c>
      <c r="O868" s="398" t="n">
        <v>6887</v>
      </c>
      <c r="P868" s="292" t="inlineStr">
        <is>
          <t>Hum.wzl/wzx（复用现有真实动作）</t>
        </is>
      </c>
      <c r="Q868" s="292" t="inlineStr">
        <is>
          <t>candidate-preflight-passed</t>
        </is>
      </c>
      <c r="R868" s="324" t="inlineStr">
        <is>
          <t>C3-C10规划锁定：万棱圣坛鳞衣</t>
        </is>
      </c>
      <c r="S868" s="292" t="inlineStr">
        <is>
          <t>玄渊二十套全装备代码总表.xlsx</t>
        </is>
      </c>
      <c r="T868" s="292" t="inlineStr">
        <is>
          <t>玄渊20套全装备视觉候选；Items/StateItem/DnItems三库同码；属性待策划填写；Hum Shape=7</t>
        </is>
      </c>
      <c r="U868">
        <f>IF(COUNTIF($B$2:$B$1076,B868)&gt;1,"重复","")</f>
        <v/>
      </c>
      <c r="V868">
        <f>IF(AND(OR(M868="",M868=B868),OR(N868="",N868=B868),OR(O868="",O868=B868)),"通过","不一致")</f>
        <v/>
      </c>
    </row>
    <row r="869" ht="22" customHeight="1">
      <c r="A869" s="398" t="n">
        <v>868</v>
      </c>
      <c r="B869" s="398" t="n">
        <v>6888</v>
      </c>
      <c r="C869" s="399" t="inlineStr">
        <is>
          <t>星渊龙息·无垠</t>
        </is>
      </c>
      <c r="D869" s="399" t="inlineStr">
        <is>
          <t>星渊龙息</t>
        </is>
      </c>
      <c r="E869" s="399" t="n">
        <v>5</v>
      </c>
      <c r="F869" s="399" t="inlineStr">
        <is>
          <t>女衣服</t>
        </is>
      </c>
      <c r="G869" s="398" t="n">
        <v>11</v>
      </c>
      <c r="H869" s="398" t="n">
        <v>0</v>
      </c>
      <c r="I869" s="398" t="n">
        <v>6888</v>
      </c>
      <c r="J869" s="398" t="n">
        <v>7</v>
      </c>
      <c r="K869" s="398" t="n">
        <v>0</v>
      </c>
      <c r="L869" s="398" t="n">
        <v>0</v>
      </c>
      <c r="M869" s="398" t="n">
        <v>6888</v>
      </c>
      <c r="N869" s="398" t="n">
        <v>6888</v>
      </c>
      <c r="O869" s="398" t="n">
        <v>6888</v>
      </c>
      <c r="P869" s="292" t="inlineStr">
        <is>
          <t>Hum.wzl/wzx（复用现有真实动作）</t>
        </is>
      </c>
      <c r="Q869" s="292" t="inlineStr">
        <is>
          <t>candidate-preflight-passed</t>
        </is>
      </c>
      <c r="R869" s="292" t="str"/>
      <c r="S869" s="292" t="inlineStr">
        <is>
          <t>玄渊二十套全装备代码总表.xlsx</t>
        </is>
      </c>
      <c r="T869" s="292" t="inlineStr">
        <is>
          <t>玄渊20套全装备视觉候选；Items/StateItem/DnItems三库同码；属性待策划填写；Hum Shape=7</t>
        </is>
      </c>
      <c r="U869">
        <f>IF(COUNTIF($B$2:$B$1076,B869)&gt;1,"重复","")</f>
        <v/>
      </c>
      <c r="V869">
        <f>IF(AND(OR(M869="",M869=B869),OR(N869="",N869=B869),OR(O869="",O869=B869)),"通过","不一致")</f>
        <v/>
      </c>
    </row>
    <row r="870" ht="22" customHeight="1">
      <c r="A870" s="398" t="n">
        <v>869</v>
      </c>
      <c r="B870" s="398" t="n">
        <v>6889</v>
      </c>
      <c r="C870" s="399" t="inlineStr">
        <is>
          <t>星渊龙息·无垠</t>
        </is>
      </c>
      <c r="D870" s="399" t="inlineStr">
        <is>
          <t>星渊龙息</t>
        </is>
      </c>
      <c r="E870" s="399" t="n">
        <v>5</v>
      </c>
      <c r="F870" s="399" t="inlineStr">
        <is>
          <t>头盔</t>
        </is>
      </c>
      <c r="G870" s="398" t="n">
        <v>15</v>
      </c>
      <c r="H870" s="398" t="n">
        <v>4</v>
      </c>
      <c r="I870" s="398" t="n">
        <v>6889</v>
      </c>
      <c r="J870" s="398" t="n">
        <v>0</v>
      </c>
      <c r="K870" s="398" t="n">
        <v>0</v>
      </c>
      <c r="L870" s="398" t="n">
        <v>0</v>
      </c>
      <c r="M870" s="398" t="n">
        <v>6889</v>
      </c>
      <c r="N870" s="398" t="n">
        <v>6889</v>
      </c>
      <c r="O870" s="398" t="n">
        <v>6889</v>
      </c>
      <c r="P870" s="292" t="n"/>
      <c r="Q870" s="292" t="inlineStr">
        <is>
          <t>candidate-preflight-passed</t>
        </is>
      </c>
      <c r="R870" s="324" t="inlineStr">
        <is>
          <t>C3-C10规划锁定：滤水蚌盔</t>
        </is>
      </c>
      <c r="S870" s="292" t="inlineStr">
        <is>
          <t>玄渊二十套全装备代码总表.xlsx</t>
        </is>
      </c>
      <c r="T870" s="292" t="inlineStr">
        <is>
          <t>玄渊20套全装备视觉候选；Items/StateItem/DnItems三库同码；属性待策划填写</t>
        </is>
      </c>
      <c r="U870">
        <f>IF(COUNTIF($B$2:$B$1076,B870)&gt;1,"重复","")</f>
        <v/>
      </c>
      <c r="V870">
        <f>IF(AND(OR(M870="",M870=B870),OR(N870="",N870=B870),OR(O870="",O870=B870)),"通过","不一致")</f>
        <v/>
      </c>
    </row>
    <row r="871" ht="22" customHeight="1">
      <c r="A871" s="398" t="n">
        <v>870</v>
      </c>
      <c r="B871" s="398" t="n">
        <v>6890</v>
      </c>
      <c r="C871" s="399" t="inlineStr">
        <is>
          <t>星渊龙息·无垠</t>
        </is>
      </c>
      <c r="D871" s="399" t="inlineStr">
        <is>
          <t>星渊龙息</t>
        </is>
      </c>
      <c r="E871" s="399" t="n">
        <v>5</v>
      </c>
      <c r="F871" s="399" t="inlineStr">
        <is>
          <t>面巾</t>
        </is>
      </c>
      <c r="G871" s="398" t="n">
        <v>16</v>
      </c>
      <c r="H871" s="398" t="n">
        <v>13</v>
      </c>
      <c r="I871" s="398" t="n">
        <v>6890</v>
      </c>
      <c r="J871" s="398" t="n">
        <v>0</v>
      </c>
      <c r="K871" s="398" t="n">
        <v>0</v>
      </c>
      <c r="L871" s="398" t="n">
        <v>0</v>
      </c>
      <c r="M871" s="398" t="n">
        <v>6890</v>
      </c>
      <c r="N871" s="398" t="n">
        <v>6890</v>
      </c>
      <c r="O871" s="398" t="n">
        <v>6890</v>
      </c>
      <c r="P871" s="292" t="n"/>
      <c r="Q871" s="292" t="inlineStr">
        <is>
          <t>candidate-preflight-passed</t>
        </is>
      </c>
      <c r="R871" s="324" t="inlineStr">
        <is>
          <t>C3-C10规划锁定：潜旗客灰翎笠</t>
        </is>
      </c>
      <c r="S871" s="292" t="inlineStr">
        <is>
          <t>玄渊二十套全装备代码总表.xlsx</t>
        </is>
      </c>
      <c r="T871" s="292" t="inlineStr">
        <is>
          <t>玄渊20套全装备视觉候选；Items/StateItem/DnItems三库同码；属性待策划填写</t>
        </is>
      </c>
      <c r="U871">
        <f>IF(COUNTIF($B$2:$B$1076,B871)&gt;1,"重复","")</f>
        <v/>
      </c>
      <c r="V871">
        <f>IF(AND(OR(M871="",M871=B871),OR(N871="",N871=B871),OR(O871="",O871=B871)),"通过","不一致")</f>
        <v/>
      </c>
    </row>
    <row r="872" ht="22" customHeight="1">
      <c r="A872" s="398" t="n">
        <v>871</v>
      </c>
      <c r="B872" s="398" t="n">
        <v>6891</v>
      </c>
      <c r="C872" s="399" t="inlineStr">
        <is>
          <t>星渊龙息·无垠</t>
        </is>
      </c>
      <c r="D872" s="399" t="inlineStr">
        <is>
          <t>星渊龙息</t>
        </is>
      </c>
      <c r="E872" s="399" t="n">
        <v>5</v>
      </c>
      <c r="F872" s="399" t="inlineStr">
        <is>
          <t>项链</t>
        </is>
      </c>
      <c r="G872" s="398" t="n">
        <v>19</v>
      </c>
      <c r="H872" s="398" t="n">
        <v>3</v>
      </c>
      <c r="I872" s="398" t="n">
        <v>6891</v>
      </c>
      <c r="J872" s="398" t="n">
        <v>0</v>
      </c>
      <c r="K872" s="398" t="n">
        <v>0</v>
      </c>
      <c r="L872" s="398" t="n">
        <v>0</v>
      </c>
      <c r="M872" s="398" t="n">
        <v>6891</v>
      </c>
      <c r="N872" s="398" t="n">
        <v>6891</v>
      </c>
      <c r="O872" s="398" t="n">
        <v>6891</v>
      </c>
      <c r="P872" s="292" t="n"/>
      <c r="Q872" s="292" t="inlineStr">
        <is>
          <t>candidate-preflight-passed</t>
        </is>
      </c>
      <c r="R872" s="324" t="inlineStr">
        <is>
          <t>C3-C10规划锁定：幽灯鱼坠</t>
        </is>
      </c>
      <c r="S872" s="292" t="inlineStr">
        <is>
          <t>玄渊二十套全装备代码总表.xlsx</t>
        </is>
      </c>
      <c r="T872" s="292" t="inlineStr">
        <is>
          <t>玄渊20套全装备视觉候选；Items/StateItem/DnItems三库同码；属性待策划填写</t>
        </is>
      </c>
      <c r="U872">
        <f>IF(COUNTIF($B$2:$B$1076,B872)&gt;1,"重复","")</f>
        <v/>
      </c>
      <c r="V872">
        <f>IF(AND(OR(M872="",M872=B872),OR(N872="",N872=B872),OR(O872="",O872=B872)),"通过","不一致")</f>
        <v/>
      </c>
    </row>
    <row r="873" ht="22" customHeight="1">
      <c r="A873" s="398" t="n">
        <v>872</v>
      </c>
      <c r="B873" s="398" t="n">
        <v>6892</v>
      </c>
      <c r="C873" s="399" t="inlineStr">
        <is>
          <t>星渊龙息·无垠</t>
        </is>
      </c>
      <c r="D873" s="399" t="inlineStr">
        <is>
          <t>星渊龙息</t>
        </is>
      </c>
      <c r="E873" s="399" t="n">
        <v>5</v>
      </c>
      <c r="F873" s="399" t="inlineStr">
        <is>
          <t>手镯</t>
        </is>
      </c>
      <c r="G873" s="398" t="n">
        <v>26</v>
      </c>
      <c r="H873" s="398" t="n">
        <v>5</v>
      </c>
      <c r="I873" s="398" t="n">
        <v>6892</v>
      </c>
      <c r="J873" s="398" t="n">
        <v>0</v>
      </c>
      <c r="K873" s="398" t="n">
        <v>0</v>
      </c>
      <c r="L873" s="398" t="n">
        <v>0</v>
      </c>
      <c r="M873" s="398" t="n">
        <v>6892</v>
      </c>
      <c r="N873" s="398" t="n">
        <v>6892</v>
      </c>
      <c r="O873" s="398" t="n">
        <v>6892</v>
      </c>
      <c r="P873" s="292" t="n"/>
      <c r="Q873" s="292" t="inlineStr">
        <is>
          <t>candidate-preflight-passed</t>
        </is>
      </c>
      <c r="R873" s="324" t="inlineStr">
        <is>
          <t>C3-C10规划锁定：静盏银纹镯</t>
        </is>
      </c>
      <c r="S873" s="292" t="inlineStr">
        <is>
          <t>玄渊二十套全装备代码总表.xlsx</t>
        </is>
      </c>
      <c r="T873" s="292" t="inlineStr">
        <is>
          <t>玄渊20套全装备视觉候选；Items/StateItem/DnItems三库同码；属性待策划填写</t>
        </is>
      </c>
      <c r="U873">
        <f>IF(COUNTIF($B$2:$B$1076,B873)&gt;1,"重复","")</f>
        <v/>
      </c>
      <c r="V873">
        <f>IF(AND(OR(M873="",M873=B873),OR(N873="",N873=B873),OR(O873="",O873=B873)),"通过","不一致")</f>
        <v/>
      </c>
    </row>
    <row r="874" ht="22" customHeight="1">
      <c r="A874" s="398" t="n">
        <v>873</v>
      </c>
      <c r="B874" s="398" t="n">
        <v>6893</v>
      </c>
      <c r="C874" s="399" t="inlineStr">
        <is>
          <t>星渊龙息·无垠</t>
        </is>
      </c>
      <c r="D874" s="399" t="inlineStr">
        <is>
          <t>星渊龙息</t>
        </is>
      </c>
      <c r="E874" s="399" t="n">
        <v>5</v>
      </c>
      <c r="F874" s="399" t="inlineStr">
        <is>
          <t>戒指</t>
        </is>
      </c>
      <c r="G874" s="398" t="n">
        <v>22</v>
      </c>
      <c r="H874" s="398" t="n">
        <v>7</v>
      </c>
      <c r="I874" s="398" t="n">
        <v>6893</v>
      </c>
      <c r="J874" s="398" t="n">
        <v>0</v>
      </c>
      <c r="K874" s="398" t="n">
        <v>0</v>
      </c>
      <c r="L874" s="398" t="n">
        <v>0</v>
      </c>
      <c r="M874" s="398" t="n">
        <v>6893</v>
      </c>
      <c r="N874" s="398" t="n">
        <v>6893</v>
      </c>
      <c r="O874" s="398" t="n">
        <v>6893</v>
      </c>
      <c r="P874" s="292" t="n"/>
      <c r="Q874" s="292" t="inlineStr">
        <is>
          <t>candidate-preflight-passed</t>
        </is>
      </c>
      <c r="R874" s="324" t="inlineStr">
        <is>
          <t>C3-C10规划锁定：湖尸钥戒</t>
        </is>
      </c>
      <c r="S874" s="292" t="inlineStr">
        <is>
          <t>玄渊二十套全装备代码总表.xlsx</t>
        </is>
      </c>
      <c r="T874" s="292" t="inlineStr">
        <is>
          <t>玄渊20套全装备视觉候选；Items/StateItem/DnItems三库同码；属性待策划填写</t>
        </is>
      </c>
      <c r="U874">
        <f>IF(COUNTIF($B$2:$B$1076,B874)&gt;1,"重复","")</f>
        <v/>
      </c>
      <c r="V874">
        <f>IF(AND(OR(M874="",M874=B874),OR(N874="",N874=B874),OR(O874="",O874=B874)),"通过","不一致")</f>
        <v/>
      </c>
    </row>
    <row r="875" ht="22" customHeight="1">
      <c r="A875" s="398" t="n">
        <v>874</v>
      </c>
      <c r="B875" s="398" t="n">
        <v>6894</v>
      </c>
      <c r="C875" s="399" t="inlineStr">
        <is>
          <t>星渊龙息·无垠</t>
        </is>
      </c>
      <c r="D875" s="399" t="inlineStr">
        <is>
          <t>星渊龙息</t>
        </is>
      </c>
      <c r="E875" s="399" t="n">
        <v>5</v>
      </c>
      <c r="F875" s="399" t="inlineStr">
        <is>
          <t>勋章</t>
        </is>
      </c>
      <c r="G875" s="398" t="n">
        <v>30</v>
      </c>
      <c r="H875" s="398" t="n">
        <v>2</v>
      </c>
      <c r="I875" s="398" t="n">
        <v>6894</v>
      </c>
      <c r="J875" s="398" t="n">
        <v>0</v>
      </c>
      <c r="K875" s="398" t="n">
        <v>0</v>
      </c>
      <c r="L875" s="398" t="n">
        <v>0</v>
      </c>
      <c r="M875" s="398" t="n">
        <v>6894</v>
      </c>
      <c r="N875" s="398" t="n">
        <v>6894</v>
      </c>
      <c r="O875" s="398" t="n">
        <v>6894</v>
      </c>
      <c r="P875" s="292" t="n"/>
      <c r="Q875" s="292" t="inlineStr">
        <is>
          <t>candidate-preflight-passed</t>
        </is>
      </c>
      <c r="R875" s="324" t="inlineStr">
        <is>
          <t>C3-C10规划锁定：灰烬裁印</t>
        </is>
      </c>
      <c r="S875" s="292" t="inlineStr">
        <is>
          <t>玄渊二十套全装备代码总表.xlsx</t>
        </is>
      </c>
      <c r="T875" s="292" t="inlineStr">
        <is>
          <t>玄渊20套全装备视觉候选；Items/StateItem/DnItems三库同码；属性待策划填写</t>
        </is>
      </c>
      <c r="U875">
        <f>IF(COUNTIF($B$2:$B$1076,B875)&gt;1,"重复","")</f>
        <v/>
      </c>
      <c r="V875">
        <f>IF(AND(OR(M875="",M875=B875),OR(N875="",N875=B875),OR(O875="",O875=B875)),"通过","不一致")</f>
        <v/>
      </c>
    </row>
    <row r="876" ht="22" customHeight="1">
      <c r="A876" s="398" t="n">
        <v>875</v>
      </c>
      <c r="B876" s="398" t="n">
        <v>6895</v>
      </c>
      <c r="C876" s="399" t="inlineStr">
        <is>
          <t>星渊龙息·无垠</t>
        </is>
      </c>
      <c r="D876" s="399" t="inlineStr">
        <is>
          <t>星渊龙息</t>
        </is>
      </c>
      <c r="E876" s="399" t="n">
        <v>5</v>
      </c>
      <c r="F876" s="399" t="inlineStr">
        <is>
          <t>盾牌</t>
        </is>
      </c>
      <c r="G876" s="398" t="n">
        <v>12</v>
      </c>
      <c r="H876" s="398" t="n">
        <v>16</v>
      </c>
      <c r="I876" s="398" t="n">
        <v>6895</v>
      </c>
      <c r="J876" s="398" t="n">
        <v>0</v>
      </c>
      <c r="K876" s="398" t="n">
        <v>0</v>
      </c>
      <c r="L876" s="398" t="n">
        <v>0</v>
      </c>
      <c r="M876" s="398" t="n">
        <v>6895</v>
      </c>
      <c r="N876" s="398" t="n">
        <v>6895</v>
      </c>
      <c r="O876" s="398" t="n">
        <v>6895</v>
      </c>
      <c r="P876" s="292" t="n"/>
      <c r="Q876" s="292" t="inlineStr">
        <is>
          <t>candidate-preflight-passed</t>
        </is>
      </c>
      <c r="R876" s="324" t="inlineStr">
        <is>
          <t>C3-C10规划锁定：缄咒讲台盾</t>
        </is>
      </c>
      <c r="S876" s="292" t="inlineStr">
        <is>
          <t>玄渊二十套全装备代码总表.xlsx</t>
        </is>
      </c>
      <c r="T876" s="292" t="inlineStr">
        <is>
          <t>玄渊20套全装备视觉候选；Items/StateItem/DnItems三库同码；属性待策划填写</t>
        </is>
      </c>
      <c r="U876">
        <f>IF(COUNTIF($B$2:$B$1076,B876)&gt;1,"重复","")</f>
        <v/>
      </c>
      <c r="V876">
        <f>IF(AND(OR(M876="",M876=B876),OR(N876="",N876=B876),OR(O876="",O876=B876)),"通过","不一致")</f>
        <v/>
      </c>
    </row>
    <row r="877" ht="22" customHeight="1">
      <c r="A877" s="398" t="n">
        <v>876</v>
      </c>
      <c r="B877" s="398" t="n">
        <v>6896</v>
      </c>
      <c r="C877" s="399" t="inlineStr">
        <is>
          <t>星渊龙息·无垠</t>
        </is>
      </c>
      <c r="D877" s="399" t="inlineStr">
        <is>
          <t>星渊龙息</t>
        </is>
      </c>
      <c r="E877" s="399" t="n">
        <v>5</v>
      </c>
      <c r="F877" s="399" t="inlineStr">
        <is>
          <t>灵玉</t>
        </is>
      </c>
      <c r="G877" s="398" t="n">
        <v>90</v>
      </c>
      <c r="H877" s="398" t="n">
        <v>17</v>
      </c>
      <c r="I877" s="398" t="n">
        <v>6896</v>
      </c>
      <c r="J877" s="398" t="n">
        <v>0</v>
      </c>
      <c r="K877" s="398" t="n">
        <v>0</v>
      </c>
      <c r="L877" s="398" t="n">
        <v>0</v>
      </c>
      <c r="M877" s="398" t="n">
        <v>6896</v>
      </c>
      <c r="N877" s="398" t="n">
        <v>6896</v>
      </c>
      <c r="O877" s="398" t="n">
        <v>6896</v>
      </c>
      <c r="P877" s="292" t="n"/>
      <c r="Q877" s="292" t="inlineStr">
        <is>
          <t>candidate-preflight-passed</t>
        </is>
      </c>
      <c r="R877" s="292" t="str"/>
      <c r="S877" s="292" t="inlineStr">
        <is>
          <t>玄渊二十套全装备代码总表.xlsx</t>
        </is>
      </c>
      <c r="T877" s="292" t="inlineStr">
        <is>
          <t>玄渊20套全装备视觉候选；Items/StateItem/DnItems三库同码；属性待策划填写</t>
        </is>
      </c>
      <c r="U877">
        <f>IF(COUNTIF($B$2:$B$1076,B877)&gt;1,"重复","")</f>
        <v/>
      </c>
      <c r="V877">
        <f>IF(AND(OR(M877="",M877=B877),OR(N877="",N877=B877),OR(O877="",O877=B877)),"通过","不一致")</f>
        <v/>
      </c>
    </row>
    <row r="878" ht="22" customHeight="1">
      <c r="A878" s="398" t="n">
        <v>877</v>
      </c>
      <c r="B878" s="398" t="n">
        <v>6897</v>
      </c>
      <c r="C878" s="399" t="inlineStr">
        <is>
          <t>星渊龙息·无垠</t>
        </is>
      </c>
      <c r="D878" s="399" t="inlineStr">
        <is>
          <t>星渊龙息</t>
        </is>
      </c>
      <c r="E878" s="399" t="n">
        <v>5</v>
      </c>
      <c r="F878" s="399" t="inlineStr">
        <is>
          <t>鞋子</t>
        </is>
      </c>
      <c r="G878" s="398" t="n">
        <v>62</v>
      </c>
      <c r="H878" s="398" t="n">
        <v>11</v>
      </c>
      <c r="I878" s="398" t="n">
        <v>6897</v>
      </c>
      <c r="J878" s="398" t="n">
        <v>0</v>
      </c>
      <c r="K878" s="398" t="n">
        <v>0</v>
      </c>
      <c r="L878" s="398" t="n">
        <v>0</v>
      </c>
      <c r="M878" s="398" t="n">
        <v>6897</v>
      </c>
      <c r="N878" s="398" t="n">
        <v>6897</v>
      </c>
      <c r="O878" s="398" t="n">
        <v>6897</v>
      </c>
      <c r="P878" s="292" t="n"/>
      <c r="Q878" s="292" t="inlineStr">
        <is>
          <t>candidate-preflight-passed</t>
        </is>
      </c>
      <c r="R878" s="324" t="inlineStr">
        <is>
          <t>C3-C10规划锁定：碎辉鳞踏靴</t>
        </is>
      </c>
      <c r="S878" s="292" t="inlineStr">
        <is>
          <t>玄渊二十套全装备代码总表.xlsx</t>
        </is>
      </c>
      <c r="T878" s="292" t="inlineStr">
        <is>
          <t>玄渊20套全装备视觉候选；Items/StateItem/DnItems三库同码；属性待策划填写</t>
        </is>
      </c>
      <c r="U878">
        <f>IF(COUNTIF($B$2:$B$1076,B878)&gt;1,"重复","")</f>
        <v/>
      </c>
      <c r="V878">
        <f>IF(AND(OR(M878="",M878=B878),OR(N878="",N878=B878),OR(O878="",O878=B878)),"通过","不一致")</f>
        <v/>
      </c>
    </row>
    <row r="879" ht="22" customHeight="1">
      <c r="A879" s="398" t="n">
        <v>878</v>
      </c>
      <c r="B879" s="398" t="n">
        <v>6898</v>
      </c>
      <c r="C879" s="399" t="inlineStr">
        <is>
          <t>星渊龙息·无垠</t>
        </is>
      </c>
      <c r="D879" s="399" t="inlineStr">
        <is>
          <t>星渊龙息</t>
        </is>
      </c>
      <c r="E879" s="399" t="n">
        <v>5</v>
      </c>
      <c r="F879" s="399" t="inlineStr">
        <is>
          <t>腰带</t>
        </is>
      </c>
      <c r="G879" s="398" t="n">
        <v>64</v>
      </c>
      <c r="H879" s="398" t="n">
        <v>10</v>
      </c>
      <c r="I879" s="398" t="n">
        <v>6898</v>
      </c>
      <c r="J879" s="398" t="n">
        <v>0</v>
      </c>
      <c r="K879" s="398" t="n">
        <v>0</v>
      </c>
      <c r="L879" s="398" t="n">
        <v>0</v>
      </c>
      <c r="M879" s="398" t="n">
        <v>6898</v>
      </c>
      <c r="N879" s="398" t="n">
        <v>6898</v>
      </c>
      <c r="O879" s="398" t="n">
        <v>6898</v>
      </c>
      <c r="P879" s="292" t="n"/>
      <c r="Q879" s="292" t="inlineStr">
        <is>
          <t>candidate-preflight-passed</t>
        </is>
      </c>
      <c r="R879" s="324" t="inlineStr">
        <is>
          <t>C3-C10规划锁定：月相编目束带</t>
        </is>
      </c>
      <c r="S879" s="292" t="inlineStr">
        <is>
          <t>玄渊二十套全装备代码总表.xlsx</t>
        </is>
      </c>
      <c r="T879" s="292" t="inlineStr">
        <is>
          <t>玄渊20套全装备视觉候选；Items/StateItem/DnItems三库同码；属性待策划填写</t>
        </is>
      </c>
      <c r="U879">
        <f>IF(COUNTIF($B$2:$B$1076,B879)&gt;1,"重复","")</f>
        <v/>
      </c>
      <c r="V879">
        <f>IF(AND(OR(M879="",M879=B879),OR(N879="",N879=B879),OR(O879="",O879=B879)),"通过","不一致")</f>
        <v/>
      </c>
    </row>
    <row r="880" ht="22" customHeight="1">
      <c r="A880" s="398" t="n">
        <v>879</v>
      </c>
      <c r="B880" s="398" t="n">
        <v>6899</v>
      </c>
      <c r="C880" s="399" t="inlineStr">
        <is>
          <t>星渊龙息·无垠</t>
        </is>
      </c>
      <c r="D880" s="399" t="inlineStr">
        <is>
          <t>星渊龙息</t>
        </is>
      </c>
      <c r="E880" s="399" t="n">
        <v>5</v>
      </c>
      <c r="F880" s="399" t="inlineStr">
        <is>
          <t>护身符</t>
        </is>
      </c>
      <c r="G880" s="398" t="n">
        <v>25</v>
      </c>
      <c r="H880" s="398" t="n">
        <v>9</v>
      </c>
      <c r="I880" s="398" t="n">
        <v>6899</v>
      </c>
      <c r="J880" s="398" t="n">
        <v>0</v>
      </c>
      <c r="K880" s="398" t="n">
        <v>0</v>
      </c>
      <c r="L880" s="398" t="n">
        <v>0</v>
      </c>
      <c r="M880" s="398" t="n">
        <v>6899</v>
      </c>
      <c r="N880" s="398" t="n">
        <v>6899</v>
      </c>
      <c r="O880" s="398" t="n">
        <v>6899</v>
      </c>
      <c r="P880" s="292" t="n"/>
      <c r="Q880" s="292" t="inlineStr">
        <is>
          <t>candidate-preflight-passed</t>
        </is>
      </c>
      <c r="R880" s="292" t="str"/>
      <c r="S880" s="292" t="inlineStr">
        <is>
          <t>玄渊二十套全装备代码总表.xlsx</t>
        </is>
      </c>
      <c r="T880" s="292" t="inlineStr">
        <is>
          <t>玄渊20套全装备视觉候选；Items/StateItem/DnItems三库同码；属性待策划填写</t>
        </is>
      </c>
      <c r="U880">
        <f>IF(COUNTIF($B$2:$B$1076,B880)&gt;1,"重复","")</f>
        <v/>
      </c>
      <c r="V880">
        <f>IF(AND(OR(M880="",M880=B880),OR(N880="",N880=B880),OR(O880="",O880=B880)),"通过","不一致")</f>
        <v/>
      </c>
    </row>
    <row r="881" ht="22" customHeight="1">
      <c r="A881" s="398" t="n">
        <v>880</v>
      </c>
      <c r="B881" s="398" t="n">
        <v>6900</v>
      </c>
      <c r="C881" s="399" t="inlineStr">
        <is>
          <t>星渊龙息·无垠</t>
        </is>
      </c>
      <c r="D881" s="399" t="inlineStr">
        <is>
          <t>星渊龙息</t>
        </is>
      </c>
      <c r="E881" s="399" t="n">
        <v>5</v>
      </c>
      <c r="F881" s="399" t="inlineStr">
        <is>
          <t>宝石</t>
        </is>
      </c>
      <c r="G881" s="398" t="n">
        <v>63</v>
      </c>
      <c r="H881" s="398" t="n">
        <v>12</v>
      </c>
      <c r="I881" s="398" t="n">
        <v>6900</v>
      </c>
      <c r="J881" s="398" t="n">
        <v>0</v>
      </c>
      <c r="K881" s="398" t="n">
        <v>0</v>
      </c>
      <c r="L881" s="398" t="n">
        <v>0</v>
      </c>
      <c r="M881" s="398" t="n">
        <v>6900</v>
      </c>
      <c r="N881" s="398" t="n">
        <v>6900</v>
      </c>
      <c r="O881" s="398" t="n">
        <v>6900</v>
      </c>
      <c r="P881" s="292" t="n"/>
      <c r="Q881" s="292" t="inlineStr">
        <is>
          <t>candidate-preflight-passed</t>
        </is>
      </c>
      <c r="R881" s="292" t="str"/>
      <c r="S881" s="292" t="inlineStr">
        <is>
          <t>玄渊二十套全装备代码总表.xlsx</t>
        </is>
      </c>
      <c r="T881" s="292" t="inlineStr">
        <is>
          <t>玄渊20套全装备视觉候选；Items/StateItem/DnItems三库同码；属性待策划填写</t>
        </is>
      </c>
      <c r="U881">
        <f>IF(COUNTIF($B$2:$B$1076,B881)&gt;1,"重复","")</f>
        <v/>
      </c>
      <c r="V881">
        <f>IF(AND(OR(M881="",M881=B881),OR(N881="",N881=B881),OR(O881="",O881=B881)),"通过","不一致")</f>
        <v/>
      </c>
    </row>
    <row r="882" ht="22" customHeight="1">
      <c r="A882" s="398" t="n">
        <v>881</v>
      </c>
      <c r="B882" s="398" t="n">
        <v>6901</v>
      </c>
      <c r="C882" s="399" t="inlineStr">
        <is>
          <t>星渊龙息·无垠</t>
        </is>
      </c>
      <c r="D882" s="399" t="inlineStr">
        <is>
          <t>星渊龙息</t>
        </is>
      </c>
      <c r="E882" s="399" t="n">
        <v>5</v>
      </c>
      <c r="F882" s="399" t="inlineStr">
        <is>
          <t>军鼓</t>
        </is>
      </c>
      <c r="G882" s="398" t="n">
        <v>65</v>
      </c>
      <c r="H882" s="398" t="n">
        <v>14</v>
      </c>
      <c r="I882" s="398" t="n">
        <v>6901</v>
      </c>
      <c r="J882" s="398" t="n">
        <v>0</v>
      </c>
      <c r="K882" s="398" t="n">
        <v>0</v>
      </c>
      <c r="L882" s="398" t="n">
        <v>0</v>
      </c>
      <c r="M882" s="398" t="n">
        <v>6901</v>
      </c>
      <c r="N882" s="398" t="n">
        <v>6901</v>
      </c>
      <c r="O882" s="398" t="n">
        <v>6901</v>
      </c>
      <c r="P882" s="292" t="n"/>
      <c r="Q882" s="292" t="inlineStr">
        <is>
          <t>candidate-preflight-passed</t>
        </is>
      </c>
      <c r="R882" s="292" t="str"/>
      <c r="S882" s="292" t="inlineStr">
        <is>
          <t>玄渊二十套全装备代码总表.xlsx</t>
        </is>
      </c>
      <c r="T882" s="292" t="inlineStr">
        <is>
          <t>玄渊20套全装备视觉候选；Items/StateItem/DnItems三库同码；属性待策划填写</t>
        </is>
      </c>
      <c r="U882">
        <f>IF(COUNTIF($B$2:$B$1076,B882)&gt;1,"重复","")</f>
        <v/>
      </c>
      <c r="V882">
        <f>IF(AND(OR(M882="",M882=B882),OR(N882="",N882=B882),OR(O882="",O882=B882)),"通过","不一致")</f>
        <v/>
      </c>
    </row>
    <row r="883" ht="22" customHeight="1">
      <c r="A883" s="398" t="n">
        <v>882</v>
      </c>
      <c r="B883" s="398" t="n">
        <v>6902</v>
      </c>
      <c r="C883" s="399" t="inlineStr">
        <is>
          <t>星渊龙息·无垠</t>
        </is>
      </c>
      <c r="D883" s="399" t="inlineStr">
        <is>
          <t>星渊龙息</t>
        </is>
      </c>
      <c r="E883" s="399" t="n">
        <v>5</v>
      </c>
      <c r="F883" s="399" t="inlineStr">
        <is>
          <t>马牌</t>
        </is>
      </c>
      <c r="G883" s="398" t="n">
        <v>28</v>
      </c>
      <c r="H883" s="398" t="n">
        <v>15</v>
      </c>
      <c r="I883" s="398" t="n">
        <v>6902</v>
      </c>
      <c r="J883" s="398" t="n">
        <v>0</v>
      </c>
      <c r="K883" s="398" t="n">
        <v>0</v>
      </c>
      <c r="L883" s="398" t="n">
        <v>0</v>
      </c>
      <c r="M883" s="398" t="n">
        <v>6902</v>
      </c>
      <c r="N883" s="398" t="n">
        <v>6902</v>
      </c>
      <c r="O883" s="398" t="n">
        <v>6902</v>
      </c>
      <c r="P883" s="292" t="n"/>
      <c r="Q883" s="292" t="inlineStr">
        <is>
          <t>candidate-preflight-passed</t>
        </is>
      </c>
      <c r="R883" s="292" t="str"/>
      <c r="S883" s="292" t="inlineStr">
        <is>
          <t>玄渊二十套全装备代码总表.xlsx</t>
        </is>
      </c>
      <c r="T883" s="292" t="inlineStr">
        <is>
          <t>玄渊20套全装备视觉候选；Items/StateItem/DnItems三库同码；属性待策划填写</t>
        </is>
      </c>
      <c r="U883">
        <f>IF(COUNTIF($B$2:$B$1076,B883)&gt;1,"重复","")</f>
        <v/>
      </c>
      <c r="V883">
        <f>IF(AND(OR(M883="",M883=B883),OR(N883="",N883=B883),OR(O883="",O883=B883)),"通过","不一致")</f>
        <v/>
      </c>
    </row>
    <row r="884" ht="22" customHeight="1">
      <c r="A884" s="398" t="n">
        <v>883</v>
      </c>
      <c r="B884" s="398" t="n">
        <v>6903</v>
      </c>
      <c r="C884" s="399" t="inlineStr">
        <is>
          <t>星渊龙息·无垠</t>
        </is>
      </c>
      <c r="D884" s="399" t="inlineStr">
        <is>
          <t>星渊龙息</t>
        </is>
      </c>
      <c r="E884" s="399" t="n">
        <v>5</v>
      </c>
      <c r="F884" s="399" t="inlineStr">
        <is>
          <t>首饰盒1</t>
        </is>
      </c>
      <c r="G884" s="398" t="n">
        <v>22</v>
      </c>
      <c r="H884" s="398" t="n">
        <v>30</v>
      </c>
      <c r="I884" s="398" t="n">
        <v>6903</v>
      </c>
      <c r="J884" s="398" t="n">
        <v>0</v>
      </c>
      <c r="K884" s="398" t="n">
        <v>2</v>
      </c>
      <c r="L884" s="398" t="n">
        <v>1</v>
      </c>
      <c r="M884" s="398" t="n">
        <v>6903</v>
      </c>
      <c r="N884" s="398" t="n">
        <v>6903</v>
      </c>
      <c r="O884" s="398" t="n">
        <v>6903</v>
      </c>
      <c r="P884" s="292" t="n"/>
      <c r="Q884" s="292" t="inlineStr">
        <is>
          <t>candidate-preflight-passed</t>
        </is>
      </c>
      <c r="R884" s="292" t="str"/>
      <c r="S884" s="292" t="inlineStr">
        <is>
          <t>玄渊二十套全装备代码总表.xlsx</t>
        </is>
      </c>
      <c r="T884" s="292" t="inlineStr">
        <is>
          <t>玄渊20套全装备视觉候选；Items/StateItem/DnItems三库同码；属性待策划填写；OverLap=2; Expand1=1</t>
        </is>
      </c>
      <c r="U884">
        <f>IF(COUNTIF($B$2:$B$1076,B884)&gt;1,"重复","")</f>
        <v/>
      </c>
      <c r="V884">
        <f>IF(AND(OR(M884="",M884=B884),OR(N884="",N884=B884),OR(O884="",O884=B884)),"通过","不一致")</f>
        <v/>
      </c>
    </row>
    <row r="885" ht="22" customHeight="1">
      <c r="A885" s="398" t="n">
        <v>884</v>
      </c>
      <c r="B885" s="398" t="n">
        <v>6904</v>
      </c>
      <c r="C885" s="399" t="inlineStr">
        <is>
          <t>星渊龙息·无垠</t>
        </is>
      </c>
      <c r="D885" s="399" t="inlineStr">
        <is>
          <t>星渊龙息</t>
        </is>
      </c>
      <c r="E885" s="399" t="n">
        <v>5</v>
      </c>
      <c r="F885" s="399" t="inlineStr">
        <is>
          <t>首饰盒2</t>
        </is>
      </c>
      <c r="G885" s="398" t="n">
        <v>22</v>
      </c>
      <c r="H885" s="398" t="n">
        <v>31</v>
      </c>
      <c r="I885" s="398" t="n">
        <v>6904</v>
      </c>
      <c r="J885" s="398" t="n">
        <v>0</v>
      </c>
      <c r="K885" s="398" t="n">
        <v>2</v>
      </c>
      <c r="L885" s="398" t="n">
        <v>2</v>
      </c>
      <c r="M885" s="398" t="n">
        <v>6904</v>
      </c>
      <c r="N885" s="398" t="n">
        <v>6904</v>
      </c>
      <c r="O885" s="398" t="n">
        <v>6904</v>
      </c>
      <c r="P885" s="292" t="n"/>
      <c r="Q885" s="292" t="inlineStr">
        <is>
          <t>candidate-preflight-passed</t>
        </is>
      </c>
      <c r="R885" s="292" t="str"/>
      <c r="S885" s="292" t="inlineStr">
        <is>
          <t>玄渊二十套全装备代码总表.xlsx</t>
        </is>
      </c>
      <c r="T885" s="292" t="inlineStr">
        <is>
          <t>玄渊20套全装备视觉候选；Items/StateItem/DnItems三库同码；属性待策划填写；OverLap=2; Expand1=2</t>
        </is>
      </c>
      <c r="U885">
        <f>IF(COUNTIF($B$2:$B$1076,B885)&gt;1,"重复","")</f>
        <v/>
      </c>
      <c r="V885">
        <f>IF(AND(OR(M885="",M885=B885),OR(N885="",N885=B885),OR(O885="",O885=B885)),"通过","不一致")</f>
        <v/>
      </c>
    </row>
    <row r="886" ht="22" customHeight="1">
      <c r="A886" s="398" t="n">
        <v>885</v>
      </c>
      <c r="B886" s="398" t="n">
        <v>6905</v>
      </c>
      <c r="C886" s="399" t="inlineStr">
        <is>
          <t>星渊龙息·无垠</t>
        </is>
      </c>
      <c r="D886" s="399" t="inlineStr">
        <is>
          <t>星渊龙息</t>
        </is>
      </c>
      <c r="E886" s="399" t="n">
        <v>5</v>
      </c>
      <c r="F886" s="399" t="inlineStr">
        <is>
          <t>首饰盒3</t>
        </is>
      </c>
      <c r="G886" s="398" t="n">
        <v>22</v>
      </c>
      <c r="H886" s="398" t="n">
        <v>32</v>
      </c>
      <c r="I886" s="398" t="n">
        <v>6905</v>
      </c>
      <c r="J886" s="398" t="n">
        <v>0</v>
      </c>
      <c r="K886" s="398" t="n">
        <v>2</v>
      </c>
      <c r="L886" s="398" t="n">
        <v>3</v>
      </c>
      <c r="M886" s="398" t="n">
        <v>6905</v>
      </c>
      <c r="N886" s="398" t="n">
        <v>6905</v>
      </c>
      <c r="O886" s="398" t="n">
        <v>6905</v>
      </c>
      <c r="P886" s="292" t="n"/>
      <c r="Q886" s="292" t="inlineStr">
        <is>
          <t>candidate-preflight-passed</t>
        </is>
      </c>
      <c r="R886" s="292" t="str"/>
      <c r="S886" s="292" t="inlineStr">
        <is>
          <t>玄渊二十套全装备代码总表.xlsx</t>
        </is>
      </c>
      <c r="T886" s="292" t="inlineStr">
        <is>
          <t>玄渊20套全装备视觉候选；Items/StateItem/DnItems三库同码；属性待策划填写；OverLap=2; Expand1=3</t>
        </is>
      </c>
      <c r="U886">
        <f>IF(COUNTIF($B$2:$B$1076,B886)&gt;1,"重复","")</f>
        <v/>
      </c>
      <c r="V886">
        <f>IF(AND(OR(M886="",M886=B886),OR(N886="",N886=B886),OR(O886="",O886=B886)),"通过","不一致")</f>
        <v/>
      </c>
    </row>
    <row r="887" ht="22" customHeight="1">
      <c r="A887" s="398" t="n">
        <v>886</v>
      </c>
      <c r="B887" s="398" t="n">
        <v>6906</v>
      </c>
      <c r="C887" s="399" t="inlineStr">
        <is>
          <t>星渊龙息·无垠</t>
        </is>
      </c>
      <c r="D887" s="399" t="inlineStr">
        <is>
          <t>星渊龙息</t>
        </is>
      </c>
      <c r="E887" s="399" t="n">
        <v>5</v>
      </c>
      <c r="F887" s="399" t="inlineStr">
        <is>
          <t>首饰盒4</t>
        </is>
      </c>
      <c r="G887" s="398" t="n">
        <v>22</v>
      </c>
      <c r="H887" s="398" t="n">
        <v>33</v>
      </c>
      <c r="I887" s="398" t="n">
        <v>6906</v>
      </c>
      <c r="J887" s="398" t="n">
        <v>0</v>
      </c>
      <c r="K887" s="398" t="n">
        <v>2</v>
      </c>
      <c r="L887" s="398" t="n">
        <v>4</v>
      </c>
      <c r="M887" s="398" t="n">
        <v>6906</v>
      </c>
      <c r="N887" s="398" t="n">
        <v>6906</v>
      </c>
      <c r="O887" s="398" t="n">
        <v>6906</v>
      </c>
      <c r="P887" s="292" t="n"/>
      <c r="Q887" s="292" t="inlineStr">
        <is>
          <t>candidate-preflight-passed</t>
        </is>
      </c>
      <c r="R887" s="292" t="str"/>
      <c r="S887" s="292" t="inlineStr">
        <is>
          <t>玄渊二十套全装备代码总表.xlsx</t>
        </is>
      </c>
      <c r="T887" s="292" t="inlineStr">
        <is>
          <t>玄渊20套全装备视觉候选；Items/StateItem/DnItems三库同码；属性待策划填写；OverLap=2; Expand1=4</t>
        </is>
      </c>
      <c r="U887">
        <f>IF(COUNTIF($B$2:$B$1076,B887)&gt;1,"重复","")</f>
        <v/>
      </c>
      <c r="V887">
        <f>IF(AND(OR(M887="",M887=B887),OR(N887="",N887=B887),OR(O887="",O887=B887)),"通过","不一致")</f>
        <v/>
      </c>
    </row>
    <row r="888" ht="22" customHeight="1">
      <c r="A888" s="398" t="n">
        <v>887</v>
      </c>
      <c r="B888" s="398" t="n">
        <v>6907</v>
      </c>
      <c r="C888" s="399" t="inlineStr">
        <is>
          <t>星渊龙息·无垠</t>
        </is>
      </c>
      <c r="D888" s="399" t="inlineStr">
        <is>
          <t>星渊龙息</t>
        </is>
      </c>
      <c r="E888" s="399" t="n">
        <v>5</v>
      </c>
      <c r="F888" s="399" t="inlineStr">
        <is>
          <t>首饰盒5</t>
        </is>
      </c>
      <c r="G888" s="398" t="n">
        <v>22</v>
      </c>
      <c r="H888" s="398" t="n">
        <v>34</v>
      </c>
      <c r="I888" s="398" t="n">
        <v>6907</v>
      </c>
      <c r="J888" s="398" t="n">
        <v>0</v>
      </c>
      <c r="K888" s="398" t="n">
        <v>2</v>
      </c>
      <c r="L888" s="398" t="n">
        <v>5</v>
      </c>
      <c r="M888" s="398" t="n">
        <v>6907</v>
      </c>
      <c r="N888" s="398" t="n">
        <v>6907</v>
      </c>
      <c r="O888" s="398" t="n">
        <v>6907</v>
      </c>
      <c r="P888" s="292" t="n"/>
      <c r="Q888" s="292" t="inlineStr">
        <is>
          <t>candidate-preflight-passed</t>
        </is>
      </c>
      <c r="R888" s="292" t="str"/>
      <c r="S888" s="292" t="inlineStr">
        <is>
          <t>玄渊二十套全装备代码总表.xlsx</t>
        </is>
      </c>
      <c r="T888" s="292" t="inlineStr">
        <is>
          <t>玄渊20套全装备视觉候选；Items/StateItem/DnItems三库同码；属性待策划填写；OverLap=2; Expand1=5</t>
        </is>
      </c>
      <c r="U888">
        <f>IF(COUNTIF($B$2:$B$1076,B888)&gt;1,"重复","")</f>
        <v/>
      </c>
      <c r="V888">
        <f>IF(AND(OR(M888="",M888=B888),OR(N888="",N888=B888),OR(O888="",O888=B888)),"通过","不一致")</f>
        <v/>
      </c>
    </row>
    <row r="889" ht="22" customHeight="1">
      <c r="A889" s="398" t="n">
        <v>888</v>
      </c>
      <c r="B889" s="398" t="n">
        <v>6908</v>
      </c>
      <c r="C889" s="399" t="inlineStr">
        <is>
          <t>星渊龙息·无垠</t>
        </is>
      </c>
      <c r="D889" s="399" t="inlineStr">
        <is>
          <t>星渊龙息</t>
        </is>
      </c>
      <c r="E889" s="399" t="n">
        <v>5</v>
      </c>
      <c r="F889" s="399" t="inlineStr">
        <is>
          <t>首饰盒6</t>
        </is>
      </c>
      <c r="G889" s="398" t="n">
        <v>22</v>
      </c>
      <c r="H889" s="398" t="n">
        <v>35</v>
      </c>
      <c r="I889" s="398" t="n">
        <v>6908</v>
      </c>
      <c r="J889" s="398" t="n">
        <v>0</v>
      </c>
      <c r="K889" s="398" t="n">
        <v>2</v>
      </c>
      <c r="L889" s="398" t="n">
        <v>6</v>
      </c>
      <c r="M889" s="398" t="n">
        <v>6908</v>
      </c>
      <c r="N889" s="398" t="n">
        <v>6908</v>
      </c>
      <c r="O889" s="398" t="n">
        <v>6908</v>
      </c>
      <c r="P889" s="292" t="n"/>
      <c r="Q889" s="292" t="inlineStr">
        <is>
          <t>candidate-preflight-passed</t>
        </is>
      </c>
      <c r="R889" s="292" t="str"/>
      <c r="S889" s="292" t="inlineStr">
        <is>
          <t>玄渊二十套全装备代码总表.xlsx</t>
        </is>
      </c>
      <c r="T889" s="292" t="inlineStr">
        <is>
          <t>玄渊20套全装备视觉候选；Items/StateItem/DnItems三库同码；属性待策划填写；OverLap=2; Expand1=6</t>
        </is>
      </c>
      <c r="U889">
        <f>IF(COUNTIF($B$2:$B$1076,B889)&gt;1,"重复","")</f>
        <v/>
      </c>
      <c r="V889">
        <f>IF(AND(OR(M889="",M889=B889),OR(N889="",N889=B889),OR(O889="",O889=B889)),"通过","不一致")</f>
        <v/>
      </c>
    </row>
    <row r="890" ht="22" customHeight="1">
      <c r="A890" s="398" t="n">
        <v>889</v>
      </c>
      <c r="B890" s="398" t="n">
        <v>6909</v>
      </c>
      <c r="C890" s="399" t="inlineStr">
        <is>
          <t>星渊龙息·无垠</t>
        </is>
      </c>
      <c r="D890" s="399" t="inlineStr">
        <is>
          <t>星渊龙息</t>
        </is>
      </c>
      <c r="E890" s="399" t="n">
        <v>5</v>
      </c>
      <c r="F890" s="399" t="inlineStr">
        <is>
          <t>生肖1</t>
        </is>
      </c>
      <c r="G890" s="398" t="n">
        <v>22</v>
      </c>
      <c r="H890" s="398" t="n">
        <v>40</v>
      </c>
      <c r="I890" s="398" t="n">
        <v>6909</v>
      </c>
      <c r="J890" s="398" t="n">
        <v>0</v>
      </c>
      <c r="K890" s="398" t="n">
        <v>4</v>
      </c>
      <c r="L890" s="398" t="n">
        <v>1</v>
      </c>
      <c r="M890" s="398" t="n">
        <v>6909</v>
      </c>
      <c r="N890" s="398" t="n">
        <v>6909</v>
      </c>
      <c r="O890" s="398" t="n">
        <v>6909</v>
      </c>
      <c r="P890" s="292" t="n"/>
      <c r="Q890" s="292" t="inlineStr">
        <is>
          <t>candidate-preflight-passed</t>
        </is>
      </c>
      <c r="R890" s="292" t="str"/>
      <c r="S890" s="292" t="inlineStr">
        <is>
          <t>玄渊二十套全装备代码总表.xlsx</t>
        </is>
      </c>
      <c r="T890" s="292" t="inlineStr">
        <is>
          <t>玄渊20套全装备视觉候选；Items/StateItem/DnItems三库同码；属性待策划填写；OverLap=4; Expand1=1</t>
        </is>
      </c>
      <c r="U890">
        <f>IF(COUNTIF($B$2:$B$1076,B890)&gt;1,"重复","")</f>
        <v/>
      </c>
      <c r="V890">
        <f>IF(AND(OR(M890="",M890=B890),OR(N890="",N890=B890),OR(O890="",O890=B890)),"通过","不一致")</f>
        <v/>
      </c>
    </row>
    <row r="891" ht="22" customHeight="1">
      <c r="A891" s="398" t="n">
        <v>890</v>
      </c>
      <c r="B891" s="398" t="n">
        <v>6910</v>
      </c>
      <c r="C891" s="399" t="inlineStr">
        <is>
          <t>星渊龙息·无垠</t>
        </is>
      </c>
      <c r="D891" s="399" t="inlineStr">
        <is>
          <t>星渊龙息</t>
        </is>
      </c>
      <c r="E891" s="399" t="n">
        <v>5</v>
      </c>
      <c r="F891" s="399" t="inlineStr">
        <is>
          <t>生肖2</t>
        </is>
      </c>
      <c r="G891" s="398" t="n">
        <v>22</v>
      </c>
      <c r="H891" s="398" t="n">
        <v>41</v>
      </c>
      <c r="I891" s="398" t="n">
        <v>6910</v>
      </c>
      <c r="J891" s="398" t="n">
        <v>0</v>
      </c>
      <c r="K891" s="398" t="n">
        <v>4</v>
      </c>
      <c r="L891" s="398" t="n">
        <v>2</v>
      </c>
      <c r="M891" s="398" t="n">
        <v>6910</v>
      </c>
      <c r="N891" s="398" t="n">
        <v>6910</v>
      </c>
      <c r="O891" s="398" t="n">
        <v>6910</v>
      </c>
      <c r="P891" s="292" t="n"/>
      <c r="Q891" s="292" t="inlineStr">
        <is>
          <t>candidate-preflight-passed</t>
        </is>
      </c>
      <c r="R891" s="292" t="str"/>
      <c r="S891" s="292" t="inlineStr">
        <is>
          <t>玄渊二十套全装备代码总表.xlsx</t>
        </is>
      </c>
      <c r="T891" s="292" t="inlineStr">
        <is>
          <t>玄渊20套全装备视觉候选；Items/StateItem/DnItems三库同码；属性待策划填写；OverLap=4; Expand1=2</t>
        </is>
      </c>
      <c r="U891">
        <f>IF(COUNTIF($B$2:$B$1076,B891)&gt;1,"重复","")</f>
        <v/>
      </c>
      <c r="V891">
        <f>IF(AND(OR(M891="",M891=B891),OR(N891="",N891=B891),OR(O891="",O891=B891)),"通过","不一致")</f>
        <v/>
      </c>
    </row>
    <row r="892" ht="22" customHeight="1">
      <c r="A892" s="398" t="n">
        <v>891</v>
      </c>
      <c r="B892" s="398" t="n">
        <v>6911</v>
      </c>
      <c r="C892" s="399" t="inlineStr">
        <is>
          <t>星渊龙息·无垠</t>
        </is>
      </c>
      <c r="D892" s="399" t="inlineStr">
        <is>
          <t>星渊龙息</t>
        </is>
      </c>
      <c r="E892" s="399" t="n">
        <v>5</v>
      </c>
      <c r="F892" s="399" t="inlineStr">
        <is>
          <t>生肖3</t>
        </is>
      </c>
      <c r="G892" s="398" t="n">
        <v>22</v>
      </c>
      <c r="H892" s="398" t="n">
        <v>42</v>
      </c>
      <c r="I892" s="398" t="n">
        <v>6911</v>
      </c>
      <c r="J892" s="398" t="n">
        <v>0</v>
      </c>
      <c r="K892" s="398" t="n">
        <v>4</v>
      </c>
      <c r="L892" s="398" t="n">
        <v>3</v>
      </c>
      <c r="M892" s="398" t="n">
        <v>6911</v>
      </c>
      <c r="N892" s="398" t="n">
        <v>6911</v>
      </c>
      <c r="O892" s="398" t="n">
        <v>6911</v>
      </c>
      <c r="P892" s="292" t="n"/>
      <c r="Q892" s="292" t="inlineStr">
        <is>
          <t>candidate-preflight-passed</t>
        </is>
      </c>
      <c r="R892" s="292" t="str"/>
      <c r="S892" s="292" t="inlineStr">
        <is>
          <t>玄渊二十套全装备代码总表.xlsx</t>
        </is>
      </c>
      <c r="T892" s="292" t="inlineStr">
        <is>
          <t>玄渊20套全装备视觉候选；Items/StateItem/DnItems三库同码；属性待策划填写；OverLap=4; Expand1=3</t>
        </is>
      </c>
      <c r="U892">
        <f>IF(COUNTIF($B$2:$B$1076,B892)&gt;1,"重复","")</f>
        <v/>
      </c>
      <c r="V892">
        <f>IF(AND(OR(M892="",M892=B892),OR(N892="",N892=B892),OR(O892="",O892=B892)),"通过","不一致")</f>
        <v/>
      </c>
    </row>
    <row r="893" ht="22" customHeight="1">
      <c r="A893" s="398" t="n">
        <v>892</v>
      </c>
      <c r="B893" s="398" t="n">
        <v>6912</v>
      </c>
      <c r="C893" s="399" t="inlineStr">
        <is>
          <t>星渊龙息·无垠</t>
        </is>
      </c>
      <c r="D893" s="399" t="inlineStr">
        <is>
          <t>星渊龙息</t>
        </is>
      </c>
      <c r="E893" s="399" t="n">
        <v>5</v>
      </c>
      <c r="F893" s="399" t="inlineStr">
        <is>
          <t>生肖4</t>
        </is>
      </c>
      <c r="G893" s="398" t="n">
        <v>22</v>
      </c>
      <c r="H893" s="398" t="n">
        <v>43</v>
      </c>
      <c r="I893" s="398" t="n">
        <v>6912</v>
      </c>
      <c r="J893" s="398" t="n">
        <v>0</v>
      </c>
      <c r="K893" s="398" t="n">
        <v>4</v>
      </c>
      <c r="L893" s="398" t="n">
        <v>4</v>
      </c>
      <c r="M893" s="398" t="n">
        <v>6912</v>
      </c>
      <c r="N893" s="398" t="n">
        <v>6912</v>
      </c>
      <c r="O893" s="398" t="n">
        <v>6912</v>
      </c>
      <c r="P893" s="292" t="n"/>
      <c r="Q893" s="292" t="inlineStr">
        <is>
          <t>candidate-preflight-passed</t>
        </is>
      </c>
      <c r="R893" s="292" t="str"/>
      <c r="S893" s="292" t="inlineStr">
        <is>
          <t>玄渊二十套全装备代码总表.xlsx</t>
        </is>
      </c>
      <c r="T893" s="292" t="inlineStr">
        <is>
          <t>玄渊20套全装备视觉候选；Items/StateItem/DnItems三库同码；属性待策划填写；OverLap=4; Expand1=4</t>
        </is>
      </c>
      <c r="U893">
        <f>IF(COUNTIF($B$2:$B$1076,B893)&gt;1,"重复","")</f>
        <v/>
      </c>
      <c r="V893">
        <f>IF(AND(OR(M893="",M893=B893),OR(N893="",N893=B893),OR(O893="",O893=B893)),"通过","不一致")</f>
        <v/>
      </c>
    </row>
    <row r="894" ht="22" customHeight="1">
      <c r="A894" s="398" t="n">
        <v>893</v>
      </c>
      <c r="B894" s="398" t="n">
        <v>6913</v>
      </c>
      <c r="C894" s="399" t="inlineStr">
        <is>
          <t>星渊龙息·无垠</t>
        </is>
      </c>
      <c r="D894" s="399" t="inlineStr">
        <is>
          <t>星渊龙息</t>
        </is>
      </c>
      <c r="E894" s="399" t="n">
        <v>5</v>
      </c>
      <c r="F894" s="399" t="inlineStr">
        <is>
          <t>生肖5</t>
        </is>
      </c>
      <c r="G894" s="398" t="n">
        <v>22</v>
      </c>
      <c r="H894" s="398" t="n">
        <v>44</v>
      </c>
      <c r="I894" s="398" t="n">
        <v>6913</v>
      </c>
      <c r="J894" s="398" t="n">
        <v>0</v>
      </c>
      <c r="K894" s="398" t="n">
        <v>4</v>
      </c>
      <c r="L894" s="398" t="n">
        <v>5</v>
      </c>
      <c r="M894" s="398" t="n">
        <v>6913</v>
      </c>
      <c r="N894" s="398" t="n">
        <v>6913</v>
      </c>
      <c r="O894" s="398" t="n">
        <v>6913</v>
      </c>
      <c r="P894" s="292" t="n"/>
      <c r="Q894" s="292" t="inlineStr">
        <is>
          <t>candidate-preflight-passed</t>
        </is>
      </c>
      <c r="R894" s="292" t="str"/>
      <c r="S894" s="292" t="inlineStr">
        <is>
          <t>玄渊二十套全装备代码总表.xlsx</t>
        </is>
      </c>
      <c r="T894" s="292" t="inlineStr">
        <is>
          <t>玄渊20套全装备视觉候选；Items/StateItem/DnItems三库同码；属性待策划填写；OverLap=4; Expand1=5</t>
        </is>
      </c>
      <c r="U894">
        <f>IF(COUNTIF($B$2:$B$1076,B894)&gt;1,"重复","")</f>
        <v/>
      </c>
      <c r="V894">
        <f>IF(AND(OR(M894="",M894=B894),OR(N894="",N894=B894),OR(O894="",O894=B894)),"通过","不一致")</f>
        <v/>
      </c>
    </row>
    <row r="895" ht="22" customHeight="1">
      <c r="A895" s="398" t="n">
        <v>894</v>
      </c>
      <c r="B895" s="398" t="n">
        <v>6914</v>
      </c>
      <c r="C895" s="399" t="inlineStr">
        <is>
          <t>星渊龙息·无垠</t>
        </is>
      </c>
      <c r="D895" s="399" t="inlineStr">
        <is>
          <t>星渊龙息</t>
        </is>
      </c>
      <c r="E895" s="399" t="n">
        <v>5</v>
      </c>
      <c r="F895" s="399" t="inlineStr">
        <is>
          <t>生肖6</t>
        </is>
      </c>
      <c r="G895" s="398" t="n">
        <v>22</v>
      </c>
      <c r="H895" s="398" t="n">
        <v>45</v>
      </c>
      <c r="I895" s="398" t="n">
        <v>6914</v>
      </c>
      <c r="J895" s="398" t="n">
        <v>0</v>
      </c>
      <c r="K895" s="398" t="n">
        <v>4</v>
      </c>
      <c r="L895" s="398" t="n">
        <v>6</v>
      </c>
      <c r="M895" s="398" t="n">
        <v>6914</v>
      </c>
      <c r="N895" s="398" t="n">
        <v>6914</v>
      </c>
      <c r="O895" s="398" t="n">
        <v>6914</v>
      </c>
      <c r="P895" s="292" t="n"/>
      <c r="Q895" s="292" t="inlineStr">
        <is>
          <t>candidate-preflight-passed</t>
        </is>
      </c>
      <c r="R895" s="292" t="str"/>
      <c r="S895" s="292" t="inlineStr">
        <is>
          <t>玄渊二十套全装备代码总表.xlsx</t>
        </is>
      </c>
      <c r="T895" s="292" t="inlineStr">
        <is>
          <t>玄渊20套全装备视觉候选；Items/StateItem/DnItems三库同码；属性待策划填写；OverLap=4; Expand1=6</t>
        </is>
      </c>
      <c r="U895">
        <f>IF(COUNTIF($B$2:$B$1076,B895)&gt;1,"重复","")</f>
        <v/>
      </c>
      <c r="V895">
        <f>IF(AND(OR(M895="",M895=B895),OR(N895="",N895=B895),OR(O895="",O895=B895)),"通过","不一致")</f>
        <v/>
      </c>
    </row>
    <row r="896" ht="22" customHeight="1">
      <c r="A896" s="398" t="n">
        <v>895</v>
      </c>
      <c r="B896" s="398" t="n">
        <v>6915</v>
      </c>
      <c r="C896" s="399" t="inlineStr">
        <is>
          <t>星渊龙息·无垠</t>
        </is>
      </c>
      <c r="D896" s="399" t="inlineStr">
        <is>
          <t>星渊龙息</t>
        </is>
      </c>
      <c r="E896" s="399" t="n">
        <v>5</v>
      </c>
      <c r="F896" s="399" t="inlineStr">
        <is>
          <t>生肖7</t>
        </is>
      </c>
      <c r="G896" s="398" t="n">
        <v>22</v>
      </c>
      <c r="H896" s="398" t="n">
        <v>46</v>
      </c>
      <c r="I896" s="398" t="n">
        <v>6915</v>
      </c>
      <c r="J896" s="398" t="n">
        <v>0</v>
      </c>
      <c r="K896" s="398" t="n">
        <v>4</v>
      </c>
      <c r="L896" s="398" t="n">
        <v>7</v>
      </c>
      <c r="M896" s="398" t="n">
        <v>6915</v>
      </c>
      <c r="N896" s="398" t="n">
        <v>6915</v>
      </c>
      <c r="O896" s="398" t="n">
        <v>6915</v>
      </c>
      <c r="P896" s="292" t="n"/>
      <c r="Q896" s="292" t="inlineStr">
        <is>
          <t>candidate-preflight-passed</t>
        </is>
      </c>
      <c r="R896" s="292" t="str"/>
      <c r="S896" s="292" t="inlineStr">
        <is>
          <t>玄渊二十套全装备代码总表.xlsx</t>
        </is>
      </c>
      <c r="T896" s="292" t="inlineStr">
        <is>
          <t>玄渊20套全装备视觉候选；Items/StateItem/DnItems三库同码；属性待策划填写；OverLap=4; Expand1=7</t>
        </is>
      </c>
      <c r="U896">
        <f>IF(COUNTIF($B$2:$B$1076,B896)&gt;1,"重复","")</f>
        <v/>
      </c>
      <c r="V896">
        <f>IF(AND(OR(M896="",M896=B896),OR(N896="",N896=B896),OR(O896="",O896=B896)),"通过","不一致")</f>
        <v/>
      </c>
    </row>
    <row r="897" ht="22" customHeight="1">
      <c r="A897" s="398" t="n">
        <v>896</v>
      </c>
      <c r="B897" s="398" t="n">
        <v>6916</v>
      </c>
      <c r="C897" s="399" t="inlineStr">
        <is>
          <t>星渊龙息·无垠</t>
        </is>
      </c>
      <c r="D897" s="399" t="inlineStr">
        <is>
          <t>星渊龙息</t>
        </is>
      </c>
      <c r="E897" s="399" t="n">
        <v>5</v>
      </c>
      <c r="F897" s="399" t="inlineStr">
        <is>
          <t>生肖8</t>
        </is>
      </c>
      <c r="G897" s="398" t="n">
        <v>22</v>
      </c>
      <c r="H897" s="398" t="n">
        <v>47</v>
      </c>
      <c r="I897" s="398" t="n">
        <v>6916</v>
      </c>
      <c r="J897" s="398" t="n">
        <v>0</v>
      </c>
      <c r="K897" s="398" t="n">
        <v>4</v>
      </c>
      <c r="L897" s="398" t="n">
        <v>8</v>
      </c>
      <c r="M897" s="398" t="n">
        <v>6916</v>
      </c>
      <c r="N897" s="398" t="n">
        <v>6916</v>
      </c>
      <c r="O897" s="398" t="n">
        <v>6916</v>
      </c>
      <c r="P897" s="292" t="n"/>
      <c r="Q897" s="292" t="inlineStr">
        <is>
          <t>candidate-preflight-passed</t>
        </is>
      </c>
      <c r="R897" s="292" t="str"/>
      <c r="S897" s="292" t="inlineStr">
        <is>
          <t>玄渊二十套全装备代码总表.xlsx</t>
        </is>
      </c>
      <c r="T897" s="292" t="inlineStr">
        <is>
          <t>玄渊20套全装备视觉候选；Items/StateItem/DnItems三库同码；属性待策划填写；OverLap=4; Expand1=8</t>
        </is>
      </c>
      <c r="U897">
        <f>IF(COUNTIF($B$2:$B$1076,B897)&gt;1,"重复","")</f>
        <v/>
      </c>
      <c r="V897">
        <f>IF(AND(OR(M897="",M897=B897),OR(N897="",N897=B897),OR(O897="",O897=B897)),"通过","不一致")</f>
        <v/>
      </c>
    </row>
    <row r="898" ht="22" customHeight="1">
      <c r="A898" s="398" t="n">
        <v>897</v>
      </c>
      <c r="B898" s="398" t="n">
        <v>6917</v>
      </c>
      <c r="C898" s="399" t="inlineStr">
        <is>
          <t>星渊龙息·无垠</t>
        </is>
      </c>
      <c r="D898" s="399" t="inlineStr">
        <is>
          <t>星渊龙息</t>
        </is>
      </c>
      <c r="E898" s="399" t="n">
        <v>5</v>
      </c>
      <c r="F898" s="399" t="inlineStr">
        <is>
          <t>生肖9</t>
        </is>
      </c>
      <c r="G898" s="398" t="n">
        <v>22</v>
      </c>
      <c r="H898" s="398" t="n">
        <v>48</v>
      </c>
      <c r="I898" s="398" t="n">
        <v>6917</v>
      </c>
      <c r="J898" s="398" t="n">
        <v>0</v>
      </c>
      <c r="K898" s="398" t="n">
        <v>4</v>
      </c>
      <c r="L898" s="398" t="n">
        <v>9</v>
      </c>
      <c r="M898" s="398" t="n">
        <v>6917</v>
      </c>
      <c r="N898" s="398" t="n">
        <v>6917</v>
      </c>
      <c r="O898" s="398" t="n">
        <v>6917</v>
      </c>
      <c r="P898" s="292" t="n"/>
      <c r="Q898" s="292" t="inlineStr">
        <is>
          <t>candidate-preflight-passed</t>
        </is>
      </c>
      <c r="R898" s="292" t="str"/>
      <c r="S898" s="292" t="inlineStr">
        <is>
          <t>玄渊二十套全装备代码总表.xlsx</t>
        </is>
      </c>
      <c r="T898" s="292" t="inlineStr">
        <is>
          <t>玄渊20套全装备视觉候选；Items/StateItem/DnItems三库同码；属性待策划填写；OverLap=4; Expand1=9</t>
        </is>
      </c>
      <c r="U898">
        <f>IF(COUNTIF($B$2:$B$1076,B898)&gt;1,"重复","")</f>
        <v/>
      </c>
      <c r="V898">
        <f>IF(AND(OR(M898="",M898=B898),OR(N898="",N898=B898),OR(O898="",O898=B898)),"通过","不一致")</f>
        <v/>
      </c>
    </row>
    <row r="899" ht="22" customHeight="1">
      <c r="A899" s="398" t="n">
        <v>898</v>
      </c>
      <c r="B899" s="398" t="n">
        <v>6918</v>
      </c>
      <c r="C899" s="399" t="inlineStr">
        <is>
          <t>星渊龙息·无垠</t>
        </is>
      </c>
      <c r="D899" s="399" t="inlineStr">
        <is>
          <t>星渊龙息</t>
        </is>
      </c>
      <c r="E899" s="399" t="n">
        <v>5</v>
      </c>
      <c r="F899" s="399" t="inlineStr">
        <is>
          <t>生肖10</t>
        </is>
      </c>
      <c r="G899" s="398" t="n">
        <v>22</v>
      </c>
      <c r="H899" s="398" t="n">
        <v>49</v>
      </c>
      <c r="I899" s="398" t="n">
        <v>6918</v>
      </c>
      <c r="J899" s="398" t="n">
        <v>0</v>
      </c>
      <c r="K899" s="398" t="n">
        <v>4</v>
      </c>
      <c r="L899" s="398" t="n">
        <v>10</v>
      </c>
      <c r="M899" s="398" t="n">
        <v>6918</v>
      </c>
      <c r="N899" s="398" t="n">
        <v>6918</v>
      </c>
      <c r="O899" s="398" t="n">
        <v>6918</v>
      </c>
      <c r="P899" s="292" t="n"/>
      <c r="Q899" s="292" t="inlineStr">
        <is>
          <t>candidate-preflight-passed</t>
        </is>
      </c>
      <c r="R899" s="292" t="str"/>
      <c r="S899" s="292" t="inlineStr">
        <is>
          <t>玄渊二十套全装备代码总表.xlsx</t>
        </is>
      </c>
      <c r="T899" s="292" t="inlineStr">
        <is>
          <t>玄渊20套全装备视觉候选；Items/StateItem/DnItems三库同码；属性待策划填写；OverLap=4; Expand1=10</t>
        </is>
      </c>
      <c r="U899">
        <f>IF(COUNTIF($B$2:$B$1076,B899)&gt;1,"重复","")</f>
        <v/>
      </c>
      <c r="V899">
        <f>IF(AND(OR(M899="",M899=B899),OR(N899="",N899=B899),OR(O899="",O899=B899)),"通过","不一致")</f>
        <v/>
      </c>
    </row>
    <row r="900" ht="22" customHeight="1">
      <c r="A900" s="398" t="n">
        <v>899</v>
      </c>
      <c r="B900" s="398" t="n">
        <v>6919</v>
      </c>
      <c r="C900" s="399" t="inlineStr">
        <is>
          <t>星渊龙息·无垠</t>
        </is>
      </c>
      <c r="D900" s="399" t="inlineStr">
        <is>
          <t>星渊龙息</t>
        </is>
      </c>
      <c r="E900" s="399" t="n">
        <v>5</v>
      </c>
      <c r="F900" s="399" t="inlineStr">
        <is>
          <t>生肖11</t>
        </is>
      </c>
      <c r="G900" s="398" t="n">
        <v>22</v>
      </c>
      <c r="H900" s="398" t="n">
        <v>50</v>
      </c>
      <c r="I900" s="398" t="n">
        <v>6919</v>
      </c>
      <c r="J900" s="398" t="n">
        <v>0</v>
      </c>
      <c r="K900" s="398" t="n">
        <v>4</v>
      </c>
      <c r="L900" s="398" t="n">
        <v>11</v>
      </c>
      <c r="M900" s="398" t="n">
        <v>6919</v>
      </c>
      <c r="N900" s="398" t="n">
        <v>6919</v>
      </c>
      <c r="O900" s="398" t="n">
        <v>6919</v>
      </c>
      <c r="P900" s="292" t="n"/>
      <c r="Q900" s="292" t="inlineStr">
        <is>
          <t>candidate-preflight-passed</t>
        </is>
      </c>
      <c r="R900" s="292" t="str"/>
      <c r="S900" s="292" t="inlineStr">
        <is>
          <t>玄渊二十套全装备代码总表.xlsx</t>
        </is>
      </c>
      <c r="T900" s="292" t="inlineStr">
        <is>
          <t>玄渊20套全装备视觉候选；Items/StateItem/DnItems三库同码；属性待策划填写；OverLap=4; Expand1=11</t>
        </is>
      </c>
      <c r="U900">
        <f>IF(COUNTIF($B$2:$B$1076,B900)&gt;1,"重复","")</f>
        <v/>
      </c>
      <c r="V900">
        <f>IF(AND(OR(M900="",M900=B900),OR(N900="",N900=B900),OR(O900="",O900=B900)),"通过","不一致")</f>
        <v/>
      </c>
    </row>
    <row r="901" ht="22" customHeight="1">
      <c r="A901" s="398" t="n">
        <v>900</v>
      </c>
      <c r="B901" s="398" t="n">
        <v>6920</v>
      </c>
      <c r="C901" s="399" t="inlineStr">
        <is>
          <t>星渊龙息·无垠</t>
        </is>
      </c>
      <c r="D901" s="399" t="inlineStr">
        <is>
          <t>星渊龙息</t>
        </is>
      </c>
      <c r="E901" s="399" t="n">
        <v>5</v>
      </c>
      <c r="F901" s="399" t="inlineStr">
        <is>
          <t>生肖12</t>
        </is>
      </c>
      <c r="G901" s="398" t="n">
        <v>22</v>
      </c>
      <c r="H901" s="398" t="n">
        <v>51</v>
      </c>
      <c r="I901" s="398" t="n">
        <v>6920</v>
      </c>
      <c r="J901" s="398" t="n">
        <v>0</v>
      </c>
      <c r="K901" s="398" t="n">
        <v>4</v>
      </c>
      <c r="L901" s="398" t="n">
        <v>12</v>
      </c>
      <c r="M901" s="398" t="n">
        <v>6920</v>
      </c>
      <c r="N901" s="398" t="n">
        <v>6920</v>
      </c>
      <c r="O901" s="398" t="n">
        <v>6920</v>
      </c>
      <c r="P901" s="292" t="n"/>
      <c r="Q901" s="292" t="inlineStr">
        <is>
          <t>candidate-preflight-passed</t>
        </is>
      </c>
      <c r="R901" s="292" t="str"/>
      <c r="S901" s="292" t="inlineStr">
        <is>
          <t>玄渊二十套全装备代码总表.xlsx</t>
        </is>
      </c>
      <c r="T901" s="292" t="inlineStr">
        <is>
          <t>玄渊20套全装备视觉候选；Items/StateItem/DnItems三库同码；属性待策划填写；OverLap=4; Expand1=12</t>
        </is>
      </c>
      <c r="U901">
        <f>IF(COUNTIF($B$2:$B$1076,B901)&gt;1,"重复","")</f>
        <v/>
      </c>
      <c r="V901">
        <f>IF(AND(OR(M901="",M901=B901),OR(N901="",N901=B901),OR(O901="",O901=B901)),"通过","不一致")</f>
        <v/>
      </c>
    </row>
    <row r="902" ht="22" customHeight="1">
      <c r="A902" s="398" t="n">
        <v>901</v>
      </c>
      <c r="B902" s="398" t="n">
        <v>6921</v>
      </c>
      <c r="C902" s="399" t="inlineStr">
        <is>
          <t>翠焰冥契·幽焰</t>
        </is>
      </c>
      <c r="D902" s="399" t="inlineStr">
        <is>
          <t>翠焰冥契</t>
        </is>
      </c>
      <c r="E902" s="399" t="n">
        <v>1</v>
      </c>
      <c r="F902" s="399" t="inlineStr">
        <is>
          <t>武器</t>
        </is>
      </c>
      <c r="G902" s="398" t="n">
        <v>5</v>
      </c>
      <c r="H902" s="398" t="n">
        <v>1</v>
      </c>
      <c r="I902" s="398" t="n">
        <v>6921</v>
      </c>
      <c r="J902" s="398" t="n">
        <v>31</v>
      </c>
      <c r="K902" s="398" t="n">
        <v>0</v>
      </c>
      <c r="L902" s="398" t="n">
        <v>0</v>
      </c>
      <c r="M902" s="398" t="n">
        <v>6921</v>
      </c>
      <c r="N902" s="398" t="n">
        <v>6921</v>
      </c>
      <c r="O902" s="398" t="n">
        <v>6921</v>
      </c>
      <c r="P902" s="292" t="inlineStr">
        <is>
          <t>Weapon.wzl/wzx（复用现有真实动作）</t>
        </is>
      </c>
      <c r="Q902" s="292" t="inlineStr">
        <is>
          <t>candidate-preflight-passed</t>
        </is>
      </c>
      <c r="R902" s="324" t="inlineStr">
        <is>
          <t>C3-C10规划锁定：终誓月裁剑</t>
        </is>
      </c>
      <c r="S902" s="292" t="inlineStr">
        <is>
          <t>玄渊二十套全装备代码总表.xlsx</t>
        </is>
      </c>
      <c r="T902" s="292" t="inlineStr">
        <is>
          <t>玄渊20套全装备视觉候选；Items/StateItem/DnItems三库同码；属性待策划填写；Weapon Shape=31</t>
        </is>
      </c>
      <c r="U902">
        <f>IF(COUNTIF($B$2:$B$1076,B902)&gt;1,"重复","")</f>
        <v/>
      </c>
      <c r="V902">
        <f>IF(AND(OR(M902="",M902=B902),OR(N902="",N902=B902),OR(O902="",O902=B902)),"通过","不一致")</f>
        <v/>
      </c>
    </row>
    <row r="903" ht="22" customHeight="1">
      <c r="A903" s="398" t="n">
        <v>902</v>
      </c>
      <c r="B903" s="398" t="n">
        <v>6922</v>
      </c>
      <c r="C903" s="399" t="inlineStr">
        <is>
          <t>翠焰冥契·幽焰</t>
        </is>
      </c>
      <c r="D903" s="399" t="inlineStr">
        <is>
          <t>翠焰冥契</t>
        </is>
      </c>
      <c r="E903" s="399" t="n">
        <v>1</v>
      </c>
      <c r="F903" s="399" t="inlineStr">
        <is>
          <t>男衣服</t>
        </is>
      </c>
      <c r="G903" s="398" t="n">
        <v>10</v>
      </c>
      <c r="H903" s="398" t="n">
        <v>0</v>
      </c>
      <c r="I903" s="398" t="n">
        <v>6922</v>
      </c>
      <c r="J903" s="398" t="n">
        <v>8</v>
      </c>
      <c r="K903" s="398" t="n">
        <v>0</v>
      </c>
      <c r="L903" s="398" t="n">
        <v>0</v>
      </c>
      <c r="M903" s="398" t="n">
        <v>6922</v>
      </c>
      <c r="N903" s="398" t="n">
        <v>6922</v>
      </c>
      <c r="O903" s="398" t="n">
        <v>6922</v>
      </c>
      <c r="P903" s="292" t="inlineStr">
        <is>
          <t>Hum.wzl/wzx（复用现有真实动作）</t>
        </is>
      </c>
      <c r="Q903" s="292" t="inlineStr">
        <is>
          <t>candidate-preflight-passed</t>
        </is>
      </c>
      <c r="R903" s="324" t="inlineStr">
        <is>
          <t>C3-C10规划锁定：逆页导师长衣</t>
        </is>
      </c>
      <c r="S903" s="292" t="inlineStr">
        <is>
          <t>玄渊二十套全装备代码总表.xlsx</t>
        </is>
      </c>
      <c r="T903" s="292" t="inlineStr">
        <is>
          <t>玄渊20套全装备视觉候选；Items/StateItem/DnItems三库同码；属性待策划填写；Hum Shape=8</t>
        </is>
      </c>
      <c r="U903">
        <f>IF(COUNTIF($B$2:$B$1076,B903)&gt;1,"重复","")</f>
        <v/>
      </c>
      <c r="V903">
        <f>IF(AND(OR(M903="",M903=B903),OR(N903="",N903=B903),OR(O903="",O903=B903)),"通过","不一致")</f>
        <v/>
      </c>
    </row>
    <row r="904" ht="22" customHeight="1">
      <c r="A904" s="398" t="n">
        <v>903</v>
      </c>
      <c r="B904" s="398" t="n">
        <v>6923</v>
      </c>
      <c r="C904" s="399" t="inlineStr">
        <is>
          <t>翠焰冥契·幽焰</t>
        </is>
      </c>
      <c r="D904" s="399" t="inlineStr">
        <is>
          <t>翠焰冥契</t>
        </is>
      </c>
      <c r="E904" s="399" t="n">
        <v>1</v>
      </c>
      <c r="F904" s="399" t="inlineStr">
        <is>
          <t>女衣服</t>
        </is>
      </c>
      <c r="G904" s="398" t="n">
        <v>11</v>
      </c>
      <c r="H904" s="398" t="n">
        <v>0</v>
      </c>
      <c r="I904" s="398" t="n">
        <v>6923</v>
      </c>
      <c r="J904" s="398" t="n">
        <v>8</v>
      </c>
      <c r="K904" s="398" t="n">
        <v>0</v>
      </c>
      <c r="L904" s="398" t="n">
        <v>0</v>
      </c>
      <c r="M904" s="398" t="n">
        <v>6923</v>
      </c>
      <c r="N904" s="398" t="n">
        <v>6923</v>
      </c>
      <c r="O904" s="398" t="n">
        <v>6923</v>
      </c>
      <c r="P904" s="292" t="inlineStr">
        <is>
          <t>Hum.wzl/wzx（复用现有真实动作）</t>
        </is>
      </c>
      <c r="Q904" s="292" t="inlineStr">
        <is>
          <t>candidate-preflight-passed</t>
        </is>
      </c>
      <c r="R904" s="292" t="str"/>
      <c r="S904" s="292" t="inlineStr">
        <is>
          <t>玄渊二十套全装备代码总表.xlsx</t>
        </is>
      </c>
      <c r="T904" s="292" t="inlineStr">
        <is>
          <t>玄渊20套全装备视觉候选；Items/StateItem/DnItems三库同码；属性待策划填写；Hum Shape=8</t>
        </is>
      </c>
      <c r="U904">
        <f>IF(COUNTIF($B$2:$B$1076,B904)&gt;1,"重复","")</f>
        <v/>
      </c>
      <c r="V904">
        <f>IF(AND(OR(M904="",M904=B904),OR(N904="",N904=B904),OR(O904="",O904=B904)),"通过","不一致")</f>
        <v/>
      </c>
    </row>
    <row r="905" ht="22" customHeight="1">
      <c r="A905" s="398" t="n">
        <v>904</v>
      </c>
      <c r="B905" s="398" t="n">
        <v>6924</v>
      </c>
      <c r="C905" s="399" t="inlineStr">
        <is>
          <t>翠焰冥契·幽焰</t>
        </is>
      </c>
      <c r="D905" s="399" t="inlineStr">
        <is>
          <t>翠焰冥契</t>
        </is>
      </c>
      <c r="E905" s="399" t="n">
        <v>1</v>
      </c>
      <c r="F905" s="399" t="inlineStr">
        <is>
          <t>头盔</t>
        </is>
      </c>
      <c r="G905" s="398" t="n">
        <v>15</v>
      </c>
      <c r="H905" s="398" t="n">
        <v>4</v>
      </c>
      <c r="I905" s="398" t="n">
        <v>6924</v>
      </c>
      <c r="J905" s="398" t="n">
        <v>0</v>
      </c>
      <c r="K905" s="398" t="n">
        <v>0</v>
      </c>
      <c r="L905" s="398" t="n">
        <v>0</v>
      </c>
      <c r="M905" s="398" t="n">
        <v>6924</v>
      </c>
      <c r="N905" s="398" t="n">
        <v>6924</v>
      </c>
      <c r="O905" s="398" t="n">
        <v>6924</v>
      </c>
      <c r="P905" s="292" t="n"/>
      <c r="Q905" s="292" t="inlineStr">
        <is>
          <t>candidate-preflight-passed</t>
        </is>
      </c>
      <c r="R905" s="324" t="inlineStr">
        <is>
          <t>C3-C10规划锁定：镜荷眠梦冠</t>
        </is>
      </c>
      <c r="S905" s="292" t="inlineStr">
        <is>
          <t>玄渊二十套全装备代码总表.xlsx</t>
        </is>
      </c>
      <c r="T905" s="292" t="inlineStr">
        <is>
          <t>玄渊20套全装备视觉候选；Items/StateItem/DnItems三库同码；属性待策划填写</t>
        </is>
      </c>
      <c r="U905">
        <f>IF(COUNTIF($B$2:$B$1076,B905)&gt;1,"重复","")</f>
        <v/>
      </c>
      <c r="V905">
        <f>IF(AND(OR(M905="",M905=B905),OR(N905="",N905=B905),OR(O905="",O905=B905)),"通过","不一致")</f>
        <v/>
      </c>
    </row>
    <row r="906" ht="22" customHeight="1">
      <c r="A906" s="398" t="n">
        <v>905</v>
      </c>
      <c r="B906" s="398" t="n">
        <v>6925</v>
      </c>
      <c r="C906" s="399" t="inlineStr">
        <is>
          <t>翠焰冥契·幽焰</t>
        </is>
      </c>
      <c r="D906" s="399" t="inlineStr">
        <is>
          <t>翠焰冥契</t>
        </is>
      </c>
      <c r="E906" s="399" t="n">
        <v>1</v>
      </c>
      <c r="F906" s="399" t="inlineStr">
        <is>
          <t>面巾</t>
        </is>
      </c>
      <c r="G906" s="398" t="n">
        <v>16</v>
      </c>
      <c r="H906" s="398" t="n">
        <v>13</v>
      </c>
      <c r="I906" s="398" t="n">
        <v>6925</v>
      </c>
      <c r="J906" s="398" t="n">
        <v>0</v>
      </c>
      <c r="K906" s="398" t="n">
        <v>0</v>
      </c>
      <c r="L906" s="398" t="n">
        <v>0</v>
      </c>
      <c r="M906" s="398" t="n">
        <v>6925</v>
      </c>
      <c r="N906" s="398" t="n">
        <v>6925</v>
      </c>
      <c r="O906" s="398" t="n">
        <v>6925</v>
      </c>
      <c r="P906" s="292" t="n"/>
      <c r="Q906" s="292" t="inlineStr">
        <is>
          <t>candidate-preflight-passed</t>
        </is>
      </c>
      <c r="R906" s="324" t="inlineStr">
        <is>
          <t>C3-C10规划锁定：无灯侯旧斗笠</t>
        </is>
      </c>
      <c r="S906" s="292" t="inlineStr">
        <is>
          <t>玄渊二十套全装备代码总表.xlsx</t>
        </is>
      </c>
      <c r="T906" s="292" t="inlineStr">
        <is>
          <t>玄渊20套全装备视觉候选；Items/StateItem/DnItems三库同码；属性待策划填写</t>
        </is>
      </c>
      <c r="U906">
        <f>IF(COUNTIF($B$2:$B$1076,B906)&gt;1,"重复","")</f>
        <v/>
      </c>
      <c r="V906">
        <f>IF(AND(OR(M906="",M906=B906),OR(N906="",N906=B906),OR(O906="",O906=B906)),"通过","不一致")</f>
        <v/>
      </c>
    </row>
    <row r="907" ht="22" customHeight="1">
      <c r="A907" s="398" t="n">
        <v>906</v>
      </c>
      <c r="B907" s="398" t="n">
        <v>6926</v>
      </c>
      <c r="C907" s="399" t="inlineStr">
        <is>
          <t>翠焰冥契·幽焰</t>
        </is>
      </c>
      <c r="D907" s="399" t="inlineStr">
        <is>
          <t>翠焰冥契</t>
        </is>
      </c>
      <c r="E907" s="399" t="n">
        <v>1</v>
      </c>
      <c r="F907" s="399" t="inlineStr">
        <is>
          <t>项链</t>
        </is>
      </c>
      <c r="G907" s="398" t="n">
        <v>19</v>
      </c>
      <c r="H907" s="398" t="n">
        <v>3</v>
      </c>
      <c r="I907" s="398" t="n">
        <v>6926</v>
      </c>
      <c r="J907" s="398" t="n">
        <v>0</v>
      </c>
      <c r="K907" s="398" t="n">
        <v>0</v>
      </c>
      <c r="L907" s="398" t="n">
        <v>0</v>
      </c>
      <c r="M907" s="398" t="n">
        <v>6926</v>
      </c>
      <c r="N907" s="398" t="n">
        <v>6926</v>
      </c>
      <c r="O907" s="398" t="n">
        <v>6926</v>
      </c>
      <c r="P907" s="292" t="n"/>
      <c r="Q907" s="292" t="inlineStr">
        <is>
          <t>candidate-preflight-passed</t>
        </is>
      </c>
      <c r="R907" s="324" t="inlineStr">
        <is>
          <t>C3-C10规划锁定：凝露蛾月坠</t>
        </is>
      </c>
      <c r="S907" s="292" t="inlineStr">
        <is>
          <t>玄渊二十套全装备代码总表.xlsx</t>
        </is>
      </c>
      <c r="T907" s="292" t="inlineStr">
        <is>
          <t>玄渊20套全装备视觉候选；Items/StateItem/DnItems三库同码；属性待策划填写</t>
        </is>
      </c>
      <c r="U907">
        <f>IF(COUNTIF($B$2:$B$1076,B907)&gt;1,"重复","")</f>
        <v/>
      </c>
      <c r="V907">
        <f>IF(AND(OR(M907="",M907=B907),OR(N907="",N907=B907),OR(O907="",O907=B907)),"通过","不一致")</f>
        <v/>
      </c>
    </row>
    <row r="908" ht="22" customHeight="1">
      <c r="A908" s="398" t="n">
        <v>907</v>
      </c>
      <c r="B908" s="398" t="n">
        <v>6927</v>
      </c>
      <c r="C908" s="399" t="inlineStr">
        <is>
          <t>翠焰冥契·幽焰</t>
        </is>
      </c>
      <c r="D908" s="399" t="inlineStr">
        <is>
          <t>翠焰冥契</t>
        </is>
      </c>
      <c r="E908" s="399" t="n">
        <v>1</v>
      </c>
      <c r="F908" s="399" t="inlineStr">
        <is>
          <t>手镯</t>
        </is>
      </c>
      <c r="G908" s="398" t="n">
        <v>26</v>
      </c>
      <c r="H908" s="398" t="n">
        <v>5</v>
      </c>
      <c r="I908" s="398" t="n">
        <v>6927</v>
      </c>
      <c r="J908" s="398" t="n">
        <v>0</v>
      </c>
      <c r="K908" s="398" t="n">
        <v>0</v>
      </c>
      <c r="L908" s="398" t="n">
        <v>0</v>
      </c>
      <c r="M908" s="398" t="n">
        <v>6927</v>
      </c>
      <c r="N908" s="398" t="n">
        <v>6927</v>
      </c>
      <c r="O908" s="398" t="n">
        <v>6927</v>
      </c>
      <c r="P908" s="292" t="n"/>
      <c r="Q908" s="292" t="inlineStr">
        <is>
          <t>candidate-preflight-passed</t>
        </is>
      </c>
      <c r="R908" s="324" t="inlineStr">
        <is>
          <t>C3-C10规划锁定：遗刻晶纹镯</t>
        </is>
      </c>
      <c r="S908" s="292" t="inlineStr">
        <is>
          <t>玄渊二十套全装备代码总表.xlsx</t>
        </is>
      </c>
      <c r="T908" s="292" t="inlineStr">
        <is>
          <t>玄渊20套全装备视觉候选；Items/StateItem/DnItems三库同码；属性待策划填写</t>
        </is>
      </c>
      <c r="U908">
        <f>IF(COUNTIF($B$2:$B$1076,B908)&gt;1,"重复","")</f>
        <v/>
      </c>
      <c r="V908">
        <f>IF(AND(OR(M908="",M908=B908),OR(N908="",N908=B908),OR(O908="",O908=B908)),"通过","不一致")</f>
        <v/>
      </c>
    </row>
    <row r="909" ht="22" customHeight="1">
      <c r="A909" s="398" t="n">
        <v>908</v>
      </c>
      <c r="B909" s="398" t="n">
        <v>6928</v>
      </c>
      <c r="C909" s="399" t="inlineStr">
        <is>
          <t>翠焰冥契·幽焰</t>
        </is>
      </c>
      <c r="D909" s="399" t="inlineStr">
        <is>
          <t>翠焰冥契</t>
        </is>
      </c>
      <c r="E909" s="399" t="n">
        <v>1</v>
      </c>
      <c r="F909" s="399" t="inlineStr">
        <is>
          <t>戒指</t>
        </is>
      </c>
      <c r="G909" s="398" t="n">
        <v>22</v>
      </c>
      <c r="H909" s="398" t="n">
        <v>7</v>
      </c>
      <c r="I909" s="398" t="n">
        <v>6928</v>
      </c>
      <c r="J909" s="398" t="n">
        <v>0</v>
      </c>
      <c r="K909" s="398" t="n">
        <v>0</v>
      </c>
      <c r="L909" s="398" t="n">
        <v>0</v>
      </c>
      <c r="M909" s="398" t="n">
        <v>6928</v>
      </c>
      <c r="N909" s="398" t="n">
        <v>6928</v>
      </c>
      <c r="O909" s="398" t="n">
        <v>6928</v>
      </c>
      <c r="P909" s="292" t="n"/>
      <c r="Q909" s="292" t="inlineStr">
        <is>
          <t>candidate-preflight-passed</t>
        </is>
      </c>
      <c r="R909" s="324" t="inlineStr">
        <is>
          <t>C3-C10规划锁定：涟影回波戒</t>
        </is>
      </c>
      <c r="S909" s="292" t="inlineStr">
        <is>
          <t>玄渊二十套全装备代码总表.xlsx</t>
        </is>
      </c>
      <c r="T909" s="292" t="inlineStr">
        <is>
          <t>玄渊20套全装备视觉候选；Items/StateItem/DnItems三库同码；属性待策划填写</t>
        </is>
      </c>
      <c r="U909">
        <f>IF(COUNTIF($B$2:$B$1076,B909)&gt;1,"重复","")</f>
        <v/>
      </c>
      <c r="V909">
        <f>IF(AND(OR(M909="",M909=B909),OR(N909="",N909=B909),OR(O909="",O909=B909)),"通过","不一致")</f>
        <v/>
      </c>
    </row>
    <row r="910" ht="22" customHeight="1">
      <c r="A910" s="398" t="n">
        <v>909</v>
      </c>
      <c r="B910" s="398" t="n">
        <v>6929</v>
      </c>
      <c r="C910" s="399" t="inlineStr">
        <is>
          <t>翠焰冥契·幽焰</t>
        </is>
      </c>
      <c r="D910" s="399" t="inlineStr">
        <is>
          <t>翠焰冥契</t>
        </is>
      </c>
      <c r="E910" s="399" t="n">
        <v>1</v>
      </c>
      <c r="F910" s="399" t="inlineStr">
        <is>
          <t>勋章</t>
        </is>
      </c>
      <c r="G910" s="398" t="n">
        <v>30</v>
      </c>
      <c r="H910" s="398" t="n">
        <v>2</v>
      </c>
      <c r="I910" s="398" t="n">
        <v>6929</v>
      </c>
      <c r="J910" s="398" t="n">
        <v>0</v>
      </c>
      <c r="K910" s="398" t="n">
        <v>0</v>
      </c>
      <c r="L910" s="398" t="n">
        <v>0</v>
      </c>
      <c r="M910" s="398" t="n">
        <v>6929</v>
      </c>
      <c r="N910" s="398" t="n">
        <v>6929</v>
      </c>
      <c r="O910" s="398" t="n">
        <v>6929</v>
      </c>
      <c r="P910" s="292" t="n"/>
      <c r="Q910" s="292" t="inlineStr">
        <is>
          <t>candidate-preflight-passed</t>
        </is>
      </c>
      <c r="R910" s="324" t="inlineStr">
        <is>
          <t>C3-C10规划锁定：祷刑罪章</t>
        </is>
      </c>
      <c r="S910" s="292" t="inlineStr">
        <is>
          <t>玄渊二十套全装备代码总表.xlsx</t>
        </is>
      </c>
      <c r="T910" s="292" t="inlineStr">
        <is>
          <t>玄渊20套全装备视觉候选；Items/StateItem/DnItems三库同码；属性待策划填写</t>
        </is>
      </c>
      <c r="U910">
        <f>IF(COUNTIF($B$2:$B$1076,B910)&gt;1,"重复","")</f>
        <v/>
      </c>
      <c r="V910">
        <f>IF(AND(OR(M910="",M910=B910),OR(N910="",N910=B910),OR(O910="",O910=B910)),"通过","不一致")</f>
        <v/>
      </c>
    </row>
    <row r="911" ht="22" customHeight="1">
      <c r="A911" s="398" t="n">
        <v>910</v>
      </c>
      <c r="B911" s="398" t="n">
        <v>6930</v>
      </c>
      <c r="C911" s="399" t="inlineStr">
        <is>
          <t>翠焰冥契·幽焰</t>
        </is>
      </c>
      <c r="D911" s="399" t="inlineStr">
        <is>
          <t>翠焰冥契</t>
        </is>
      </c>
      <c r="E911" s="399" t="n">
        <v>1</v>
      </c>
      <c r="F911" s="399" t="inlineStr">
        <is>
          <t>盾牌</t>
        </is>
      </c>
      <c r="G911" s="398" t="n">
        <v>12</v>
      </c>
      <c r="H911" s="398" t="n">
        <v>16</v>
      </c>
      <c r="I911" s="398" t="n">
        <v>6930</v>
      </c>
      <c r="J911" s="398" t="n">
        <v>0</v>
      </c>
      <c r="K911" s="398" t="n">
        <v>0</v>
      </c>
      <c r="L911" s="398" t="n">
        <v>0</v>
      </c>
      <c r="M911" s="398" t="n">
        <v>6930</v>
      </c>
      <c r="N911" s="398" t="n">
        <v>6930</v>
      </c>
      <c r="O911" s="398" t="n">
        <v>6930</v>
      </c>
      <c r="P911" s="292" t="n"/>
      <c r="Q911" s="292" t="inlineStr">
        <is>
          <t>candidate-preflight-passed</t>
        </is>
      </c>
      <c r="R911" s="324" t="inlineStr">
        <is>
          <t>C3-C10规划锁定：巡卷傀书盾</t>
        </is>
      </c>
      <c r="S911" s="292" t="inlineStr">
        <is>
          <t>玄渊二十套全装备代码总表.xlsx</t>
        </is>
      </c>
      <c r="T911" s="292" t="inlineStr">
        <is>
          <t>玄渊20套全装备视觉候选；Items/StateItem/DnItems三库同码；属性待策划填写</t>
        </is>
      </c>
      <c r="U911">
        <f>IF(COUNTIF($B$2:$B$1076,B911)&gt;1,"重复","")</f>
        <v/>
      </c>
      <c r="V911">
        <f>IF(AND(OR(M911="",M911=B911),OR(N911="",N911=B911),OR(O911="",O911=B911)),"通过","不一致")</f>
        <v/>
      </c>
    </row>
    <row r="912" ht="22" customHeight="1">
      <c r="A912" s="398" t="n">
        <v>911</v>
      </c>
      <c r="B912" s="398" t="n">
        <v>6931</v>
      </c>
      <c r="C912" s="399" t="inlineStr">
        <is>
          <t>翠焰冥契·幽焰</t>
        </is>
      </c>
      <c r="D912" s="399" t="inlineStr">
        <is>
          <t>翠焰冥契</t>
        </is>
      </c>
      <c r="E912" s="399" t="n">
        <v>1</v>
      </c>
      <c r="F912" s="399" t="inlineStr">
        <is>
          <t>灵玉</t>
        </is>
      </c>
      <c r="G912" s="398" t="n">
        <v>90</v>
      </c>
      <c r="H912" s="398" t="n">
        <v>17</v>
      </c>
      <c r="I912" s="398" t="n">
        <v>6931</v>
      </c>
      <c r="J912" s="398" t="n">
        <v>0</v>
      </c>
      <c r="K912" s="398" t="n">
        <v>0</v>
      </c>
      <c r="L912" s="398" t="n">
        <v>0</v>
      </c>
      <c r="M912" s="398" t="n">
        <v>6931</v>
      </c>
      <c r="N912" s="398" t="n">
        <v>6931</v>
      </c>
      <c r="O912" s="398" t="n">
        <v>6931</v>
      </c>
      <c r="P912" s="292" t="n"/>
      <c r="Q912" s="292" t="inlineStr">
        <is>
          <t>candidate-preflight-passed</t>
        </is>
      </c>
      <c r="R912" s="292" t="str"/>
      <c r="S912" s="292" t="inlineStr">
        <is>
          <t>玄渊二十套全装备代码总表.xlsx</t>
        </is>
      </c>
      <c r="T912" s="292" t="inlineStr">
        <is>
          <t>玄渊20套全装备视觉候选；Items/StateItem/DnItems三库同码；属性待策划填写</t>
        </is>
      </c>
      <c r="U912">
        <f>IF(COUNTIF($B$2:$B$1076,B912)&gt;1,"重复","")</f>
        <v/>
      </c>
      <c r="V912">
        <f>IF(AND(OR(M912="",M912=B912),OR(N912="",N912=B912),OR(O912="",O912=B912)),"通过","不一致")</f>
        <v/>
      </c>
    </row>
    <row r="913" ht="22" customHeight="1">
      <c r="A913" s="398" t="n">
        <v>912</v>
      </c>
      <c r="B913" s="398" t="n">
        <v>6932</v>
      </c>
      <c r="C913" s="399" t="inlineStr">
        <is>
          <t>翠焰冥契·幽焰</t>
        </is>
      </c>
      <c r="D913" s="399" t="inlineStr">
        <is>
          <t>翠焰冥契</t>
        </is>
      </c>
      <c r="E913" s="399" t="n">
        <v>1</v>
      </c>
      <c r="F913" s="399" t="inlineStr">
        <is>
          <t>鞋子</t>
        </is>
      </c>
      <c r="G913" s="398" t="n">
        <v>62</v>
      </c>
      <c r="H913" s="398" t="n">
        <v>11</v>
      </c>
      <c r="I913" s="398" t="n">
        <v>6932</v>
      </c>
      <c r="J913" s="398" t="n">
        <v>0</v>
      </c>
      <c r="K913" s="398" t="n">
        <v>0</v>
      </c>
      <c r="L913" s="398" t="n">
        <v>0</v>
      </c>
      <c r="M913" s="398" t="n">
        <v>6932</v>
      </c>
      <c r="N913" s="398" t="n">
        <v>6932</v>
      </c>
      <c r="O913" s="398" t="n">
        <v>6932</v>
      </c>
      <c r="P913" s="292" t="n"/>
      <c r="Q913" s="292" t="inlineStr">
        <is>
          <t>candidate-preflight-passed</t>
        </is>
      </c>
      <c r="R913" s="324" t="inlineStr">
        <is>
          <t>C3-C10规划锁定：卷蠹轻步履</t>
        </is>
      </c>
      <c r="S913" s="292" t="inlineStr">
        <is>
          <t>玄渊二十套全装备代码总表.xlsx</t>
        </is>
      </c>
      <c r="T913" s="292" t="inlineStr">
        <is>
          <t>玄渊20套全装备视觉候选；Items/StateItem/DnItems三库同码；属性待策划填写</t>
        </is>
      </c>
      <c r="U913">
        <f>IF(COUNTIF($B$2:$B$1076,B913)&gt;1,"重复","")</f>
        <v/>
      </c>
      <c r="V913">
        <f>IF(AND(OR(M913="",M913=B913),OR(N913="",N913=B913),OR(O913="",O913=B913)),"通过","不一致")</f>
        <v/>
      </c>
    </row>
    <row r="914" ht="22" customHeight="1">
      <c r="A914" s="398" t="n">
        <v>913</v>
      </c>
      <c r="B914" s="398" t="n">
        <v>6933</v>
      </c>
      <c r="C914" s="399" t="inlineStr">
        <is>
          <t>翠焰冥契·幽焰</t>
        </is>
      </c>
      <c r="D914" s="399" t="inlineStr">
        <is>
          <t>翠焰冥契</t>
        </is>
      </c>
      <c r="E914" s="399" t="n">
        <v>1</v>
      </c>
      <c r="F914" s="399" t="inlineStr">
        <is>
          <t>腰带</t>
        </is>
      </c>
      <c r="G914" s="398" t="n">
        <v>64</v>
      </c>
      <c r="H914" s="398" t="n">
        <v>10</v>
      </c>
      <c r="I914" s="398" t="n">
        <v>6933</v>
      </c>
      <c r="J914" s="398" t="n">
        <v>0</v>
      </c>
      <c r="K914" s="398" t="n">
        <v>0</v>
      </c>
      <c r="L914" s="398" t="n">
        <v>0</v>
      </c>
      <c r="M914" s="398" t="n">
        <v>6933</v>
      </c>
      <c r="N914" s="398" t="n">
        <v>6933</v>
      </c>
      <c r="O914" s="398" t="n">
        <v>6933</v>
      </c>
      <c r="P914" s="292" t="n"/>
      <c r="Q914" s="292" t="inlineStr">
        <is>
          <t>candidate-preflight-passed</t>
        </is>
      </c>
      <c r="R914" s="324" t="inlineStr">
        <is>
          <t>C3-C10规划锁定：影潮潜宫带</t>
        </is>
      </c>
      <c r="S914" s="292" t="inlineStr">
        <is>
          <t>玄渊二十套全装备代码总表.xlsx</t>
        </is>
      </c>
      <c r="T914" s="292" t="inlineStr">
        <is>
          <t>玄渊20套全装备视觉候选；Items/StateItem/DnItems三库同码；属性待策划填写</t>
        </is>
      </c>
      <c r="U914">
        <f>IF(COUNTIF($B$2:$B$1076,B914)&gt;1,"重复","")</f>
        <v/>
      </c>
      <c r="V914">
        <f>IF(AND(OR(M914="",M914=B914),OR(N914="",N914=B914),OR(O914="",O914=B914)),"通过","不一致")</f>
        <v/>
      </c>
    </row>
    <row r="915" ht="22" customHeight="1">
      <c r="A915" s="398" t="n">
        <v>914</v>
      </c>
      <c r="B915" s="398" t="n">
        <v>6934</v>
      </c>
      <c r="C915" s="399" t="inlineStr">
        <is>
          <t>翠焰冥契·幽焰</t>
        </is>
      </c>
      <c r="D915" s="399" t="inlineStr">
        <is>
          <t>翠焰冥契</t>
        </is>
      </c>
      <c r="E915" s="399" t="n">
        <v>1</v>
      </c>
      <c r="F915" s="399" t="inlineStr">
        <is>
          <t>护身符</t>
        </is>
      </c>
      <c r="G915" s="398" t="n">
        <v>25</v>
      </c>
      <c r="H915" s="398" t="n">
        <v>9</v>
      </c>
      <c r="I915" s="398" t="n">
        <v>6934</v>
      </c>
      <c r="J915" s="398" t="n">
        <v>0</v>
      </c>
      <c r="K915" s="398" t="n">
        <v>0</v>
      </c>
      <c r="L915" s="398" t="n">
        <v>0</v>
      </c>
      <c r="M915" s="398" t="n">
        <v>6934</v>
      </c>
      <c r="N915" s="398" t="n">
        <v>6934</v>
      </c>
      <c r="O915" s="398" t="n">
        <v>6934</v>
      </c>
      <c r="P915" s="292" t="n"/>
      <c r="Q915" s="292" t="inlineStr">
        <is>
          <t>candidate-preflight-passed</t>
        </is>
      </c>
      <c r="R915" s="292" t="str"/>
      <c r="S915" s="292" t="inlineStr">
        <is>
          <t>玄渊二十套全装备代码总表.xlsx</t>
        </is>
      </c>
      <c r="T915" s="292" t="inlineStr">
        <is>
          <t>玄渊20套全装备视觉候选；Items/StateItem/DnItems三库同码；属性待策划填写</t>
        </is>
      </c>
      <c r="U915">
        <f>IF(COUNTIF($B$2:$B$1076,B915)&gt;1,"重复","")</f>
        <v/>
      </c>
      <c r="V915">
        <f>IF(AND(OR(M915="",M915=B915),OR(N915="",N915=B915),OR(O915="",O915=B915)),"通过","不一致")</f>
        <v/>
      </c>
    </row>
    <row r="916" ht="22" customHeight="1">
      <c r="A916" s="398" t="n">
        <v>915</v>
      </c>
      <c r="B916" s="398" t="n">
        <v>6935</v>
      </c>
      <c r="C916" s="399" t="inlineStr">
        <is>
          <t>翠焰冥契·幽焰</t>
        </is>
      </c>
      <c r="D916" s="399" t="inlineStr">
        <is>
          <t>翠焰冥契</t>
        </is>
      </c>
      <c r="E916" s="399" t="n">
        <v>1</v>
      </c>
      <c r="F916" s="399" t="inlineStr">
        <is>
          <t>宝石</t>
        </is>
      </c>
      <c r="G916" s="398" t="n">
        <v>63</v>
      </c>
      <c r="H916" s="398" t="n">
        <v>12</v>
      </c>
      <c r="I916" s="398" t="n">
        <v>6935</v>
      </c>
      <c r="J916" s="398" t="n">
        <v>0</v>
      </c>
      <c r="K916" s="398" t="n">
        <v>0</v>
      </c>
      <c r="L916" s="398" t="n">
        <v>0</v>
      </c>
      <c r="M916" s="398" t="n">
        <v>6935</v>
      </c>
      <c r="N916" s="398" t="n">
        <v>6935</v>
      </c>
      <c r="O916" s="398" t="n">
        <v>6935</v>
      </c>
      <c r="P916" s="292" t="n"/>
      <c r="Q916" s="292" t="inlineStr">
        <is>
          <t>candidate-preflight-passed</t>
        </is>
      </c>
      <c r="R916" s="292" t="str"/>
      <c r="S916" s="292" t="inlineStr">
        <is>
          <t>玄渊二十套全装备代码总表.xlsx</t>
        </is>
      </c>
      <c r="T916" s="292" t="inlineStr">
        <is>
          <t>玄渊20套全装备视觉候选；Items/StateItem/DnItems三库同码；属性待策划填写</t>
        </is>
      </c>
      <c r="U916">
        <f>IF(COUNTIF($B$2:$B$1076,B916)&gt;1,"重复","")</f>
        <v/>
      </c>
      <c r="V916">
        <f>IF(AND(OR(M916="",M916=B916),OR(N916="",N916=B916),OR(O916="",O916=B916)),"通过","不一致")</f>
        <v/>
      </c>
    </row>
    <row r="917" ht="22" customHeight="1">
      <c r="A917" s="398" t="n">
        <v>916</v>
      </c>
      <c r="B917" s="398" t="n">
        <v>6936</v>
      </c>
      <c r="C917" s="399" t="inlineStr">
        <is>
          <t>翠焰冥契·幽焰</t>
        </is>
      </c>
      <c r="D917" s="399" t="inlineStr">
        <is>
          <t>翠焰冥契</t>
        </is>
      </c>
      <c r="E917" s="399" t="n">
        <v>1</v>
      </c>
      <c r="F917" s="399" t="inlineStr">
        <is>
          <t>军鼓</t>
        </is>
      </c>
      <c r="G917" s="398" t="n">
        <v>65</v>
      </c>
      <c r="H917" s="398" t="n">
        <v>14</v>
      </c>
      <c r="I917" s="398" t="n">
        <v>6936</v>
      </c>
      <c r="J917" s="398" t="n">
        <v>0</v>
      </c>
      <c r="K917" s="398" t="n">
        <v>0</v>
      </c>
      <c r="L917" s="398" t="n">
        <v>0</v>
      </c>
      <c r="M917" s="398" t="n">
        <v>6936</v>
      </c>
      <c r="N917" s="398" t="n">
        <v>6936</v>
      </c>
      <c r="O917" s="398" t="n">
        <v>6936</v>
      </c>
      <c r="P917" s="292" t="n"/>
      <c r="Q917" s="292" t="inlineStr">
        <is>
          <t>candidate-preflight-passed</t>
        </is>
      </c>
      <c r="R917" s="292" t="str"/>
      <c r="S917" s="292" t="inlineStr">
        <is>
          <t>玄渊二十套全装备代码总表.xlsx</t>
        </is>
      </c>
      <c r="T917" s="292" t="inlineStr">
        <is>
          <t>玄渊20套全装备视觉候选；Items/StateItem/DnItems三库同码；属性待策划填写</t>
        </is>
      </c>
      <c r="U917">
        <f>IF(COUNTIF($B$2:$B$1076,B917)&gt;1,"重复","")</f>
        <v/>
      </c>
      <c r="V917">
        <f>IF(AND(OR(M917="",M917=B917),OR(N917="",N917=B917),OR(O917="",O917=B917)),"通过","不一致")</f>
        <v/>
      </c>
    </row>
    <row r="918" ht="22" customHeight="1">
      <c r="A918" s="398" t="n">
        <v>917</v>
      </c>
      <c r="B918" s="398" t="n">
        <v>6937</v>
      </c>
      <c r="C918" s="399" t="inlineStr">
        <is>
          <t>翠焰冥契·幽焰</t>
        </is>
      </c>
      <c r="D918" s="399" t="inlineStr">
        <is>
          <t>翠焰冥契</t>
        </is>
      </c>
      <c r="E918" s="399" t="n">
        <v>1</v>
      </c>
      <c r="F918" s="399" t="inlineStr">
        <is>
          <t>马牌</t>
        </is>
      </c>
      <c r="G918" s="398" t="n">
        <v>28</v>
      </c>
      <c r="H918" s="398" t="n">
        <v>15</v>
      </c>
      <c r="I918" s="398" t="n">
        <v>6937</v>
      </c>
      <c r="J918" s="398" t="n">
        <v>0</v>
      </c>
      <c r="K918" s="398" t="n">
        <v>0</v>
      </c>
      <c r="L918" s="398" t="n">
        <v>0</v>
      </c>
      <c r="M918" s="398" t="n">
        <v>6937</v>
      </c>
      <c r="N918" s="398" t="n">
        <v>6937</v>
      </c>
      <c r="O918" s="398" t="n">
        <v>6937</v>
      </c>
      <c r="P918" s="292" t="n"/>
      <c r="Q918" s="292" t="inlineStr">
        <is>
          <t>candidate-preflight-passed</t>
        </is>
      </c>
      <c r="R918" s="292" t="str"/>
      <c r="S918" s="292" t="inlineStr">
        <is>
          <t>玄渊二十套全装备代码总表.xlsx</t>
        </is>
      </c>
      <c r="T918" s="292" t="inlineStr">
        <is>
          <t>玄渊20套全装备视觉候选；Items/StateItem/DnItems三库同码；属性待策划填写</t>
        </is>
      </c>
      <c r="U918">
        <f>IF(COUNTIF($B$2:$B$1076,B918)&gt;1,"重复","")</f>
        <v/>
      </c>
      <c r="V918">
        <f>IF(AND(OR(M918="",M918=B918),OR(N918="",N918=B918),OR(O918="",O918=B918)),"通过","不一致")</f>
        <v/>
      </c>
    </row>
    <row r="919" ht="22" customHeight="1">
      <c r="A919" s="398" t="n">
        <v>918</v>
      </c>
      <c r="B919" s="398" t="n">
        <v>6938</v>
      </c>
      <c r="C919" s="399" t="inlineStr">
        <is>
          <t>翠焰冥契·幽焰</t>
        </is>
      </c>
      <c r="D919" s="399" t="inlineStr">
        <is>
          <t>翠焰冥契</t>
        </is>
      </c>
      <c r="E919" s="399" t="n">
        <v>1</v>
      </c>
      <c r="F919" s="399" t="inlineStr">
        <is>
          <t>首饰盒1</t>
        </is>
      </c>
      <c r="G919" s="398" t="n">
        <v>22</v>
      </c>
      <c r="H919" s="398" t="n">
        <v>30</v>
      </c>
      <c r="I919" s="398" t="n">
        <v>6938</v>
      </c>
      <c r="J919" s="398" t="n">
        <v>0</v>
      </c>
      <c r="K919" s="398" t="n">
        <v>2</v>
      </c>
      <c r="L919" s="398" t="n">
        <v>1</v>
      </c>
      <c r="M919" s="398" t="n">
        <v>6938</v>
      </c>
      <c r="N919" s="398" t="n">
        <v>6938</v>
      </c>
      <c r="O919" s="398" t="n">
        <v>6938</v>
      </c>
      <c r="P919" s="292" t="n"/>
      <c r="Q919" s="292" t="inlineStr">
        <is>
          <t>candidate-preflight-passed</t>
        </is>
      </c>
      <c r="R919" s="292" t="str"/>
      <c r="S919" s="292" t="inlineStr">
        <is>
          <t>玄渊二十套全装备代码总表.xlsx</t>
        </is>
      </c>
      <c r="T919" s="292" t="inlineStr">
        <is>
          <t>玄渊20套全装备视觉候选；Items/StateItem/DnItems三库同码；属性待策划填写；OverLap=2; Expand1=1</t>
        </is>
      </c>
      <c r="U919">
        <f>IF(COUNTIF($B$2:$B$1076,B919)&gt;1,"重复","")</f>
        <v/>
      </c>
      <c r="V919">
        <f>IF(AND(OR(M919="",M919=B919),OR(N919="",N919=B919),OR(O919="",O919=B919)),"通过","不一致")</f>
        <v/>
      </c>
    </row>
    <row r="920" ht="22" customHeight="1">
      <c r="A920" s="398" t="n">
        <v>919</v>
      </c>
      <c r="B920" s="398" t="n">
        <v>6939</v>
      </c>
      <c r="C920" s="399" t="inlineStr">
        <is>
          <t>翠焰冥契·幽焰</t>
        </is>
      </c>
      <c r="D920" s="399" t="inlineStr">
        <is>
          <t>翠焰冥契</t>
        </is>
      </c>
      <c r="E920" s="399" t="n">
        <v>1</v>
      </c>
      <c r="F920" s="399" t="inlineStr">
        <is>
          <t>首饰盒2</t>
        </is>
      </c>
      <c r="G920" s="398" t="n">
        <v>22</v>
      </c>
      <c r="H920" s="398" t="n">
        <v>31</v>
      </c>
      <c r="I920" s="398" t="n">
        <v>6939</v>
      </c>
      <c r="J920" s="398" t="n">
        <v>0</v>
      </c>
      <c r="K920" s="398" t="n">
        <v>2</v>
      </c>
      <c r="L920" s="398" t="n">
        <v>2</v>
      </c>
      <c r="M920" s="398" t="n">
        <v>6939</v>
      </c>
      <c r="N920" s="398" t="n">
        <v>6939</v>
      </c>
      <c r="O920" s="398" t="n">
        <v>6939</v>
      </c>
      <c r="P920" s="292" t="n"/>
      <c r="Q920" s="292" t="inlineStr">
        <is>
          <t>candidate-preflight-passed</t>
        </is>
      </c>
      <c r="R920" s="292" t="str"/>
      <c r="S920" s="292" t="inlineStr">
        <is>
          <t>玄渊二十套全装备代码总表.xlsx</t>
        </is>
      </c>
      <c r="T920" s="292" t="inlineStr">
        <is>
          <t>玄渊20套全装备视觉候选；Items/StateItem/DnItems三库同码；属性待策划填写；OverLap=2; Expand1=2</t>
        </is>
      </c>
      <c r="U920">
        <f>IF(COUNTIF($B$2:$B$1076,B920)&gt;1,"重复","")</f>
        <v/>
      </c>
      <c r="V920">
        <f>IF(AND(OR(M920="",M920=B920),OR(N920="",N920=B920),OR(O920="",O920=B920)),"通过","不一致")</f>
        <v/>
      </c>
    </row>
    <row r="921" ht="22" customHeight="1">
      <c r="A921" s="398" t="n">
        <v>920</v>
      </c>
      <c r="B921" s="398" t="n">
        <v>6940</v>
      </c>
      <c r="C921" s="399" t="inlineStr">
        <is>
          <t>翠焰冥契·幽焰</t>
        </is>
      </c>
      <c r="D921" s="399" t="inlineStr">
        <is>
          <t>翠焰冥契</t>
        </is>
      </c>
      <c r="E921" s="399" t="n">
        <v>1</v>
      </c>
      <c r="F921" s="399" t="inlineStr">
        <is>
          <t>首饰盒3</t>
        </is>
      </c>
      <c r="G921" s="398" t="n">
        <v>22</v>
      </c>
      <c r="H921" s="398" t="n">
        <v>32</v>
      </c>
      <c r="I921" s="398" t="n">
        <v>6940</v>
      </c>
      <c r="J921" s="398" t="n">
        <v>0</v>
      </c>
      <c r="K921" s="398" t="n">
        <v>2</v>
      </c>
      <c r="L921" s="398" t="n">
        <v>3</v>
      </c>
      <c r="M921" s="398" t="n">
        <v>6940</v>
      </c>
      <c r="N921" s="398" t="n">
        <v>6940</v>
      </c>
      <c r="O921" s="398" t="n">
        <v>6940</v>
      </c>
      <c r="P921" s="292" t="n"/>
      <c r="Q921" s="292" t="inlineStr">
        <is>
          <t>candidate-preflight-passed</t>
        </is>
      </c>
      <c r="R921" s="292" t="str"/>
      <c r="S921" s="292" t="inlineStr">
        <is>
          <t>玄渊二十套全装备代码总表.xlsx</t>
        </is>
      </c>
      <c r="T921" s="292" t="inlineStr">
        <is>
          <t>玄渊20套全装备视觉候选；Items/StateItem/DnItems三库同码；属性待策划填写；OverLap=2; Expand1=3</t>
        </is>
      </c>
      <c r="U921">
        <f>IF(COUNTIF($B$2:$B$1076,B921)&gt;1,"重复","")</f>
        <v/>
      </c>
      <c r="V921">
        <f>IF(AND(OR(M921="",M921=B921),OR(N921="",N921=B921),OR(O921="",O921=B921)),"通过","不一致")</f>
        <v/>
      </c>
    </row>
    <row r="922" ht="22" customHeight="1">
      <c r="A922" s="398" t="n">
        <v>921</v>
      </c>
      <c r="B922" s="398" t="n">
        <v>6941</v>
      </c>
      <c r="C922" s="399" t="inlineStr">
        <is>
          <t>翠焰冥契·幽焰</t>
        </is>
      </c>
      <c r="D922" s="399" t="inlineStr">
        <is>
          <t>翠焰冥契</t>
        </is>
      </c>
      <c r="E922" s="399" t="n">
        <v>1</v>
      </c>
      <c r="F922" s="399" t="inlineStr">
        <is>
          <t>首饰盒4</t>
        </is>
      </c>
      <c r="G922" s="398" t="n">
        <v>22</v>
      </c>
      <c r="H922" s="398" t="n">
        <v>33</v>
      </c>
      <c r="I922" s="398" t="n">
        <v>6941</v>
      </c>
      <c r="J922" s="398" t="n">
        <v>0</v>
      </c>
      <c r="K922" s="398" t="n">
        <v>2</v>
      </c>
      <c r="L922" s="398" t="n">
        <v>4</v>
      </c>
      <c r="M922" s="398" t="n">
        <v>6941</v>
      </c>
      <c r="N922" s="398" t="n">
        <v>6941</v>
      </c>
      <c r="O922" s="398" t="n">
        <v>6941</v>
      </c>
      <c r="P922" s="292" t="n"/>
      <c r="Q922" s="292" t="inlineStr">
        <is>
          <t>candidate-preflight-passed</t>
        </is>
      </c>
      <c r="R922" s="292" t="str"/>
      <c r="S922" s="292" t="inlineStr">
        <is>
          <t>玄渊二十套全装备代码总表.xlsx</t>
        </is>
      </c>
      <c r="T922" s="292" t="inlineStr">
        <is>
          <t>玄渊20套全装备视觉候选；Items/StateItem/DnItems三库同码；属性待策划填写；OverLap=2; Expand1=4</t>
        </is>
      </c>
      <c r="U922">
        <f>IF(COUNTIF($B$2:$B$1076,B922)&gt;1,"重复","")</f>
        <v/>
      </c>
      <c r="V922">
        <f>IF(AND(OR(M922="",M922=B922),OR(N922="",N922=B922),OR(O922="",O922=B922)),"通过","不一致")</f>
        <v/>
      </c>
    </row>
    <row r="923" ht="22" customHeight="1">
      <c r="A923" s="398" t="n">
        <v>922</v>
      </c>
      <c r="B923" s="398" t="n">
        <v>6942</v>
      </c>
      <c r="C923" s="399" t="inlineStr">
        <is>
          <t>翠焰冥契·幽焰</t>
        </is>
      </c>
      <c r="D923" s="399" t="inlineStr">
        <is>
          <t>翠焰冥契</t>
        </is>
      </c>
      <c r="E923" s="399" t="n">
        <v>1</v>
      </c>
      <c r="F923" s="399" t="inlineStr">
        <is>
          <t>首饰盒5</t>
        </is>
      </c>
      <c r="G923" s="398" t="n">
        <v>22</v>
      </c>
      <c r="H923" s="398" t="n">
        <v>34</v>
      </c>
      <c r="I923" s="398" t="n">
        <v>6942</v>
      </c>
      <c r="J923" s="398" t="n">
        <v>0</v>
      </c>
      <c r="K923" s="398" t="n">
        <v>2</v>
      </c>
      <c r="L923" s="398" t="n">
        <v>5</v>
      </c>
      <c r="M923" s="398" t="n">
        <v>6942</v>
      </c>
      <c r="N923" s="398" t="n">
        <v>6942</v>
      </c>
      <c r="O923" s="398" t="n">
        <v>6942</v>
      </c>
      <c r="P923" s="292" t="n"/>
      <c r="Q923" s="292" t="inlineStr">
        <is>
          <t>candidate-preflight-passed</t>
        </is>
      </c>
      <c r="R923" s="292" t="str"/>
      <c r="S923" s="292" t="inlineStr">
        <is>
          <t>玄渊二十套全装备代码总表.xlsx</t>
        </is>
      </c>
      <c r="T923" s="292" t="inlineStr">
        <is>
          <t>玄渊20套全装备视觉候选；Items/StateItem/DnItems三库同码；属性待策划填写；OverLap=2; Expand1=5</t>
        </is>
      </c>
      <c r="U923">
        <f>IF(COUNTIF($B$2:$B$1076,B923)&gt;1,"重复","")</f>
        <v/>
      </c>
      <c r="V923">
        <f>IF(AND(OR(M923="",M923=B923),OR(N923="",N923=B923),OR(O923="",O923=B923)),"通过","不一致")</f>
        <v/>
      </c>
    </row>
    <row r="924" ht="22" customHeight="1">
      <c r="A924" s="398" t="n">
        <v>923</v>
      </c>
      <c r="B924" s="398" t="n">
        <v>6943</v>
      </c>
      <c r="C924" s="399" t="inlineStr">
        <is>
          <t>翠焰冥契·幽焰</t>
        </is>
      </c>
      <c r="D924" s="399" t="inlineStr">
        <is>
          <t>翠焰冥契</t>
        </is>
      </c>
      <c r="E924" s="399" t="n">
        <v>1</v>
      </c>
      <c r="F924" s="399" t="inlineStr">
        <is>
          <t>首饰盒6</t>
        </is>
      </c>
      <c r="G924" s="398" t="n">
        <v>22</v>
      </c>
      <c r="H924" s="398" t="n">
        <v>35</v>
      </c>
      <c r="I924" s="398" t="n">
        <v>6943</v>
      </c>
      <c r="J924" s="398" t="n">
        <v>0</v>
      </c>
      <c r="K924" s="398" t="n">
        <v>2</v>
      </c>
      <c r="L924" s="398" t="n">
        <v>6</v>
      </c>
      <c r="M924" s="398" t="n">
        <v>6943</v>
      </c>
      <c r="N924" s="398" t="n">
        <v>6943</v>
      </c>
      <c r="O924" s="398" t="n">
        <v>6943</v>
      </c>
      <c r="P924" s="292" t="n"/>
      <c r="Q924" s="292" t="inlineStr">
        <is>
          <t>candidate-preflight-passed</t>
        </is>
      </c>
      <c r="R924" s="292" t="str"/>
      <c r="S924" s="292" t="inlineStr">
        <is>
          <t>玄渊二十套全装备代码总表.xlsx</t>
        </is>
      </c>
      <c r="T924" s="292" t="inlineStr">
        <is>
          <t>玄渊20套全装备视觉候选；Items/StateItem/DnItems三库同码；属性待策划填写；OverLap=2; Expand1=6</t>
        </is>
      </c>
      <c r="U924">
        <f>IF(COUNTIF($B$2:$B$1076,B924)&gt;1,"重复","")</f>
        <v/>
      </c>
      <c r="V924">
        <f>IF(AND(OR(M924="",M924=B924),OR(N924="",N924=B924),OR(O924="",O924=B924)),"通过","不一致")</f>
        <v/>
      </c>
    </row>
    <row r="925" ht="22" customHeight="1">
      <c r="A925" s="398" t="n">
        <v>924</v>
      </c>
      <c r="B925" s="398" t="n">
        <v>6944</v>
      </c>
      <c r="C925" s="399" t="inlineStr">
        <is>
          <t>翠焰冥契·幽焰</t>
        </is>
      </c>
      <c r="D925" s="399" t="inlineStr">
        <is>
          <t>翠焰冥契</t>
        </is>
      </c>
      <c r="E925" s="399" t="n">
        <v>1</v>
      </c>
      <c r="F925" s="399" t="inlineStr">
        <is>
          <t>生肖1</t>
        </is>
      </c>
      <c r="G925" s="398" t="n">
        <v>22</v>
      </c>
      <c r="H925" s="398" t="n">
        <v>40</v>
      </c>
      <c r="I925" s="398" t="n">
        <v>6944</v>
      </c>
      <c r="J925" s="398" t="n">
        <v>0</v>
      </c>
      <c r="K925" s="398" t="n">
        <v>4</v>
      </c>
      <c r="L925" s="398" t="n">
        <v>1</v>
      </c>
      <c r="M925" s="398" t="n">
        <v>6944</v>
      </c>
      <c r="N925" s="398" t="n">
        <v>6944</v>
      </c>
      <c r="O925" s="398" t="n">
        <v>6944</v>
      </c>
      <c r="P925" s="292" t="n"/>
      <c r="Q925" s="292" t="inlineStr">
        <is>
          <t>candidate-preflight-passed</t>
        </is>
      </c>
      <c r="R925" s="292" t="str"/>
      <c r="S925" s="292" t="inlineStr">
        <is>
          <t>玄渊二十套全装备代码总表.xlsx</t>
        </is>
      </c>
      <c r="T925" s="292" t="inlineStr">
        <is>
          <t>玄渊20套全装备视觉候选；Items/StateItem/DnItems三库同码；属性待策划填写；OverLap=4; Expand1=1</t>
        </is>
      </c>
      <c r="U925">
        <f>IF(COUNTIF($B$2:$B$1076,B925)&gt;1,"重复","")</f>
        <v/>
      </c>
      <c r="V925">
        <f>IF(AND(OR(M925="",M925=B925),OR(N925="",N925=B925),OR(O925="",O925=B925)),"通过","不一致")</f>
        <v/>
      </c>
    </row>
    <row r="926" ht="22" customHeight="1">
      <c r="A926" s="398" t="n">
        <v>925</v>
      </c>
      <c r="B926" s="398" t="n">
        <v>6945</v>
      </c>
      <c r="C926" s="399" t="inlineStr">
        <is>
          <t>翠焰冥契·幽焰</t>
        </is>
      </c>
      <c r="D926" s="399" t="inlineStr">
        <is>
          <t>翠焰冥契</t>
        </is>
      </c>
      <c r="E926" s="399" t="n">
        <v>1</v>
      </c>
      <c r="F926" s="399" t="inlineStr">
        <is>
          <t>生肖2</t>
        </is>
      </c>
      <c r="G926" s="398" t="n">
        <v>22</v>
      </c>
      <c r="H926" s="398" t="n">
        <v>41</v>
      </c>
      <c r="I926" s="398" t="n">
        <v>6945</v>
      </c>
      <c r="J926" s="398" t="n">
        <v>0</v>
      </c>
      <c r="K926" s="398" t="n">
        <v>4</v>
      </c>
      <c r="L926" s="398" t="n">
        <v>2</v>
      </c>
      <c r="M926" s="398" t="n">
        <v>6945</v>
      </c>
      <c r="N926" s="398" t="n">
        <v>6945</v>
      </c>
      <c r="O926" s="398" t="n">
        <v>6945</v>
      </c>
      <c r="P926" s="292" t="n"/>
      <c r="Q926" s="292" t="inlineStr">
        <is>
          <t>candidate-preflight-passed</t>
        </is>
      </c>
      <c r="R926" s="292" t="str"/>
      <c r="S926" s="292" t="inlineStr">
        <is>
          <t>玄渊二十套全装备代码总表.xlsx</t>
        </is>
      </c>
      <c r="T926" s="292" t="inlineStr">
        <is>
          <t>玄渊20套全装备视觉候选；Items/StateItem/DnItems三库同码；属性待策划填写；OverLap=4; Expand1=2</t>
        </is>
      </c>
      <c r="U926">
        <f>IF(COUNTIF($B$2:$B$1076,B926)&gt;1,"重复","")</f>
        <v/>
      </c>
      <c r="V926">
        <f>IF(AND(OR(M926="",M926=B926),OR(N926="",N926=B926),OR(O926="",O926=B926)),"通过","不一致")</f>
        <v/>
      </c>
    </row>
    <row r="927" ht="22" customHeight="1">
      <c r="A927" s="398" t="n">
        <v>926</v>
      </c>
      <c r="B927" s="398" t="n">
        <v>6946</v>
      </c>
      <c r="C927" s="399" t="inlineStr">
        <is>
          <t>翠焰冥契·幽焰</t>
        </is>
      </c>
      <c r="D927" s="399" t="inlineStr">
        <is>
          <t>翠焰冥契</t>
        </is>
      </c>
      <c r="E927" s="399" t="n">
        <v>1</v>
      </c>
      <c r="F927" s="399" t="inlineStr">
        <is>
          <t>生肖3</t>
        </is>
      </c>
      <c r="G927" s="398" t="n">
        <v>22</v>
      </c>
      <c r="H927" s="398" t="n">
        <v>42</v>
      </c>
      <c r="I927" s="398" t="n">
        <v>6946</v>
      </c>
      <c r="J927" s="398" t="n">
        <v>0</v>
      </c>
      <c r="K927" s="398" t="n">
        <v>4</v>
      </c>
      <c r="L927" s="398" t="n">
        <v>3</v>
      </c>
      <c r="M927" s="398" t="n">
        <v>6946</v>
      </c>
      <c r="N927" s="398" t="n">
        <v>6946</v>
      </c>
      <c r="O927" s="398" t="n">
        <v>6946</v>
      </c>
      <c r="P927" s="292" t="n"/>
      <c r="Q927" s="292" t="inlineStr">
        <is>
          <t>candidate-preflight-passed</t>
        </is>
      </c>
      <c r="R927" s="292" t="str"/>
      <c r="S927" s="292" t="inlineStr">
        <is>
          <t>玄渊二十套全装备代码总表.xlsx</t>
        </is>
      </c>
      <c r="T927" s="292" t="inlineStr">
        <is>
          <t>玄渊20套全装备视觉候选；Items/StateItem/DnItems三库同码；属性待策划填写；OverLap=4; Expand1=3</t>
        </is>
      </c>
      <c r="U927">
        <f>IF(COUNTIF($B$2:$B$1076,B927)&gt;1,"重复","")</f>
        <v/>
      </c>
      <c r="V927">
        <f>IF(AND(OR(M927="",M927=B927),OR(N927="",N927=B927),OR(O927="",O927=B927)),"通过","不一致")</f>
        <v/>
      </c>
    </row>
    <row r="928" ht="22" customHeight="1">
      <c r="A928" s="398" t="n">
        <v>927</v>
      </c>
      <c r="B928" s="398" t="n">
        <v>6947</v>
      </c>
      <c r="C928" s="399" t="inlineStr">
        <is>
          <t>翠焰冥契·幽焰</t>
        </is>
      </c>
      <c r="D928" s="399" t="inlineStr">
        <is>
          <t>翠焰冥契</t>
        </is>
      </c>
      <c r="E928" s="399" t="n">
        <v>1</v>
      </c>
      <c r="F928" s="399" t="inlineStr">
        <is>
          <t>生肖4</t>
        </is>
      </c>
      <c r="G928" s="398" t="n">
        <v>22</v>
      </c>
      <c r="H928" s="398" t="n">
        <v>43</v>
      </c>
      <c r="I928" s="398" t="n">
        <v>6947</v>
      </c>
      <c r="J928" s="398" t="n">
        <v>0</v>
      </c>
      <c r="K928" s="398" t="n">
        <v>4</v>
      </c>
      <c r="L928" s="398" t="n">
        <v>4</v>
      </c>
      <c r="M928" s="398" t="n">
        <v>6947</v>
      </c>
      <c r="N928" s="398" t="n">
        <v>6947</v>
      </c>
      <c r="O928" s="398" t="n">
        <v>6947</v>
      </c>
      <c r="P928" s="292" t="n"/>
      <c r="Q928" s="292" t="inlineStr">
        <is>
          <t>candidate-preflight-passed</t>
        </is>
      </c>
      <c r="R928" s="292" t="str"/>
      <c r="S928" s="292" t="inlineStr">
        <is>
          <t>玄渊二十套全装备代码总表.xlsx</t>
        </is>
      </c>
      <c r="T928" s="292" t="inlineStr">
        <is>
          <t>玄渊20套全装备视觉候选；Items/StateItem/DnItems三库同码；属性待策划填写；OverLap=4; Expand1=4</t>
        </is>
      </c>
      <c r="U928">
        <f>IF(COUNTIF($B$2:$B$1076,B928)&gt;1,"重复","")</f>
        <v/>
      </c>
      <c r="V928">
        <f>IF(AND(OR(M928="",M928=B928),OR(N928="",N928=B928),OR(O928="",O928=B928)),"通过","不一致")</f>
        <v/>
      </c>
    </row>
    <row r="929" ht="22" customHeight="1">
      <c r="A929" s="398" t="n">
        <v>928</v>
      </c>
      <c r="B929" s="398" t="n">
        <v>6948</v>
      </c>
      <c r="C929" s="399" t="inlineStr">
        <is>
          <t>翠焰冥契·幽焰</t>
        </is>
      </c>
      <c r="D929" s="399" t="inlineStr">
        <is>
          <t>翠焰冥契</t>
        </is>
      </c>
      <c r="E929" s="399" t="n">
        <v>1</v>
      </c>
      <c r="F929" s="399" t="inlineStr">
        <is>
          <t>生肖5</t>
        </is>
      </c>
      <c r="G929" s="398" t="n">
        <v>22</v>
      </c>
      <c r="H929" s="398" t="n">
        <v>44</v>
      </c>
      <c r="I929" s="398" t="n">
        <v>6948</v>
      </c>
      <c r="J929" s="398" t="n">
        <v>0</v>
      </c>
      <c r="K929" s="398" t="n">
        <v>4</v>
      </c>
      <c r="L929" s="398" t="n">
        <v>5</v>
      </c>
      <c r="M929" s="398" t="n">
        <v>6948</v>
      </c>
      <c r="N929" s="398" t="n">
        <v>6948</v>
      </c>
      <c r="O929" s="398" t="n">
        <v>6948</v>
      </c>
      <c r="P929" s="292" t="n"/>
      <c r="Q929" s="292" t="inlineStr">
        <is>
          <t>candidate-preflight-passed</t>
        </is>
      </c>
      <c r="R929" s="292" t="str"/>
      <c r="S929" s="292" t="inlineStr">
        <is>
          <t>玄渊二十套全装备代码总表.xlsx</t>
        </is>
      </c>
      <c r="T929" s="292" t="inlineStr">
        <is>
          <t>玄渊20套全装备视觉候选；Items/StateItem/DnItems三库同码；属性待策划填写；OverLap=4; Expand1=5</t>
        </is>
      </c>
      <c r="U929">
        <f>IF(COUNTIF($B$2:$B$1076,B929)&gt;1,"重复","")</f>
        <v/>
      </c>
      <c r="V929">
        <f>IF(AND(OR(M929="",M929=B929),OR(N929="",N929=B929),OR(O929="",O929=B929)),"通过","不一致")</f>
        <v/>
      </c>
    </row>
    <row r="930" ht="22" customHeight="1">
      <c r="A930" s="398" t="n">
        <v>929</v>
      </c>
      <c r="B930" s="398" t="n">
        <v>6949</v>
      </c>
      <c r="C930" s="399" t="inlineStr">
        <is>
          <t>翠焰冥契·幽焰</t>
        </is>
      </c>
      <c r="D930" s="399" t="inlineStr">
        <is>
          <t>翠焰冥契</t>
        </is>
      </c>
      <c r="E930" s="399" t="n">
        <v>1</v>
      </c>
      <c r="F930" s="399" t="inlineStr">
        <is>
          <t>生肖6</t>
        </is>
      </c>
      <c r="G930" s="398" t="n">
        <v>22</v>
      </c>
      <c r="H930" s="398" t="n">
        <v>45</v>
      </c>
      <c r="I930" s="398" t="n">
        <v>6949</v>
      </c>
      <c r="J930" s="398" t="n">
        <v>0</v>
      </c>
      <c r="K930" s="398" t="n">
        <v>4</v>
      </c>
      <c r="L930" s="398" t="n">
        <v>6</v>
      </c>
      <c r="M930" s="398" t="n">
        <v>6949</v>
      </c>
      <c r="N930" s="398" t="n">
        <v>6949</v>
      </c>
      <c r="O930" s="398" t="n">
        <v>6949</v>
      </c>
      <c r="P930" s="292" t="n"/>
      <c r="Q930" s="292" t="inlineStr">
        <is>
          <t>candidate-preflight-passed</t>
        </is>
      </c>
      <c r="R930" s="292" t="str"/>
      <c r="S930" s="292" t="inlineStr">
        <is>
          <t>玄渊二十套全装备代码总表.xlsx</t>
        </is>
      </c>
      <c r="T930" s="292" t="inlineStr">
        <is>
          <t>玄渊20套全装备视觉候选；Items/StateItem/DnItems三库同码；属性待策划填写；OverLap=4; Expand1=6</t>
        </is>
      </c>
      <c r="U930">
        <f>IF(COUNTIF($B$2:$B$1076,B930)&gt;1,"重复","")</f>
        <v/>
      </c>
      <c r="V930">
        <f>IF(AND(OR(M930="",M930=B930),OR(N930="",N930=B930),OR(O930="",O930=B930)),"通过","不一致")</f>
        <v/>
      </c>
    </row>
    <row r="931" ht="22" customHeight="1">
      <c r="A931" s="398" t="n">
        <v>930</v>
      </c>
      <c r="B931" s="398" t="n">
        <v>6950</v>
      </c>
      <c r="C931" s="399" t="inlineStr">
        <is>
          <t>翠焰冥契·幽焰</t>
        </is>
      </c>
      <c r="D931" s="399" t="inlineStr">
        <is>
          <t>翠焰冥契</t>
        </is>
      </c>
      <c r="E931" s="399" t="n">
        <v>1</v>
      </c>
      <c r="F931" s="399" t="inlineStr">
        <is>
          <t>生肖7</t>
        </is>
      </c>
      <c r="G931" s="398" t="n">
        <v>22</v>
      </c>
      <c r="H931" s="398" t="n">
        <v>46</v>
      </c>
      <c r="I931" s="398" t="n">
        <v>6950</v>
      </c>
      <c r="J931" s="398" t="n">
        <v>0</v>
      </c>
      <c r="K931" s="398" t="n">
        <v>4</v>
      </c>
      <c r="L931" s="398" t="n">
        <v>7</v>
      </c>
      <c r="M931" s="398" t="n">
        <v>6950</v>
      </c>
      <c r="N931" s="398" t="n">
        <v>6950</v>
      </c>
      <c r="O931" s="398" t="n">
        <v>6950</v>
      </c>
      <c r="P931" s="292" t="n"/>
      <c r="Q931" s="292" t="inlineStr">
        <is>
          <t>candidate-preflight-passed</t>
        </is>
      </c>
      <c r="R931" s="292" t="str"/>
      <c r="S931" s="292" t="inlineStr">
        <is>
          <t>玄渊二十套全装备代码总表.xlsx</t>
        </is>
      </c>
      <c r="T931" s="292" t="inlineStr">
        <is>
          <t>玄渊20套全装备视觉候选；Items/StateItem/DnItems三库同码；属性待策划填写；OverLap=4; Expand1=7</t>
        </is>
      </c>
      <c r="U931">
        <f>IF(COUNTIF($B$2:$B$1076,B931)&gt;1,"重复","")</f>
        <v/>
      </c>
      <c r="V931">
        <f>IF(AND(OR(M931="",M931=B931),OR(N931="",N931=B931),OR(O931="",O931=B931)),"通过","不一致")</f>
        <v/>
      </c>
    </row>
    <row r="932" ht="22" customHeight="1">
      <c r="A932" s="398" t="n">
        <v>931</v>
      </c>
      <c r="B932" s="398" t="n">
        <v>6951</v>
      </c>
      <c r="C932" s="399" t="inlineStr">
        <is>
          <t>翠焰冥契·幽焰</t>
        </is>
      </c>
      <c r="D932" s="399" t="inlineStr">
        <is>
          <t>翠焰冥契</t>
        </is>
      </c>
      <c r="E932" s="399" t="n">
        <v>1</v>
      </c>
      <c r="F932" s="399" t="inlineStr">
        <is>
          <t>生肖8</t>
        </is>
      </c>
      <c r="G932" s="398" t="n">
        <v>22</v>
      </c>
      <c r="H932" s="398" t="n">
        <v>47</v>
      </c>
      <c r="I932" s="398" t="n">
        <v>6951</v>
      </c>
      <c r="J932" s="398" t="n">
        <v>0</v>
      </c>
      <c r="K932" s="398" t="n">
        <v>4</v>
      </c>
      <c r="L932" s="398" t="n">
        <v>8</v>
      </c>
      <c r="M932" s="398" t="n">
        <v>6951</v>
      </c>
      <c r="N932" s="398" t="n">
        <v>6951</v>
      </c>
      <c r="O932" s="398" t="n">
        <v>6951</v>
      </c>
      <c r="P932" s="292" t="n"/>
      <c r="Q932" s="292" t="inlineStr">
        <is>
          <t>candidate-preflight-passed</t>
        </is>
      </c>
      <c r="R932" s="292" t="str"/>
      <c r="S932" s="292" t="inlineStr">
        <is>
          <t>玄渊二十套全装备代码总表.xlsx</t>
        </is>
      </c>
      <c r="T932" s="292" t="inlineStr">
        <is>
          <t>玄渊20套全装备视觉候选；Items/StateItem/DnItems三库同码；属性待策划填写；OverLap=4; Expand1=8</t>
        </is>
      </c>
      <c r="U932">
        <f>IF(COUNTIF($B$2:$B$1076,B932)&gt;1,"重复","")</f>
        <v/>
      </c>
      <c r="V932">
        <f>IF(AND(OR(M932="",M932=B932),OR(N932="",N932=B932),OR(O932="",O932=B932)),"通过","不一致")</f>
        <v/>
      </c>
    </row>
    <row r="933" ht="22" customHeight="1">
      <c r="A933" s="398" t="n">
        <v>932</v>
      </c>
      <c r="B933" s="398" t="n">
        <v>6952</v>
      </c>
      <c r="C933" s="399" t="inlineStr">
        <is>
          <t>翠焰冥契·幽焰</t>
        </is>
      </c>
      <c r="D933" s="399" t="inlineStr">
        <is>
          <t>翠焰冥契</t>
        </is>
      </c>
      <c r="E933" s="399" t="n">
        <v>1</v>
      </c>
      <c r="F933" s="399" t="inlineStr">
        <is>
          <t>生肖9</t>
        </is>
      </c>
      <c r="G933" s="398" t="n">
        <v>22</v>
      </c>
      <c r="H933" s="398" t="n">
        <v>48</v>
      </c>
      <c r="I933" s="398" t="n">
        <v>6952</v>
      </c>
      <c r="J933" s="398" t="n">
        <v>0</v>
      </c>
      <c r="K933" s="398" t="n">
        <v>4</v>
      </c>
      <c r="L933" s="398" t="n">
        <v>9</v>
      </c>
      <c r="M933" s="398" t="n">
        <v>6952</v>
      </c>
      <c r="N933" s="398" t="n">
        <v>6952</v>
      </c>
      <c r="O933" s="398" t="n">
        <v>6952</v>
      </c>
      <c r="P933" s="292" t="n"/>
      <c r="Q933" s="292" t="inlineStr">
        <is>
          <t>candidate-preflight-passed</t>
        </is>
      </c>
      <c r="R933" s="292" t="str"/>
      <c r="S933" s="292" t="inlineStr">
        <is>
          <t>玄渊二十套全装备代码总表.xlsx</t>
        </is>
      </c>
      <c r="T933" s="292" t="inlineStr">
        <is>
          <t>玄渊20套全装备视觉候选；Items/StateItem/DnItems三库同码；属性待策划填写；OverLap=4; Expand1=9</t>
        </is>
      </c>
      <c r="U933">
        <f>IF(COUNTIF($B$2:$B$1076,B933)&gt;1,"重复","")</f>
        <v/>
      </c>
      <c r="V933">
        <f>IF(AND(OR(M933="",M933=B933),OR(N933="",N933=B933),OR(O933="",O933=B933)),"通过","不一致")</f>
        <v/>
      </c>
    </row>
    <row r="934" ht="22" customHeight="1">
      <c r="A934" s="398" t="n">
        <v>933</v>
      </c>
      <c r="B934" s="398" t="n">
        <v>6953</v>
      </c>
      <c r="C934" s="399" t="inlineStr">
        <is>
          <t>翠焰冥契·幽焰</t>
        </is>
      </c>
      <c r="D934" s="399" t="inlineStr">
        <is>
          <t>翠焰冥契</t>
        </is>
      </c>
      <c r="E934" s="399" t="n">
        <v>1</v>
      </c>
      <c r="F934" s="399" t="inlineStr">
        <is>
          <t>生肖10</t>
        </is>
      </c>
      <c r="G934" s="398" t="n">
        <v>22</v>
      </c>
      <c r="H934" s="398" t="n">
        <v>49</v>
      </c>
      <c r="I934" s="398" t="n">
        <v>6953</v>
      </c>
      <c r="J934" s="398" t="n">
        <v>0</v>
      </c>
      <c r="K934" s="398" t="n">
        <v>4</v>
      </c>
      <c r="L934" s="398" t="n">
        <v>10</v>
      </c>
      <c r="M934" s="398" t="n">
        <v>6953</v>
      </c>
      <c r="N934" s="398" t="n">
        <v>6953</v>
      </c>
      <c r="O934" s="398" t="n">
        <v>6953</v>
      </c>
      <c r="P934" s="292" t="n"/>
      <c r="Q934" s="292" t="inlineStr">
        <is>
          <t>candidate-preflight-passed</t>
        </is>
      </c>
      <c r="R934" s="292" t="str"/>
      <c r="S934" s="292" t="inlineStr">
        <is>
          <t>玄渊二十套全装备代码总表.xlsx</t>
        </is>
      </c>
      <c r="T934" s="292" t="inlineStr">
        <is>
          <t>玄渊20套全装备视觉候选；Items/StateItem/DnItems三库同码；属性待策划填写；OverLap=4; Expand1=10</t>
        </is>
      </c>
      <c r="U934">
        <f>IF(COUNTIF($B$2:$B$1076,B934)&gt;1,"重复","")</f>
        <v/>
      </c>
      <c r="V934">
        <f>IF(AND(OR(M934="",M934=B934),OR(N934="",N934=B934),OR(O934="",O934=B934)),"通过","不一致")</f>
        <v/>
      </c>
    </row>
    <row r="935" ht="22" customHeight="1">
      <c r="A935" s="398" t="n">
        <v>934</v>
      </c>
      <c r="B935" s="398" t="n">
        <v>6954</v>
      </c>
      <c r="C935" s="399" t="inlineStr">
        <is>
          <t>翠焰冥契·幽焰</t>
        </is>
      </c>
      <c r="D935" s="399" t="inlineStr">
        <is>
          <t>翠焰冥契</t>
        </is>
      </c>
      <c r="E935" s="399" t="n">
        <v>1</v>
      </c>
      <c r="F935" s="399" t="inlineStr">
        <is>
          <t>生肖11</t>
        </is>
      </c>
      <c r="G935" s="398" t="n">
        <v>22</v>
      </c>
      <c r="H935" s="398" t="n">
        <v>50</v>
      </c>
      <c r="I935" s="398" t="n">
        <v>6954</v>
      </c>
      <c r="J935" s="398" t="n">
        <v>0</v>
      </c>
      <c r="K935" s="398" t="n">
        <v>4</v>
      </c>
      <c r="L935" s="398" t="n">
        <v>11</v>
      </c>
      <c r="M935" s="398" t="n">
        <v>6954</v>
      </c>
      <c r="N935" s="398" t="n">
        <v>6954</v>
      </c>
      <c r="O935" s="398" t="n">
        <v>6954</v>
      </c>
      <c r="P935" s="292" t="n"/>
      <c r="Q935" s="292" t="inlineStr">
        <is>
          <t>candidate-preflight-passed</t>
        </is>
      </c>
      <c r="R935" s="292" t="str"/>
      <c r="S935" s="292" t="inlineStr">
        <is>
          <t>玄渊二十套全装备代码总表.xlsx</t>
        </is>
      </c>
      <c r="T935" s="292" t="inlineStr">
        <is>
          <t>玄渊20套全装备视觉候选；Items/StateItem/DnItems三库同码；属性待策划填写；OverLap=4; Expand1=11</t>
        </is>
      </c>
      <c r="U935">
        <f>IF(COUNTIF($B$2:$B$1076,B935)&gt;1,"重复","")</f>
        <v/>
      </c>
      <c r="V935">
        <f>IF(AND(OR(M935="",M935=B935),OR(N935="",N935=B935),OR(O935="",O935=B935)),"通过","不一致")</f>
        <v/>
      </c>
    </row>
    <row r="936" ht="22" customHeight="1">
      <c r="A936" s="398" t="n">
        <v>935</v>
      </c>
      <c r="B936" s="398" t="n">
        <v>6955</v>
      </c>
      <c r="C936" s="399" t="inlineStr">
        <is>
          <t>翠焰冥契·幽焰</t>
        </is>
      </c>
      <c r="D936" s="399" t="inlineStr">
        <is>
          <t>翠焰冥契</t>
        </is>
      </c>
      <c r="E936" s="399" t="n">
        <v>1</v>
      </c>
      <c r="F936" s="399" t="inlineStr">
        <is>
          <t>生肖12</t>
        </is>
      </c>
      <c r="G936" s="398" t="n">
        <v>22</v>
      </c>
      <c r="H936" s="398" t="n">
        <v>51</v>
      </c>
      <c r="I936" s="398" t="n">
        <v>6955</v>
      </c>
      <c r="J936" s="398" t="n">
        <v>0</v>
      </c>
      <c r="K936" s="398" t="n">
        <v>4</v>
      </c>
      <c r="L936" s="398" t="n">
        <v>12</v>
      </c>
      <c r="M936" s="398" t="n">
        <v>6955</v>
      </c>
      <c r="N936" s="398" t="n">
        <v>6955</v>
      </c>
      <c r="O936" s="398" t="n">
        <v>6955</v>
      </c>
      <c r="P936" s="292" t="n"/>
      <c r="Q936" s="292" t="inlineStr">
        <is>
          <t>candidate-preflight-passed</t>
        </is>
      </c>
      <c r="R936" s="292" t="str"/>
      <c r="S936" s="292" t="inlineStr">
        <is>
          <t>玄渊二十套全装备代码总表.xlsx</t>
        </is>
      </c>
      <c r="T936" s="292" t="inlineStr">
        <is>
          <t>玄渊20套全装备视觉候选；Items/StateItem/DnItems三库同码；属性待策划填写；OverLap=4; Expand1=12</t>
        </is>
      </c>
      <c r="U936">
        <f>IF(COUNTIF($B$2:$B$1076,B936)&gt;1,"重复","")</f>
        <v/>
      </c>
      <c r="V936">
        <f>IF(AND(OR(M936="",M936=B936),OR(N936="",N936=B936),OR(O936="",O936=B936)),"通过","不一致")</f>
        <v/>
      </c>
    </row>
    <row r="937" ht="22" customHeight="1">
      <c r="A937" s="398" t="n">
        <v>936</v>
      </c>
      <c r="B937" s="398" t="n">
        <v>6956</v>
      </c>
      <c r="C937" s="399" t="inlineStr">
        <is>
          <t>翠焰冥契·腐痕</t>
        </is>
      </c>
      <c r="D937" s="399" t="inlineStr">
        <is>
          <t>翠焰冥契</t>
        </is>
      </c>
      <c r="E937" s="399" t="n">
        <v>2</v>
      </c>
      <c r="F937" s="399" t="inlineStr">
        <is>
          <t>武器</t>
        </is>
      </c>
      <c r="G937" s="398" t="n">
        <v>5</v>
      </c>
      <c r="H937" s="398" t="n">
        <v>1</v>
      </c>
      <c r="I937" s="398" t="n">
        <v>6956</v>
      </c>
      <c r="J937" s="398" t="n">
        <v>32</v>
      </c>
      <c r="K937" s="398" t="n">
        <v>0</v>
      </c>
      <c r="L937" s="398" t="n">
        <v>0</v>
      </c>
      <c r="M937" s="398" t="n">
        <v>6956</v>
      </c>
      <c r="N937" s="398" t="n">
        <v>6956</v>
      </c>
      <c r="O937" s="398" t="n">
        <v>6956</v>
      </c>
      <c r="P937" s="292" t="inlineStr">
        <is>
          <t>Weapon.wzl/wzx（复用现有真实动作）</t>
        </is>
      </c>
      <c r="Q937" s="292" t="inlineStr">
        <is>
          <t>candidate-preflight-passed</t>
        </is>
      </c>
      <c r="R937" s="324" t="inlineStr">
        <is>
          <t>C3-C10规划锁定：拉塔恩碎星巨刃</t>
        </is>
      </c>
      <c r="S937" s="292" t="inlineStr">
        <is>
          <t>玄渊二十套全装备代码总表.xlsx</t>
        </is>
      </c>
      <c r="T937" s="292" t="inlineStr">
        <is>
          <t>玄渊20套全装备视觉候选；Items/StateItem/DnItems三库同码；属性待策划填写；Weapon Shape=32</t>
        </is>
      </c>
      <c r="U937">
        <f>IF(COUNTIF($B$2:$B$1076,B937)&gt;1,"重复","")</f>
        <v/>
      </c>
      <c r="V937">
        <f>IF(AND(OR(M937="",M937=B937),OR(N937="",N937=B937),OR(O937="",O937=B937)),"通过","不一致")</f>
        <v/>
      </c>
    </row>
    <row r="938" ht="22" customHeight="1">
      <c r="A938" s="398" t="n">
        <v>937</v>
      </c>
      <c r="B938" s="398" t="n">
        <v>6957</v>
      </c>
      <c r="C938" s="399" t="inlineStr">
        <is>
          <t>翠焰冥契·腐痕</t>
        </is>
      </c>
      <c r="D938" s="399" t="inlineStr">
        <is>
          <t>翠焰冥契</t>
        </is>
      </c>
      <c r="E938" s="399" t="n">
        <v>2</v>
      </c>
      <c r="F938" s="399" t="inlineStr">
        <is>
          <t>男衣服</t>
        </is>
      </c>
      <c r="G938" s="398" t="n">
        <v>10</v>
      </c>
      <c r="H938" s="398" t="n">
        <v>0</v>
      </c>
      <c r="I938" s="398" t="n">
        <v>6957</v>
      </c>
      <c r="J938" s="398" t="n">
        <v>1</v>
      </c>
      <c r="K938" s="398" t="n">
        <v>0</v>
      </c>
      <c r="L938" s="398" t="n">
        <v>0</v>
      </c>
      <c r="M938" s="398" t="n">
        <v>6957</v>
      </c>
      <c r="N938" s="398" t="n">
        <v>6957</v>
      </c>
      <c r="O938" s="398" t="n">
        <v>6957</v>
      </c>
      <c r="P938" s="292" t="inlineStr">
        <is>
          <t>Hum.wzl/wzx（复用现有真实动作）</t>
        </is>
      </c>
      <c r="Q938" s="292" t="inlineStr">
        <is>
          <t>candidate-preflight-passed</t>
        </is>
      </c>
      <c r="R938" s="324" t="inlineStr">
        <is>
          <t>C3-C10规划锁定：满月万卷法衣</t>
        </is>
      </c>
      <c r="S938" s="292" t="inlineStr">
        <is>
          <t>玄渊二十套全装备代码总表.xlsx</t>
        </is>
      </c>
      <c r="T938" s="292" t="inlineStr">
        <is>
          <t>玄渊20套全装备视觉候选；Items/StateItem/DnItems三库同码；属性待策划填写；Hum Shape=1</t>
        </is>
      </c>
      <c r="U938">
        <f>IF(COUNTIF($B$2:$B$1076,B938)&gt;1,"重复","")</f>
        <v/>
      </c>
      <c r="V938">
        <f>IF(AND(OR(M938="",M938=B938),OR(N938="",N938=B938),OR(O938="",O938=B938)),"通过","不一致")</f>
        <v/>
      </c>
    </row>
    <row r="939" ht="22" customHeight="1">
      <c r="A939" s="398" t="n">
        <v>938</v>
      </c>
      <c r="B939" s="398" t="n">
        <v>6958</v>
      </c>
      <c r="C939" s="399" t="inlineStr">
        <is>
          <t>翠焰冥契·腐痕</t>
        </is>
      </c>
      <c r="D939" s="399" t="inlineStr">
        <is>
          <t>翠焰冥契</t>
        </is>
      </c>
      <c r="E939" s="399" t="n">
        <v>2</v>
      </c>
      <c r="F939" s="399" t="inlineStr">
        <is>
          <t>女衣服</t>
        </is>
      </c>
      <c r="G939" s="398" t="n">
        <v>11</v>
      </c>
      <c r="H939" s="398" t="n">
        <v>0</v>
      </c>
      <c r="I939" s="398" t="n">
        <v>6958</v>
      </c>
      <c r="J939" s="398" t="n">
        <v>1</v>
      </c>
      <c r="K939" s="398" t="n">
        <v>0</v>
      </c>
      <c r="L939" s="398" t="n">
        <v>0</v>
      </c>
      <c r="M939" s="398" t="n">
        <v>6958</v>
      </c>
      <c r="N939" s="398" t="n">
        <v>6958</v>
      </c>
      <c r="O939" s="398" t="n">
        <v>6958</v>
      </c>
      <c r="P939" s="292" t="inlineStr">
        <is>
          <t>Hum.wzl/wzx（复用现有真实动作）</t>
        </is>
      </c>
      <c r="Q939" s="292" t="inlineStr">
        <is>
          <t>candidate-preflight-passed</t>
        </is>
      </c>
      <c r="R939" s="292" t="str"/>
      <c r="S939" s="292" t="inlineStr">
        <is>
          <t>玄渊二十套全装备代码总表.xlsx</t>
        </is>
      </c>
      <c r="T939" s="292" t="inlineStr">
        <is>
          <t>玄渊20套全装备视觉候选；Items/StateItem/DnItems三库同码；属性待策划填写；Hum Shape=1</t>
        </is>
      </c>
      <c r="U939">
        <f>IF(COUNTIF($B$2:$B$1076,B939)&gt;1,"重复","")</f>
        <v/>
      </c>
      <c r="V939">
        <f>IF(AND(OR(M939="",M939=B939),OR(N939="",N939=B939),OR(O939="",O939=B939)),"通过","不一致")</f>
        <v/>
      </c>
    </row>
    <row r="940" ht="22" customHeight="1">
      <c r="A940" s="398" t="n">
        <v>939</v>
      </c>
      <c r="B940" s="398" t="n">
        <v>6959</v>
      </c>
      <c r="C940" s="399" t="inlineStr">
        <is>
          <t>翠焰冥契·腐痕</t>
        </is>
      </c>
      <c r="D940" s="399" t="inlineStr">
        <is>
          <t>翠焰冥契</t>
        </is>
      </c>
      <c r="E940" s="399" t="n">
        <v>2</v>
      </c>
      <c r="F940" s="399" t="inlineStr">
        <is>
          <t>头盔</t>
        </is>
      </c>
      <c r="G940" s="398" t="n">
        <v>15</v>
      </c>
      <c r="H940" s="398" t="n">
        <v>4</v>
      </c>
      <c r="I940" s="398" t="n">
        <v>6959</v>
      </c>
      <c r="J940" s="398" t="n">
        <v>0</v>
      </c>
      <c r="K940" s="398" t="n">
        <v>0</v>
      </c>
      <c r="L940" s="398" t="n">
        <v>0</v>
      </c>
      <c r="M940" s="398" t="n">
        <v>6959</v>
      </c>
      <c r="N940" s="398" t="n">
        <v>6959</v>
      </c>
      <c r="O940" s="398" t="n">
        <v>6959</v>
      </c>
      <c r="P940" s="292" t="n"/>
      <c r="Q940" s="292" t="inlineStr">
        <is>
          <t>candidate-preflight-passed</t>
        </is>
      </c>
      <c r="R940" s="324" t="inlineStr">
        <is>
          <t>C3-C10规划锁定：棱光术冠</t>
        </is>
      </c>
      <c r="S940" s="292" t="inlineStr">
        <is>
          <t>玄渊二十套全装备代码总表.xlsx</t>
        </is>
      </c>
      <c r="T940" s="292" t="inlineStr">
        <is>
          <t>玄渊20套全装备视觉候选；Items/StateItem/DnItems三库同码；属性待策划填写</t>
        </is>
      </c>
      <c r="U940">
        <f>IF(COUNTIF($B$2:$B$1076,B940)&gt;1,"重复","")</f>
        <v/>
      </c>
      <c r="V940">
        <f>IF(AND(OR(M940="",M940=B940),OR(N940="",N940=B940),OR(O940="",O940=B940)),"通过","不一致")</f>
        <v/>
      </c>
    </row>
    <row r="941" ht="22" customHeight="1">
      <c r="A941" s="398" t="n">
        <v>940</v>
      </c>
      <c r="B941" s="398" t="n">
        <v>6960</v>
      </c>
      <c r="C941" s="399" t="inlineStr">
        <is>
          <t>翠焰冥契·腐痕</t>
        </is>
      </c>
      <c r="D941" s="399" t="inlineStr">
        <is>
          <t>翠焰冥契</t>
        </is>
      </c>
      <c r="E941" s="399" t="n">
        <v>2</v>
      </c>
      <c r="F941" s="399" t="inlineStr">
        <is>
          <t>面巾</t>
        </is>
      </c>
      <c r="G941" s="398" t="n">
        <v>16</v>
      </c>
      <c r="H941" s="398" t="n">
        <v>13</v>
      </c>
      <c r="I941" s="398" t="n">
        <v>6960</v>
      </c>
      <c r="J941" s="398" t="n">
        <v>0</v>
      </c>
      <c r="K941" s="398" t="n">
        <v>0</v>
      </c>
      <c r="L941" s="398" t="n">
        <v>0</v>
      </c>
      <c r="M941" s="398" t="n">
        <v>6960</v>
      </c>
      <c r="N941" s="398" t="n">
        <v>6960</v>
      </c>
      <c r="O941" s="398" t="n">
        <v>6960</v>
      </c>
      <c r="P941" s="292" t="n"/>
      <c r="Q941" s="292" t="inlineStr">
        <is>
          <t>candidate-preflight-passed</t>
        </is>
      </c>
      <c r="R941" s="324" t="inlineStr">
        <is>
          <t>C3-C10规划锁定：百喉闭音斗笠</t>
        </is>
      </c>
      <c r="S941" s="292" t="inlineStr">
        <is>
          <t>玄渊二十套全装备代码总表.xlsx</t>
        </is>
      </c>
      <c r="T941" s="292" t="inlineStr">
        <is>
          <t>玄渊20套全装备视觉候选；Items/StateItem/DnItems三库同码；属性待策划填写</t>
        </is>
      </c>
      <c r="U941">
        <f>IF(COUNTIF($B$2:$B$1076,B941)&gt;1,"重复","")</f>
        <v/>
      </c>
      <c r="V941">
        <f>IF(AND(OR(M941="",M941=B941),OR(N941="",N941=B941),OR(O941="",O941=B941)),"通过","不一致")</f>
        <v/>
      </c>
    </row>
    <row r="942" ht="22" customHeight="1">
      <c r="A942" s="398" t="n">
        <v>941</v>
      </c>
      <c r="B942" s="398" t="n">
        <v>6961</v>
      </c>
      <c r="C942" s="399" t="inlineStr">
        <is>
          <t>翠焰冥契·腐痕</t>
        </is>
      </c>
      <c r="D942" s="399" t="inlineStr">
        <is>
          <t>翠焰冥契</t>
        </is>
      </c>
      <c r="E942" s="399" t="n">
        <v>2</v>
      </c>
      <c r="F942" s="399" t="inlineStr">
        <is>
          <t>项链</t>
        </is>
      </c>
      <c r="G942" s="398" t="n">
        <v>19</v>
      </c>
      <c r="H942" s="398" t="n">
        <v>3</v>
      </c>
      <c r="I942" s="398" t="n">
        <v>6961</v>
      </c>
      <c r="J942" s="398" t="n">
        <v>0</v>
      </c>
      <c r="K942" s="398" t="n">
        <v>0</v>
      </c>
      <c r="L942" s="398" t="n">
        <v>0</v>
      </c>
      <c r="M942" s="398" t="n">
        <v>6961</v>
      </c>
      <c r="N942" s="398" t="n">
        <v>6961</v>
      </c>
      <c r="O942" s="398" t="n">
        <v>6961</v>
      </c>
      <c r="P942" s="292" t="n"/>
      <c r="Q942" s="292" t="inlineStr">
        <is>
          <t>candidate-preflight-passed</t>
        </is>
      </c>
      <c r="R942" s="324" t="inlineStr">
        <is>
          <t>C3-C10规划锁定：折光翅晶链</t>
        </is>
      </c>
      <c r="S942" s="292" t="inlineStr">
        <is>
          <t>玄渊二十套全装备代码总表.xlsx</t>
        </is>
      </c>
      <c r="T942" s="292" t="inlineStr">
        <is>
          <t>玄渊20套全装备视觉候选；Items/StateItem/DnItems三库同码；属性待策划填写</t>
        </is>
      </c>
      <c r="U942">
        <f>IF(COUNTIF($B$2:$B$1076,B942)&gt;1,"重复","")</f>
        <v/>
      </c>
      <c r="V942">
        <f>IF(AND(OR(M942="",M942=B942),OR(N942="",N942=B942),OR(O942="",O942=B942)),"通过","不一致")</f>
        <v/>
      </c>
    </row>
    <row r="943" ht="22" customHeight="1">
      <c r="A943" s="398" t="n">
        <v>942</v>
      </c>
      <c r="B943" s="398" t="n">
        <v>6962</v>
      </c>
      <c r="C943" s="399" t="inlineStr">
        <is>
          <t>翠焰冥契·腐痕</t>
        </is>
      </c>
      <c r="D943" s="399" t="inlineStr">
        <is>
          <t>翠焰冥契</t>
        </is>
      </c>
      <c r="E943" s="399" t="n">
        <v>2</v>
      </c>
      <c r="F943" s="399" t="inlineStr">
        <is>
          <t>手镯</t>
        </is>
      </c>
      <c r="G943" s="398" t="n">
        <v>26</v>
      </c>
      <c r="H943" s="398" t="n">
        <v>5</v>
      </c>
      <c r="I943" s="398" t="n">
        <v>6962</v>
      </c>
      <c r="J943" s="398" t="n">
        <v>0</v>
      </c>
      <c r="K943" s="398" t="n">
        <v>0</v>
      </c>
      <c r="L943" s="398" t="n">
        <v>0</v>
      </c>
      <c r="M943" s="398" t="n">
        <v>6962</v>
      </c>
      <c r="N943" s="398" t="n">
        <v>6962</v>
      </c>
      <c r="O943" s="398" t="n">
        <v>6962</v>
      </c>
      <c r="P943" s="292" t="n"/>
      <c r="Q943" s="292" t="inlineStr">
        <is>
          <t>candidate-preflight-passed</t>
        </is>
      </c>
      <c r="R943" s="324" t="inlineStr">
        <is>
          <t>C3-C10规划锁定：试术银规镯</t>
        </is>
      </c>
      <c r="S943" s="292" t="inlineStr">
        <is>
          <t>玄渊二十套全装备代码总表.xlsx</t>
        </is>
      </c>
      <c r="T943" s="292" t="inlineStr">
        <is>
          <t>玄渊20套全装备视觉候选；Items/StateItem/DnItems三库同码；属性待策划填写</t>
        </is>
      </c>
      <c r="U943">
        <f>IF(COUNTIF($B$2:$B$1076,B943)&gt;1,"重复","")</f>
        <v/>
      </c>
      <c r="V943">
        <f>IF(AND(OR(M943="",M943=B943),OR(N943="",N943=B943),OR(O943="",O943=B943)),"通过","不一致")</f>
        <v/>
      </c>
    </row>
    <row r="944" ht="22" customHeight="1">
      <c r="A944" s="398" t="n">
        <v>943</v>
      </c>
      <c r="B944" s="398" t="n">
        <v>6963</v>
      </c>
      <c r="C944" s="399" t="inlineStr">
        <is>
          <t>翠焰冥契·腐痕</t>
        </is>
      </c>
      <c r="D944" s="399" t="inlineStr">
        <is>
          <t>翠焰冥契</t>
        </is>
      </c>
      <c r="E944" s="399" t="n">
        <v>2</v>
      </c>
      <c r="F944" s="399" t="inlineStr">
        <is>
          <t>戒指</t>
        </is>
      </c>
      <c r="G944" s="398" t="n">
        <v>22</v>
      </c>
      <c r="H944" s="398" t="n">
        <v>7</v>
      </c>
      <c r="I944" s="398" t="n">
        <v>6963</v>
      </c>
      <c r="J944" s="398" t="n">
        <v>0</v>
      </c>
      <c r="K944" s="398" t="n">
        <v>0</v>
      </c>
      <c r="L944" s="398" t="n">
        <v>0</v>
      </c>
      <c r="M944" s="398" t="n">
        <v>6963</v>
      </c>
      <c r="N944" s="398" t="n">
        <v>6963</v>
      </c>
      <c r="O944" s="398" t="n">
        <v>6963</v>
      </c>
      <c r="P944" s="292" t="n"/>
      <c r="Q944" s="292" t="inlineStr">
        <is>
          <t>candidate-preflight-passed</t>
        </is>
      </c>
      <c r="R944" s="324" t="inlineStr">
        <is>
          <t>C3-C10规划锁定：青曜噬光戒</t>
        </is>
      </c>
      <c r="S944" s="292" t="inlineStr">
        <is>
          <t>玄渊二十套全装备代码总表.xlsx</t>
        </is>
      </c>
      <c r="T944" s="292" t="inlineStr">
        <is>
          <t>玄渊20套全装备视觉候选；Items/StateItem/DnItems三库同码；属性待策划填写</t>
        </is>
      </c>
      <c r="U944">
        <f>IF(COUNTIF($B$2:$B$1076,B944)&gt;1,"重复","")</f>
        <v/>
      </c>
      <c r="V944">
        <f>IF(AND(OR(M944="",M944=B944),OR(N944="",N944=B944),OR(O944="",O944=B944)),"通过","不一致")</f>
        <v/>
      </c>
    </row>
    <row r="945" ht="22" customHeight="1">
      <c r="A945" s="398" t="n">
        <v>944</v>
      </c>
      <c r="B945" s="398" t="n">
        <v>6964</v>
      </c>
      <c r="C945" s="399" t="inlineStr">
        <is>
          <t>翠焰冥契·腐痕</t>
        </is>
      </c>
      <c r="D945" s="399" t="inlineStr">
        <is>
          <t>翠焰冥契</t>
        </is>
      </c>
      <c r="E945" s="399" t="n">
        <v>2</v>
      </c>
      <c r="F945" s="399" t="inlineStr">
        <is>
          <t>勋章</t>
        </is>
      </c>
      <c r="G945" s="398" t="n">
        <v>30</v>
      </c>
      <c r="H945" s="398" t="n">
        <v>2</v>
      </c>
      <c r="I945" s="398" t="n">
        <v>6964</v>
      </c>
      <c r="J945" s="398" t="n">
        <v>0</v>
      </c>
      <c r="K945" s="398" t="n">
        <v>0</v>
      </c>
      <c r="L945" s="398" t="n">
        <v>0</v>
      </c>
      <c r="M945" s="398" t="n">
        <v>6964</v>
      </c>
      <c r="N945" s="398" t="n">
        <v>6964</v>
      </c>
      <c r="O945" s="398" t="n">
        <v>6964</v>
      </c>
      <c r="P945" s="292" t="n"/>
      <c r="Q945" s="292" t="inlineStr">
        <is>
          <t>candidate-preflight-passed</t>
        </is>
      </c>
      <c r="R945" s="324" t="inlineStr">
        <is>
          <t>C3-C10规划锁定：血祭徽章</t>
        </is>
      </c>
      <c r="S945" s="292" t="inlineStr">
        <is>
          <t>玄渊二十套全装备代码总表.xlsx</t>
        </is>
      </c>
      <c r="T945" s="292" t="inlineStr">
        <is>
          <t>玄渊20套全装备视觉候选；Items/StateItem/DnItems三库同码；属性待策划填写</t>
        </is>
      </c>
      <c r="U945">
        <f>IF(COUNTIF($B$2:$B$1076,B945)&gt;1,"重复","")</f>
        <v/>
      </c>
      <c r="V945">
        <f>IF(AND(OR(M945="",M945=B945),OR(N945="",N945=B945),OR(O945="",O945=B945)),"通过","不一致")</f>
        <v/>
      </c>
    </row>
    <row r="946" ht="22" customHeight="1">
      <c r="A946" s="398" t="n">
        <v>945</v>
      </c>
      <c r="B946" s="398" t="n">
        <v>6965</v>
      </c>
      <c r="C946" s="399" t="inlineStr">
        <is>
          <t>翠焰冥契·腐痕</t>
        </is>
      </c>
      <c r="D946" s="399" t="inlineStr">
        <is>
          <t>翠焰冥契</t>
        </is>
      </c>
      <c r="E946" s="399" t="n">
        <v>2</v>
      </c>
      <c r="F946" s="399" t="inlineStr">
        <is>
          <t>盾牌</t>
        </is>
      </c>
      <c r="G946" s="398" t="n">
        <v>12</v>
      </c>
      <c r="H946" s="398" t="n">
        <v>16</v>
      </c>
      <c r="I946" s="398" t="n">
        <v>6965</v>
      </c>
      <c r="J946" s="398" t="n">
        <v>0</v>
      </c>
      <c r="K946" s="398" t="n">
        <v>0</v>
      </c>
      <c r="L946" s="398" t="n">
        <v>0</v>
      </c>
      <c r="M946" s="398" t="n">
        <v>6965</v>
      </c>
      <c r="N946" s="398" t="n">
        <v>6965</v>
      </c>
      <c r="O946" s="398" t="n">
        <v>6965</v>
      </c>
      <c r="P946" s="292" t="n"/>
      <c r="Q946" s="292" t="inlineStr">
        <is>
          <t>candidate-preflight-passed</t>
        </is>
      </c>
      <c r="R946" s="324" t="inlineStr">
        <is>
          <t>C3-C10规划锁定：涡纹螺壳盾</t>
        </is>
      </c>
      <c r="S946" s="292" t="inlineStr">
        <is>
          <t>玄渊二十套全装备代码总表.xlsx</t>
        </is>
      </c>
      <c r="T946" s="292" t="inlineStr">
        <is>
          <t>玄渊20套全装备视觉候选；Items/StateItem/DnItems三库同码；属性待策划填写</t>
        </is>
      </c>
      <c r="U946">
        <f>IF(COUNTIF($B$2:$B$1076,B946)&gt;1,"重复","")</f>
        <v/>
      </c>
      <c r="V946">
        <f>IF(AND(OR(M946="",M946=B946),OR(N946="",N946=B946),OR(O946="",O946=B946)),"通过","不一致")</f>
        <v/>
      </c>
    </row>
    <row r="947" ht="22" customHeight="1">
      <c r="A947" s="398" t="n">
        <v>946</v>
      </c>
      <c r="B947" s="398" t="n">
        <v>6966</v>
      </c>
      <c r="C947" s="399" t="inlineStr">
        <is>
          <t>翠焰冥契·腐痕</t>
        </is>
      </c>
      <c r="D947" s="399" t="inlineStr">
        <is>
          <t>翠焰冥契</t>
        </is>
      </c>
      <c r="E947" s="399" t="n">
        <v>2</v>
      </c>
      <c r="F947" s="399" t="inlineStr">
        <is>
          <t>灵玉</t>
        </is>
      </c>
      <c r="G947" s="398" t="n">
        <v>90</v>
      </c>
      <c r="H947" s="398" t="n">
        <v>17</v>
      </c>
      <c r="I947" s="398" t="n">
        <v>6966</v>
      </c>
      <c r="J947" s="398" t="n">
        <v>0</v>
      </c>
      <c r="K947" s="398" t="n">
        <v>0</v>
      </c>
      <c r="L947" s="398" t="n">
        <v>0</v>
      </c>
      <c r="M947" s="398" t="n">
        <v>6966</v>
      </c>
      <c r="N947" s="398" t="n">
        <v>6966</v>
      </c>
      <c r="O947" s="398" t="n">
        <v>6966</v>
      </c>
      <c r="P947" s="292" t="n"/>
      <c r="Q947" s="292" t="inlineStr">
        <is>
          <t>candidate-preflight-passed</t>
        </is>
      </c>
      <c r="R947" s="292" t="str"/>
      <c r="S947" s="292" t="inlineStr">
        <is>
          <t>玄渊二十套全装备代码总表.xlsx</t>
        </is>
      </c>
      <c r="T947" s="292" t="inlineStr">
        <is>
          <t>玄渊20套全装备视觉候选；Items/StateItem/DnItems三库同码；属性待策划填写</t>
        </is>
      </c>
      <c r="U947">
        <f>IF(COUNTIF($B$2:$B$1076,B947)&gt;1,"重复","")</f>
        <v/>
      </c>
      <c r="V947">
        <f>IF(AND(OR(M947="",M947=B947),OR(N947="",N947=B947),OR(O947="",O947=B947)),"通过","不一致")</f>
        <v/>
      </c>
    </row>
    <row r="948" ht="22" customHeight="1">
      <c r="A948" s="398" t="n">
        <v>947</v>
      </c>
      <c r="B948" s="398" t="n">
        <v>6967</v>
      </c>
      <c r="C948" s="399" t="inlineStr">
        <is>
          <t>翠焰冥契·腐痕</t>
        </is>
      </c>
      <c r="D948" s="399" t="inlineStr">
        <is>
          <t>翠焰冥契</t>
        </is>
      </c>
      <c r="E948" s="399" t="n">
        <v>2</v>
      </c>
      <c r="F948" s="399" t="inlineStr">
        <is>
          <t>鞋子</t>
        </is>
      </c>
      <c r="G948" s="398" t="n">
        <v>62</v>
      </c>
      <c r="H948" s="398" t="n">
        <v>11</v>
      </c>
      <c r="I948" s="398" t="n">
        <v>6967</v>
      </c>
      <c r="J948" s="398" t="n">
        <v>0</v>
      </c>
      <c r="K948" s="398" t="n">
        <v>0</v>
      </c>
      <c r="L948" s="398" t="n">
        <v>0</v>
      </c>
      <c r="M948" s="398" t="n">
        <v>6967</v>
      </c>
      <c r="N948" s="398" t="n">
        <v>6967</v>
      </c>
      <c r="O948" s="398" t="n">
        <v>6967</v>
      </c>
      <c r="P948" s="292" t="n"/>
      <c r="Q948" s="292" t="inlineStr">
        <is>
          <t>candidate-preflight-passed</t>
        </is>
      </c>
      <c r="R948" s="324" t="inlineStr">
        <is>
          <t>C3-C10规划锁定：月尘理卷履</t>
        </is>
      </c>
      <c r="S948" s="292" t="inlineStr">
        <is>
          <t>玄渊二十套全装备代码总表.xlsx</t>
        </is>
      </c>
      <c r="T948" s="292" t="inlineStr">
        <is>
          <t>玄渊20套全装备视觉候选；Items/StateItem/DnItems三库同码；属性待策划填写</t>
        </is>
      </c>
      <c r="U948">
        <f>IF(COUNTIF($B$2:$B$1076,B948)&gt;1,"重复","")</f>
        <v/>
      </c>
      <c r="V948">
        <f>IF(AND(OR(M948="",M948=B948),OR(N948="",N948=B948),OR(O948="",O948=B948)),"通过","不一致")</f>
        <v/>
      </c>
    </row>
    <row r="949" ht="22" customHeight="1">
      <c r="A949" s="398" t="n">
        <v>948</v>
      </c>
      <c r="B949" s="398" t="n">
        <v>6968</v>
      </c>
      <c r="C949" s="399" t="inlineStr">
        <is>
          <t>翠焰冥契·腐痕</t>
        </is>
      </c>
      <c r="D949" s="399" t="inlineStr">
        <is>
          <t>翠焰冥契</t>
        </is>
      </c>
      <c r="E949" s="399" t="n">
        <v>2</v>
      </c>
      <c r="F949" s="399" t="inlineStr">
        <is>
          <t>腰带</t>
        </is>
      </c>
      <c r="G949" s="398" t="n">
        <v>64</v>
      </c>
      <c r="H949" s="398" t="n">
        <v>10</v>
      </c>
      <c r="I949" s="398" t="n">
        <v>6968</v>
      </c>
      <c r="J949" s="398" t="n">
        <v>0</v>
      </c>
      <c r="K949" s="398" t="n">
        <v>0</v>
      </c>
      <c r="L949" s="398" t="n">
        <v>0</v>
      </c>
      <c r="M949" s="398" t="n">
        <v>6968</v>
      </c>
      <c r="N949" s="398" t="n">
        <v>6968</v>
      </c>
      <c r="O949" s="398" t="n">
        <v>6968</v>
      </c>
      <c r="P949" s="292" t="n"/>
      <c r="Q949" s="292" t="inlineStr">
        <is>
          <t>candidate-preflight-passed</t>
        </is>
      </c>
      <c r="R949" s="324" t="inlineStr">
        <is>
          <t>C3-C10规划锁定：月契封印带</t>
        </is>
      </c>
      <c r="S949" s="292" t="inlineStr">
        <is>
          <t>玄渊二十套全装备代码总表.xlsx</t>
        </is>
      </c>
      <c r="T949" s="292" t="inlineStr">
        <is>
          <t>玄渊20套全装备视觉候选；Items/StateItem/DnItems三库同码；属性待策划填写</t>
        </is>
      </c>
      <c r="U949">
        <f>IF(COUNTIF($B$2:$B$1076,B949)&gt;1,"重复","")</f>
        <v/>
      </c>
      <c r="V949">
        <f>IF(AND(OR(M949="",M949=B949),OR(N949="",N949=B949),OR(O949="",O949=B949)),"通过","不一致")</f>
        <v/>
      </c>
    </row>
    <row r="950" ht="22" customHeight="1">
      <c r="A950" s="398" t="n">
        <v>949</v>
      </c>
      <c r="B950" s="398" t="n">
        <v>6969</v>
      </c>
      <c r="C950" s="399" t="inlineStr">
        <is>
          <t>翠焰冥契·腐痕</t>
        </is>
      </c>
      <c r="D950" s="399" t="inlineStr">
        <is>
          <t>翠焰冥契</t>
        </is>
      </c>
      <c r="E950" s="399" t="n">
        <v>2</v>
      </c>
      <c r="F950" s="399" t="inlineStr">
        <is>
          <t>护身符</t>
        </is>
      </c>
      <c r="G950" s="398" t="n">
        <v>25</v>
      </c>
      <c r="H950" s="398" t="n">
        <v>9</v>
      </c>
      <c r="I950" s="398" t="n">
        <v>6969</v>
      </c>
      <c r="J950" s="398" t="n">
        <v>0</v>
      </c>
      <c r="K950" s="398" t="n">
        <v>0</v>
      </c>
      <c r="L950" s="398" t="n">
        <v>0</v>
      </c>
      <c r="M950" s="398" t="n">
        <v>6969</v>
      </c>
      <c r="N950" s="398" t="n">
        <v>6969</v>
      </c>
      <c r="O950" s="398" t="n">
        <v>6969</v>
      </c>
      <c r="P950" s="292" t="n"/>
      <c r="Q950" s="292" t="inlineStr">
        <is>
          <t>candidate-preflight-passed</t>
        </is>
      </c>
      <c r="R950" s="292" t="str"/>
      <c r="S950" s="292" t="inlineStr">
        <is>
          <t>玄渊二十套全装备代码总表.xlsx</t>
        </is>
      </c>
      <c r="T950" s="292" t="inlineStr">
        <is>
          <t>玄渊20套全装备视觉候选；Items/StateItem/DnItems三库同码；属性待策划填写</t>
        </is>
      </c>
      <c r="U950">
        <f>IF(COUNTIF($B$2:$B$1076,B950)&gt;1,"重复","")</f>
        <v/>
      </c>
      <c r="V950">
        <f>IF(AND(OR(M950="",M950=B950),OR(N950="",N950=B950),OR(O950="",O950=B950)),"通过","不一致")</f>
        <v/>
      </c>
    </row>
    <row r="951" ht="22" customHeight="1">
      <c r="A951" s="398" t="n">
        <v>950</v>
      </c>
      <c r="B951" s="398" t="n">
        <v>6970</v>
      </c>
      <c r="C951" s="399" t="inlineStr">
        <is>
          <t>翠焰冥契·腐痕</t>
        </is>
      </c>
      <c r="D951" s="399" t="inlineStr">
        <is>
          <t>翠焰冥契</t>
        </is>
      </c>
      <c r="E951" s="399" t="n">
        <v>2</v>
      </c>
      <c r="F951" s="399" t="inlineStr">
        <is>
          <t>宝石</t>
        </is>
      </c>
      <c r="G951" s="398" t="n">
        <v>63</v>
      </c>
      <c r="H951" s="398" t="n">
        <v>12</v>
      </c>
      <c r="I951" s="398" t="n">
        <v>6970</v>
      </c>
      <c r="J951" s="398" t="n">
        <v>0</v>
      </c>
      <c r="K951" s="398" t="n">
        <v>0</v>
      </c>
      <c r="L951" s="398" t="n">
        <v>0</v>
      </c>
      <c r="M951" s="398" t="n">
        <v>6970</v>
      </c>
      <c r="N951" s="398" t="n">
        <v>6970</v>
      </c>
      <c r="O951" s="398" t="n">
        <v>6970</v>
      </c>
      <c r="P951" s="292" t="n"/>
      <c r="Q951" s="292" t="inlineStr">
        <is>
          <t>candidate-preflight-passed</t>
        </is>
      </c>
      <c r="R951" s="292" t="str"/>
      <c r="S951" s="292" t="inlineStr">
        <is>
          <t>玄渊二十套全装备代码总表.xlsx</t>
        </is>
      </c>
      <c r="T951" s="292" t="inlineStr">
        <is>
          <t>玄渊20套全装备视觉候选；Items/StateItem/DnItems三库同码；属性待策划填写</t>
        </is>
      </c>
      <c r="U951">
        <f>IF(COUNTIF($B$2:$B$1076,B951)&gt;1,"重复","")</f>
        <v/>
      </c>
      <c r="V951">
        <f>IF(AND(OR(M951="",M951=B951),OR(N951="",N951=B951),OR(O951="",O951=B951)),"通过","不一致")</f>
        <v/>
      </c>
    </row>
    <row r="952" ht="22" customHeight="1">
      <c r="A952" s="398" t="n">
        <v>951</v>
      </c>
      <c r="B952" s="398" t="n">
        <v>6971</v>
      </c>
      <c r="C952" s="399" t="inlineStr">
        <is>
          <t>翠焰冥契·腐痕</t>
        </is>
      </c>
      <c r="D952" s="399" t="inlineStr">
        <is>
          <t>翠焰冥契</t>
        </is>
      </c>
      <c r="E952" s="399" t="n">
        <v>2</v>
      </c>
      <c r="F952" s="399" t="inlineStr">
        <is>
          <t>军鼓</t>
        </is>
      </c>
      <c r="G952" s="398" t="n">
        <v>65</v>
      </c>
      <c r="H952" s="398" t="n">
        <v>14</v>
      </c>
      <c r="I952" s="398" t="n">
        <v>6971</v>
      </c>
      <c r="J952" s="398" t="n">
        <v>0</v>
      </c>
      <c r="K952" s="398" t="n">
        <v>0</v>
      </c>
      <c r="L952" s="398" t="n">
        <v>0</v>
      </c>
      <c r="M952" s="398" t="n">
        <v>6971</v>
      </c>
      <c r="N952" s="398" t="n">
        <v>6971</v>
      </c>
      <c r="O952" s="398" t="n">
        <v>6971</v>
      </c>
      <c r="P952" s="292" t="n"/>
      <c r="Q952" s="292" t="inlineStr">
        <is>
          <t>candidate-preflight-passed</t>
        </is>
      </c>
      <c r="R952" s="292" t="str"/>
      <c r="S952" s="292" t="inlineStr">
        <is>
          <t>玄渊二十套全装备代码总表.xlsx</t>
        </is>
      </c>
      <c r="T952" s="292" t="inlineStr">
        <is>
          <t>玄渊20套全装备视觉候选；Items/StateItem/DnItems三库同码；属性待策划填写</t>
        </is>
      </c>
      <c r="U952">
        <f>IF(COUNTIF($B$2:$B$1076,B952)&gt;1,"重复","")</f>
        <v/>
      </c>
      <c r="V952">
        <f>IF(AND(OR(M952="",M952=B952),OR(N952="",N952=B952),OR(O952="",O952=B952)),"通过","不一致")</f>
        <v/>
      </c>
    </row>
    <row r="953" ht="22" customHeight="1">
      <c r="A953" s="398" t="n">
        <v>952</v>
      </c>
      <c r="B953" s="398" t="n">
        <v>6972</v>
      </c>
      <c r="C953" s="399" t="inlineStr">
        <is>
          <t>翠焰冥契·腐痕</t>
        </is>
      </c>
      <c r="D953" s="399" t="inlineStr">
        <is>
          <t>翠焰冥契</t>
        </is>
      </c>
      <c r="E953" s="399" t="n">
        <v>2</v>
      </c>
      <c r="F953" s="399" t="inlineStr">
        <is>
          <t>马牌</t>
        </is>
      </c>
      <c r="G953" s="398" t="n">
        <v>28</v>
      </c>
      <c r="H953" s="398" t="n">
        <v>15</v>
      </c>
      <c r="I953" s="398" t="n">
        <v>6972</v>
      </c>
      <c r="J953" s="398" t="n">
        <v>0</v>
      </c>
      <c r="K953" s="398" t="n">
        <v>0</v>
      </c>
      <c r="L953" s="398" t="n">
        <v>0</v>
      </c>
      <c r="M953" s="398" t="n">
        <v>6972</v>
      </c>
      <c r="N953" s="398" t="n">
        <v>6972</v>
      </c>
      <c r="O953" s="398" t="n">
        <v>6972</v>
      </c>
      <c r="P953" s="292" t="n"/>
      <c r="Q953" s="292" t="inlineStr">
        <is>
          <t>candidate-preflight-passed</t>
        </is>
      </c>
      <c r="R953" s="292" t="str"/>
      <c r="S953" s="292" t="inlineStr">
        <is>
          <t>玄渊二十套全装备代码总表.xlsx</t>
        </is>
      </c>
      <c r="T953" s="292" t="inlineStr">
        <is>
          <t>玄渊20套全装备视觉候选；Items/StateItem/DnItems三库同码；属性待策划填写</t>
        </is>
      </c>
      <c r="U953">
        <f>IF(COUNTIF($B$2:$B$1076,B953)&gt;1,"重复","")</f>
        <v/>
      </c>
      <c r="V953">
        <f>IF(AND(OR(M953="",M953=B953),OR(N953="",N953=B953),OR(O953="",O953=B953)),"通过","不一致")</f>
        <v/>
      </c>
    </row>
    <row r="954" ht="22" customHeight="1">
      <c r="A954" s="398" t="n">
        <v>953</v>
      </c>
      <c r="B954" s="398" t="n">
        <v>6973</v>
      </c>
      <c r="C954" s="399" t="inlineStr">
        <is>
          <t>翠焰冥契·腐痕</t>
        </is>
      </c>
      <c r="D954" s="399" t="inlineStr">
        <is>
          <t>翠焰冥契</t>
        </is>
      </c>
      <c r="E954" s="399" t="n">
        <v>2</v>
      </c>
      <c r="F954" s="399" t="inlineStr">
        <is>
          <t>首饰盒1</t>
        </is>
      </c>
      <c r="G954" s="398" t="n">
        <v>22</v>
      </c>
      <c r="H954" s="398" t="n">
        <v>30</v>
      </c>
      <c r="I954" s="398" t="n">
        <v>6973</v>
      </c>
      <c r="J954" s="398" t="n">
        <v>0</v>
      </c>
      <c r="K954" s="398" t="n">
        <v>2</v>
      </c>
      <c r="L954" s="398" t="n">
        <v>1</v>
      </c>
      <c r="M954" s="398" t="n">
        <v>6973</v>
      </c>
      <c r="N954" s="398" t="n">
        <v>6973</v>
      </c>
      <c r="O954" s="398" t="n">
        <v>6973</v>
      </c>
      <c r="P954" s="292" t="n"/>
      <c r="Q954" s="292" t="inlineStr">
        <is>
          <t>candidate-preflight-passed</t>
        </is>
      </c>
      <c r="R954" s="292" t="str"/>
      <c r="S954" s="292" t="inlineStr">
        <is>
          <t>玄渊二十套全装备代码总表.xlsx</t>
        </is>
      </c>
      <c r="T954" s="292" t="inlineStr">
        <is>
          <t>玄渊20套全装备视觉候选；Items/StateItem/DnItems三库同码；属性待策划填写；OverLap=2; Expand1=1</t>
        </is>
      </c>
      <c r="U954">
        <f>IF(COUNTIF($B$2:$B$1076,B954)&gt;1,"重复","")</f>
        <v/>
      </c>
      <c r="V954">
        <f>IF(AND(OR(M954="",M954=B954),OR(N954="",N954=B954),OR(O954="",O954=B954)),"通过","不一致")</f>
        <v/>
      </c>
    </row>
    <row r="955" ht="22" customHeight="1">
      <c r="A955" s="398" t="n">
        <v>954</v>
      </c>
      <c r="B955" s="398" t="n">
        <v>6974</v>
      </c>
      <c r="C955" s="399" t="inlineStr">
        <is>
          <t>翠焰冥契·腐痕</t>
        </is>
      </c>
      <c r="D955" s="399" t="inlineStr">
        <is>
          <t>翠焰冥契</t>
        </is>
      </c>
      <c r="E955" s="399" t="n">
        <v>2</v>
      </c>
      <c r="F955" s="399" t="inlineStr">
        <is>
          <t>首饰盒2</t>
        </is>
      </c>
      <c r="G955" s="398" t="n">
        <v>22</v>
      </c>
      <c r="H955" s="398" t="n">
        <v>31</v>
      </c>
      <c r="I955" s="398" t="n">
        <v>6974</v>
      </c>
      <c r="J955" s="398" t="n">
        <v>0</v>
      </c>
      <c r="K955" s="398" t="n">
        <v>2</v>
      </c>
      <c r="L955" s="398" t="n">
        <v>2</v>
      </c>
      <c r="M955" s="398" t="n">
        <v>6974</v>
      </c>
      <c r="N955" s="398" t="n">
        <v>6974</v>
      </c>
      <c r="O955" s="398" t="n">
        <v>6974</v>
      </c>
      <c r="P955" s="292" t="n"/>
      <c r="Q955" s="292" t="inlineStr">
        <is>
          <t>candidate-preflight-passed</t>
        </is>
      </c>
      <c r="R955" s="292" t="str"/>
      <c r="S955" s="292" t="inlineStr">
        <is>
          <t>玄渊二十套全装备代码总表.xlsx</t>
        </is>
      </c>
      <c r="T955" s="292" t="inlineStr">
        <is>
          <t>玄渊20套全装备视觉候选；Items/StateItem/DnItems三库同码；属性待策划填写；OverLap=2; Expand1=2</t>
        </is>
      </c>
      <c r="U955">
        <f>IF(COUNTIF($B$2:$B$1076,B955)&gt;1,"重复","")</f>
        <v/>
      </c>
      <c r="V955">
        <f>IF(AND(OR(M955="",M955=B955),OR(N955="",N955=B955),OR(O955="",O955=B955)),"通过","不一致")</f>
        <v/>
      </c>
    </row>
    <row r="956" ht="22" customHeight="1">
      <c r="A956" s="398" t="n">
        <v>955</v>
      </c>
      <c r="B956" s="398" t="n">
        <v>6975</v>
      </c>
      <c r="C956" s="399" t="inlineStr">
        <is>
          <t>翠焰冥契·腐痕</t>
        </is>
      </c>
      <c r="D956" s="399" t="inlineStr">
        <is>
          <t>翠焰冥契</t>
        </is>
      </c>
      <c r="E956" s="399" t="n">
        <v>2</v>
      </c>
      <c r="F956" s="399" t="inlineStr">
        <is>
          <t>首饰盒3</t>
        </is>
      </c>
      <c r="G956" s="398" t="n">
        <v>22</v>
      </c>
      <c r="H956" s="398" t="n">
        <v>32</v>
      </c>
      <c r="I956" s="398" t="n">
        <v>6975</v>
      </c>
      <c r="J956" s="398" t="n">
        <v>0</v>
      </c>
      <c r="K956" s="398" t="n">
        <v>2</v>
      </c>
      <c r="L956" s="398" t="n">
        <v>3</v>
      </c>
      <c r="M956" s="398" t="n">
        <v>6975</v>
      </c>
      <c r="N956" s="398" t="n">
        <v>6975</v>
      </c>
      <c r="O956" s="398" t="n">
        <v>6975</v>
      </c>
      <c r="P956" s="292" t="n"/>
      <c r="Q956" s="292" t="inlineStr">
        <is>
          <t>candidate-preflight-passed</t>
        </is>
      </c>
      <c r="R956" s="292" t="str"/>
      <c r="S956" s="292" t="inlineStr">
        <is>
          <t>玄渊二十套全装备代码总表.xlsx</t>
        </is>
      </c>
      <c r="T956" s="292" t="inlineStr">
        <is>
          <t>玄渊20套全装备视觉候选；Items/StateItem/DnItems三库同码；属性待策划填写；OverLap=2; Expand1=3</t>
        </is>
      </c>
      <c r="U956">
        <f>IF(COUNTIF($B$2:$B$1076,B956)&gt;1,"重复","")</f>
        <v/>
      </c>
      <c r="V956">
        <f>IF(AND(OR(M956="",M956=B956),OR(N956="",N956=B956),OR(O956="",O956=B956)),"通过","不一致")</f>
        <v/>
      </c>
    </row>
    <row r="957" ht="22" customHeight="1">
      <c r="A957" s="398" t="n">
        <v>956</v>
      </c>
      <c r="B957" s="398" t="n">
        <v>6976</v>
      </c>
      <c r="C957" s="399" t="inlineStr">
        <is>
          <t>翠焰冥契·腐痕</t>
        </is>
      </c>
      <c r="D957" s="399" t="inlineStr">
        <is>
          <t>翠焰冥契</t>
        </is>
      </c>
      <c r="E957" s="399" t="n">
        <v>2</v>
      </c>
      <c r="F957" s="399" t="inlineStr">
        <is>
          <t>首饰盒4</t>
        </is>
      </c>
      <c r="G957" s="398" t="n">
        <v>22</v>
      </c>
      <c r="H957" s="398" t="n">
        <v>33</v>
      </c>
      <c r="I957" s="398" t="n">
        <v>6976</v>
      </c>
      <c r="J957" s="398" t="n">
        <v>0</v>
      </c>
      <c r="K957" s="398" t="n">
        <v>2</v>
      </c>
      <c r="L957" s="398" t="n">
        <v>4</v>
      </c>
      <c r="M957" s="398" t="n">
        <v>6976</v>
      </c>
      <c r="N957" s="398" t="n">
        <v>6976</v>
      </c>
      <c r="O957" s="398" t="n">
        <v>6976</v>
      </c>
      <c r="P957" s="292" t="n"/>
      <c r="Q957" s="292" t="inlineStr">
        <is>
          <t>candidate-preflight-passed</t>
        </is>
      </c>
      <c r="R957" s="292" t="str"/>
      <c r="S957" s="292" t="inlineStr">
        <is>
          <t>玄渊二十套全装备代码总表.xlsx</t>
        </is>
      </c>
      <c r="T957" s="292" t="inlineStr">
        <is>
          <t>玄渊20套全装备视觉候选；Items/StateItem/DnItems三库同码；属性待策划填写；OverLap=2; Expand1=4</t>
        </is>
      </c>
      <c r="U957">
        <f>IF(COUNTIF($B$2:$B$1076,B957)&gt;1,"重复","")</f>
        <v/>
      </c>
      <c r="V957">
        <f>IF(AND(OR(M957="",M957=B957),OR(N957="",N957=B957),OR(O957="",O957=B957)),"通过","不一致")</f>
        <v/>
      </c>
    </row>
    <row r="958" ht="22" customHeight="1">
      <c r="A958" s="398" t="n">
        <v>957</v>
      </c>
      <c r="B958" s="398" t="n">
        <v>6977</v>
      </c>
      <c r="C958" s="399" t="inlineStr">
        <is>
          <t>翠焰冥契·腐痕</t>
        </is>
      </c>
      <c r="D958" s="399" t="inlineStr">
        <is>
          <t>翠焰冥契</t>
        </is>
      </c>
      <c r="E958" s="399" t="n">
        <v>2</v>
      </c>
      <c r="F958" s="399" t="inlineStr">
        <is>
          <t>首饰盒5</t>
        </is>
      </c>
      <c r="G958" s="398" t="n">
        <v>22</v>
      </c>
      <c r="H958" s="398" t="n">
        <v>34</v>
      </c>
      <c r="I958" s="398" t="n">
        <v>6977</v>
      </c>
      <c r="J958" s="398" t="n">
        <v>0</v>
      </c>
      <c r="K958" s="398" t="n">
        <v>2</v>
      </c>
      <c r="L958" s="398" t="n">
        <v>5</v>
      </c>
      <c r="M958" s="398" t="n">
        <v>6977</v>
      </c>
      <c r="N958" s="398" t="n">
        <v>6977</v>
      </c>
      <c r="O958" s="398" t="n">
        <v>6977</v>
      </c>
      <c r="P958" s="292" t="n"/>
      <c r="Q958" s="292" t="inlineStr">
        <is>
          <t>candidate-preflight-passed</t>
        </is>
      </c>
      <c r="R958" s="292" t="str"/>
      <c r="S958" s="292" t="inlineStr">
        <is>
          <t>玄渊二十套全装备代码总表.xlsx</t>
        </is>
      </c>
      <c r="T958" s="292" t="inlineStr">
        <is>
          <t>玄渊20套全装备视觉候选；Items/StateItem/DnItems三库同码；属性待策划填写；OverLap=2; Expand1=5</t>
        </is>
      </c>
      <c r="U958">
        <f>IF(COUNTIF($B$2:$B$1076,B958)&gt;1,"重复","")</f>
        <v/>
      </c>
      <c r="V958">
        <f>IF(AND(OR(M958="",M958=B958),OR(N958="",N958=B958),OR(O958="",O958=B958)),"通过","不一致")</f>
        <v/>
      </c>
    </row>
    <row r="959" ht="22" customHeight="1">
      <c r="A959" s="398" t="n">
        <v>958</v>
      </c>
      <c r="B959" s="398" t="n">
        <v>6978</v>
      </c>
      <c r="C959" s="399" t="inlineStr">
        <is>
          <t>翠焰冥契·腐痕</t>
        </is>
      </c>
      <c r="D959" s="399" t="inlineStr">
        <is>
          <t>翠焰冥契</t>
        </is>
      </c>
      <c r="E959" s="399" t="n">
        <v>2</v>
      </c>
      <c r="F959" s="399" t="inlineStr">
        <is>
          <t>首饰盒6</t>
        </is>
      </c>
      <c r="G959" s="398" t="n">
        <v>22</v>
      </c>
      <c r="H959" s="398" t="n">
        <v>35</v>
      </c>
      <c r="I959" s="398" t="n">
        <v>6978</v>
      </c>
      <c r="J959" s="398" t="n">
        <v>0</v>
      </c>
      <c r="K959" s="398" t="n">
        <v>2</v>
      </c>
      <c r="L959" s="398" t="n">
        <v>6</v>
      </c>
      <c r="M959" s="398" t="n">
        <v>6978</v>
      </c>
      <c r="N959" s="398" t="n">
        <v>6978</v>
      </c>
      <c r="O959" s="398" t="n">
        <v>6978</v>
      </c>
      <c r="P959" s="292" t="n"/>
      <c r="Q959" s="292" t="inlineStr">
        <is>
          <t>candidate-preflight-passed</t>
        </is>
      </c>
      <c r="R959" s="292" t="str"/>
      <c r="S959" s="292" t="inlineStr">
        <is>
          <t>玄渊二十套全装备代码总表.xlsx</t>
        </is>
      </c>
      <c r="T959" s="292" t="inlineStr">
        <is>
          <t>玄渊20套全装备视觉候选；Items/StateItem/DnItems三库同码；属性待策划填写；OverLap=2; Expand1=6</t>
        </is>
      </c>
      <c r="U959">
        <f>IF(COUNTIF($B$2:$B$1076,B959)&gt;1,"重复","")</f>
        <v/>
      </c>
      <c r="V959">
        <f>IF(AND(OR(M959="",M959=B959),OR(N959="",N959=B959),OR(O959="",O959=B959)),"通过","不一致")</f>
        <v/>
      </c>
    </row>
    <row r="960" ht="22" customHeight="1">
      <c r="A960" s="398" t="n">
        <v>959</v>
      </c>
      <c r="B960" s="398" t="n">
        <v>6979</v>
      </c>
      <c r="C960" s="399" t="inlineStr">
        <is>
          <t>翠焰冥契·腐痕</t>
        </is>
      </c>
      <c r="D960" s="399" t="inlineStr">
        <is>
          <t>翠焰冥契</t>
        </is>
      </c>
      <c r="E960" s="399" t="n">
        <v>2</v>
      </c>
      <c r="F960" s="399" t="inlineStr">
        <is>
          <t>生肖1</t>
        </is>
      </c>
      <c r="G960" s="398" t="n">
        <v>22</v>
      </c>
      <c r="H960" s="398" t="n">
        <v>40</v>
      </c>
      <c r="I960" s="398" t="n">
        <v>6979</v>
      </c>
      <c r="J960" s="398" t="n">
        <v>0</v>
      </c>
      <c r="K960" s="398" t="n">
        <v>4</v>
      </c>
      <c r="L960" s="398" t="n">
        <v>1</v>
      </c>
      <c r="M960" s="398" t="n">
        <v>6979</v>
      </c>
      <c r="N960" s="398" t="n">
        <v>6979</v>
      </c>
      <c r="O960" s="398" t="n">
        <v>6979</v>
      </c>
      <c r="P960" s="292" t="n"/>
      <c r="Q960" s="292" t="inlineStr">
        <is>
          <t>candidate-preflight-passed</t>
        </is>
      </c>
      <c r="R960" s="292" t="str"/>
      <c r="S960" s="292" t="inlineStr">
        <is>
          <t>玄渊二十套全装备代码总表.xlsx</t>
        </is>
      </c>
      <c r="T960" s="292" t="inlineStr">
        <is>
          <t>玄渊20套全装备视觉候选；Items/StateItem/DnItems三库同码；属性待策划填写；OverLap=4; Expand1=1</t>
        </is>
      </c>
      <c r="U960">
        <f>IF(COUNTIF($B$2:$B$1076,B960)&gt;1,"重复","")</f>
        <v/>
      </c>
      <c r="V960">
        <f>IF(AND(OR(M960="",M960=B960),OR(N960="",N960=B960),OR(O960="",O960=B960)),"通过","不一致")</f>
        <v/>
      </c>
    </row>
    <row r="961" ht="22" customHeight="1">
      <c r="A961" s="398" t="n">
        <v>960</v>
      </c>
      <c r="B961" s="398" t="n">
        <v>6980</v>
      </c>
      <c r="C961" s="399" t="inlineStr">
        <is>
          <t>翠焰冥契·腐痕</t>
        </is>
      </c>
      <c r="D961" s="399" t="inlineStr">
        <is>
          <t>翠焰冥契</t>
        </is>
      </c>
      <c r="E961" s="399" t="n">
        <v>2</v>
      </c>
      <c r="F961" s="399" t="inlineStr">
        <is>
          <t>生肖2</t>
        </is>
      </c>
      <c r="G961" s="398" t="n">
        <v>22</v>
      </c>
      <c r="H961" s="398" t="n">
        <v>41</v>
      </c>
      <c r="I961" s="398" t="n">
        <v>6980</v>
      </c>
      <c r="J961" s="398" t="n">
        <v>0</v>
      </c>
      <c r="K961" s="398" t="n">
        <v>4</v>
      </c>
      <c r="L961" s="398" t="n">
        <v>2</v>
      </c>
      <c r="M961" s="398" t="n">
        <v>6980</v>
      </c>
      <c r="N961" s="398" t="n">
        <v>6980</v>
      </c>
      <c r="O961" s="398" t="n">
        <v>6980</v>
      </c>
      <c r="P961" s="292" t="n"/>
      <c r="Q961" s="292" t="inlineStr">
        <is>
          <t>candidate-preflight-passed</t>
        </is>
      </c>
      <c r="R961" s="292" t="str"/>
      <c r="S961" s="292" t="inlineStr">
        <is>
          <t>玄渊二十套全装备代码总表.xlsx</t>
        </is>
      </c>
      <c r="T961" s="292" t="inlineStr">
        <is>
          <t>玄渊20套全装备视觉候选；Items/StateItem/DnItems三库同码；属性待策划填写；OverLap=4; Expand1=2</t>
        </is>
      </c>
      <c r="U961">
        <f>IF(COUNTIF($B$2:$B$1076,B961)&gt;1,"重复","")</f>
        <v/>
      </c>
      <c r="V961">
        <f>IF(AND(OR(M961="",M961=B961),OR(N961="",N961=B961),OR(O961="",O961=B961)),"通过","不一致")</f>
        <v/>
      </c>
    </row>
    <row r="962" ht="22" customHeight="1">
      <c r="A962" s="398" t="n">
        <v>961</v>
      </c>
      <c r="B962" s="398" t="n">
        <v>6981</v>
      </c>
      <c r="C962" s="399" t="inlineStr">
        <is>
          <t>翠焰冥契·腐痕</t>
        </is>
      </c>
      <c r="D962" s="399" t="inlineStr">
        <is>
          <t>翠焰冥契</t>
        </is>
      </c>
      <c r="E962" s="399" t="n">
        <v>2</v>
      </c>
      <c r="F962" s="399" t="inlineStr">
        <is>
          <t>生肖3</t>
        </is>
      </c>
      <c r="G962" s="398" t="n">
        <v>22</v>
      </c>
      <c r="H962" s="398" t="n">
        <v>42</v>
      </c>
      <c r="I962" s="398" t="n">
        <v>6981</v>
      </c>
      <c r="J962" s="398" t="n">
        <v>0</v>
      </c>
      <c r="K962" s="398" t="n">
        <v>4</v>
      </c>
      <c r="L962" s="398" t="n">
        <v>3</v>
      </c>
      <c r="M962" s="398" t="n">
        <v>6981</v>
      </c>
      <c r="N962" s="398" t="n">
        <v>6981</v>
      </c>
      <c r="O962" s="398" t="n">
        <v>6981</v>
      </c>
      <c r="P962" s="292" t="n"/>
      <c r="Q962" s="292" t="inlineStr">
        <is>
          <t>candidate-preflight-passed</t>
        </is>
      </c>
      <c r="R962" s="292" t="str"/>
      <c r="S962" s="292" t="inlineStr">
        <is>
          <t>玄渊二十套全装备代码总表.xlsx</t>
        </is>
      </c>
      <c r="T962" s="292" t="inlineStr">
        <is>
          <t>玄渊20套全装备视觉候选；Items/StateItem/DnItems三库同码；属性待策划填写；OverLap=4; Expand1=3</t>
        </is>
      </c>
      <c r="U962">
        <f>IF(COUNTIF($B$2:$B$1076,B962)&gt;1,"重复","")</f>
        <v/>
      </c>
      <c r="V962">
        <f>IF(AND(OR(M962="",M962=B962),OR(N962="",N962=B962),OR(O962="",O962=B962)),"通过","不一致")</f>
        <v/>
      </c>
    </row>
    <row r="963" ht="22" customHeight="1">
      <c r="A963" s="398" t="n">
        <v>962</v>
      </c>
      <c r="B963" s="398" t="n">
        <v>6982</v>
      </c>
      <c r="C963" s="399" t="inlineStr">
        <is>
          <t>翠焰冥契·腐痕</t>
        </is>
      </c>
      <c r="D963" s="399" t="inlineStr">
        <is>
          <t>翠焰冥契</t>
        </is>
      </c>
      <c r="E963" s="399" t="n">
        <v>2</v>
      </c>
      <c r="F963" s="399" t="inlineStr">
        <is>
          <t>生肖4</t>
        </is>
      </c>
      <c r="G963" s="398" t="n">
        <v>22</v>
      </c>
      <c r="H963" s="398" t="n">
        <v>43</v>
      </c>
      <c r="I963" s="398" t="n">
        <v>6982</v>
      </c>
      <c r="J963" s="398" t="n">
        <v>0</v>
      </c>
      <c r="K963" s="398" t="n">
        <v>4</v>
      </c>
      <c r="L963" s="398" t="n">
        <v>4</v>
      </c>
      <c r="M963" s="398" t="n">
        <v>6982</v>
      </c>
      <c r="N963" s="398" t="n">
        <v>6982</v>
      </c>
      <c r="O963" s="398" t="n">
        <v>6982</v>
      </c>
      <c r="P963" s="292" t="n"/>
      <c r="Q963" s="292" t="inlineStr">
        <is>
          <t>candidate-preflight-passed</t>
        </is>
      </c>
      <c r="R963" s="292" t="str"/>
      <c r="S963" s="292" t="inlineStr">
        <is>
          <t>玄渊二十套全装备代码总表.xlsx</t>
        </is>
      </c>
      <c r="T963" s="292" t="inlineStr">
        <is>
          <t>玄渊20套全装备视觉候选；Items/StateItem/DnItems三库同码；属性待策划填写；OverLap=4; Expand1=4</t>
        </is>
      </c>
      <c r="U963">
        <f>IF(COUNTIF($B$2:$B$1076,B963)&gt;1,"重复","")</f>
        <v/>
      </c>
      <c r="V963">
        <f>IF(AND(OR(M963="",M963=B963),OR(N963="",N963=B963),OR(O963="",O963=B963)),"通过","不一致")</f>
        <v/>
      </c>
    </row>
    <row r="964" ht="22" customHeight="1">
      <c r="A964" s="398" t="n">
        <v>963</v>
      </c>
      <c r="B964" s="398" t="n">
        <v>6983</v>
      </c>
      <c r="C964" s="399" t="inlineStr">
        <is>
          <t>翠焰冥契·腐痕</t>
        </is>
      </c>
      <c r="D964" s="399" t="inlineStr">
        <is>
          <t>翠焰冥契</t>
        </is>
      </c>
      <c r="E964" s="399" t="n">
        <v>2</v>
      </c>
      <c r="F964" s="399" t="inlineStr">
        <is>
          <t>生肖5</t>
        </is>
      </c>
      <c r="G964" s="398" t="n">
        <v>22</v>
      </c>
      <c r="H964" s="398" t="n">
        <v>44</v>
      </c>
      <c r="I964" s="398" t="n">
        <v>6983</v>
      </c>
      <c r="J964" s="398" t="n">
        <v>0</v>
      </c>
      <c r="K964" s="398" t="n">
        <v>4</v>
      </c>
      <c r="L964" s="398" t="n">
        <v>5</v>
      </c>
      <c r="M964" s="398" t="n">
        <v>6983</v>
      </c>
      <c r="N964" s="398" t="n">
        <v>6983</v>
      </c>
      <c r="O964" s="398" t="n">
        <v>6983</v>
      </c>
      <c r="P964" s="292" t="n"/>
      <c r="Q964" s="292" t="inlineStr">
        <is>
          <t>candidate-preflight-passed</t>
        </is>
      </c>
      <c r="R964" s="292" t="str"/>
      <c r="S964" s="292" t="inlineStr">
        <is>
          <t>玄渊二十套全装备代码总表.xlsx</t>
        </is>
      </c>
      <c r="T964" s="292" t="inlineStr">
        <is>
          <t>玄渊20套全装备视觉候选；Items/StateItem/DnItems三库同码；属性待策划填写；OverLap=4; Expand1=5</t>
        </is>
      </c>
      <c r="U964">
        <f>IF(COUNTIF($B$2:$B$1076,B964)&gt;1,"重复","")</f>
        <v/>
      </c>
      <c r="V964">
        <f>IF(AND(OR(M964="",M964=B964),OR(N964="",N964=B964),OR(O964="",O964=B964)),"通过","不一致")</f>
        <v/>
      </c>
    </row>
    <row r="965" ht="22" customHeight="1">
      <c r="A965" s="398" t="n">
        <v>964</v>
      </c>
      <c r="B965" s="398" t="n">
        <v>6984</v>
      </c>
      <c r="C965" s="399" t="inlineStr">
        <is>
          <t>翠焰冥契·腐痕</t>
        </is>
      </c>
      <c r="D965" s="399" t="inlineStr">
        <is>
          <t>翠焰冥契</t>
        </is>
      </c>
      <c r="E965" s="399" t="n">
        <v>2</v>
      </c>
      <c r="F965" s="399" t="inlineStr">
        <is>
          <t>生肖6</t>
        </is>
      </c>
      <c r="G965" s="398" t="n">
        <v>22</v>
      </c>
      <c r="H965" s="398" t="n">
        <v>45</v>
      </c>
      <c r="I965" s="398" t="n">
        <v>6984</v>
      </c>
      <c r="J965" s="398" t="n">
        <v>0</v>
      </c>
      <c r="K965" s="398" t="n">
        <v>4</v>
      </c>
      <c r="L965" s="398" t="n">
        <v>6</v>
      </c>
      <c r="M965" s="398" t="n">
        <v>6984</v>
      </c>
      <c r="N965" s="398" t="n">
        <v>6984</v>
      </c>
      <c r="O965" s="398" t="n">
        <v>6984</v>
      </c>
      <c r="P965" s="292" t="n"/>
      <c r="Q965" s="292" t="inlineStr">
        <is>
          <t>candidate-preflight-passed</t>
        </is>
      </c>
      <c r="R965" s="292" t="str"/>
      <c r="S965" s="292" t="inlineStr">
        <is>
          <t>玄渊二十套全装备代码总表.xlsx</t>
        </is>
      </c>
      <c r="T965" s="292" t="inlineStr">
        <is>
          <t>玄渊20套全装备视觉候选；Items/StateItem/DnItems三库同码；属性待策划填写；OverLap=4; Expand1=6</t>
        </is>
      </c>
      <c r="U965">
        <f>IF(COUNTIF($B$2:$B$1076,B965)&gt;1,"重复","")</f>
        <v/>
      </c>
      <c r="V965">
        <f>IF(AND(OR(M965="",M965=B965),OR(N965="",N965=B965),OR(O965="",O965=B965)),"通过","不一致")</f>
        <v/>
      </c>
    </row>
    <row r="966" ht="22" customHeight="1">
      <c r="A966" s="398" t="n">
        <v>965</v>
      </c>
      <c r="B966" s="398" t="n">
        <v>6985</v>
      </c>
      <c r="C966" s="399" t="inlineStr">
        <is>
          <t>翠焰冥契·腐痕</t>
        </is>
      </c>
      <c r="D966" s="399" t="inlineStr">
        <is>
          <t>翠焰冥契</t>
        </is>
      </c>
      <c r="E966" s="399" t="n">
        <v>2</v>
      </c>
      <c r="F966" s="399" t="inlineStr">
        <is>
          <t>生肖7</t>
        </is>
      </c>
      <c r="G966" s="398" t="n">
        <v>22</v>
      </c>
      <c r="H966" s="398" t="n">
        <v>46</v>
      </c>
      <c r="I966" s="398" t="n">
        <v>6985</v>
      </c>
      <c r="J966" s="398" t="n">
        <v>0</v>
      </c>
      <c r="K966" s="398" t="n">
        <v>4</v>
      </c>
      <c r="L966" s="398" t="n">
        <v>7</v>
      </c>
      <c r="M966" s="398" t="n">
        <v>6985</v>
      </c>
      <c r="N966" s="398" t="n">
        <v>6985</v>
      </c>
      <c r="O966" s="398" t="n">
        <v>6985</v>
      </c>
      <c r="P966" s="292" t="n"/>
      <c r="Q966" s="292" t="inlineStr">
        <is>
          <t>candidate-preflight-passed</t>
        </is>
      </c>
      <c r="R966" s="292" t="str"/>
      <c r="S966" s="292" t="inlineStr">
        <is>
          <t>玄渊二十套全装备代码总表.xlsx</t>
        </is>
      </c>
      <c r="T966" s="292" t="inlineStr">
        <is>
          <t>玄渊20套全装备视觉候选；Items/StateItem/DnItems三库同码；属性待策划填写；OverLap=4; Expand1=7</t>
        </is>
      </c>
      <c r="U966">
        <f>IF(COUNTIF($B$2:$B$1076,B966)&gt;1,"重复","")</f>
        <v/>
      </c>
      <c r="V966">
        <f>IF(AND(OR(M966="",M966=B966),OR(N966="",N966=B966),OR(O966="",O966=B966)),"通过","不一致")</f>
        <v/>
      </c>
    </row>
    <row r="967" ht="22" customHeight="1">
      <c r="A967" s="398" t="n">
        <v>966</v>
      </c>
      <c r="B967" s="398" t="n">
        <v>6986</v>
      </c>
      <c r="C967" s="399" t="inlineStr">
        <is>
          <t>翠焰冥契·腐痕</t>
        </is>
      </c>
      <c r="D967" s="399" t="inlineStr">
        <is>
          <t>翠焰冥契</t>
        </is>
      </c>
      <c r="E967" s="399" t="n">
        <v>2</v>
      </c>
      <c r="F967" s="399" t="inlineStr">
        <is>
          <t>生肖8</t>
        </is>
      </c>
      <c r="G967" s="398" t="n">
        <v>22</v>
      </c>
      <c r="H967" s="398" t="n">
        <v>47</v>
      </c>
      <c r="I967" s="398" t="n">
        <v>6986</v>
      </c>
      <c r="J967" s="398" t="n">
        <v>0</v>
      </c>
      <c r="K967" s="398" t="n">
        <v>4</v>
      </c>
      <c r="L967" s="398" t="n">
        <v>8</v>
      </c>
      <c r="M967" s="398" t="n">
        <v>6986</v>
      </c>
      <c r="N967" s="398" t="n">
        <v>6986</v>
      </c>
      <c r="O967" s="398" t="n">
        <v>6986</v>
      </c>
      <c r="P967" s="292" t="n"/>
      <c r="Q967" s="292" t="inlineStr">
        <is>
          <t>candidate-preflight-passed</t>
        </is>
      </c>
      <c r="R967" s="292" t="str"/>
      <c r="S967" s="292" t="inlineStr">
        <is>
          <t>玄渊二十套全装备代码总表.xlsx</t>
        </is>
      </c>
      <c r="T967" s="292" t="inlineStr">
        <is>
          <t>玄渊20套全装备视觉候选；Items/StateItem/DnItems三库同码；属性待策划填写；OverLap=4; Expand1=8</t>
        </is>
      </c>
      <c r="U967">
        <f>IF(COUNTIF($B$2:$B$1076,B967)&gt;1,"重复","")</f>
        <v/>
      </c>
      <c r="V967">
        <f>IF(AND(OR(M967="",M967=B967),OR(N967="",N967=B967),OR(O967="",O967=B967)),"通过","不一致")</f>
        <v/>
      </c>
    </row>
    <row r="968" ht="22" customHeight="1">
      <c r="A968" s="398" t="n">
        <v>967</v>
      </c>
      <c r="B968" s="398" t="n">
        <v>6987</v>
      </c>
      <c r="C968" s="399" t="inlineStr">
        <is>
          <t>翠焰冥契·腐痕</t>
        </is>
      </c>
      <c r="D968" s="399" t="inlineStr">
        <is>
          <t>翠焰冥契</t>
        </is>
      </c>
      <c r="E968" s="399" t="n">
        <v>2</v>
      </c>
      <c r="F968" s="399" t="inlineStr">
        <is>
          <t>生肖9</t>
        </is>
      </c>
      <c r="G968" s="398" t="n">
        <v>22</v>
      </c>
      <c r="H968" s="398" t="n">
        <v>48</v>
      </c>
      <c r="I968" s="398" t="n">
        <v>6987</v>
      </c>
      <c r="J968" s="398" t="n">
        <v>0</v>
      </c>
      <c r="K968" s="398" t="n">
        <v>4</v>
      </c>
      <c r="L968" s="398" t="n">
        <v>9</v>
      </c>
      <c r="M968" s="398" t="n">
        <v>6987</v>
      </c>
      <c r="N968" s="398" t="n">
        <v>6987</v>
      </c>
      <c r="O968" s="398" t="n">
        <v>6987</v>
      </c>
      <c r="P968" s="292" t="n"/>
      <c r="Q968" s="292" t="inlineStr">
        <is>
          <t>candidate-preflight-passed</t>
        </is>
      </c>
      <c r="R968" s="292" t="str"/>
      <c r="S968" s="292" t="inlineStr">
        <is>
          <t>玄渊二十套全装备代码总表.xlsx</t>
        </is>
      </c>
      <c r="T968" s="292" t="inlineStr">
        <is>
          <t>玄渊20套全装备视觉候选；Items/StateItem/DnItems三库同码；属性待策划填写；OverLap=4; Expand1=9</t>
        </is>
      </c>
      <c r="U968">
        <f>IF(COUNTIF($B$2:$B$1076,B968)&gt;1,"重复","")</f>
        <v/>
      </c>
      <c r="V968">
        <f>IF(AND(OR(M968="",M968=B968),OR(N968="",N968=B968),OR(O968="",O968=B968)),"通过","不一致")</f>
        <v/>
      </c>
    </row>
    <row r="969" ht="22" customHeight="1">
      <c r="A969" s="398" t="n">
        <v>968</v>
      </c>
      <c r="B969" s="398" t="n">
        <v>6988</v>
      </c>
      <c r="C969" s="399" t="inlineStr">
        <is>
          <t>翠焰冥契·腐痕</t>
        </is>
      </c>
      <c r="D969" s="399" t="inlineStr">
        <is>
          <t>翠焰冥契</t>
        </is>
      </c>
      <c r="E969" s="399" t="n">
        <v>2</v>
      </c>
      <c r="F969" s="399" t="inlineStr">
        <is>
          <t>生肖10</t>
        </is>
      </c>
      <c r="G969" s="398" t="n">
        <v>22</v>
      </c>
      <c r="H969" s="398" t="n">
        <v>49</v>
      </c>
      <c r="I969" s="398" t="n">
        <v>6988</v>
      </c>
      <c r="J969" s="398" t="n">
        <v>0</v>
      </c>
      <c r="K969" s="398" t="n">
        <v>4</v>
      </c>
      <c r="L969" s="398" t="n">
        <v>10</v>
      </c>
      <c r="M969" s="398" t="n">
        <v>6988</v>
      </c>
      <c r="N969" s="398" t="n">
        <v>6988</v>
      </c>
      <c r="O969" s="398" t="n">
        <v>6988</v>
      </c>
      <c r="P969" s="292" t="n"/>
      <c r="Q969" s="292" t="inlineStr">
        <is>
          <t>candidate-preflight-passed</t>
        </is>
      </c>
      <c r="R969" s="292" t="str"/>
      <c r="S969" s="292" t="inlineStr">
        <is>
          <t>玄渊二十套全装备代码总表.xlsx</t>
        </is>
      </c>
      <c r="T969" s="292" t="inlineStr">
        <is>
          <t>玄渊20套全装备视觉候选；Items/StateItem/DnItems三库同码；属性待策划填写；OverLap=4; Expand1=10</t>
        </is>
      </c>
      <c r="U969">
        <f>IF(COUNTIF($B$2:$B$1076,B969)&gt;1,"重复","")</f>
        <v/>
      </c>
      <c r="V969">
        <f>IF(AND(OR(M969="",M969=B969),OR(N969="",N969=B969),OR(O969="",O969=B969)),"通过","不一致")</f>
        <v/>
      </c>
    </row>
    <row r="970" ht="22" customHeight="1">
      <c r="A970" s="398" t="n">
        <v>969</v>
      </c>
      <c r="B970" s="398" t="n">
        <v>6989</v>
      </c>
      <c r="C970" s="399" t="inlineStr">
        <is>
          <t>翠焰冥契·腐痕</t>
        </is>
      </c>
      <c r="D970" s="399" t="inlineStr">
        <is>
          <t>翠焰冥契</t>
        </is>
      </c>
      <c r="E970" s="399" t="n">
        <v>2</v>
      </c>
      <c r="F970" s="399" t="inlineStr">
        <is>
          <t>生肖11</t>
        </is>
      </c>
      <c r="G970" s="398" t="n">
        <v>22</v>
      </c>
      <c r="H970" s="398" t="n">
        <v>50</v>
      </c>
      <c r="I970" s="398" t="n">
        <v>6989</v>
      </c>
      <c r="J970" s="398" t="n">
        <v>0</v>
      </c>
      <c r="K970" s="398" t="n">
        <v>4</v>
      </c>
      <c r="L970" s="398" t="n">
        <v>11</v>
      </c>
      <c r="M970" s="398" t="n">
        <v>6989</v>
      </c>
      <c r="N970" s="398" t="n">
        <v>6989</v>
      </c>
      <c r="O970" s="398" t="n">
        <v>6989</v>
      </c>
      <c r="P970" s="292" t="n"/>
      <c r="Q970" s="292" t="inlineStr">
        <is>
          <t>candidate-preflight-passed</t>
        </is>
      </c>
      <c r="R970" s="292" t="str"/>
      <c r="S970" s="292" t="inlineStr">
        <is>
          <t>玄渊二十套全装备代码总表.xlsx</t>
        </is>
      </c>
      <c r="T970" s="292" t="inlineStr">
        <is>
          <t>玄渊20套全装备视觉候选；Items/StateItem/DnItems三库同码；属性待策划填写；OverLap=4; Expand1=11</t>
        </is>
      </c>
      <c r="U970">
        <f>IF(COUNTIF($B$2:$B$1076,B970)&gt;1,"重复","")</f>
        <v/>
      </c>
      <c r="V970">
        <f>IF(AND(OR(M970="",M970=B970),OR(N970="",N970=B970),OR(O970="",O970=B970)),"通过","不一致")</f>
        <v/>
      </c>
    </row>
    <row r="971" ht="22" customHeight="1">
      <c r="A971" s="398" t="n">
        <v>970</v>
      </c>
      <c r="B971" s="398" t="n">
        <v>6990</v>
      </c>
      <c r="C971" s="399" t="inlineStr">
        <is>
          <t>翠焰冥契·腐痕</t>
        </is>
      </c>
      <c r="D971" s="399" t="inlineStr">
        <is>
          <t>翠焰冥契</t>
        </is>
      </c>
      <c r="E971" s="399" t="n">
        <v>2</v>
      </c>
      <c r="F971" s="399" t="inlineStr">
        <is>
          <t>生肖12</t>
        </is>
      </c>
      <c r="G971" s="398" t="n">
        <v>22</v>
      </c>
      <c r="H971" s="398" t="n">
        <v>51</v>
      </c>
      <c r="I971" s="398" t="n">
        <v>6990</v>
      </c>
      <c r="J971" s="398" t="n">
        <v>0</v>
      </c>
      <c r="K971" s="398" t="n">
        <v>4</v>
      </c>
      <c r="L971" s="398" t="n">
        <v>12</v>
      </c>
      <c r="M971" s="398" t="n">
        <v>6990</v>
      </c>
      <c r="N971" s="398" t="n">
        <v>6990</v>
      </c>
      <c r="O971" s="398" t="n">
        <v>6990</v>
      </c>
      <c r="P971" s="292" t="n"/>
      <c r="Q971" s="292" t="inlineStr">
        <is>
          <t>candidate-preflight-passed</t>
        </is>
      </c>
      <c r="R971" s="292" t="str"/>
      <c r="S971" s="292" t="inlineStr">
        <is>
          <t>玄渊二十套全装备代码总表.xlsx</t>
        </is>
      </c>
      <c r="T971" s="292" t="inlineStr">
        <is>
          <t>玄渊20套全装备视觉候选；Items/StateItem/DnItems三库同码；属性待策划填写；OverLap=4; Expand1=12</t>
        </is>
      </c>
      <c r="U971">
        <f>IF(COUNTIF($B$2:$B$1076,B971)&gt;1,"重复","")</f>
        <v/>
      </c>
      <c r="V971">
        <f>IF(AND(OR(M971="",M971=B971),OR(N971="",N971=B971),OR(O971="",O971=B971)),"通过","不一致")</f>
        <v/>
      </c>
    </row>
    <row r="972" ht="22" customHeight="1">
      <c r="A972" s="398" t="n">
        <v>971</v>
      </c>
      <c r="B972" s="398" t="n">
        <v>6991</v>
      </c>
      <c r="C972" s="399" t="inlineStr">
        <is>
          <t>翠焰冥契·冥契</t>
        </is>
      </c>
      <c r="D972" s="399" t="inlineStr">
        <is>
          <t>翠焰冥契</t>
        </is>
      </c>
      <c r="E972" s="399" t="n">
        <v>3</v>
      </c>
      <c r="F972" s="399" t="inlineStr">
        <is>
          <t>武器</t>
        </is>
      </c>
      <c r="G972" s="398" t="n">
        <v>5</v>
      </c>
      <c r="H972" s="398" t="n">
        <v>1</v>
      </c>
      <c r="I972" s="398" t="n">
        <v>6991</v>
      </c>
      <c r="J972" s="398" t="n">
        <v>33</v>
      </c>
      <c r="K972" s="398" t="n">
        <v>0</v>
      </c>
      <c r="L972" s="398" t="n">
        <v>0</v>
      </c>
      <c r="M972" s="398" t="n">
        <v>6991</v>
      </c>
      <c r="N972" s="398" t="n">
        <v>6991</v>
      </c>
      <c r="O972" s="398" t="n">
        <v>6991</v>
      </c>
      <c r="P972" s="292" t="inlineStr">
        <is>
          <t>Weapon.wzl/wzx（复用现有真实动作）</t>
        </is>
      </c>
      <c r="Q972" s="292" t="inlineStr">
        <is>
          <t>candidate-preflight-passed</t>
        </is>
      </c>
      <c r="R972" s="324" t="inlineStr">
        <is>
          <t>C3-C10规划锁定：乌尔迈吞日巨剑</t>
        </is>
      </c>
      <c r="S972" s="292" t="inlineStr">
        <is>
          <t>玄渊二十套全装备代码总表.xlsx</t>
        </is>
      </c>
      <c r="T972" s="292" t="inlineStr">
        <is>
          <t>玄渊20套全装备视觉候选；Items/StateItem/DnItems三库同码；属性待策划填写；Weapon Shape=33</t>
        </is>
      </c>
      <c r="U972">
        <f>IF(COUNTIF($B$2:$B$1076,B972)&gt;1,"重复","")</f>
        <v/>
      </c>
      <c r="V972">
        <f>IF(AND(OR(M972="",M972=B972),OR(N972="",N972=B972),OR(O972="",O972=B972)),"通过","不一致")</f>
        <v/>
      </c>
    </row>
    <row r="973" ht="22" customHeight="1">
      <c r="A973" s="398" t="n">
        <v>972</v>
      </c>
      <c r="B973" s="398" t="n">
        <v>6992</v>
      </c>
      <c r="C973" s="399" t="inlineStr">
        <is>
          <t>翠焰冥契·冥契</t>
        </is>
      </c>
      <c r="D973" s="399" t="inlineStr">
        <is>
          <t>翠焰冥契</t>
        </is>
      </c>
      <c r="E973" s="399" t="n">
        <v>3</v>
      </c>
      <c r="F973" s="399" t="inlineStr">
        <is>
          <t>男衣服</t>
        </is>
      </c>
      <c r="G973" s="398" t="n">
        <v>10</v>
      </c>
      <c r="H973" s="398" t="n">
        <v>0</v>
      </c>
      <c r="I973" s="398" t="n">
        <v>6992</v>
      </c>
      <c r="J973" s="398" t="n">
        <v>2</v>
      </c>
      <c r="K973" s="398" t="n">
        <v>0</v>
      </c>
      <c r="L973" s="398" t="n">
        <v>0</v>
      </c>
      <c r="M973" s="398" t="n">
        <v>6992</v>
      </c>
      <c r="N973" s="398" t="n">
        <v>6992</v>
      </c>
      <c r="O973" s="398" t="n">
        <v>6992</v>
      </c>
      <c r="P973" s="292" t="inlineStr">
        <is>
          <t>Hum.wzl/wzx（复用现有真实动作）</t>
        </is>
      </c>
      <c r="Q973" s="292" t="inlineStr">
        <is>
          <t>candidate-preflight-passed</t>
        </is>
      </c>
      <c r="R973" s="324" t="inlineStr">
        <is>
          <t>C3-C10规划锁定：掌灯君月华衣</t>
        </is>
      </c>
      <c r="S973" s="292" t="inlineStr">
        <is>
          <t>玄渊二十套全装备代码总表.xlsx</t>
        </is>
      </c>
      <c r="T973" s="292" t="inlineStr">
        <is>
          <t>玄渊20套全装备视觉候选；Items/StateItem/DnItems三库同码；属性待策划填写；Hum Shape=2</t>
        </is>
      </c>
      <c r="U973">
        <f>IF(COUNTIF($B$2:$B$1076,B973)&gt;1,"重复","")</f>
        <v/>
      </c>
      <c r="V973">
        <f>IF(AND(OR(M973="",M973=B973),OR(N973="",N973=B973),OR(O973="",O973=B973)),"通过","不一致")</f>
        <v/>
      </c>
    </row>
    <row r="974" ht="22" customHeight="1">
      <c r="A974" s="398" t="n">
        <v>973</v>
      </c>
      <c r="B974" s="398" t="n">
        <v>6993</v>
      </c>
      <c r="C974" s="399" t="inlineStr">
        <is>
          <t>翠焰冥契·冥契</t>
        </is>
      </c>
      <c r="D974" s="399" t="inlineStr">
        <is>
          <t>翠焰冥契</t>
        </is>
      </c>
      <c r="E974" s="399" t="n">
        <v>3</v>
      </c>
      <c r="F974" s="399" t="inlineStr">
        <is>
          <t>女衣服</t>
        </is>
      </c>
      <c r="G974" s="398" t="n">
        <v>11</v>
      </c>
      <c r="H974" s="398" t="n">
        <v>0</v>
      </c>
      <c r="I974" s="398" t="n">
        <v>6993</v>
      </c>
      <c r="J974" s="398" t="n">
        <v>2</v>
      </c>
      <c r="K974" s="398" t="n">
        <v>0</v>
      </c>
      <c r="L974" s="398" t="n">
        <v>0</v>
      </c>
      <c r="M974" s="398" t="n">
        <v>6993</v>
      </c>
      <c r="N974" s="398" t="n">
        <v>6993</v>
      </c>
      <c r="O974" s="398" t="n">
        <v>6993</v>
      </c>
      <c r="P974" s="292" t="inlineStr">
        <is>
          <t>Hum.wzl/wzx（复用现有真实动作）</t>
        </is>
      </c>
      <c r="Q974" s="292" t="inlineStr">
        <is>
          <t>candidate-preflight-passed</t>
        </is>
      </c>
      <c r="R974" s="292" t="str"/>
      <c r="S974" s="292" t="inlineStr">
        <is>
          <t>玄渊二十套全装备代码总表.xlsx</t>
        </is>
      </c>
      <c r="T974" s="292" t="inlineStr">
        <is>
          <t>玄渊20套全装备视觉候选；Items/StateItem/DnItems三库同码；属性待策划填写；Hum Shape=2</t>
        </is>
      </c>
      <c r="U974">
        <f>IF(COUNTIF($B$2:$B$1076,B974)&gt;1,"重复","")</f>
        <v/>
      </c>
      <c r="V974">
        <f>IF(AND(OR(M974="",M974=B974),OR(N974="",N974=B974),OR(O974="",O974=B974)),"通过","不一致")</f>
        <v/>
      </c>
    </row>
    <row r="975" ht="22" customHeight="1">
      <c r="A975" s="398" t="n">
        <v>974</v>
      </c>
      <c r="B975" s="398" t="n">
        <v>6994</v>
      </c>
      <c r="C975" s="399" t="inlineStr">
        <is>
          <t>翠焰冥契·冥契</t>
        </is>
      </c>
      <c r="D975" s="399" t="inlineStr">
        <is>
          <t>翠焰冥契</t>
        </is>
      </c>
      <c r="E975" s="399" t="n">
        <v>3</v>
      </c>
      <c r="F975" s="399" t="inlineStr">
        <is>
          <t>头盔</t>
        </is>
      </c>
      <c r="G975" s="398" t="n">
        <v>15</v>
      </c>
      <c r="H975" s="398" t="n">
        <v>4</v>
      </c>
      <c r="I975" s="398" t="n">
        <v>6994</v>
      </c>
      <c r="J975" s="398" t="n">
        <v>0</v>
      </c>
      <c r="K975" s="398" t="n">
        <v>0</v>
      </c>
      <c r="L975" s="398" t="n">
        <v>0</v>
      </c>
      <c r="M975" s="398" t="n">
        <v>6994</v>
      </c>
      <c r="N975" s="398" t="n">
        <v>6994</v>
      </c>
      <c r="O975" s="398" t="n">
        <v>6994</v>
      </c>
      <c r="P975" s="292" t="n"/>
      <c r="Q975" s="292" t="inlineStr">
        <is>
          <t>candidate-preflight-passed</t>
        </is>
      </c>
      <c r="R975" s="324" t="inlineStr">
        <is>
          <t>C3-C10规划锁定：禁声讲师冠</t>
        </is>
      </c>
      <c r="S975" s="292" t="inlineStr">
        <is>
          <t>玄渊二十套全装备代码总表.xlsx</t>
        </is>
      </c>
      <c r="T975" s="292" t="inlineStr">
        <is>
          <t>玄渊20套全装备视觉候选；Items/StateItem/DnItems三库同码；属性待策划填写</t>
        </is>
      </c>
      <c r="U975">
        <f>IF(COUNTIF($B$2:$B$1076,B975)&gt;1,"重复","")</f>
        <v/>
      </c>
      <c r="V975">
        <f>IF(AND(OR(M975="",M975=B975),OR(N975="",N975=B975),OR(O975="",O975=B975)),"通过","不一致")</f>
        <v/>
      </c>
    </row>
    <row r="976" ht="22" customHeight="1">
      <c r="A976" s="398" t="n">
        <v>975</v>
      </c>
      <c r="B976" s="398" t="n">
        <v>6995</v>
      </c>
      <c r="C976" s="399" t="inlineStr">
        <is>
          <t>翠焰冥契·冥契</t>
        </is>
      </c>
      <c r="D976" s="399" t="inlineStr">
        <is>
          <t>翠焰冥契</t>
        </is>
      </c>
      <c r="E976" s="399" t="n">
        <v>3</v>
      </c>
      <c r="F976" s="399" t="inlineStr">
        <is>
          <t>面巾</t>
        </is>
      </c>
      <c r="G976" s="398" t="n">
        <v>16</v>
      </c>
      <c r="H976" s="398" t="n">
        <v>13</v>
      </c>
      <c r="I976" s="398" t="n">
        <v>6995</v>
      </c>
      <c r="J976" s="398" t="n">
        <v>0</v>
      </c>
      <c r="K976" s="398" t="n">
        <v>0</v>
      </c>
      <c r="L976" s="398" t="n">
        <v>0</v>
      </c>
      <c r="M976" s="398" t="n">
        <v>6995</v>
      </c>
      <c r="N976" s="398" t="n">
        <v>6995</v>
      </c>
      <c r="O976" s="398" t="n">
        <v>6995</v>
      </c>
      <c r="P976" s="292" t="n"/>
      <c r="Q976" s="292" t="inlineStr">
        <is>
          <t>candidate-preflight-passed</t>
        </is>
      </c>
      <c r="R976" s="324" t="inlineStr">
        <is>
          <t>C3-C10规划锁定：深井百臂灯笠</t>
        </is>
      </c>
      <c r="S976" s="292" t="inlineStr">
        <is>
          <t>玄渊二十套全装备代码总表.xlsx</t>
        </is>
      </c>
      <c r="T976" s="292" t="inlineStr">
        <is>
          <t>玄渊20套全装备视觉候选；Items/StateItem/DnItems三库同码；属性待策划填写</t>
        </is>
      </c>
      <c r="U976">
        <f>IF(COUNTIF($B$2:$B$1076,B976)&gt;1,"重复","")</f>
        <v/>
      </c>
      <c r="V976">
        <f>IF(AND(OR(M976="",M976=B976),OR(N976="",N976=B976),OR(O976="",O976=B976)),"通过","不一致")</f>
        <v/>
      </c>
    </row>
    <row r="977" ht="22" customHeight="1">
      <c r="A977" s="398" t="n">
        <v>976</v>
      </c>
      <c r="B977" s="398" t="n">
        <v>6996</v>
      </c>
      <c r="C977" s="399" t="inlineStr">
        <is>
          <t>翠焰冥契·冥契</t>
        </is>
      </c>
      <c r="D977" s="399" t="inlineStr">
        <is>
          <t>翠焰冥契</t>
        </is>
      </c>
      <c r="E977" s="399" t="n">
        <v>3</v>
      </c>
      <c r="F977" s="399" t="inlineStr">
        <is>
          <t>项链</t>
        </is>
      </c>
      <c r="G977" s="398" t="n">
        <v>19</v>
      </c>
      <c r="H977" s="398" t="n">
        <v>3</v>
      </c>
      <c r="I977" s="398" t="n">
        <v>6996</v>
      </c>
      <c r="J977" s="398" t="n">
        <v>0</v>
      </c>
      <c r="K977" s="398" t="n">
        <v>0</v>
      </c>
      <c r="L977" s="398" t="n">
        <v>0</v>
      </c>
      <c r="M977" s="398" t="n">
        <v>6996</v>
      </c>
      <c r="N977" s="398" t="n">
        <v>6996</v>
      </c>
      <c r="O977" s="398" t="n">
        <v>6996</v>
      </c>
      <c r="P977" s="292" t="n"/>
      <c r="Q977" s="292" t="inlineStr">
        <is>
          <t>candidate-preflight-passed</t>
        </is>
      </c>
      <c r="R977" s="324" t="inlineStr">
        <is>
          <t>C3-C10规划锁定：锁页秘文链</t>
        </is>
      </c>
      <c r="S977" s="292" t="inlineStr">
        <is>
          <t>玄渊二十套全装备代码总表.xlsx</t>
        </is>
      </c>
      <c r="T977" s="292" t="inlineStr">
        <is>
          <t>玄渊20套全装备视觉候选；Items/StateItem/DnItems三库同码；属性待策划填写</t>
        </is>
      </c>
      <c r="U977">
        <f>IF(COUNTIF($B$2:$B$1076,B977)&gt;1,"重复","")</f>
        <v/>
      </c>
      <c r="V977">
        <f>IF(AND(OR(M977="",M977=B977),OR(N977="",N977=B977),OR(O977="",O977=B977)),"通过","不一致")</f>
        <v/>
      </c>
    </row>
    <row r="978" ht="22" customHeight="1">
      <c r="A978" s="398" t="n">
        <v>977</v>
      </c>
      <c r="B978" s="398" t="n">
        <v>6997</v>
      </c>
      <c r="C978" s="399" t="inlineStr">
        <is>
          <t>翠焰冥契·冥契</t>
        </is>
      </c>
      <c r="D978" s="399" t="inlineStr">
        <is>
          <t>翠焰冥契</t>
        </is>
      </c>
      <c r="E978" s="399" t="n">
        <v>3</v>
      </c>
      <c r="F978" s="399" t="inlineStr">
        <is>
          <t>手镯</t>
        </is>
      </c>
      <c r="G978" s="398" t="n">
        <v>26</v>
      </c>
      <c r="H978" s="398" t="n">
        <v>5</v>
      </c>
      <c r="I978" s="398" t="n">
        <v>6997</v>
      </c>
      <c r="J978" s="398" t="n">
        <v>0</v>
      </c>
      <c r="K978" s="398" t="n">
        <v>0</v>
      </c>
      <c r="L978" s="398" t="n">
        <v>0</v>
      </c>
      <c r="M978" s="398" t="n">
        <v>6997</v>
      </c>
      <c r="N978" s="398" t="n">
        <v>6997</v>
      </c>
      <c r="O978" s="398" t="n">
        <v>6997</v>
      </c>
      <c r="P978" s="292" t="n"/>
      <c r="Q978" s="292" t="inlineStr">
        <is>
          <t>candidate-preflight-passed</t>
        </is>
      </c>
      <c r="R978" s="324" t="inlineStr">
        <is>
          <t>C3-C10规划锁定：墨潮藏页镯</t>
        </is>
      </c>
      <c r="S978" s="292" t="inlineStr">
        <is>
          <t>玄渊二十套全装备代码总表.xlsx</t>
        </is>
      </c>
      <c r="T978" s="292" t="inlineStr">
        <is>
          <t>玄渊20套全装备视觉候选；Items/StateItem/DnItems三库同码；属性待策划填写</t>
        </is>
      </c>
      <c r="U978">
        <f>IF(COUNTIF($B$2:$B$1076,B978)&gt;1,"重复","")</f>
        <v/>
      </c>
      <c r="V978">
        <f>IF(AND(OR(M978="",M978=B978),OR(N978="",N978=B978),OR(O978="",O978=B978)),"通过","不一致")</f>
        <v/>
      </c>
    </row>
    <row r="979" ht="22" customHeight="1">
      <c r="A979" s="398" t="n">
        <v>978</v>
      </c>
      <c r="B979" s="398" t="n">
        <v>6998</v>
      </c>
      <c r="C979" s="399" t="inlineStr">
        <is>
          <t>翠焰冥契·冥契</t>
        </is>
      </c>
      <c r="D979" s="399" t="inlineStr">
        <is>
          <t>翠焰冥契</t>
        </is>
      </c>
      <c r="E979" s="399" t="n">
        <v>3</v>
      </c>
      <c r="F979" s="399" t="inlineStr">
        <is>
          <t>戒指</t>
        </is>
      </c>
      <c r="G979" s="398" t="n">
        <v>22</v>
      </c>
      <c r="H979" s="398" t="n">
        <v>7</v>
      </c>
      <c r="I979" s="398" t="n">
        <v>6998</v>
      </c>
      <c r="J979" s="398" t="n">
        <v>0</v>
      </c>
      <c r="K979" s="398" t="n">
        <v>0</v>
      </c>
      <c r="L979" s="398" t="n">
        <v>0</v>
      </c>
      <c r="M979" s="398" t="n">
        <v>6998</v>
      </c>
      <c r="N979" s="398" t="n">
        <v>6998</v>
      </c>
      <c r="O979" s="398" t="n">
        <v>6998</v>
      </c>
      <c r="P979" s="292" t="n"/>
      <c r="Q979" s="292" t="inlineStr">
        <is>
          <t>candidate-preflight-passed</t>
        </is>
      </c>
      <c r="R979" s="324" t="inlineStr">
        <is>
          <t>C3-C10规划锁定：缄印粉屑戒</t>
        </is>
      </c>
      <c r="S979" s="292" t="inlineStr">
        <is>
          <t>玄渊二十套全装备代码总表.xlsx</t>
        </is>
      </c>
      <c r="T979" s="292" t="inlineStr">
        <is>
          <t>玄渊20套全装备视觉候选；Items/StateItem/DnItems三库同码；属性待策划填写</t>
        </is>
      </c>
      <c r="U979">
        <f>IF(COUNTIF($B$2:$B$1076,B979)&gt;1,"重复","")</f>
        <v/>
      </c>
      <c r="V979">
        <f>IF(AND(OR(M979="",M979=B979),OR(N979="",N979=B979),OR(O979="",O979=B979)),"通过","不一致")</f>
        <v/>
      </c>
    </row>
    <row r="980" ht="22" customHeight="1">
      <c r="A980" s="398" t="n">
        <v>979</v>
      </c>
      <c r="B980" s="398" t="n">
        <v>6999</v>
      </c>
      <c r="C980" s="399" t="inlineStr">
        <is>
          <t>翠焰冥契·冥契</t>
        </is>
      </c>
      <c r="D980" s="399" t="inlineStr">
        <is>
          <t>翠焰冥契</t>
        </is>
      </c>
      <c r="E980" s="399" t="n">
        <v>3</v>
      </c>
      <c r="F980" s="399" t="inlineStr">
        <is>
          <t>勋章</t>
        </is>
      </c>
      <c r="G980" s="398" t="n">
        <v>30</v>
      </c>
      <c r="H980" s="398" t="n">
        <v>2</v>
      </c>
      <c r="I980" s="398" t="n">
        <v>6999</v>
      </c>
      <c r="J980" s="398" t="n">
        <v>0</v>
      </c>
      <c r="K980" s="398" t="n">
        <v>0</v>
      </c>
      <c r="L980" s="398" t="n">
        <v>0</v>
      </c>
      <c r="M980" s="398" t="n">
        <v>6999</v>
      </c>
      <c r="N980" s="398" t="n">
        <v>6999</v>
      </c>
      <c r="O980" s="398" t="n">
        <v>6999</v>
      </c>
      <c r="P980" s="292" t="n"/>
      <c r="Q980" s="292" t="inlineStr">
        <is>
          <t>candidate-preflight-passed</t>
        </is>
      </c>
      <c r="R980" s="324" t="inlineStr">
        <is>
          <t>C3-C10规划锁定：苍白圣徽</t>
        </is>
      </c>
      <c r="S980" s="292" t="inlineStr">
        <is>
          <t>玄渊二十套全装备代码总表.xlsx</t>
        </is>
      </c>
      <c r="T980" s="292" t="inlineStr">
        <is>
          <t>玄渊20套全装备视觉候选；Items/StateItem/DnItems三库同码；属性待策划填写</t>
        </is>
      </c>
      <c r="U980">
        <f>IF(COUNTIF($B$2:$B$1076,B980)&gt;1,"重复","")</f>
        <v/>
      </c>
      <c r="V980">
        <f>IF(AND(OR(M980="",M980=B980),OR(N980="",N980=B980),OR(O980="",O980=B980)),"通过","不一致")</f>
        <v/>
      </c>
    </row>
    <row r="981" ht="22" customHeight="1">
      <c r="A981" s="398" t="n">
        <v>980</v>
      </c>
      <c r="B981" s="398" t="n">
        <v>7000</v>
      </c>
      <c r="C981" s="399" t="inlineStr">
        <is>
          <t>翠焰冥契·冥契</t>
        </is>
      </c>
      <c r="D981" s="399" t="inlineStr">
        <is>
          <t>翠焰冥契</t>
        </is>
      </c>
      <c r="E981" s="399" t="n">
        <v>3</v>
      </c>
      <c r="F981" s="399" t="inlineStr">
        <is>
          <t>盾牌</t>
        </is>
      </c>
      <c r="G981" s="398" t="n">
        <v>12</v>
      </c>
      <c r="H981" s="398" t="n">
        <v>16</v>
      </c>
      <c r="I981" s="398" t="n">
        <v>7000</v>
      </c>
      <c r="J981" s="398" t="n">
        <v>0</v>
      </c>
      <c r="K981" s="398" t="n">
        <v>0</v>
      </c>
      <c r="L981" s="398" t="n">
        <v>0</v>
      </c>
      <c r="M981" s="398" t="n">
        <v>7000</v>
      </c>
      <c r="N981" s="398" t="n">
        <v>7000</v>
      </c>
      <c r="O981" s="398" t="n">
        <v>7000</v>
      </c>
      <c r="P981" s="292" t="n"/>
      <c r="Q981" s="292" t="inlineStr">
        <is>
          <t>candidate-preflight-passed</t>
        </is>
      </c>
      <c r="R981" s="324" t="inlineStr">
        <is>
          <t>C3-C10规划锁定：折月傀镜盾</t>
        </is>
      </c>
      <c r="S981" s="292" t="inlineStr">
        <is>
          <t>玄渊二十套全装备代码总表.xlsx</t>
        </is>
      </c>
      <c r="T981" s="292" t="inlineStr">
        <is>
          <t>玄渊20套全装备视觉候选；Items/StateItem/DnItems三库同码；属性待策划填写</t>
        </is>
      </c>
      <c r="U981">
        <f>IF(COUNTIF($B$2:$B$1076,B981)&gt;1,"重复","")</f>
        <v/>
      </c>
      <c r="V981">
        <f>IF(AND(OR(M981="",M981=B981),OR(N981="",N981=B981),OR(O981="",O981=B981)),"通过","不一致")</f>
        <v/>
      </c>
    </row>
    <row r="982" ht="22" customHeight="1">
      <c r="A982" s="398" t="n">
        <v>981</v>
      </c>
      <c r="B982" s="398" t="n">
        <v>7001</v>
      </c>
      <c r="C982" s="399" t="inlineStr">
        <is>
          <t>翠焰冥契·冥契</t>
        </is>
      </c>
      <c r="D982" s="399" t="inlineStr">
        <is>
          <t>翠焰冥契</t>
        </is>
      </c>
      <c r="E982" s="399" t="n">
        <v>3</v>
      </c>
      <c r="F982" s="399" t="inlineStr">
        <is>
          <t>灵玉</t>
        </is>
      </c>
      <c r="G982" s="398" t="n">
        <v>90</v>
      </c>
      <c r="H982" s="398" t="n">
        <v>17</v>
      </c>
      <c r="I982" s="398" t="n">
        <v>7001</v>
      </c>
      <c r="J982" s="398" t="n">
        <v>0</v>
      </c>
      <c r="K982" s="398" t="n">
        <v>0</v>
      </c>
      <c r="L982" s="398" t="n">
        <v>0</v>
      </c>
      <c r="M982" s="398" t="n">
        <v>7001</v>
      </c>
      <c r="N982" s="398" t="n">
        <v>7001</v>
      </c>
      <c r="O982" s="398" t="n">
        <v>7001</v>
      </c>
      <c r="P982" s="292" t="n"/>
      <c r="Q982" s="292" t="inlineStr">
        <is>
          <t>candidate-preflight-passed</t>
        </is>
      </c>
      <c r="R982" s="292" t="str"/>
      <c r="S982" s="292" t="inlineStr">
        <is>
          <t>玄渊二十套全装备代码总表.xlsx</t>
        </is>
      </c>
      <c r="T982" s="292" t="inlineStr">
        <is>
          <t>玄渊20套全装备视觉候选；Items/StateItem/DnItems三库同码；属性待策划填写</t>
        </is>
      </c>
      <c r="U982">
        <f>IF(COUNTIF($B$2:$B$1076,B982)&gt;1,"重复","")</f>
        <v/>
      </c>
      <c r="V982">
        <f>IF(AND(OR(M982="",M982=B982),OR(N982="",N982=B982),OR(O982="",O982=B982)),"通过","不一致")</f>
        <v/>
      </c>
    </row>
    <row r="983" ht="22" customHeight="1">
      <c r="A983" s="398" t="n">
        <v>982</v>
      </c>
      <c r="B983" s="398" t="n">
        <v>7002</v>
      </c>
      <c r="C983" s="399" t="inlineStr">
        <is>
          <t>翠焰冥契·冥契</t>
        </is>
      </c>
      <c r="D983" s="399" t="inlineStr">
        <is>
          <t>翠焰冥契</t>
        </is>
      </c>
      <c r="E983" s="399" t="n">
        <v>3</v>
      </c>
      <c r="F983" s="399" t="inlineStr">
        <is>
          <t>鞋子</t>
        </is>
      </c>
      <c r="G983" s="398" t="n">
        <v>62</v>
      </c>
      <c r="H983" s="398" t="n">
        <v>11</v>
      </c>
      <c r="I983" s="398" t="n">
        <v>7002</v>
      </c>
      <c r="J983" s="398" t="n">
        <v>0</v>
      </c>
      <c r="K983" s="398" t="n">
        <v>0</v>
      </c>
      <c r="L983" s="398" t="n">
        <v>0</v>
      </c>
      <c r="M983" s="398" t="n">
        <v>7002</v>
      </c>
      <c r="N983" s="398" t="n">
        <v>7002</v>
      </c>
      <c r="O983" s="398" t="n">
        <v>7002</v>
      </c>
      <c r="P983" s="292" t="n"/>
      <c r="Q983" s="292" t="inlineStr">
        <is>
          <t>candidate-preflight-passed</t>
        </is>
      </c>
      <c r="R983" s="324" t="inlineStr">
        <is>
          <t>C3-C10规划锁定：澄潮祭步履</t>
        </is>
      </c>
      <c r="S983" s="292" t="inlineStr">
        <is>
          <t>玄渊二十套全装备代码总表.xlsx</t>
        </is>
      </c>
      <c r="T983" s="292" t="inlineStr">
        <is>
          <t>玄渊20套全装备视觉候选；Items/StateItem/DnItems三库同码；属性待策划填写</t>
        </is>
      </c>
      <c r="U983">
        <f>IF(COUNTIF($B$2:$B$1076,B983)&gt;1,"重复","")</f>
        <v/>
      </c>
      <c r="V983">
        <f>IF(AND(OR(M983="",M983=B983),OR(N983="",N983=B983),OR(O983="",O983=B983)),"通过","不一致")</f>
        <v/>
      </c>
    </row>
    <row r="984" ht="22" customHeight="1">
      <c r="A984" s="398" t="n">
        <v>983</v>
      </c>
      <c r="B984" s="398" t="n">
        <v>7003</v>
      </c>
      <c r="C984" s="399" t="inlineStr">
        <is>
          <t>翠焰冥契·冥契</t>
        </is>
      </c>
      <c r="D984" s="399" t="inlineStr">
        <is>
          <t>翠焰冥契</t>
        </is>
      </c>
      <c r="E984" s="399" t="n">
        <v>3</v>
      </c>
      <c r="F984" s="399" t="inlineStr">
        <is>
          <t>腰带</t>
        </is>
      </c>
      <c r="G984" s="398" t="n">
        <v>64</v>
      </c>
      <c r="H984" s="398" t="n">
        <v>10</v>
      </c>
      <c r="I984" s="398" t="n">
        <v>7003</v>
      </c>
      <c r="J984" s="398" t="n">
        <v>0</v>
      </c>
      <c r="K984" s="398" t="n">
        <v>0</v>
      </c>
      <c r="L984" s="398" t="n">
        <v>0</v>
      </c>
      <c r="M984" s="398" t="n">
        <v>7003</v>
      </c>
      <c r="N984" s="398" t="n">
        <v>7003</v>
      </c>
      <c r="O984" s="398" t="n">
        <v>7003</v>
      </c>
      <c r="P984" s="292" t="n"/>
      <c r="Q984" s="292" t="inlineStr">
        <is>
          <t>candidate-preflight-passed</t>
        </is>
      </c>
      <c r="R984" s="324" t="inlineStr">
        <is>
          <t>C3-C10规划锁定：执炭腰封</t>
        </is>
      </c>
      <c r="S984" s="292" t="inlineStr">
        <is>
          <t>玄渊二十套全装备代码总表.xlsx</t>
        </is>
      </c>
      <c r="T984" s="292" t="inlineStr">
        <is>
          <t>玄渊20套全装备视觉候选；Items/StateItem/DnItems三库同码；属性待策划填写</t>
        </is>
      </c>
      <c r="U984">
        <f>IF(COUNTIF($B$2:$B$1076,B984)&gt;1,"重复","")</f>
        <v/>
      </c>
      <c r="V984">
        <f>IF(AND(OR(M984="",M984=B984),OR(N984="",N984=B984),OR(O984="",O984=B984)),"通过","不一致")</f>
        <v/>
      </c>
    </row>
    <row r="985" ht="22" customHeight="1">
      <c r="A985" s="398" t="n">
        <v>984</v>
      </c>
      <c r="B985" s="398" t="n">
        <v>7004</v>
      </c>
      <c r="C985" s="399" t="inlineStr">
        <is>
          <t>翠焰冥契·冥契</t>
        </is>
      </c>
      <c r="D985" s="399" t="inlineStr">
        <is>
          <t>翠焰冥契</t>
        </is>
      </c>
      <c r="E985" s="399" t="n">
        <v>3</v>
      </c>
      <c r="F985" s="399" t="inlineStr">
        <is>
          <t>护身符</t>
        </is>
      </c>
      <c r="G985" s="398" t="n">
        <v>25</v>
      </c>
      <c r="H985" s="398" t="n">
        <v>9</v>
      </c>
      <c r="I985" s="398" t="n">
        <v>7004</v>
      </c>
      <c r="J985" s="398" t="n">
        <v>0</v>
      </c>
      <c r="K985" s="398" t="n">
        <v>0</v>
      </c>
      <c r="L985" s="398" t="n">
        <v>0</v>
      </c>
      <c r="M985" s="398" t="n">
        <v>7004</v>
      </c>
      <c r="N985" s="398" t="n">
        <v>7004</v>
      </c>
      <c r="O985" s="398" t="n">
        <v>7004</v>
      </c>
      <c r="P985" s="292" t="n"/>
      <c r="Q985" s="292" t="inlineStr">
        <is>
          <t>candidate-preflight-passed</t>
        </is>
      </c>
      <c r="R985" s="292" t="str"/>
      <c r="S985" s="292" t="inlineStr">
        <is>
          <t>玄渊二十套全装备代码总表.xlsx</t>
        </is>
      </c>
      <c r="T985" s="292" t="inlineStr">
        <is>
          <t>玄渊20套全装备视觉候选；Items/StateItem/DnItems三库同码；属性待策划填写</t>
        </is>
      </c>
      <c r="U985">
        <f>IF(COUNTIF($B$2:$B$1076,B985)&gt;1,"重复","")</f>
        <v/>
      </c>
      <c r="V985">
        <f>IF(AND(OR(M985="",M985=B985),OR(N985="",N985=B985),OR(O985="",O985=B985)),"通过","不一致")</f>
        <v/>
      </c>
    </row>
    <row r="986" ht="22" customHeight="1">
      <c r="A986" s="398" t="n">
        <v>985</v>
      </c>
      <c r="B986" s="398" t="n">
        <v>7005</v>
      </c>
      <c r="C986" s="399" t="inlineStr">
        <is>
          <t>翠焰冥契·冥契</t>
        </is>
      </c>
      <c r="D986" s="399" t="inlineStr">
        <is>
          <t>翠焰冥契</t>
        </is>
      </c>
      <c r="E986" s="399" t="n">
        <v>3</v>
      </c>
      <c r="F986" s="399" t="inlineStr">
        <is>
          <t>宝石</t>
        </is>
      </c>
      <c r="G986" s="398" t="n">
        <v>63</v>
      </c>
      <c r="H986" s="398" t="n">
        <v>12</v>
      </c>
      <c r="I986" s="398" t="n">
        <v>7005</v>
      </c>
      <c r="J986" s="398" t="n">
        <v>0</v>
      </c>
      <c r="K986" s="398" t="n">
        <v>0</v>
      </c>
      <c r="L986" s="398" t="n">
        <v>0</v>
      </c>
      <c r="M986" s="398" t="n">
        <v>7005</v>
      </c>
      <c r="N986" s="398" t="n">
        <v>7005</v>
      </c>
      <c r="O986" s="398" t="n">
        <v>7005</v>
      </c>
      <c r="P986" s="292" t="n"/>
      <c r="Q986" s="292" t="inlineStr">
        <is>
          <t>candidate-preflight-passed</t>
        </is>
      </c>
      <c r="R986" s="292" t="str"/>
      <c r="S986" s="292" t="inlineStr">
        <is>
          <t>玄渊二十套全装备代码总表.xlsx</t>
        </is>
      </c>
      <c r="T986" s="292" t="inlineStr">
        <is>
          <t>玄渊20套全装备视觉候选；Items/StateItem/DnItems三库同码；属性待策划填写</t>
        </is>
      </c>
      <c r="U986">
        <f>IF(COUNTIF($B$2:$B$1076,B986)&gt;1,"重复","")</f>
        <v/>
      </c>
      <c r="V986">
        <f>IF(AND(OR(M986="",M986=B986),OR(N986="",N986=B986),OR(O986="",O986=B986)),"通过","不一致")</f>
        <v/>
      </c>
    </row>
    <row r="987" ht="22" customHeight="1">
      <c r="A987" s="398" t="n">
        <v>986</v>
      </c>
      <c r="B987" s="398" t="n">
        <v>7006</v>
      </c>
      <c r="C987" s="399" t="inlineStr">
        <is>
          <t>翠焰冥契·冥契</t>
        </is>
      </c>
      <c r="D987" s="399" t="inlineStr">
        <is>
          <t>翠焰冥契</t>
        </is>
      </c>
      <c r="E987" s="399" t="n">
        <v>3</v>
      </c>
      <c r="F987" s="399" t="inlineStr">
        <is>
          <t>军鼓</t>
        </is>
      </c>
      <c r="G987" s="398" t="n">
        <v>65</v>
      </c>
      <c r="H987" s="398" t="n">
        <v>14</v>
      </c>
      <c r="I987" s="398" t="n">
        <v>7006</v>
      </c>
      <c r="J987" s="398" t="n">
        <v>0</v>
      </c>
      <c r="K987" s="398" t="n">
        <v>0</v>
      </c>
      <c r="L987" s="398" t="n">
        <v>0</v>
      </c>
      <c r="M987" s="398" t="n">
        <v>7006</v>
      </c>
      <c r="N987" s="398" t="n">
        <v>7006</v>
      </c>
      <c r="O987" s="398" t="n">
        <v>7006</v>
      </c>
      <c r="P987" s="292" t="n"/>
      <c r="Q987" s="292" t="inlineStr">
        <is>
          <t>candidate-preflight-passed</t>
        </is>
      </c>
      <c r="R987" s="292" t="str"/>
      <c r="S987" s="292" t="inlineStr">
        <is>
          <t>玄渊二十套全装备代码总表.xlsx</t>
        </is>
      </c>
      <c r="T987" s="292" t="inlineStr">
        <is>
          <t>玄渊20套全装备视觉候选；Items/StateItem/DnItems三库同码；属性待策划填写</t>
        </is>
      </c>
      <c r="U987">
        <f>IF(COUNTIF($B$2:$B$1076,B987)&gt;1,"重复","")</f>
        <v/>
      </c>
      <c r="V987">
        <f>IF(AND(OR(M987="",M987=B987),OR(N987="",N987=B987),OR(O987="",O987=B987)),"通过","不一致")</f>
        <v/>
      </c>
    </row>
    <row r="988" ht="22" customHeight="1">
      <c r="A988" s="398" t="n">
        <v>987</v>
      </c>
      <c r="B988" s="398" t="n">
        <v>7007</v>
      </c>
      <c r="C988" s="399" t="inlineStr">
        <is>
          <t>翠焰冥契·冥契</t>
        </is>
      </c>
      <c r="D988" s="399" t="inlineStr">
        <is>
          <t>翠焰冥契</t>
        </is>
      </c>
      <c r="E988" s="399" t="n">
        <v>3</v>
      </c>
      <c r="F988" s="399" t="inlineStr">
        <is>
          <t>马牌</t>
        </is>
      </c>
      <c r="G988" s="398" t="n">
        <v>28</v>
      </c>
      <c r="H988" s="398" t="n">
        <v>15</v>
      </c>
      <c r="I988" s="398" t="n">
        <v>7007</v>
      </c>
      <c r="J988" s="398" t="n">
        <v>0</v>
      </c>
      <c r="K988" s="398" t="n">
        <v>0</v>
      </c>
      <c r="L988" s="398" t="n">
        <v>0</v>
      </c>
      <c r="M988" s="398" t="n">
        <v>7007</v>
      </c>
      <c r="N988" s="398" t="n">
        <v>7007</v>
      </c>
      <c r="O988" s="398" t="n">
        <v>7007</v>
      </c>
      <c r="P988" s="292" t="n"/>
      <c r="Q988" s="292" t="inlineStr">
        <is>
          <t>candidate-preflight-passed</t>
        </is>
      </c>
      <c r="R988" s="292" t="str"/>
      <c r="S988" s="292" t="inlineStr">
        <is>
          <t>玄渊二十套全装备代码总表.xlsx</t>
        </is>
      </c>
      <c r="T988" s="292" t="inlineStr">
        <is>
          <t>玄渊20套全装备视觉候选；Items/StateItem/DnItems三库同码；属性待策划填写</t>
        </is>
      </c>
      <c r="U988">
        <f>IF(COUNTIF($B$2:$B$1076,B988)&gt;1,"重复","")</f>
        <v/>
      </c>
      <c r="V988">
        <f>IF(AND(OR(M988="",M988=B988),OR(N988="",N988=B988),OR(O988="",O988=B988)),"通过","不一致")</f>
        <v/>
      </c>
    </row>
    <row r="989" ht="22" customHeight="1">
      <c r="A989" s="398" t="n">
        <v>988</v>
      </c>
      <c r="B989" s="398" t="n">
        <v>7008</v>
      </c>
      <c r="C989" s="399" t="inlineStr">
        <is>
          <t>翠焰冥契·冥契</t>
        </is>
      </c>
      <c r="D989" s="399" t="inlineStr">
        <is>
          <t>翠焰冥契</t>
        </is>
      </c>
      <c r="E989" s="399" t="n">
        <v>3</v>
      </c>
      <c r="F989" s="399" t="inlineStr">
        <is>
          <t>首饰盒1</t>
        </is>
      </c>
      <c r="G989" s="398" t="n">
        <v>22</v>
      </c>
      <c r="H989" s="398" t="n">
        <v>30</v>
      </c>
      <c r="I989" s="398" t="n">
        <v>7008</v>
      </c>
      <c r="J989" s="398" t="n">
        <v>0</v>
      </c>
      <c r="K989" s="398" t="n">
        <v>2</v>
      </c>
      <c r="L989" s="398" t="n">
        <v>1</v>
      </c>
      <c r="M989" s="398" t="n">
        <v>7008</v>
      </c>
      <c r="N989" s="398" t="n">
        <v>7008</v>
      </c>
      <c r="O989" s="398" t="n">
        <v>7008</v>
      </c>
      <c r="P989" s="292" t="n"/>
      <c r="Q989" s="292" t="inlineStr">
        <is>
          <t>candidate-preflight-passed</t>
        </is>
      </c>
      <c r="R989" s="292" t="str"/>
      <c r="S989" s="292" t="inlineStr">
        <is>
          <t>玄渊二十套全装备代码总表.xlsx</t>
        </is>
      </c>
      <c r="T989" s="292" t="inlineStr">
        <is>
          <t>玄渊20套全装备视觉候选；Items/StateItem/DnItems三库同码；属性待策划填写；OverLap=2; Expand1=1</t>
        </is>
      </c>
      <c r="U989">
        <f>IF(COUNTIF($B$2:$B$1076,B989)&gt;1,"重复","")</f>
        <v/>
      </c>
      <c r="V989">
        <f>IF(AND(OR(M989="",M989=B989),OR(N989="",N989=B989),OR(O989="",O989=B989)),"通过","不一致")</f>
        <v/>
      </c>
    </row>
    <row r="990" ht="22" customHeight="1">
      <c r="A990" s="398" t="n">
        <v>989</v>
      </c>
      <c r="B990" s="398" t="n">
        <v>7009</v>
      </c>
      <c r="C990" s="399" t="inlineStr">
        <is>
          <t>翠焰冥契·冥契</t>
        </is>
      </c>
      <c r="D990" s="399" t="inlineStr">
        <is>
          <t>翠焰冥契</t>
        </is>
      </c>
      <c r="E990" s="399" t="n">
        <v>3</v>
      </c>
      <c r="F990" s="399" t="inlineStr">
        <is>
          <t>首饰盒2</t>
        </is>
      </c>
      <c r="G990" s="398" t="n">
        <v>22</v>
      </c>
      <c r="H990" s="398" t="n">
        <v>31</v>
      </c>
      <c r="I990" s="398" t="n">
        <v>7009</v>
      </c>
      <c r="J990" s="398" t="n">
        <v>0</v>
      </c>
      <c r="K990" s="398" t="n">
        <v>2</v>
      </c>
      <c r="L990" s="398" t="n">
        <v>2</v>
      </c>
      <c r="M990" s="398" t="n">
        <v>7009</v>
      </c>
      <c r="N990" s="398" t="n">
        <v>7009</v>
      </c>
      <c r="O990" s="398" t="n">
        <v>7009</v>
      </c>
      <c r="P990" s="292" t="n"/>
      <c r="Q990" s="292" t="inlineStr">
        <is>
          <t>candidate-preflight-passed</t>
        </is>
      </c>
      <c r="R990" s="292" t="str"/>
      <c r="S990" s="292" t="inlineStr">
        <is>
          <t>玄渊二十套全装备代码总表.xlsx</t>
        </is>
      </c>
      <c r="T990" s="292" t="inlineStr">
        <is>
          <t>玄渊20套全装备视觉候选；Items/StateItem/DnItems三库同码；属性待策划填写；OverLap=2; Expand1=2</t>
        </is>
      </c>
      <c r="U990">
        <f>IF(COUNTIF($B$2:$B$1076,B990)&gt;1,"重复","")</f>
        <v/>
      </c>
      <c r="V990">
        <f>IF(AND(OR(M990="",M990=B990),OR(N990="",N990=B990),OR(O990="",O990=B990)),"通过","不一致")</f>
        <v/>
      </c>
    </row>
    <row r="991" ht="22" customHeight="1">
      <c r="A991" s="398" t="n">
        <v>990</v>
      </c>
      <c r="B991" s="398" t="n">
        <v>7010</v>
      </c>
      <c r="C991" s="399" t="inlineStr">
        <is>
          <t>翠焰冥契·冥契</t>
        </is>
      </c>
      <c r="D991" s="399" t="inlineStr">
        <is>
          <t>翠焰冥契</t>
        </is>
      </c>
      <c r="E991" s="399" t="n">
        <v>3</v>
      </c>
      <c r="F991" s="399" t="inlineStr">
        <is>
          <t>首饰盒3</t>
        </is>
      </c>
      <c r="G991" s="398" t="n">
        <v>22</v>
      </c>
      <c r="H991" s="398" t="n">
        <v>32</v>
      </c>
      <c r="I991" s="398" t="n">
        <v>7010</v>
      </c>
      <c r="J991" s="398" t="n">
        <v>0</v>
      </c>
      <c r="K991" s="398" t="n">
        <v>2</v>
      </c>
      <c r="L991" s="398" t="n">
        <v>3</v>
      </c>
      <c r="M991" s="398" t="n">
        <v>7010</v>
      </c>
      <c r="N991" s="398" t="n">
        <v>7010</v>
      </c>
      <c r="O991" s="398" t="n">
        <v>7010</v>
      </c>
      <c r="P991" s="292" t="n"/>
      <c r="Q991" s="292" t="inlineStr">
        <is>
          <t>candidate-preflight-passed</t>
        </is>
      </c>
      <c r="R991" s="292" t="str"/>
      <c r="S991" s="292" t="inlineStr">
        <is>
          <t>玄渊二十套全装备代码总表.xlsx</t>
        </is>
      </c>
      <c r="T991" s="292" t="inlineStr">
        <is>
          <t>玄渊20套全装备视觉候选；Items/StateItem/DnItems三库同码；属性待策划填写；OverLap=2; Expand1=3</t>
        </is>
      </c>
      <c r="U991">
        <f>IF(COUNTIF($B$2:$B$1076,B991)&gt;1,"重复","")</f>
        <v/>
      </c>
      <c r="V991">
        <f>IF(AND(OR(M991="",M991=B991),OR(N991="",N991=B991),OR(O991="",O991=B991)),"通过","不一致")</f>
        <v/>
      </c>
    </row>
    <row r="992" ht="22" customHeight="1">
      <c r="A992" s="398" t="n">
        <v>991</v>
      </c>
      <c r="B992" s="398" t="n">
        <v>7011</v>
      </c>
      <c r="C992" s="399" t="inlineStr">
        <is>
          <t>翠焰冥契·冥契</t>
        </is>
      </c>
      <c r="D992" s="399" t="inlineStr">
        <is>
          <t>翠焰冥契</t>
        </is>
      </c>
      <c r="E992" s="399" t="n">
        <v>3</v>
      </c>
      <c r="F992" s="399" t="inlineStr">
        <is>
          <t>首饰盒4</t>
        </is>
      </c>
      <c r="G992" s="398" t="n">
        <v>22</v>
      </c>
      <c r="H992" s="398" t="n">
        <v>33</v>
      </c>
      <c r="I992" s="398" t="n">
        <v>7011</v>
      </c>
      <c r="J992" s="398" t="n">
        <v>0</v>
      </c>
      <c r="K992" s="398" t="n">
        <v>2</v>
      </c>
      <c r="L992" s="398" t="n">
        <v>4</v>
      </c>
      <c r="M992" s="398" t="n">
        <v>7011</v>
      </c>
      <c r="N992" s="398" t="n">
        <v>7011</v>
      </c>
      <c r="O992" s="398" t="n">
        <v>7011</v>
      </c>
      <c r="P992" s="292" t="n"/>
      <c r="Q992" s="292" t="inlineStr">
        <is>
          <t>candidate-preflight-passed</t>
        </is>
      </c>
      <c r="R992" s="292" t="str"/>
      <c r="S992" s="292" t="inlineStr">
        <is>
          <t>玄渊二十套全装备代码总表.xlsx</t>
        </is>
      </c>
      <c r="T992" s="292" t="inlineStr">
        <is>
          <t>玄渊20套全装备视觉候选；Items/StateItem/DnItems三库同码；属性待策划填写；OverLap=2; Expand1=4</t>
        </is>
      </c>
      <c r="U992">
        <f>IF(COUNTIF($B$2:$B$1076,B992)&gt;1,"重复","")</f>
        <v/>
      </c>
      <c r="V992">
        <f>IF(AND(OR(M992="",M992=B992),OR(N992="",N992=B992),OR(O992="",O992=B992)),"通过","不一致")</f>
        <v/>
      </c>
    </row>
    <row r="993" ht="22" customHeight="1">
      <c r="A993" s="398" t="n">
        <v>992</v>
      </c>
      <c r="B993" s="398" t="n">
        <v>7012</v>
      </c>
      <c r="C993" s="399" t="inlineStr">
        <is>
          <t>翠焰冥契·冥契</t>
        </is>
      </c>
      <c r="D993" s="399" t="inlineStr">
        <is>
          <t>翠焰冥契</t>
        </is>
      </c>
      <c r="E993" s="399" t="n">
        <v>3</v>
      </c>
      <c r="F993" s="399" t="inlineStr">
        <is>
          <t>首饰盒5</t>
        </is>
      </c>
      <c r="G993" s="398" t="n">
        <v>22</v>
      </c>
      <c r="H993" s="398" t="n">
        <v>34</v>
      </c>
      <c r="I993" s="398" t="n">
        <v>7012</v>
      </c>
      <c r="J993" s="398" t="n">
        <v>0</v>
      </c>
      <c r="K993" s="398" t="n">
        <v>2</v>
      </c>
      <c r="L993" s="398" t="n">
        <v>5</v>
      </c>
      <c r="M993" s="398" t="n">
        <v>7012</v>
      </c>
      <c r="N993" s="398" t="n">
        <v>7012</v>
      </c>
      <c r="O993" s="398" t="n">
        <v>7012</v>
      </c>
      <c r="P993" s="292" t="n"/>
      <c r="Q993" s="292" t="inlineStr">
        <is>
          <t>candidate-preflight-passed</t>
        </is>
      </c>
      <c r="R993" s="292" t="str"/>
      <c r="S993" s="292" t="inlineStr">
        <is>
          <t>玄渊二十套全装备代码总表.xlsx</t>
        </is>
      </c>
      <c r="T993" s="292" t="inlineStr">
        <is>
          <t>玄渊20套全装备视觉候选；Items/StateItem/DnItems三库同码；属性待策划填写；OverLap=2; Expand1=5</t>
        </is>
      </c>
      <c r="U993">
        <f>IF(COUNTIF($B$2:$B$1076,B993)&gt;1,"重复","")</f>
        <v/>
      </c>
      <c r="V993">
        <f>IF(AND(OR(M993="",M993=B993),OR(N993="",N993=B993),OR(O993="",O993=B993)),"通过","不一致")</f>
        <v/>
      </c>
    </row>
    <row r="994" ht="22" customHeight="1">
      <c r="A994" s="398" t="n">
        <v>993</v>
      </c>
      <c r="B994" s="398" t="n">
        <v>7013</v>
      </c>
      <c r="C994" s="399" t="inlineStr">
        <is>
          <t>翠焰冥契·冥契</t>
        </is>
      </c>
      <c r="D994" s="399" t="inlineStr">
        <is>
          <t>翠焰冥契</t>
        </is>
      </c>
      <c r="E994" s="399" t="n">
        <v>3</v>
      </c>
      <c r="F994" s="399" t="inlineStr">
        <is>
          <t>首饰盒6</t>
        </is>
      </c>
      <c r="G994" s="398" t="n">
        <v>22</v>
      </c>
      <c r="H994" s="398" t="n">
        <v>35</v>
      </c>
      <c r="I994" s="398" t="n">
        <v>7013</v>
      </c>
      <c r="J994" s="398" t="n">
        <v>0</v>
      </c>
      <c r="K994" s="398" t="n">
        <v>2</v>
      </c>
      <c r="L994" s="398" t="n">
        <v>6</v>
      </c>
      <c r="M994" s="398" t="n">
        <v>7013</v>
      </c>
      <c r="N994" s="398" t="n">
        <v>7013</v>
      </c>
      <c r="O994" s="398" t="n">
        <v>7013</v>
      </c>
      <c r="P994" s="292" t="n"/>
      <c r="Q994" s="292" t="inlineStr">
        <is>
          <t>candidate-preflight-passed</t>
        </is>
      </c>
      <c r="R994" s="292" t="str"/>
      <c r="S994" s="292" t="inlineStr">
        <is>
          <t>玄渊二十套全装备代码总表.xlsx</t>
        </is>
      </c>
      <c r="T994" s="292" t="inlineStr">
        <is>
          <t>玄渊20套全装备视觉候选；Items/StateItem/DnItems三库同码；属性待策划填写；OverLap=2; Expand1=6</t>
        </is>
      </c>
      <c r="U994">
        <f>IF(COUNTIF($B$2:$B$1076,B994)&gt;1,"重复","")</f>
        <v/>
      </c>
      <c r="V994">
        <f>IF(AND(OR(M994="",M994=B994),OR(N994="",N994=B994),OR(O994="",O994=B994)),"通过","不一致")</f>
        <v/>
      </c>
    </row>
    <row r="995" ht="22" customHeight="1">
      <c r="A995" s="398" t="n">
        <v>994</v>
      </c>
      <c r="B995" s="398" t="n">
        <v>7014</v>
      </c>
      <c r="C995" s="399" t="inlineStr">
        <is>
          <t>翠焰冥契·冥契</t>
        </is>
      </c>
      <c r="D995" s="399" t="inlineStr">
        <is>
          <t>翠焰冥契</t>
        </is>
      </c>
      <c r="E995" s="399" t="n">
        <v>3</v>
      </c>
      <c r="F995" s="399" t="inlineStr">
        <is>
          <t>生肖1</t>
        </is>
      </c>
      <c r="G995" s="398" t="n">
        <v>22</v>
      </c>
      <c r="H995" s="398" t="n">
        <v>40</v>
      </c>
      <c r="I995" s="398" t="n">
        <v>7014</v>
      </c>
      <c r="J995" s="398" t="n">
        <v>0</v>
      </c>
      <c r="K995" s="398" t="n">
        <v>4</v>
      </c>
      <c r="L995" s="398" t="n">
        <v>1</v>
      </c>
      <c r="M995" s="398" t="n">
        <v>7014</v>
      </c>
      <c r="N995" s="398" t="n">
        <v>7014</v>
      </c>
      <c r="O995" s="398" t="n">
        <v>7014</v>
      </c>
      <c r="P995" s="292" t="n"/>
      <c r="Q995" s="292" t="inlineStr">
        <is>
          <t>candidate-preflight-passed</t>
        </is>
      </c>
      <c r="R995" s="292" t="str"/>
      <c r="S995" s="292" t="inlineStr">
        <is>
          <t>玄渊二十套全装备代码总表.xlsx</t>
        </is>
      </c>
      <c r="T995" s="292" t="inlineStr">
        <is>
          <t>玄渊20套全装备视觉候选；Items/StateItem/DnItems三库同码；属性待策划填写；OverLap=4; Expand1=1</t>
        </is>
      </c>
      <c r="U995">
        <f>IF(COUNTIF($B$2:$B$1076,B995)&gt;1,"重复","")</f>
        <v/>
      </c>
      <c r="V995">
        <f>IF(AND(OR(M995="",M995=B995),OR(N995="",N995=B995),OR(O995="",O995=B995)),"通过","不一致")</f>
        <v/>
      </c>
    </row>
    <row r="996" ht="22" customHeight="1">
      <c r="A996" s="398" t="n">
        <v>995</v>
      </c>
      <c r="B996" s="398" t="n">
        <v>7015</v>
      </c>
      <c r="C996" s="399" t="inlineStr">
        <is>
          <t>翠焰冥契·冥契</t>
        </is>
      </c>
      <c r="D996" s="399" t="inlineStr">
        <is>
          <t>翠焰冥契</t>
        </is>
      </c>
      <c r="E996" s="399" t="n">
        <v>3</v>
      </c>
      <c r="F996" s="399" t="inlineStr">
        <is>
          <t>生肖2</t>
        </is>
      </c>
      <c r="G996" s="398" t="n">
        <v>22</v>
      </c>
      <c r="H996" s="398" t="n">
        <v>41</v>
      </c>
      <c r="I996" s="398" t="n">
        <v>7015</v>
      </c>
      <c r="J996" s="398" t="n">
        <v>0</v>
      </c>
      <c r="K996" s="398" t="n">
        <v>4</v>
      </c>
      <c r="L996" s="398" t="n">
        <v>2</v>
      </c>
      <c r="M996" s="398" t="n">
        <v>7015</v>
      </c>
      <c r="N996" s="398" t="n">
        <v>7015</v>
      </c>
      <c r="O996" s="398" t="n">
        <v>7015</v>
      </c>
      <c r="P996" s="292" t="n"/>
      <c r="Q996" s="292" t="inlineStr">
        <is>
          <t>candidate-preflight-passed</t>
        </is>
      </c>
      <c r="R996" s="292" t="str"/>
      <c r="S996" s="292" t="inlineStr">
        <is>
          <t>玄渊二十套全装备代码总表.xlsx</t>
        </is>
      </c>
      <c r="T996" s="292" t="inlineStr">
        <is>
          <t>玄渊20套全装备视觉候选；Items/StateItem/DnItems三库同码；属性待策划填写；OverLap=4; Expand1=2</t>
        </is>
      </c>
      <c r="U996">
        <f>IF(COUNTIF($B$2:$B$1076,B996)&gt;1,"重复","")</f>
        <v/>
      </c>
      <c r="V996">
        <f>IF(AND(OR(M996="",M996=B996),OR(N996="",N996=B996),OR(O996="",O996=B996)),"通过","不一致")</f>
        <v/>
      </c>
    </row>
    <row r="997" ht="22" customHeight="1">
      <c r="A997" s="398" t="n">
        <v>996</v>
      </c>
      <c r="B997" s="398" t="n">
        <v>7016</v>
      </c>
      <c r="C997" s="399" t="inlineStr">
        <is>
          <t>翠焰冥契·冥契</t>
        </is>
      </c>
      <c r="D997" s="399" t="inlineStr">
        <is>
          <t>翠焰冥契</t>
        </is>
      </c>
      <c r="E997" s="399" t="n">
        <v>3</v>
      </c>
      <c r="F997" s="399" t="inlineStr">
        <is>
          <t>生肖3</t>
        </is>
      </c>
      <c r="G997" s="398" t="n">
        <v>22</v>
      </c>
      <c r="H997" s="398" t="n">
        <v>42</v>
      </c>
      <c r="I997" s="398" t="n">
        <v>7016</v>
      </c>
      <c r="J997" s="398" t="n">
        <v>0</v>
      </c>
      <c r="K997" s="398" t="n">
        <v>4</v>
      </c>
      <c r="L997" s="398" t="n">
        <v>3</v>
      </c>
      <c r="M997" s="398" t="n">
        <v>7016</v>
      </c>
      <c r="N997" s="398" t="n">
        <v>7016</v>
      </c>
      <c r="O997" s="398" t="n">
        <v>7016</v>
      </c>
      <c r="P997" s="292" t="n"/>
      <c r="Q997" s="292" t="inlineStr">
        <is>
          <t>candidate-preflight-passed</t>
        </is>
      </c>
      <c r="R997" s="292" t="str"/>
      <c r="S997" s="292" t="inlineStr">
        <is>
          <t>玄渊二十套全装备代码总表.xlsx</t>
        </is>
      </c>
      <c r="T997" s="292" t="inlineStr">
        <is>
          <t>玄渊20套全装备视觉候选；Items/StateItem/DnItems三库同码；属性待策划填写；OverLap=4; Expand1=3</t>
        </is>
      </c>
      <c r="U997">
        <f>IF(COUNTIF($B$2:$B$1076,B997)&gt;1,"重复","")</f>
        <v/>
      </c>
      <c r="V997">
        <f>IF(AND(OR(M997="",M997=B997),OR(N997="",N997=B997),OR(O997="",O997=B997)),"通过","不一致")</f>
        <v/>
      </c>
    </row>
    <row r="998" ht="22" customHeight="1">
      <c r="A998" s="398" t="n">
        <v>997</v>
      </c>
      <c r="B998" s="398" t="n">
        <v>7017</v>
      </c>
      <c r="C998" s="399" t="inlineStr">
        <is>
          <t>翠焰冥契·冥契</t>
        </is>
      </c>
      <c r="D998" s="399" t="inlineStr">
        <is>
          <t>翠焰冥契</t>
        </is>
      </c>
      <c r="E998" s="399" t="n">
        <v>3</v>
      </c>
      <c r="F998" s="399" t="inlineStr">
        <is>
          <t>生肖4</t>
        </is>
      </c>
      <c r="G998" s="398" t="n">
        <v>22</v>
      </c>
      <c r="H998" s="398" t="n">
        <v>43</v>
      </c>
      <c r="I998" s="398" t="n">
        <v>7017</v>
      </c>
      <c r="J998" s="398" t="n">
        <v>0</v>
      </c>
      <c r="K998" s="398" t="n">
        <v>4</v>
      </c>
      <c r="L998" s="398" t="n">
        <v>4</v>
      </c>
      <c r="M998" s="398" t="n">
        <v>7017</v>
      </c>
      <c r="N998" s="398" t="n">
        <v>7017</v>
      </c>
      <c r="O998" s="398" t="n">
        <v>7017</v>
      </c>
      <c r="P998" s="292" t="n"/>
      <c r="Q998" s="292" t="inlineStr">
        <is>
          <t>candidate-preflight-passed</t>
        </is>
      </c>
      <c r="R998" s="292" t="str"/>
      <c r="S998" s="292" t="inlineStr">
        <is>
          <t>玄渊二十套全装备代码总表.xlsx</t>
        </is>
      </c>
      <c r="T998" s="292" t="inlineStr">
        <is>
          <t>玄渊20套全装备视觉候选；Items/StateItem/DnItems三库同码；属性待策划填写；OverLap=4; Expand1=4</t>
        </is>
      </c>
      <c r="U998">
        <f>IF(COUNTIF($B$2:$B$1076,B998)&gt;1,"重复","")</f>
        <v/>
      </c>
      <c r="V998">
        <f>IF(AND(OR(M998="",M998=B998),OR(N998="",N998=B998),OR(O998="",O998=B998)),"通过","不一致")</f>
        <v/>
      </c>
    </row>
    <row r="999" ht="22" customHeight="1">
      <c r="A999" s="398" t="n">
        <v>998</v>
      </c>
      <c r="B999" s="398" t="n">
        <v>7018</v>
      </c>
      <c r="C999" s="399" t="inlineStr">
        <is>
          <t>翠焰冥契·冥契</t>
        </is>
      </c>
      <c r="D999" s="399" t="inlineStr">
        <is>
          <t>翠焰冥契</t>
        </is>
      </c>
      <c r="E999" s="399" t="n">
        <v>3</v>
      </c>
      <c r="F999" s="399" t="inlineStr">
        <is>
          <t>生肖5</t>
        </is>
      </c>
      <c r="G999" s="398" t="n">
        <v>22</v>
      </c>
      <c r="H999" s="398" t="n">
        <v>44</v>
      </c>
      <c r="I999" s="398" t="n">
        <v>7018</v>
      </c>
      <c r="J999" s="398" t="n">
        <v>0</v>
      </c>
      <c r="K999" s="398" t="n">
        <v>4</v>
      </c>
      <c r="L999" s="398" t="n">
        <v>5</v>
      </c>
      <c r="M999" s="398" t="n">
        <v>7018</v>
      </c>
      <c r="N999" s="398" t="n">
        <v>7018</v>
      </c>
      <c r="O999" s="398" t="n">
        <v>7018</v>
      </c>
      <c r="P999" s="292" t="n"/>
      <c r="Q999" s="292" t="inlineStr">
        <is>
          <t>candidate-preflight-passed</t>
        </is>
      </c>
      <c r="R999" s="292" t="str"/>
      <c r="S999" s="292" t="inlineStr">
        <is>
          <t>玄渊二十套全装备代码总表.xlsx</t>
        </is>
      </c>
      <c r="T999" s="292" t="inlineStr">
        <is>
          <t>玄渊20套全装备视觉候选；Items/StateItem/DnItems三库同码；属性待策划填写；OverLap=4; Expand1=5</t>
        </is>
      </c>
      <c r="U999">
        <f>IF(COUNTIF($B$2:$B$1076,B999)&gt;1,"重复","")</f>
        <v/>
      </c>
      <c r="V999">
        <f>IF(AND(OR(M999="",M999=B999),OR(N999="",N999=B999),OR(O999="",O999=B999)),"通过","不一致")</f>
        <v/>
      </c>
    </row>
    <row r="1000" ht="22" customHeight="1">
      <c r="A1000" s="398" t="n">
        <v>999</v>
      </c>
      <c r="B1000" s="398" t="n">
        <v>7019</v>
      </c>
      <c r="C1000" s="399" t="inlineStr">
        <is>
          <t>翠焰冥契·冥契</t>
        </is>
      </c>
      <c r="D1000" s="399" t="inlineStr">
        <is>
          <t>翠焰冥契</t>
        </is>
      </c>
      <c r="E1000" s="399" t="n">
        <v>3</v>
      </c>
      <c r="F1000" s="399" t="inlineStr">
        <is>
          <t>生肖6</t>
        </is>
      </c>
      <c r="G1000" s="398" t="n">
        <v>22</v>
      </c>
      <c r="H1000" s="398" t="n">
        <v>45</v>
      </c>
      <c r="I1000" s="398" t="n">
        <v>7019</v>
      </c>
      <c r="J1000" s="398" t="n">
        <v>0</v>
      </c>
      <c r="K1000" s="398" t="n">
        <v>4</v>
      </c>
      <c r="L1000" s="398" t="n">
        <v>6</v>
      </c>
      <c r="M1000" s="398" t="n">
        <v>7019</v>
      </c>
      <c r="N1000" s="398" t="n">
        <v>7019</v>
      </c>
      <c r="O1000" s="398" t="n">
        <v>7019</v>
      </c>
      <c r="P1000" s="292" t="n"/>
      <c r="Q1000" s="292" t="inlineStr">
        <is>
          <t>candidate-preflight-passed</t>
        </is>
      </c>
      <c r="R1000" s="292" t="str"/>
      <c r="S1000" s="292" t="inlineStr">
        <is>
          <t>玄渊二十套全装备代码总表.xlsx</t>
        </is>
      </c>
      <c r="T1000" s="292" t="inlineStr">
        <is>
          <t>玄渊20套全装备视觉候选；Items/StateItem/DnItems三库同码；属性待策划填写；OverLap=4; Expand1=6</t>
        </is>
      </c>
      <c r="U1000">
        <f>IF(COUNTIF($B$2:$B$1076,B1000)&gt;1,"重复","")</f>
        <v/>
      </c>
      <c r="V1000">
        <f>IF(AND(OR(M1000="",M1000=B1000),OR(N1000="",N1000=B1000),OR(O1000="",O1000=B1000)),"通过","不一致")</f>
        <v/>
      </c>
    </row>
    <row r="1001" ht="22" customHeight="1">
      <c r="A1001" s="398" t="n">
        <v>1000</v>
      </c>
      <c r="B1001" s="398" t="n">
        <v>7020</v>
      </c>
      <c r="C1001" s="399" t="inlineStr">
        <is>
          <t>翠焰冥契·冥契</t>
        </is>
      </c>
      <c r="D1001" s="399" t="inlineStr">
        <is>
          <t>翠焰冥契</t>
        </is>
      </c>
      <c r="E1001" s="399" t="n">
        <v>3</v>
      </c>
      <c r="F1001" s="399" t="inlineStr">
        <is>
          <t>生肖7</t>
        </is>
      </c>
      <c r="G1001" s="398" t="n">
        <v>22</v>
      </c>
      <c r="H1001" s="398" t="n">
        <v>46</v>
      </c>
      <c r="I1001" s="398" t="n">
        <v>7020</v>
      </c>
      <c r="J1001" s="398" t="n">
        <v>0</v>
      </c>
      <c r="K1001" s="398" t="n">
        <v>4</v>
      </c>
      <c r="L1001" s="398" t="n">
        <v>7</v>
      </c>
      <c r="M1001" s="398" t="n">
        <v>7020</v>
      </c>
      <c r="N1001" s="398" t="n">
        <v>7020</v>
      </c>
      <c r="O1001" s="398" t="n">
        <v>7020</v>
      </c>
      <c r="P1001" s="292" t="n"/>
      <c r="Q1001" s="292" t="inlineStr">
        <is>
          <t>candidate-preflight-passed</t>
        </is>
      </c>
      <c r="R1001" s="292" t="str"/>
      <c r="S1001" s="292" t="inlineStr">
        <is>
          <t>玄渊二十套全装备代码总表.xlsx</t>
        </is>
      </c>
      <c r="T1001" s="292" t="inlineStr">
        <is>
          <t>玄渊20套全装备视觉候选；Items/StateItem/DnItems三库同码；属性待策划填写；OverLap=4; Expand1=7</t>
        </is>
      </c>
      <c r="U1001">
        <f>IF(COUNTIF($B$2:$B$1076,B1001)&gt;1,"重复","")</f>
        <v/>
      </c>
      <c r="V1001">
        <f>IF(AND(OR(M1001="",M1001=B1001),OR(N1001="",N1001=B1001),OR(O1001="",O1001=B1001)),"通过","不一致")</f>
        <v/>
      </c>
    </row>
    <row r="1002" ht="22" customHeight="1">
      <c r="A1002" s="398" t="n">
        <v>1001</v>
      </c>
      <c r="B1002" s="398" t="n">
        <v>7021</v>
      </c>
      <c r="C1002" s="399" t="inlineStr">
        <is>
          <t>翠焰冥契·冥契</t>
        </is>
      </c>
      <c r="D1002" s="399" t="inlineStr">
        <is>
          <t>翠焰冥契</t>
        </is>
      </c>
      <c r="E1002" s="399" t="n">
        <v>3</v>
      </c>
      <c r="F1002" s="399" t="inlineStr">
        <is>
          <t>生肖8</t>
        </is>
      </c>
      <c r="G1002" s="398" t="n">
        <v>22</v>
      </c>
      <c r="H1002" s="398" t="n">
        <v>47</v>
      </c>
      <c r="I1002" s="398" t="n">
        <v>7021</v>
      </c>
      <c r="J1002" s="398" t="n">
        <v>0</v>
      </c>
      <c r="K1002" s="398" t="n">
        <v>4</v>
      </c>
      <c r="L1002" s="398" t="n">
        <v>8</v>
      </c>
      <c r="M1002" s="398" t="n">
        <v>7021</v>
      </c>
      <c r="N1002" s="398" t="n">
        <v>7021</v>
      </c>
      <c r="O1002" s="398" t="n">
        <v>7021</v>
      </c>
      <c r="P1002" s="292" t="n"/>
      <c r="Q1002" s="292" t="inlineStr">
        <is>
          <t>candidate-preflight-passed</t>
        </is>
      </c>
      <c r="R1002" s="292" t="str"/>
      <c r="S1002" s="292" t="inlineStr">
        <is>
          <t>玄渊二十套全装备代码总表.xlsx</t>
        </is>
      </c>
      <c r="T1002" s="292" t="inlineStr">
        <is>
          <t>玄渊20套全装备视觉候选；Items/StateItem/DnItems三库同码；属性待策划填写；OverLap=4; Expand1=8</t>
        </is>
      </c>
      <c r="U1002">
        <f>IF(COUNTIF($B$2:$B$1076,B1002)&gt;1,"重复","")</f>
        <v/>
      </c>
      <c r="V1002">
        <f>IF(AND(OR(M1002="",M1002=B1002),OR(N1002="",N1002=B1002),OR(O1002="",O1002=B1002)),"通过","不一致")</f>
        <v/>
      </c>
    </row>
    <row r="1003" ht="22" customHeight="1">
      <c r="A1003" s="398" t="n">
        <v>1002</v>
      </c>
      <c r="B1003" s="398" t="n">
        <v>7022</v>
      </c>
      <c r="C1003" s="399" t="inlineStr">
        <is>
          <t>翠焰冥契·冥契</t>
        </is>
      </c>
      <c r="D1003" s="399" t="inlineStr">
        <is>
          <t>翠焰冥契</t>
        </is>
      </c>
      <c r="E1003" s="399" t="n">
        <v>3</v>
      </c>
      <c r="F1003" s="399" t="inlineStr">
        <is>
          <t>生肖9</t>
        </is>
      </c>
      <c r="G1003" s="398" t="n">
        <v>22</v>
      </c>
      <c r="H1003" s="398" t="n">
        <v>48</v>
      </c>
      <c r="I1003" s="398" t="n">
        <v>7022</v>
      </c>
      <c r="J1003" s="398" t="n">
        <v>0</v>
      </c>
      <c r="K1003" s="398" t="n">
        <v>4</v>
      </c>
      <c r="L1003" s="398" t="n">
        <v>9</v>
      </c>
      <c r="M1003" s="398" t="n">
        <v>7022</v>
      </c>
      <c r="N1003" s="398" t="n">
        <v>7022</v>
      </c>
      <c r="O1003" s="398" t="n">
        <v>7022</v>
      </c>
      <c r="P1003" s="292" t="n"/>
      <c r="Q1003" s="292" t="inlineStr">
        <is>
          <t>candidate-preflight-passed</t>
        </is>
      </c>
      <c r="R1003" s="292" t="str"/>
      <c r="S1003" s="292" t="inlineStr">
        <is>
          <t>玄渊二十套全装备代码总表.xlsx</t>
        </is>
      </c>
      <c r="T1003" s="292" t="inlineStr">
        <is>
          <t>玄渊20套全装备视觉候选；Items/StateItem/DnItems三库同码；属性待策划填写；OverLap=4; Expand1=9</t>
        </is>
      </c>
      <c r="U1003">
        <f>IF(COUNTIF($B$2:$B$1076,B1003)&gt;1,"重复","")</f>
        <v/>
      </c>
      <c r="V1003">
        <f>IF(AND(OR(M1003="",M1003=B1003),OR(N1003="",N1003=B1003),OR(O1003="",O1003=B1003)),"通过","不一致")</f>
        <v/>
      </c>
    </row>
    <row r="1004" ht="22" customHeight="1">
      <c r="A1004" s="398" t="n">
        <v>1003</v>
      </c>
      <c r="B1004" s="398" t="n">
        <v>7023</v>
      </c>
      <c r="C1004" s="399" t="inlineStr">
        <is>
          <t>翠焰冥契·冥契</t>
        </is>
      </c>
      <c r="D1004" s="399" t="inlineStr">
        <is>
          <t>翠焰冥契</t>
        </is>
      </c>
      <c r="E1004" s="399" t="n">
        <v>3</v>
      </c>
      <c r="F1004" s="399" t="inlineStr">
        <is>
          <t>生肖10</t>
        </is>
      </c>
      <c r="G1004" s="398" t="n">
        <v>22</v>
      </c>
      <c r="H1004" s="398" t="n">
        <v>49</v>
      </c>
      <c r="I1004" s="398" t="n">
        <v>7023</v>
      </c>
      <c r="J1004" s="398" t="n">
        <v>0</v>
      </c>
      <c r="K1004" s="398" t="n">
        <v>4</v>
      </c>
      <c r="L1004" s="398" t="n">
        <v>10</v>
      </c>
      <c r="M1004" s="398" t="n">
        <v>7023</v>
      </c>
      <c r="N1004" s="398" t="n">
        <v>7023</v>
      </c>
      <c r="O1004" s="398" t="n">
        <v>7023</v>
      </c>
      <c r="P1004" s="292" t="n"/>
      <c r="Q1004" s="292" t="inlineStr">
        <is>
          <t>candidate-preflight-passed</t>
        </is>
      </c>
      <c r="R1004" s="292" t="str"/>
      <c r="S1004" s="292" t="inlineStr">
        <is>
          <t>玄渊二十套全装备代码总表.xlsx</t>
        </is>
      </c>
      <c r="T1004" s="292" t="inlineStr">
        <is>
          <t>玄渊20套全装备视觉候选；Items/StateItem/DnItems三库同码；属性待策划填写；OverLap=4; Expand1=10</t>
        </is>
      </c>
      <c r="U1004">
        <f>IF(COUNTIF($B$2:$B$1076,B1004)&gt;1,"重复","")</f>
        <v/>
      </c>
      <c r="V1004">
        <f>IF(AND(OR(M1004="",M1004=B1004),OR(N1004="",N1004=B1004),OR(O1004="",O1004=B1004)),"通过","不一致")</f>
        <v/>
      </c>
    </row>
    <row r="1005" ht="22" customHeight="1">
      <c r="A1005" s="398" t="n">
        <v>1004</v>
      </c>
      <c r="B1005" s="398" t="n">
        <v>7024</v>
      </c>
      <c r="C1005" s="399" t="inlineStr">
        <is>
          <t>翠焰冥契·冥契</t>
        </is>
      </c>
      <c r="D1005" s="399" t="inlineStr">
        <is>
          <t>翠焰冥契</t>
        </is>
      </c>
      <c r="E1005" s="399" t="n">
        <v>3</v>
      </c>
      <c r="F1005" s="399" t="inlineStr">
        <is>
          <t>生肖11</t>
        </is>
      </c>
      <c r="G1005" s="398" t="n">
        <v>22</v>
      </c>
      <c r="H1005" s="398" t="n">
        <v>50</v>
      </c>
      <c r="I1005" s="398" t="n">
        <v>7024</v>
      </c>
      <c r="J1005" s="398" t="n">
        <v>0</v>
      </c>
      <c r="K1005" s="398" t="n">
        <v>4</v>
      </c>
      <c r="L1005" s="398" t="n">
        <v>11</v>
      </c>
      <c r="M1005" s="398" t="n">
        <v>7024</v>
      </c>
      <c r="N1005" s="398" t="n">
        <v>7024</v>
      </c>
      <c r="O1005" s="398" t="n">
        <v>7024</v>
      </c>
      <c r="P1005" s="292" t="n"/>
      <c r="Q1005" s="292" t="inlineStr">
        <is>
          <t>candidate-preflight-passed</t>
        </is>
      </c>
      <c r="R1005" s="292" t="str"/>
      <c r="S1005" s="292" t="inlineStr">
        <is>
          <t>玄渊二十套全装备代码总表.xlsx</t>
        </is>
      </c>
      <c r="T1005" s="292" t="inlineStr">
        <is>
          <t>玄渊20套全装备视觉候选；Items/StateItem/DnItems三库同码；属性待策划填写；OverLap=4; Expand1=11</t>
        </is>
      </c>
      <c r="U1005">
        <f>IF(COUNTIF($B$2:$B$1076,B1005)&gt;1,"重复","")</f>
        <v/>
      </c>
      <c r="V1005">
        <f>IF(AND(OR(M1005="",M1005=B1005),OR(N1005="",N1005=B1005),OR(O1005="",O1005=B1005)),"通过","不一致")</f>
        <v/>
      </c>
    </row>
    <row r="1006" ht="22" customHeight="1">
      <c r="A1006" s="398" t="n">
        <v>1005</v>
      </c>
      <c r="B1006" s="398" t="n">
        <v>7025</v>
      </c>
      <c r="C1006" s="399" t="inlineStr">
        <is>
          <t>翠焰冥契·冥契</t>
        </is>
      </c>
      <c r="D1006" s="399" t="inlineStr">
        <is>
          <t>翠焰冥契</t>
        </is>
      </c>
      <c r="E1006" s="399" t="n">
        <v>3</v>
      </c>
      <c r="F1006" s="399" t="inlineStr">
        <is>
          <t>生肖12</t>
        </is>
      </c>
      <c r="G1006" s="398" t="n">
        <v>22</v>
      </c>
      <c r="H1006" s="398" t="n">
        <v>51</v>
      </c>
      <c r="I1006" s="398" t="n">
        <v>7025</v>
      </c>
      <c r="J1006" s="398" t="n">
        <v>0</v>
      </c>
      <c r="K1006" s="398" t="n">
        <v>4</v>
      </c>
      <c r="L1006" s="398" t="n">
        <v>12</v>
      </c>
      <c r="M1006" s="398" t="n">
        <v>7025</v>
      </c>
      <c r="N1006" s="398" t="n">
        <v>7025</v>
      </c>
      <c r="O1006" s="398" t="n">
        <v>7025</v>
      </c>
      <c r="P1006" s="292" t="n"/>
      <c r="Q1006" s="292" t="inlineStr">
        <is>
          <t>candidate-preflight-passed</t>
        </is>
      </c>
      <c r="R1006" s="292" t="str"/>
      <c r="S1006" s="292" t="inlineStr">
        <is>
          <t>玄渊二十套全装备代码总表.xlsx</t>
        </is>
      </c>
      <c r="T1006" s="292" t="inlineStr">
        <is>
          <t>玄渊20套全装备视觉候选；Items/StateItem/DnItems三库同码；属性待策划填写；OverLap=4; Expand1=12</t>
        </is>
      </c>
      <c r="U1006">
        <f>IF(COUNTIF($B$2:$B$1076,B1006)&gt;1,"重复","")</f>
        <v/>
      </c>
      <c r="V1006">
        <f>IF(AND(OR(M1006="",M1006=B1006),OR(N1006="",N1006=B1006),OR(O1006="",O1006=B1006)),"通过","不一致")</f>
        <v/>
      </c>
    </row>
    <row r="1007" ht="22" customHeight="1">
      <c r="A1007" s="398" t="n">
        <v>1006</v>
      </c>
      <c r="B1007" s="398" t="n">
        <v>7026</v>
      </c>
      <c r="C1007" s="399" t="inlineStr">
        <is>
          <t>翠焰冥契·灾厄</t>
        </is>
      </c>
      <c r="D1007" s="399" t="inlineStr">
        <is>
          <t>翠焰冥契</t>
        </is>
      </c>
      <c r="E1007" s="399" t="n">
        <v>4</v>
      </c>
      <c r="F1007" s="399" t="inlineStr">
        <is>
          <t>武器</t>
        </is>
      </c>
      <c r="G1007" s="398" t="n">
        <v>5</v>
      </c>
      <c r="H1007" s="398" t="n">
        <v>1</v>
      </c>
      <c r="I1007" s="398" t="n">
        <v>7026</v>
      </c>
      <c r="J1007" s="398" t="n">
        <v>12</v>
      </c>
      <c r="K1007" s="398" t="n">
        <v>0</v>
      </c>
      <c r="L1007" s="398" t="n">
        <v>0</v>
      </c>
      <c r="M1007" s="398" t="n">
        <v>7026</v>
      </c>
      <c r="N1007" s="398" t="n">
        <v>7026</v>
      </c>
      <c r="O1007" s="398" t="n">
        <v>7026</v>
      </c>
      <c r="P1007" s="292" t="inlineStr">
        <is>
          <t>Weapon.wzl/wzx（复用现有真实动作）</t>
        </is>
      </c>
      <c r="Q1007" s="292" t="inlineStr">
        <is>
          <t>candidate-preflight-passed</t>
        </is>
      </c>
      <c r="R1007" s="324" t="inlineStr">
        <is>
          <t>C3-C10规划锁定：阿尔维萨蚀日王刃</t>
        </is>
      </c>
      <c r="S1007" s="292" t="inlineStr">
        <is>
          <t>玄渊二十套全装备代码总表.xlsx</t>
        </is>
      </c>
      <c r="T1007" s="292" t="inlineStr">
        <is>
          <t>玄渊20套全装备视觉候选；Items/StateItem/DnItems三库同码；属性待策划填写；Weapon Shape=12</t>
        </is>
      </c>
      <c r="U1007">
        <f>IF(COUNTIF($B$2:$B$1076,B1007)&gt;1,"重复","")</f>
        <v/>
      </c>
      <c r="V1007">
        <f>IF(AND(OR(M1007="",M1007=B1007),OR(N1007="",N1007=B1007),OR(O1007="",O1007=B1007)),"通过","不一致")</f>
        <v/>
      </c>
    </row>
    <row r="1008" ht="22" customHeight="1">
      <c r="A1008" s="398" t="n">
        <v>1007</v>
      </c>
      <c r="B1008" s="398" t="n">
        <v>7027</v>
      </c>
      <c r="C1008" s="399" t="inlineStr">
        <is>
          <t>翠焰冥契·灾厄</t>
        </is>
      </c>
      <c r="D1008" s="399" t="inlineStr">
        <is>
          <t>翠焰冥契</t>
        </is>
      </c>
      <c r="E1008" s="399" t="n">
        <v>4</v>
      </c>
      <c r="F1008" s="399" t="inlineStr">
        <is>
          <t>男衣服</t>
        </is>
      </c>
      <c r="G1008" s="398" t="n">
        <v>10</v>
      </c>
      <c r="H1008" s="398" t="n">
        <v>0</v>
      </c>
      <c r="I1008" s="398" t="n">
        <v>7027</v>
      </c>
      <c r="J1008" s="398" t="n">
        <v>3</v>
      </c>
      <c r="K1008" s="398" t="n">
        <v>0</v>
      </c>
      <c r="L1008" s="398" t="n">
        <v>0</v>
      </c>
      <c r="M1008" s="398" t="n">
        <v>7027</v>
      </c>
      <c r="N1008" s="398" t="n">
        <v>7027</v>
      </c>
      <c r="O1008" s="398" t="n">
        <v>7027</v>
      </c>
      <c r="P1008" s="292" t="inlineStr">
        <is>
          <t>Hum.wzl/wzx（复用现有真实动作）</t>
        </is>
      </c>
      <c r="Q1008" s="292" t="inlineStr">
        <is>
          <t>candidate-preflight-passed</t>
        </is>
      </c>
      <c r="R1008" s="324" t="inlineStr">
        <is>
          <t>C3-C10规划锁定：司冕月蚀礼衣</t>
        </is>
      </c>
      <c r="S1008" s="292" t="inlineStr">
        <is>
          <t>玄渊二十套全装备代码总表.xlsx</t>
        </is>
      </c>
      <c r="T1008" s="292" t="inlineStr">
        <is>
          <t>玄渊20套全装备视觉候选；Items/StateItem/DnItems三库同码；属性待策划填写；Hum Shape=3</t>
        </is>
      </c>
      <c r="U1008">
        <f>IF(COUNTIF($B$2:$B$1076,B1008)&gt;1,"重复","")</f>
        <v/>
      </c>
      <c r="V1008">
        <f>IF(AND(OR(M1008="",M1008=B1008),OR(N1008="",N1008=B1008),OR(O1008="",O1008=B1008)),"通过","不一致")</f>
        <v/>
      </c>
    </row>
    <row r="1009" ht="22" customHeight="1">
      <c r="A1009" s="398" t="n">
        <v>1008</v>
      </c>
      <c r="B1009" s="398" t="n">
        <v>7028</v>
      </c>
      <c r="C1009" s="399" t="inlineStr">
        <is>
          <t>翠焰冥契·灾厄</t>
        </is>
      </c>
      <c r="D1009" s="399" t="inlineStr">
        <is>
          <t>翠焰冥契</t>
        </is>
      </c>
      <c r="E1009" s="399" t="n">
        <v>4</v>
      </c>
      <c r="F1009" s="399" t="inlineStr">
        <is>
          <t>女衣服</t>
        </is>
      </c>
      <c r="G1009" s="398" t="n">
        <v>11</v>
      </c>
      <c r="H1009" s="398" t="n">
        <v>0</v>
      </c>
      <c r="I1009" s="398" t="n">
        <v>7028</v>
      </c>
      <c r="J1009" s="398" t="n">
        <v>3</v>
      </c>
      <c r="K1009" s="398" t="n">
        <v>0</v>
      </c>
      <c r="L1009" s="398" t="n">
        <v>0</v>
      </c>
      <c r="M1009" s="398" t="n">
        <v>7028</v>
      </c>
      <c r="N1009" s="398" t="n">
        <v>7028</v>
      </c>
      <c r="O1009" s="398" t="n">
        <v>7028</v>
      </c>
      <c r="P1009" s="292" t="inlineStr">
        <is>
          <t>Hum.wzl/wzx（复用现有真实动作）</t>
        </is>
      </c>
      <c r="Q1009" s="292" t="inlineStr">
        <is>
          <t>candidate-preflight-passed</t>
        </is>
      </c>
      <c r="R1009" s="292" t="str"/>
      <c r="S1009" s="292" t="inlineStr">
        <is>
          <t>玄渊二十套全装备代码总表.xlsx</t>
        </is>
      </c>
      <c r="T1009" s="292" t="inlineStr">
        <is>
          <t>玄渊20套全装备视觉候选；Items/StateItem/DnItems三库同码；属性待策划填写；Hum Shape=3</t>
        </is>
      </c>
      <c r="U1009">
        <f>IF(COUNTIF($B$2:$B$1076,B1009)&gt;1,"重复","")</f>
        <v/>
      </c>
      <c r="V1009">
        <f>IF(AND(OR(M1009="",M1009=B1009),OR(N1009="",N1009=B1009),OR(O1009="",O1009=B1009)),"通过","不一致")</f>
        <v/>
      </c>
    </row>
    <row r="1010" ht="22" customHeight="1">
      <c r="A1010" s="398" t="n">
        <v>1009</v>
      </c>
      <c r="B1010" s="398" t="n">
        <v>7029</v>
      </c>
      <c r="C1010" s="399" t="inlineStr">
        <is>
          <t>翠焰冥契·灾厄</t>
        </is>
      </c>
      <c r="D1010" s="399" t="inlineStr">
        <is>
          <t>翠焰冥契</t>
        </is>
      </c>
      <c r="E1010" s="399" t="n">
        <v>4</v>
      </c>
      <c r="F1010" s="399" t="inlineStr">
        <is>
          <t>头盔</t>
        </is>
      </c>
      <c r="G1010" s="398" t="n">
        <v>15</v>
      </c>
      <c r="H1010" s="398" t="n">
        <v>4</v>
      </c>
      <c r="I1010" s="398" t="n">
        <v>7029</v>
      </c>
      <c r="J1010" s="398" t="n">
        <v>0</v>
      </c>
      <c r="K1010" s="398" t="n">
        <v>0</v>
      </c>
      <c r="L1010" s="398" t="n">
        <v>0</v>
      </c>
      <c r="M1010" s="398" t="n">
        <v>7029</v>
      </c>
      <c r="N1010" s="398" t="n">
        <v>7029</v>
      </c>
      <c r="O1010" s="398" t="n">
        <v>7029</v>
      </c>
      <c r="P1010" s="292" t="n"/>
      <c r="Q1010" s="292" t="inlineStr">
        <is>
          <t>candidate-preflight-passed</t>
        </is>
      </c>
      <c r="R1010" s="324" t="inlineStr">
        <is>
          <t>C3-C10规划锁定：禁页蚀字冠</t>
        </is>
      </c>
      <c r="S1010" s="292" t="inlineStr">
        <is>
          <t>玄渊二十套全装备代码总表.xlsx</t>
        </is>
      </c>
      <c r="T1010" s="292" t="inlineStr">
        <is>
          <t>玄渊20套全装备视觉候选；Items/StateItem/DnItems三库同码；属性待策划填写</t>
        </is>
      </c>
      <c r="U1010">
        <f>IF(COUNTIF($B$2:$B$1076,B1010)&gt;1,"重复","")</f>
        <v/>
      </c>
      <c r="V1010">
        <f>IF(AND(OR(M1010="",M1010=B1010),OR(N1010="",N1010=B1010),OR(O1010="",O1010=B1010)),"通过","不一致")</f>
        <v/>
      </c>
    </row>
    <row r="1011" ht="22" customHeight="1">
      <c r="A1011" s="398" t="n">
        <v>1010</v>
      </c>
      <c r="B1011" s="398" t="n">
        <v>7030</v>
      </c>
      <c r="C1011" s="399" t="inlineStr">
        <is>
          <t>翠焰冥契·灾厄</t>
        </is>
      </c>
      <c r="D1011" s="399" t="inlineStr">
        <is>
          <t>翠焰冥契</t>
        </is>
      </c>
      <c r="E1011" s="399" t="n">
        <v>4</v>
      </c>
      <c r="F1011" s="399" t="inlineStr">
        <is>
          <t>面巾</t>
        </is>
      </c>
      <c r="G1011" s="398" t="n">
        <v>16</v>
      </c>
      <c r="H1011" s="398" t="n">
        <v>13</v>
      </c>
      <c r="I1011" s="398" t="n">
        <v>7030</v>
      </c>
      <c r="J1011" s="398" t="n">
        <v>0</v>
      </c>
      <c r="K1011" s="398" t="n">
        <v>0</v>
      </c>
      <c r="L1011" s="398" t="n">
        <v>0</v>
      </c>
      <c r="M1011" s="398" t="n">
        <v>7030</v>
      </c>
      <c r="N1011" s="398" t="n">
        <v>7030</v>
      </c>
      <c r="O1011" s="398" t="n">
        <v>7030</v>
      </c>
      <c r="P1011" s="292" t="n"/>
      <c r="Q1011" s="292" t="inlineStr">
        <is>
          <t>candidate-preflight-passed</t>
        </is>
      </c>
      <c r="R1011" s="324" t="inlineStr">
        <is>
          <t>C3-C10规划锁定：不葬王妃冥笠</t>
        </is>
      </c>
      <c r="S1011" s="292" t="inlineStr">
        <is>
          <t>玄渊二十套全装备代码总表.xlsx</t>
        </is>
      </c>
      <c r="T1011" s="292" t="inlineStr">
        <is>
          <t>玄渊20套全装备视觉候选；Items/StateItem/DnItems三库同码；属性待策划填写</t>
        </is>
      </c>
      <c r="U1011">
        <f>IF(COUNTIF($B$2:$B$1076,B1011)&gt;1,"重复","")</f>
        <v/>
      </c>
      <c r="V1011">
        <f>IF(AND(OR(M1011="",M1011=B1011),OR(N1011="",N1011=B1011),OR(O1011="",O1011=B1011)),"通过","不一致")</f>
        <v/>
      </c>
    </row>
    <row r="1012" ht="22" customHeight="1">
      <c r="A1012" s="398" t="n">
        <v>1011</v>
      </c>
      <c r="B1012" s="398" t="n">
        <v>7031</v>
      </c>
      <c r="C1012" s="399" t="inlineStr">
        <is>
          <t>翠焰冥契·灾厄</t>
        </is>
      </c>
      <c r="D1012" s="399" t="inlineStr">
        <is>
          <t>翠焰冥契</t>
        </is>
      </c>
      <c r="E1012" s="399" t="n">
        <v>4</v>
      </c>
      <c r="F1012" s="399" t="inlineStr">
        <is>
          <t>项链</t>
        </is>
      </c>
      <c r="G1012" s="398" t="n">
        <v>19</v>
      </c>
      <c r="H1012" s="398" t="n">
        <v>3</v>
      </c>
      <c r="I1012" s="398" t="n">
        <v>7031</v>
      </c>
      <c r="J1012" s="398" t="n">
        <v>0</v>
      </c>
      <c r="K1012" s="398" t="n">
        <v>0</v>
      </c>
      <c r="L1012" s="398" t="n">
        <v>0</v>
      </c>
      <c r="M1012" s="398" t="n">
        <v>7031</v>
      </c>
      <c r="N1012" s="398" t="n">
        <v>7031</v>
      </c>
      <c r="O1012" s="398" t="n">
        <v>7031</v>
      </c>
      <c r="P1012" s="292" t="n"/>
      <c r="Q1012" s="292" t="inlineStr">
        <is>
          <t>candidate-preflight-passed</t>
        </is>
      </c>
      <c r="R1012" s="324" t="inlineStr">
        <is>
          <t>C3-C10规划锁定：噤语灯芯坠</t>
        </is>
      </c>
      <c r="S1012" s="292" t="inlineStr">
        <is>
          <t>玄渊二十套全装备代码总表.xlsx</t>
        </is>
      </c>
      <c r="T1012" s="292" t="inlineStr">
        <is>
          <t>玄渊20套全装备视觉候选；Items/StateItem/DnItems三库同码；属性待策划填写</t>
        </is>
      </c>
      <c r="U1012">
        <f>IF(COUNTIF($B$2:$B$1076,B1012)&gt;1,"重复","")</f>
        <v/>
      </c>
      <c r="V1012">
        <f>IF(AND(OR(M1012="",M1012=B1012),OR(N1012="",N1012=B1012),OR(O1012="",O1012=B1012)),"通过","不一致")</f>
        <v/>
      </c>
    </row>
    <row r="1013" ht="22" customHeight="1">
      <c r="A1013" s="398" t="n">
        <v>1012</v>
      </c>
      <c r="B1013" s="398" t="n">
        <v>7032</v>
      </c>
      <c r="C1013" s="399" t="inlineStr">
        <is>
          <t>翠焰冥契·灾厄</t>
        </is>
      </c>
      <c r="D1013" s="399" t="inlineStr">
        <is>
          <t>翠焰冥契</t>
        </is>
      </c>
      <c r="E1013" s="399" t="n">
        <v>4</v>
      </c>
      <c r="F1013" s="399" t="inlineStr">
        <is>
          <t>手镯</t>
        </is>
      </c>
      <c r="G1013" s="398" t="n">
        <v>26</v>
      </c>
      <c r="H1013" s="398" t="n">
        <v>5</v>
      </c>
      <c r="I1013" s="398" t="n">
        <v>7032</v>
      </c>
      <c r="J1013" s="398" t="n">
        <v>0</v>
      </c>
      <c r="K1013" s="398" t="n">
        <v>0</v>
      </c>
      <c r="L1013" s="398" t="n">
        <v>0</v>
      </c>
      <c r="M1013" s="398" t="n">
        <v>7032</v>
      </c>
      <c r="N1013" s="398" t="n">
        <v>7032</v>
      </c>
      <c r="O1013" s="398" t="n">
        <v>7032</v>
      </c>
      <c r="P1013" s="292" t="n"/>
      <c r="Q1013" s="292" t="inlineStr">
        <is>
          <t>candidate-preflight-passed</t>
        </is>
      </c>
      <c r="R1013" s="324" t="inlineStr">
        <is>
          <t>C3-C10规划锁定：浮光鲛纹镯</t>
        </is>
      </c>
      <c r="S1013" s="292" t="inlineStr">
        <is>
          <t>玄渊二十套全装备代码总表.xlsx</t>
        </is>
      </c>
      <c r="T1013" s="292" t="inlineStr">
        <is>
          <t>玄渊20套全装备视觉候选；Items/StateItem/DnItems三库同码；属性待策划填写</t>
        </is>
      </c>
      <c r="U1013">
        <f>IF(COUNTIF($B$2:$B$1076,B1013)&gt;1,"重复","")</f>
        <v/>
      </c>
      <c r="V1013">
        <f>IF(AND(OR(M1013="",M1013=B1013),OR(N1013="",N1013=B1013),OR(O1013="",O1013=B1013)),"通过","不一致")</f>
        <v/>
      </c>
    </row>
    <row r="1014" ht="22" customHeight="1">
      <c r="A1014" s="398" t="n">
        <v>1013</v>
      </c>
      <c r="B1014" s="398" t="n">
        <v>7033</v>
      </c>
      <c r="C1014" s="399" t="inlineStr">
        <is>
          <t>翠焰冥契·灾厄</t>
        </is>
      </c>
      <c r="D1014" s="399" t="inlineStr">
        <is>
          <t>翠焰冥契</t>
        </is>
      </c>
      <c r="E1014" s="399" t="n">
        <v>4</v>
      </c>
      <c r="F1014" s="399" t="inlineStr">
        <is>
          <t>戒指</t>
        </is>
      </c>
      <c r="G1014" s="398" t="n">
        <v>22</v>
      </c>
      <c r="H1014" s="398" t="n">
        <v>7</v>
      </c>
      <c r="I1014" s="398" t="n">
        <v>7033</v>
      </c>
      <c r="J1014" s="398" t="n">
        <v>0</v>
      </c>
      <c r="K1014" s="398" t="n">
        <v>0</v>
      </c>
      <c r="L1014" s="398" t="n">
        <v>0</v>
      </c>
      <c r="M1014" s="398" t="n">
        <v>7033</v>
      </c>
      <c r="N1014" s="398" t="n">
        <v>7033</v>
      </c>
      <c r="O1014" s="398" t="n">
        <v>7033</v>
      </c>
      <c r="P1014" s="292" t="n"/>
      <c r="Q1014" s="292" t="inlineStr">
        <is>
          <t>candidate-preflight-passed</t>
        </is>
      </c>
      <c r="R1014" s="324" t="inlineStr">
        <is>
          <t>C3-C10规划锁定：夹页月痕戒</t>
        </is>
      </c>
      <c r="S1014" s="292" t="inlineStr">
        <is>
          <t>玄渊二十套全装备代码总表.xlsx</t>
        </is>
      </c>
      <c r="T1014" s="292" t="inlineStr">
        <is>
          <t>玄渊20套全装备视觉候选；Items/StateItem/DnItems三库同码；属性待策划填写</t>
        </is>
      </c>
      <c r="U1014">
        <f>IF(COUNTIF($B$2:$B$1076,B1014)&gt;1,"重复","")</f>
        <v/>
      </c>
      <c r="V1014">
        <f>IF(AND(OR(M1014="",M1014=B1014),OR(N1014="",N1014=B1014),OR(O1014="",O1014=B1014)),"通过","不一致")</f>
        <v/>
      </c>
    </row>
    <row r="1015" ht="22" customHeight="1">
      <c r="A1015" s="398" t="n">
        <v>1014</v>
      </c>
      <c r="B1015" s="398" t="n">
        <v>7034</v>
      </c>
      <c r="C1015" s="399" t="inlineStr">
        <is>
          <t>翠焰冥契·灾厄</t>
        </is>
      </c>
      <c r="D1015" s="399" t="inlineStr">
        <is>
          <t>翠焰冥契</t>
        </is>
      </c>
      <c r="E1015" s="399" t="n">
        <v>4</v>
      </c>
      <c r="F1015" s="399" t="inlineStr">
        <is>
          <t>勋章</t>
        </is>
      </c>
      <c r="G1015" s="398" t="n">
        <v>30</v>
      </c>
      <c r="H1015" s="398" t="n">
        <v>2</v>
      </c>
      <c r="I1015" s="398" t="n">
        <v>7034</v>
      </c>
      <c r="J1015" s="398" t="n">
        <v>0</v>
      </c>
      <c r="K1015" s="398" t="n">
        <v>0</v>
      </c>
      <c r="L1015" s="398" t="n">
        <v>0</v>
      </c>
      <c r="M1015" s="398" t="n">
        <v>7034</v>
      </c>
      <c r="N1015" s="398" t="n">
        <v>7034</v>
      </c>
      <c r="O1015" s="398" t="n">
        <v>7034</v>
      </c>
      <c r="P1015" s="292" t="n"/>
      <c r="Q1015" s="292" t="inlineStr">
        <is>
          <t>candidate-preflight-passed</t>
        </is>
      </c>
      <c r="R1015" s="324" t="inlineStr">
        <is>
          <t>C3-C10规划锁定：默祷雪章</t>
        </is>
      </c>
      <c r="S1015" s="292" t="inlineStr">
        <is>
          <t>玄渊二十套全装备代码总表.xlsx</t>
        </is>
      </c>
      <c r="T1015" s="292" t="inlineStr">
        <is>
          <t>玄渊20套全装备视觉候选；Items/StateItem/DnItems三库同码；属性待策划填写</t>
        </is>
      </c>
      <c r="U1015">
        <f>IF(COUNTIF($B$2:$B$1076,B1015)&gt;1,"重复","")</f>
        <v/>
      </c>
      <c r="V1015">
        <f>IF(AND(OR(M1015="",M1015=B1015),OR(N1015="",N1015=B1015),OR(O1015="",O1015=B1015)),"通过","不一致")</f>
        <v/>
      </c>
    </row>
    <row r="1016" ht="22" customHeight="1">
      <c r="A1016" s="398" t="n">
        <v>1015</v>
      </c>
      <c r="B1016" s="398" t="n">
        <v>7035</v>
      </c>
      <c r="C1016" s="399" t="inlineStr">
        <is>
          <t>翠焰冥契·灾厄</t>
        </is>
      </c>
      <c r="D1016" s="399" t="inlineStr">
        <is>
          <t>翠焰冥契</t>
        </is>
      </c>
      <c r="E1016" s="399" t="n">
        <v>4</v>
      </c>
      <c r="F1016" s="399" t="inlineStr">
        <is>
          <t>盾牌</t>
        </is>
      </c>
      <c r="G1016" s="398" t="n">
        <v>12</v>
      </c>
      <c r="H1016" s="398" t="n">
        <v>16</v>
      </c>
      <c r="I1016" s="398" t="n">
        <v>7035</v>
      </c>
      <c r="J1016" s="398" t="n">
        <v>0</v>
      </c>
      <c r="K1016" s="398" t="n">
        <v>0</v>
      </c>
      <c r="L1016" s="398" t="n">
        <v>0</v>
      </c>
      <c r="M1016" s="398" t="n">
        <v>7035</v>
      </c>
      <c r="N1016" s="398" t="n">
        <v>7035</v>
      </c>
      <c r="O1016" s="398" t="n">
        <v>7035</v>
      </c>
      <c r="P1016" s="292" t="n"/>
      <c r="Q1016" s="292" t="inlineStr">
        <is>
          <t>candidate-preflight-passed</t>
        </is>
      </c>
      <c r="R1016" s="324" t="inlineStr">
        <is>
          <t>C3-C10规划锁定：负甲熔盾</t>
        </is>
      </c>
      <c r="S1016" s="292" t="inlineStr">
        <is>
          <t>玄渊二十套全装备代码总表.xlsx</t>
        </is>
      </c>
      <c r="T1016" s="292" t="inlineStr">
        <is>
          <t>玄渊20套全装备视觉候选；Items/StateItem/DnItems三库同码；属性待策划填写</t>
        </is>
      </c>
      <c r="U1016">
        <f>IF(COUNTIF($B$2:$B$1076,B1016)&gt;1,"重复","")</f>
        <v/>
      </c>
      <c r="V1016">
        <f>IF(AND(OR(M1016="",M1016=B1016),OR(N1016="",N1016=B1016),OR(O1016="",O1016=B1016)),"通过","不一致")</f>
        <v/>
      </c>
    </row>
    <row r="1017" ht="22" customHeight="1">
      <c r="A1017" s="398" t="n">
        <v>1016</v>
      </c>
      <c r="B1017" s="398" t="n">
        <v>7036</v>
      </c>
      <c r="C1017" s="399" t="inlineStr">
        <is>
          <t>翠焰冥契·灾厄</t>
        </is>
      </c>
      <c r="D1017" s="399" t="inlineStr">
        <is>
          <t>翠焰冥契</t>
        </is>
      </c>
      <c r="E1017" s="399" t="n">
        <v>4</v>
      </c>
      <c r="F1017" s="399" t="inlineStr">
        <is>
          <t>灵玉</t>
        </is>
      </c>
      <c r="G1017" s="398" t="n">
        <v>90</v>
      </c>
      <c r="H1017" s="398" t="n">
        <v>17</v>
      </c>
      <c r="I1017" s="398" t="n">
        <v>7036</v>
      </c>
      <c r="J1017" s="398" t="n">
        <v>0</v>
      </c>
      <c r="K1017" s="398" t="n">
        <v>0</v>
      </c>
      <c r="L1017" s="398" t="n">
        <v>0</v>
      </c>
      <c r="M1017" s="398" t="n">
        <v>7036</v>
      </c>
      <c r="N1017" s="398" t="n">
        <v>7036</v>
      </c>
      <c r="O1017" s="398" t="n">
        <v>7036</v>
      </c>
      <c r="P1017" s="292" t="n"/>
      <c r="Q1017" s="292" t="inlineStr">
        <is>
          <t>candidate-preflight-passed</t>
        </is>
      </c>
      <c r="R1017" s="292" t="str"/>
      <c r="S1017" s="292" t="inlineStr">
        <is>
          <t>玄渊二十套全装备代码总表.xlsx</t>
        </is>
      </c>
      <c r="T1017" s="292" t="inlineStr">
        <is>
          <t>玄渊20套全装备视觉候选；Items/StateItem/DnItems三库同码；属性待策划填写</t>
        </is>
      </c>
      <c r="U1017">
        <f>IF(COUNTIF($B$2:$B$1076,B1017)&gt;1,"重复","")</f>
        <v/>
      </c>
      <c r="V1017">
        <f>IF(AND(OR(M1017="",M1017=B1017),OR(N1017="",N1017=B1017),OR(O1017="",O1017=B1017)),"通过","不一致")</f>
        <v/>
      </c>
    </row>
    <row r="1018" ht="22" customHeight="1">
      <c r="A1018" s="398" t="n">
        <v>1017</v>
      </c>
      <c r="B1018" s="398" t="n">
        <v>7037</v>
      </c>
      <c r="C1018" s="399" t="inlineStr">
        <is>
          <t>翠焰冥契·灾厄</t>
        </is>
      </c>
      <c r="D1018" s="399" t="inlineStr">
        <is>
          <t>翠焰冥契</t>
        </is>
      </c>
      <c r="E1018" s="399" t="n">
        <v>4</v>
      </c>
      <c r="F1018" s="399" t="inlineStr">
        <is>
          <t>鞋子</t>
        </is>
      </c>
      <c r="G1018" s="398" t="n">
        <v>62</v>
      </c>
      <c r="H1018" s="398" t="n">
        <v>11</v>
      </c>
      <c r="I1018" s="398" t="n">
        <v>7037</v>
      </c>
      <c r="J1018" s="398" t="n">
        <v>0</v>
      </c>
      <c r="K1018" s="398" t="n">
        <v>0</v>
      </c>
      <c r="L1018" s="398" t="n">
        <v>0</v>
      </c>
      <c r="M1018" s="398" t="n">
        <v>7037</v>
      </c>
      <c r="N1018" s="398" t="n">
        <v>7037</v>
      </c>
      <c r="O1018" s="398" t="n">
        <v>7037</v>
      </c>
      <c r="P1018" s="292" t="n"/>
      <c r="Q1018" s="292" t="inlineStr">
        <is>
          <t>candidate-preflight-passed</t>
        </is>
      </c>
      <c r="R1018" s="324" t="inlineStr">
        <is>
          <t>C3-C10规划锁定：蓝焰逐影履</t>
        </is>
      </c>
      <c r="S1018" s="292" t="inlineStr">
        <is>
          <t>玄渊二十套全装备代码总表.xlsx</t>
        </is>
      </c>
      <c r="T1018" s="292" t="inlineStr">
        <is>
          <t>玄渊20套全装备视觉候选；Items/StateItem/DnItems三库同码；属性待策划填写</t>
        </is>
      </c>
      <c r="U1018">
        <f>IF(COUNTIF($B$2:$B$1076,B1018)&gt;1,"重复","")</f>
        <v/>
      </c>
      <c r="V1018">
        <f>IF(AND(OR(M1018="",M1018=B1018),OR(N1018="",N1018=B1018),OR(O1018="",O1018=B1018)),"通过","不一致")</f>
        <v/>
      </c>
    </row>
    <row r="1019" ht="22" customHeight="1">
      <c r="A1019" s="398" t="n">
        <v>1018</v>
      </c>
      <c r="B1019" s="398" t="n">
        <v>7038</v>
      </c>
      <c r="C1019" s="399" t="inlineStr">
        <is>
          <t>翠焰冥契·灾厄</t>
        </is>
      </c>
      <c r="D1019" s="399" t="inlineStr">
        <is>
          <t>翠焰冥契</t>
        </is>
      </c>
      <c r="E1019" s="399" t="n">
        <v>4</v>
      </c>
      <c r="F1019" s="399" t="inlineStr">
        <is>
          <t>腰带</t>
        </is>
      </c>
      <c r="G1019" s="398" t="n">
        <v>64</v>
      </c>
      <c r="H1019" s="398" t="n">
        <v>10</v>
      </c>
      <c r="I1019" s="398" t="n">
        <v>7038</v>
      </c>
      <c r="J1019" s="398" t="n">
        <v>0</v>
      </c>
      <c r="K1019" s="398" t="n">
        <v>0</v>
      </c>
      <c r="L1019" s="398" t="n">
        <v>0</v>
      </c>
      <c r="M1019" s="398" t="n">
        <v>7038</v>
      </c>
      <c r="N1019" s="398" t="n">
        <v>7038</v>
      </c>
      <c r="O1019" s="398" t="n">
        <v>7038</v>
      </c>
      <c r="P1019" s="292" t="n"/>
      <c r="Q1019" s="292" t="inlineStr">
        <is>
          <t>candidate-preflight-passed</t>
        </is>
      </c>
      <c r="R1019" s="324" t="inlineStr">
        <is>
          <t>C3-C10规划锁定：灼骨腰甲</t>
        </is>
      </c>
      <c r="S1019" s="292" t="inlineStr">
        <is>
          <t>玄渊二十套全装备代码总表.xlsx</t>
        </is>
      </c>
      <c r="T1019" s="292" t="inlineStr">
        <is>
          <t>玄渊20套全装备视觉候选；Items/StateItem/DnItems三库同码；属性待策划填写</t>
        </is>
      </c>
      <c r="U1019">
        <f>IF(COUNTIF($B$2:$B$1076,B1019)&gt;1,"重复","")</f>
        <v/>
      </c>
      <c r="V1019">
        <f>IF(AND(OR(M1019="",M1019=B1019),OR(N1019="",N1019=B1019),OR(O1019="",O1019=B1019)),"通过","不一致")</f>
        <v/>
      </c>
    </row>
    <row r="1020" ht="22" customHeight="1">
      <c r="A1020" s="398" t="n">
        <v>1019</v>
      </c>
      <c r="B1020" s="398" t="n">
        <v>7039</v>
      </c>
      <c r="C1020" s="399" t="inlineStr">
        <is>
          <t>翠焰冥契·灾厄</t>
        </is>
      </c>
      <c r="D1020" s="399" t="inlineStr">
        <is>
          <t>翠焰冥契</t>
        </is>
      </c>
      <c r="E1020" s="399" t="n">
        <v>4</v>
      </c>
      <c r="F1020" s="399" t="inlineStr">
        <is>
          <t>护身符</t>
        </is>
      </c>
      <c r="G1020" s="398" t="n">
        <v>25</v>
      </c>
      <c r="H1020" s="398" t="n">
        <v>9</v>
      </c>
      <c r="I1020" s="398" t="n">
        <v>7039</v>
      </c>
      <c r="J1020" s="398" t="n">
        <v>0</v>
      </c>
      <c r="K1020" s="398" t="n">
        <v>0</v>
      </c>
      <c r="L1020" s="398" t="n">
        <v>0</v>
      </c>
      <c r="M1020" s="398" t="n">
        <v>7039</v>
      </c>
      <c r="N1020" s="398" t="n">
        <v>7039</v>
      </c>
      <c r="O1020" s="398" t="n">
        <v>7039</v>
      </c>
      <c r="P1020" s="292" t="n"/>
      <c r="Q1020" s="292" t="inlineStr">
        <is>
          <t>candidate-preflight-passed</t>
        </is>
      </c>
      <c r="R1020" s="292" t="str"/>
      <c r="S1020" s="292" t="inlineStr">
        <is>
          <t>玄渊二十套全装备代码总表.xlsx</t>
        </is>
      </c>
      <c r="T1020" s="292" t="inlineStr">
        <is>
          <t>玄渊20套全装备视觉候选；Items/StateItem/DnItems三库同码；属性待策划填写</t>
        </is>
      </c>
      <c r="U1020">
        <f>IF(COUNTIF($B$2:$B$1076,B1020)&gt;1,"重复","")</f>
        <v/>
      </c>
      <c r="V1020">
        <f>IF(AND(OR(M1020="",M1020=B1020),OR(N1020="",N1020=B1020),OR(O1020="",O1020=B1020)),"通过","不一致")</f>
        <v/>
      </c>
    </row>
    <row r="1021" ht="22" customHeight="1">
      <c r="A1021" s="398" t="n">
        <v>1020</v>
      </c>
      <c r="B1021" s="398" t="n">
        <v>7040</v>
      </c>
      <c r="C1021" s="399" t="inlineStr">
        <is>
          <t>翠焰冥契·灾厄</t>
        </is>
      </c>
      <c r="D1021" s="399" t="inlineStr">
        <is>
          <t>翠焰冥契</t>
        </is>
      </c>
      <c r="E1021" s="399" t="n">
        <v>4</v>
      </c>
      <c r="F1021" s="399" t="inlineStr">
        <is>
          <t>宝石</t>
        </is>
      </c>
      <c r="G1021" s="398" t="n">
        <v>63</v>
      </c>
      <c r="H1021" s="398" t="n">
        <v>12</v>
      </c>
      <c r="I1021" s="398" t="n">
        <v>7040</v>
      </c>
      <c r="J1021" s="398" t="n">
        <v>0</v>
      </c>
      <c r="K1021" s="398" t="n">
        <v>0</v>
      </c>
      <c r="L1021" s="398" t="n">
        <v>0</v>
      </c>
      <c r="M1021" s="398" t="n">
        <v>7040</v>
      </c>
      <c r="N1021" s="398" t="n">
        <v>7040</v>
      </c>
      <c r="O1021" s="398" t="n">
        <v>7040</v>
      </c>
      <c r="P1021" s="292" t="n"/>
      <c r="Q1021" s="292" t="inlineStr">
        <is>
          <t>candidate-preflight-passed</t>
        </is>
      </c>
      <c r="R1021" s="292" t="str"/>
      <c r="S1021" s="292" t="inlineStr">
        <is>
          <t>玄渊二十套全装备代码总表.xlsx</t>
        </is>
      </c>
      <c r="T1021" s="292" t="inlineStr">
        <is>
          <t>玄渊20套全装备视觉候选；Items/StateItem/DnItems三库同码；属性待策划填写</t>
        </is>
      </c>
      <c r="U1021">
        <f>IF(COUNTIF($B$2:$B$1076,B1021)&gt;1,"重复","")</f>
        <v/>
      </c>
      <c r="V1021">
        <f>IF(AND(OR(M1021="",M1021=B1021),OR(N1021="",N1021=B1021),OR(O1021="",O1021=B1021)),"通过","不一致")</f>
        <v/>
      </c>
    </row>
    <row r="1022" ht="22" customHeight="1">
      <c r="A1022" s="398" t="n">
        <v>1021</v>
      </c>
      <c r="B1022" s="398" t="n">
        <v>7041</v>
      </c>
      <c r="C1022" s="399" t="inlineStr">
        <is>
          <t>翠焰冥契·灾厄</t>
        </is>
      </c>
      <c r="D1022" s="399" t="inlineStr">
        <is>
          <t>翠焰冥契</t>
        </is>
      </c>
      <c r="E1022" s="399" t="n">
        <v>4</v>
      </c>
      <c r="F1022" s="399" t="inlineStr">
        <is>
          <t>军鼓</t>
        </is>
      </c>
      <c r="G1022" s="398" t="n">
        <v>65</v>
      </c>
      <c r="H1022" s="398" t="n">
        <v>14</v>
      </c>
      <c r="I1022" s="398" t="n">
        <v>7041</v>
      </c>
      <c r="J1022" s="398" t="n">
        <v>0</v>
      </c>
      <c r="K1022" s="398" t="n">
        <v>0</v>
      </c>
      <c r="L1022" s="398" t="n">
        <v>0</v>
      </c>
      <c r="M1022" s="398" t="n">
        <v>7041</v>
      </c>
      <c r="N1022" s="398" t="n">
        <v>7041</v>
      </c>
      <c r="O1022" s="398" t="n">
        <v>7041</v>
      </c>
      <c r="P1022" s="292" t="n"/>
      <c r="Q1022" s="292" t="inlineStr">
        <is>
          <t>candidate-preflight-passed</t>
        </is>
      </c>
      <c r="R1022" s="292" t="str"/>
      <c r="S1022" s="292" t="inlineStr">
        <is>
          <t>玄渊二十套全装备代码总表.xlsx</t>
        </is>
      </c>
      <c r="T1022" s="292" t="inlineStr">
        <is>
          <t>玄渊20套全装备视觉候选；Items/StateItem/DnItems三库同码；属性待策划填写</t>
        </is>
      </c>
      <c r="U1022">
        <f>IF(COUNTIF($B$2:$B$1076,B1022)&gt;1,"重复","")</f>
        <v/>
      </c>
      <c r="V1022">
        <f>IF(AND(OR(M1022="",M1022=B1022),OR(N1022="",N1022=B1022),OR(O1022="",O1022=B1022)),"通过","不一致")</f>
        <v/>
      </c>
    </row>
    <row r="1023" ht="22" customHeight="1">
      <c r="A1023" s="398" t="n">
        <v>1022</v>
      </c>
      <c r="B1023" s="398" t="n">
        <v>7042</v>
      </c>
      <c r="C1023" s="399" t="inlineStr">
        <is>
          <t>翠焰冥契·灾厄</t>
        </is>
      </c>
      <c r="D1023" s="399" t="inlineStr">
        <is>
          <t>翠焰冥契</t>
        </is>
      </c>
      <c r="E1023" s="399" t="n">
        <v>4</v>
      </c>
      <c r="F1023" s="399" t="inlineStr">
        <is>
          <t>马牌</t>
        </is>
      </c>
      <c r="G1023" s="398" t="n">
        <v>28</v>
      </c>
      <c r="H1023" s="398" t="n">
        <v>15</v>
      </c>
      <c r="I1023" s="398" t="n">
        <v>7042</v>
      </c>
      <c r="J1023" s="398" t="n">
        <v>0</v>
      </c>
      <c r="K1023" s="398" t="n">
        <v>0</v>
      </c>
      <c r="L1023" s="398" t="n">
        <v>0</v>
      </c>
      <c r="M1023" s="398" t="n">
        <v>7042</v>
      </c>
      <c r="N1023" s="398" t="n">
        <v>7042</v>
      </c>
      <c r="O1023" s="398" t="n">
        <v>7042</v>
      </c>
      <c r="P1023" s="292" t="n"/>
      <c r="Q1023" s="292" t="inlineStr">
        <is>
          <t>candidate-preflight-passed</t>
        </is>
      </c>
      <c r="R1023" s="292" t="str"/>
      <c r="S1023" s="292" t="inlineStr">
        <is>
          <t>玄渊二十套全装备代码总表.xlsx</t>
        </is>
      </c>
      <c r="T1023" s="292" t="inlineStr">
        <is>
          <t>玄渊20套全装备视觉候选；Items/StateItem/DnItems三库同码；属性待策划填写</t>
        </is>
      </c>
      <c r="U1023">
        <f>IF(COUNTIF($B$2:$B$1076,B1023)&gt;1,"重复","")</f>
        <v/>
      </c>
      <c r="V1023">
        <f>IF(AND(OR(M1023="",M1023=B1023),OR(N1023="",N1023=B1023),OR(O1023="",O1023=B1023)),"通过","不一致")</f>
        <v/>
      </c>
    </row>
    <row r="1024" ht="22" customHeight="1">
      <c r="A1024" s="398" t="n">
        <v>1023</v>
      </c>
      <c r="B1024" s="398" t="n">
        <v>7043</v>
      </c>
      <c r="C1024" s="399" t="inlineStr">
        <is>
          <t>翠焰冥契·灾厄</t>
        </is>
      </c>
      <c r="D1024" s="399" t="inlineStr">
        <is>
          <t>翠焰冥契</t>
        </is>
      </c>
      <c r="E1024" s="399" t="n">
        <v>4</v>
      </c>
      <c r="F1024" s="399" t="inlineStr">
        <is>
          <t>首饰盒1</t>
        </is>
      </c>
      <c r="G1024" s="398" t="n">
        <v>22</v>
      </c>
      <c r="H1024" s="398" t="n">
        <v>30</v>
      </c>
      <c r="I1024" s="398" t="n">
        <v>7043</v>
      </c>
      <c r="J1024" s="398" t="n">
        <v>0</v>
      </c>
      <c r="K1024" s="398" t="n">
        <v>2</v>
      </c>
      <c r="L1024" s="398" t="n">
        <v>1</v>
      </c>
      <c r="M1024" s="398" t="n">
        <v>7043</v>
      </c>
      <c r="N1024" s="398" t="n">
        <v>7043</v>
      </c>
      <c r="O1024" s="398" t="n">
        <v>7043</v>
      </c>
      <c r="P1024" s="292" t="n"/>
      <c r="Q1024" s="292" t="inlineStr">
        <is>
          <t>candidate-preflight-passed</t>
        </is>
      </c>
      <c r="R1024" s="292" t="str"/>
      <c r="S1024" s="292" t="inlineStr">
        <is>
          <t>玄渊二十套全装备代码总表.xlsx</t>
        </is>
      </c>
      <c r="T1024" s="292" t="inlineStr">
        <is>
          <t>玄渊20套全装备视觉候选；Items/StateItem/DnItems三库同码；属性待策划填写；OverLap=2; Expand1=1</t>
        </is>
      </c>
      <c r="U1024">
        <f>IF(COUNTIF($B$2:$B$1076,B1024)&gt;1,"重复","")</f>
        <v/>
      </c>
      <c r="V1024">
        <f>IF(AND(OR(M1024="",M1024=B1024),OR(N1024="",N1024=B1024),OR(O1024="",O1024=B1024)),"通过","不一致")</f>
        <v/>
      </c>
    </row>
    <row r="1025" ht="22" customHeight="1">
      <c r="A1025" s="398" t="n">
        <v>1024</v>
      </c>
      <c r="B1025" s="398" t="n">
        <v>7044</v>
      </c>
      <c r="C1025" s="399" t="inlineStr">
        <is>
          <t>翠焰冥契·灾厄</t>
        </is>
      </c>
      <c r="D1025" s="399" t="inlineStr">
        <is>
          <t>翠焰冥契</t>
        </is>
      </c>
      <c r="E1025" s="399" t="n">
        <v>4</v>
      </c>
      <c r="F1025" s="399" t="inlineStr">
        <is>
          <t>首饰盒2</t>
        </is>
      </c>
      <c r="G1025" s="398" t="n">
        <v>22</v>
      </c>
      <c r="H1025" s="398" t="n">
        <v>31</v>
      </c>
      <c r="I1025" s="398" t="n">
        <v>7044</v>
      </c>
      <c r="J1025" s="398" t="n">
        <v>0</v>
      </c>
      <c r="K1025" s="398" t="n">
        <v>2</v>
      </c>
      <c r="L1025" s="398" t="n">
        <v>2</v>
      </c>
      <c r="M1025" s="398" t="n">
        <v>7044</v>
      </c>
      <c r="N1025" s="398" t="n">
        <v>7044</v>
      </c>
      <c r="O1025" s="398" t="n">
        <v>7044</v>
      </c>
      <c r="P1025" s="292" t="n"/>
      <c r="Q1025" s="292" t="inlineStr">
        <is>
          <t>candidate-preflight-passed</t>
        </is>
      </c>
      <c r="R1025" s="292" t="str"/>
      <c r="S1025" s="292" t="inlineStr">
        <is>
          <t>玄渊二十套全装备代码总表.xlsx</t>
        </is>
      </c>
      <c r="T1025" s="292" t="inlineStr">
        <is>
          <t>玄渊20套全装备视觉候选；Items/StateItem/DnItems三库同码；属性待策划填写；OverLap=2; Expand1=2</t>
        </is>
      </c>
      <c r="U1025">
        <f>IF(COUNTIF($B$2:$B$1076,B1025)&gt;1,"重复","")</f>
        <v/>
      </c>
      <c r="V1025">
        <f>IF(AND(OR(M1025="",M1025=B1025),OR(N1025="",N1025=B1025),OR(O1025="",O1025=B1025)),"通过","不一致")</f>
        <v/>
      </c>
    </row>
    <row r="1026" ht="22" customHeight="1">
      <c r="A1026" s="398" t="n">
        <v>1025</v>
      </c>
      <c r="B1026" s="398" t="n">
        <v>7045</v>
      </c>
      <c r="C1026" s="399" t="inlineStr">
        <is>
          <t>翠焰冥契·灾厄</t>
        </is>
      </c>
      <c r="D1026" s="399" t="inlineStr">
        <is>
          <t>翠焰冥契</t>
        </is>
      </c>
      <c r="E1026" s="399" t="n">
        <v>4</v>
      </c>
      <c r="F1026" s="399" t="inlineStr">
        <is>
          <t>首饰盒3</t>
        </is>
      </c>
      <c r="G1026" s="398" t="n">
        <v>22</v>
      </c>
      <c r="H1026" s="398" t="n">
        <v>32</v>
      </c>
      <c r="I1026" s="398" t="n">
        <v>7045</v>
      </c>
      <c r="J1026" s="398" t="n">
        <v>0</v>
      </c>
      <c r="K1026" s="398" t="n">
        <v>2</v>
      </c>
      <c r="L1026" s="398" t="n">
        <v>3</v>
      </c>
      <c r="M1026" s="398" t="n">
        <v>7045</v>
      </c>
      <c r="N1026" s="398" t="n">
        <v>7045</v>
      </c>
      <c r="O1026" s="398" t="n">
        <v>7045</v>
      </c>
      <c r="P1026" s="292" t="n"/>
      <c r="Q1026" s="292" t="inlineStr">
        <is>
          <t>candidate-preflight-passed</t>
        </is>
      </c>
      <c r="R1026" s="292" t="str"/>
      <c r="S1026" s="292" t="inlineStr">
        <is>
          <t>玄渊二十套全装备代码总表.xlsx</t>
        </is>
      </c>
      <c r="T1026" s="292" t="inlineStr">
        <is>
          <t>玄渊20套全装备视觉候选；Items/StateItem/DnItems三库同码；属性待策划填写；OverLap=2; Expand1=3</t>
        </is>
      </c>
      <c r="U1026">
        <f>IF(COUNTIF($B$2:$B$1076,B1026)&gt;1,"重复","")</f>
        <v/>
      </c>
      <c r="V1026">
        <f>IF(AND(OR(M1026="",M1026=B1026),OR(N1026="",N1026=B1026),OR(O1026="",O1026=B1026)),"通过","不一致")</f>
        <v/>
      </c>
    </row>
    <row r="1027" ht="22" customHeight="1">
      <c r="A1027" s="398" t="n">
        <v>1026</v>
      </c>
      <c r="B1027" s="398" t="n">
        <v>7046</v>
      </c>
      <c r="C1027" s="399" t="inlineStr">
        <is>
          <t>翠焰冥契·灾厄</t>
        </is>
      </c>
      <c r="D1027" s="399" t="inlineStr">
        <is>
          <t>翠焰冥契</t>
        </is>
      </c>
      <c r="E1027" s="399" t="n">
        <v>4</v>
      </c>
      <c r="F1027" s="399" t="inlineStr">
        <is>
          <t>首饰盒4</t>
        </is>
      </c>
      <c r="G1027" s="398" t="n">
        <v>22</v>
      </c>
      <c r="H1027" s="398" t="n">
        <v>33</v>
      </c>
      <c r="I1027" s="398" t="n">
        <v>7046</v>
      </c>
      <c r="J1027" s="398" t="n">
        <v>0</v>
      </c>
      <c r="K1027" s="398" t="n">
        <v>2</v>
      </c>
      <c r="L1027" s="398" t="n">
        <v>4</v>
      </c>
      <c r="M1027" s="398" t="n">
        <v>7046</v>
      </c>
      <c r="N1027" s="398" t="n">
        <v>7046</v>
      </c>
      <c r="O1027" s="398" t="n">
        <v>7046</v>
      </c>
      <c r="P1027" s="292" t="n"/>
      <c r="Q1027" s="292" t="inlineStr">
        <is>
          <t>candidate-preflight-passed</t>
        </is>
      </c>
      <c r="R1027" s="292" t="str"/>
      <c r="S1027" s="292" t="inlineStr">
        <is>
          <t>玄渊二十套全装备代码总表.xlsx</t>
        </is>
      </c>
      <c r="T1027" s="292" t="inlineStr">
        <is>
          <t>玄渊20套全装备视觉候选；Items/StateItem/DnItems三库同码；属性待策划填写；OverLap=2; Expand1=4</t>
        </is>
      </c>
      <c r="U1027">
        <f>IF(COUNTIF($B$2:$B$1076,B1027)&gt;1,"重复","")</f>
        <v/>
      </c>
      <c r="V1027">
        <f>IF(AND(OR(M1027="",M1027=B1027),OR(N1027="",N1027=B1027),OR(O1027="",O1027=B1027)),"通过","不一致")</f>
        <v/>
      </c>
    </row>
    <row r="1028" ht="22" customHeight="1">
      <c r="A1028" s="398" t="n">
        <v>1027</v>
      </c>
      <c r="B1028" s="398" t="n">
        <v>7047</v>
      </c>
      <c r="C1028" s="399" t="inlineStr">
        <is>
          <t>翠焰冥契·灾厄</t>
        </is>
      </c>
      <c r="D1028" s="399" t="inlineStr">
        <is>
          <t>翠焰冥契</t>
        </is>
      </c>
      <c r="E1028" s="399" t="n">
        <v>4</v>
      </c>
      <c r="F1028" s="399" t="inlineStr">
        <is>
          <t>首饰盒5</t>
        </is>
      </c>
      <c r="G1028" s="398" t="n">
        <v>22</v>
      </c>
      <c r="H1028" s="398" t="n">
        <v>34</v>
      </c>
      <c r="I1028" s="398" t="n">
        <v>7047</v>
      </c>
      <c r="J1028" s="398" t="n">
        <v>0</v>
      </c>
      <c r="K1028" s="398" t="n">
        <v>2</v>
      </c>
      <c r="L1028" s="398" t="n">
        <v>5</v>
      </c>
      <c r="M1028" s="398" t="n">
        <v>7047</v>
      </c>
      <c r="N1028" s="398" t="n">
        <v>7047</v>
      </c>
      <c r="O1028" s="398" t="n">
        <v>7047</v>
      </c>
      <c r="P1028" s="292" t="n"/>
      <c r="Q1028" s="292" t="inlineStr">
        <is>
          <t>candidate-preflight-passed</t>
        </is>
      </c>
      <c r="R1028" s="292" t="str"/>
      <c r="S1028" s="292" t="inlineStr">
        <is>
          <t>玄渊二十套全装备代码总表.xlsx</t>
        </is>
      </c>
      <c r="T1028" s="292" t="inlineStr">
        <is>
          <t>玄渊20套全装备视觉候选；Items/StateItem/DnItems三库同码；属性待策划填写；OverLap=2; Expand1=5</t>
        </is>
      </c>
      <c r="U1028">
        <f>IF(COUNTIF($B$2:$B$1076,B1028)&gt;1,"重复","")</f>
        <v/>
      </c>
      <c r="V1028">
        <f>IF(AND(OR(M1028="",M1028=B1028),OR(N1028="",N1028=B1028),OR(O1028="",O1028=B1028)),"通过","不一致")</f>
        <v/>
      </c>
    </row>
    <row r="1029" ht="22" customHeight="1">
      <c r="A1029" s="398" t="n">
        <v>1028</v>
      </c>
      <c r="B1029" s="398" t="n">
        <v>7048</v>
      </c>
      <c r="C1029" s="399" t="inlineStr">
        <is>
          <t>翠焰冥契·灾厄</t>
        </is>
      </c>
      <c r="D1029" s="399" t="inlineStr">
        <is>
          <t>翠焰冥契</t>
        </is>
      </c>
      <c r="E1029" s="399" t="n">
        <v>4</v>
      </c>
      <c r="F1029" s="399" t="inlineStr">
        <is>
          <t>首饰盒6</t>
        </is>
      </c>
      <c r="G1029" s="398" t="n">
        <v>22</v>
      </c>
      <c r="H1029" s="398" t="n">
        <v>35</v>
      </c>
      <c r="I1029" s="398" t="n">
        <v>7048</v>
      </c>
      <c r="J1029" s="398" t="n">
        <v>0</v>
      </c>
      <c r="K1029" s="398" t="n">
        <v>2</v>
      </c>
      <c r="L1029" s="398" t="n">
        <v>6</v>
      </c>
      <c r="M1029" s="398" t="n">
        <v>7048</v>
      </c>
      <c r="N1029" s="398" t="n">
        <v>7048</v>
      </c>
      <c r="O1029" s="398" t="n">
        <v>7048</v>
      </c>
      <c r="P1029" s="292" t="n"/>
      <c r="Q1029" s="292" t="inlineStr">
        <is>
          <t>candidate-preflight-passed</t>
        </is>
      </c>
      <c r="R1029" s="292" t="str"/>
      <c r="S1029" s="292" t="inlineStr">
        <is>
          <t>玄渊二十套全装备代码总表.xlsx</t>
        </is>
      </c>
      <c r="T1029" s="292" t="inlineStr">
        <is>
          <t>玄渊20套全装备视觉候选；Items/StateItem/DnItems三库同码；属性待策划填写；OverLap=2; Expand1=6</t>
        </is>
      </c>
      <c r="U1029">
        <f>IF(COUNTIF($B$2:$B$1076,B1029)&gt;1,"重复","")</f>
        <v/>
      </c>
      <c r="V1029">
        <f>IF(AND(OR(M1029="",M1029=B1029),OR(N1029="",N1029=B1029),OR(O1029="",O1029=B1029)),"通过","不一致")</f>
        <v/>
      </c>
    </row>
    <row r="1030" ht="22" customHeight="1">
      <c r="A1030" s="398" t="n">
        <v>1029</v>
      </c>
      <c r="B1030" s="398" t="n">
        <v>7049</v>
      </c>
      <c r="C1030" s="399" t="inlineStr">
        <is>
          <t>翠焰冥契·灾厄</t>
        </is>
      </c>
      <c r="D1030" s="399" t="inlineStr">
        <is>
          <t>翠焰冥契</t>
        </is>
      </c>
      <c r="E1030" s="399" t="n">
        <v>4</v>
      </c>
      <c r="F1030" s="399" t="inlineStr">
        <is>
          <t>生肖1</t>
        </is>
      </c>
      <c r="G1030" s="398" t="n">
        <v>22</v>
      </c>
      <c r="H1030" s="398" t="n">
        <v>40</v>
      </c>
      <c r="I1030" s="398" t="n">
        <v>7049</v>
      </c>
      <c r="J1030" s="398" t="n">
        <v>0</v>
      </c>
      <c r="K1030" s="398" t="n">
        <v>4</v>
      </c>
      <c r="L1030" s="398" t="n">
        <v>1</v>
      </c>
      <c r="M1030" s="398" t="n">
        <v>7049</v>
      </c>
      <c r="N1030" s="398" t="n">
        <v>7049</v>
      </c>
      <c r="O1030" s="398" t="n">
        <v>7049</v>
      </c>
      <c r="P1030" s="292" t="n"/>
      <c r="Q1030" s="292" t="inlineStr">
        <is>
          <t>candidate-preflight-passed</t>
        </is>
      </c>
      <c r="R1030" s="292" t="str"/>
      <c r="S1030" s="292" t="inlineStr">
        <is>
          <t>玄渊二十套全装备代码总表.xlsx</t>
        </is>
      </c>
      <c r="T1030" s="292" t="inlineStr">
        <is>
          <t>玄渊20套全装备视觉候选；Items/StateItem/DnItems三库同码；属性待策划填写；OverLap=4; Expand1=1</t>
        </is>
      </c>
      <c r="U1030">
        <f>IF(COUNTIF($B$2:$B$1076,B1030)&gt;1,"重复","")</f>
        <v/>
      </c>
      <c r="V1030">
        <f>IF(AND(OR(M1030="",M1030=B1030),OR(N1030="",N1030=B1030),OR(O1030="",O1030=B1030)),"通过","不一致")</f>
        <v/>
      </c>
    </row>
    <row r="1031" ht="22" customHeight="1">
      <c r="A1031" s="398" t="n">
        <v>1030</v>
      </c>
      <c r="B1031" s="398" t="n">
        <v>7050</v>
      </c>
      <c r="C1031" s="399" t="inlineStr">
        <is>
          <t>翠焰冥契·灾厄</t>
        </is>
      </c>
      <c r="D1031" s="399" t="inlineStr">
        <is>
          <t>翠焰冥契</t>
        </is>
      </c>
      <c r="E1031" s="399" t="n">
        <v>4</v>
      </c>
      <c r="F1031" s="399" t="inlineStr">
        <is>
          <t>生肖2</t>
        </is>
      </c>
      <c r="G1031" s="398" t="n">
        <v>22</v>
      </c>
      <c r="H1031" s="398" t="n">
        <v>41</v>
      </c>
      <c r="I1031" s="398" t="n">
        <v>7050</v>
      </c>
      <c r="J1031" s="398" t="n">
        <v>0</v>
      </c>
      <c r="K1031" s="398" t="n">
        <v>4</v>
      </c>
      <c r="L1031" s="398" t="n">
        <v>2</v>
      </c>
      <c r="M1031" s="398" t="n">
        <v>7050</v>
      </c>
      <c r="N1031" s="398" t="n">
        <v>7050</v>
      </c>
      <c r="O1031" s="398" t="n">
        <v>7050</v>
      </c>
      <c r="P1031" s="292" t="n"/>
      <c r="Q1031" s="292" t="inlineStr">
        <is>
          <t>candidate-preflight-passed</t>
        </is>
      </c>
      <c r="R1031" s="292" t="str"/>
      <c r="S1031" s="292" t="inlineStr">
        <is>
          <t>玄渊二十套全装备代码总表.xlsx</t>
        </is>
      </c>
      <c r="T1031" s="292" t="inlineStr">
        <is>
          <t>玄渊20套全装备视觉候选；Items/StateItem/DnItems三库同码；属性待策划填写；OverLap=4; Expand1=2</t>
        </is>
      </c>
      <c r="U1031">
        <f>IF(COUNTIF($B$2:$B$1076,B1031)&gt;1,"重复","")</f>
        <v/>
      </c>
      <c r="V1031">
        <f>IF(AND(OR(M1031="",M1031=B1031),OR(N1031="",N1031=B1031),OR(O1031="",O1031=B1031)),"通过","不一致")</f>
        <v/>
      </c>
    </row>
    <row r="1032" ht="22" customHeight="1">
      <c r="A1032" s="398" t="n">
        <v>1031</v>
      </c>
      <c r="B1032" s="398" t="n">
        <v>7051</v>
      </c>
      <c r="C1032" s="399" t="inlineStr">
        <is>
          <t>翠焰冥契·灾厄</t>
        </is>
      </c>
      <c r="D1032" s="399" t="inlineStr">
        <is>
          <t>翠焰冥契</t>
        </is>
      </c>
      <c r="E1032" s="399" t="n">
        <v>4</v>
      </c>
      <c r="F1032" s="399" t="inlineStr">
        <is>
          <t>生肖3</t>
        </is>
      </c>
      <c r="G1032" s="398" t="n">
        <v>22</v>
      </c>
      <c r="H1032" s="398" t="n">
        <v>42</v>
      </c>
      <c r="I1032" s="398" t="n">
        <v>7051</v>
      </c>
      <c r="J1032" s="398" t="n">
        <v>0</v>
      </c>
      <c r="K1032" s="398" t="n">
        <v>4</v>
      </c>
      <c r="L1032" s="398" t="n">
        <v>3</v>
      </c>
      <c r="M1032" s="398" t="n">
        <v>7051</v>
      </c>
      <c r="N1032" s="398" t="n">
        <v>7051</v>
      </c>
      <c r="O1032" s="398" t="n">
        <v>7051</v>
      </c>
      <c r="P1032" s="292" t="n"/>
      <c r="Q1032" s="292" t="inlineStr">
        <is>
          <t>candidate-preflight-passed</t>
        </is>
      </c>
      <c r="R1032" s="292" t="str"/>
      <c r="S1032" s="292" t="inlineStr">
        <is>
          <t>玄渊二十套全装备代码总表.xlsx</t>
        </is>
      </c>
      <c r="T1032" s="292" t="inlineStr">
        <is>
          <t>玄渊20套全装备视觉候选；Items/StateItem/DnItems三库同码；属性待策划填写；OverLap=4; Expand1=3</t>
        </is>
      </c>
      <c r="U1032">
        <f>IF(COUNTIF($B$2:$B$1076,B1032)&gt;1,"重复","")</f>
        <v/>
      </c>
      <c r="V1032">
        <f>IF(AND(OR(M1032="",M1032=B1032),OR(N1032="",N1032=B1032),OR(O1032="",O1032=B1032)),"通过","不一致")</f>
        <v/>
      </c>
    </row>
    <row r="1033" ht="22" customHeight="1">
      <c r="A1033" s="398" t="n">
        <v>1032</v>
      </c>
      <c r="B1033" s="398" t="n">
        <v>7052</v>
      </c>
      <c r="C1033" s="399" t="inlineStr">
        <is>
          <t>翠焰冥契·灾厄</t>
        </is>
      </c>
      <c r="D1033" s="399" t="inlineStr">
        <is>
          <t>翠焰冥契</t>
        </is>
      </c>
      <c r="E1033" s="399" t="n">
        <v>4</v>
      </c>
      <c r="F1033" s="399" t="inlineStr">
        <is>
          <t>生肖4</t>
        </is>
      </c>
      <c r="G1033" s="398" t="n">
        <v>22</v>
      </c>
      <c r="H1033" s="398" t="n">
        <v>43</v>
      </c>
      <c r="I1033" s="398" t="n">
        <v>7052</v>
      </c>
      <c r="J1033" s="398" t="n">
        <v>0</v>
      </c>
      <c r="K1033" s="398" t="n">
        <v>4</v>
      </c>
      <c r="L1033" s="398" t="n">
        <v>4</v>
      </c>
      <c r="M1033" s="398" t="n">
        <v>7052</v>
      </c>
      <c r="N1033" s="398" t="n">
        <v>7052</v>
      </c>
      <c r="O1033" s="398" t="n">
        <v>7052</v>
      </c>
      <c r="P1033" s="292" t="n"/>
      <c r="Q1033" s="292" t="inlineStr">
        <is>
          <t>candidate-preflight-passed</t>
        </is>
      </c>
      <c r="R1033" s="292" t="str"/>
      <c r="S1033" s="292" t="inlineStr">
        <is>
          <t>玄渊二十套全装备代码总表.xlsx</t>
        </is>
      </c>
      <c r="T1033" s="292" t="inlineStr">
        <is>
          <t>玄渊20套全装备视觉候选；Items/StateItem/DnItems三库同码；属性待策划填写；OverLap=4; Expand1=4</t>
        </is>
      </c>
      <c r="U1033">
        <f>IF(COUNTIF($B$2:$B$1076,B1033)&gt;1,"重复","")</f>
        <v/>
      </c>
      <c r="V1033">
        <f>IF(AND(OR(M1033="",M1033=B1033),OR(N1033="",N1033=B1033),OR(O1033="",O1033=B1033)),"通过","不一致")</f>
        <v/>
      </c>
    </row>
    <row r="1034" ht="22" customHeight="1">
      <c r="A1034" s="398" t="n">
        <v>1033</v>
      </c>
      <c r="B1034" s="398" t="n">
        <v>7053</v>
      </c>
      <c r="C1034" s="399" t="inlineStr">
        <is>
          <t>翠焰冥契·灾厄</t>
        </is>
      </c>
      <c r="D1034" s="399" t="inlineStr">
        <is>
          <t>翠焰冥契</t>
        </is>
      </c>
      <c r="E1034" s="399" t="n">
        <v>4</v>
      </c>
      <c r="F1034" s="399" t="inlineStr">
        <is>
          <t>生肖5</t>
        </is>
      </c>
      <c r="G1034" s="398" t="n">
        <v>22</v>
      </c>
      <c r="H1034" s="398" t="n">
        <v>44</v>
      </c>
      <c r="I1034" s="398" t="n">
        <v>7053</v>
      </c>
      <c r="J1034" s="398" t="n">
        <v>0</v>
      </c>
      <c r="K1034" s="398" t="n">
        <v>4</v>
      </c>
      <c r="L1034" s="398" t="n">
        <v>5</v>
      </c>
      <c r="M1034" s="398" t="n">
        <v>7053</v>
      </c>
      <c r="N1034" s="398" t="n">
        <v>7053</v>
      </c>
      <c r="O1034" s="398" t="n">
        <v>7053</v>
      </c>
      <c r="P1034" s="292" t="n"/>
      <c r="Q1034" s="292" t="inlineStr">
        <is>
          <t>candidate-preflight-passed</t>
        </is>
      </c>
      <c r="R1034" s="292" t="str"/>
      <c r="S1034" s="292" t="inlineStr">
        <is>
          <t>玄渊二十套全装备代码总表.xlsx</t>
        </is>
      </c>
      <c r="T1034" s="292" t="inlineStr">
        <is>
          <t>玄渊20套全装备视觉候选；Items/StateItem/DnItems三库同码；属性待策划填写；OverLap=4; Expand1=5</t>
        </is>
      </c>
      <c r="U1034">
        <f>IF(COUNTIF($B$2:$B$1076,B1034)&gt;1,"重复","")</f>
        <v/>
      </c>
      <c r="V1034">
        <f>IF(AND(OR(M1034="",M1034=B1034),OR(N1034="",N1034=B1034),OR(O1034="",O1034=B1034)),"通过","不一致")</f>
        <v/>
      </c>
    </row>
    <row r="1035" ht="22" customHeight="1">
      <c r="A1035" s="398" t="n">
        <v>1034</v>
      </c>
      <c r="B1035" s="398" t="n">
        <v>7054</v>
      </c>
      <c r="C1035" s="399" t="inlineStr">
        <is>
          <t>翠焰冥契·灾厄</t>
        </is>
      </c>
      <c r="D1035" s="399" t="inlineStr">
        <is>
          <t>翠焰冥契</t>
        </is>
      </c>
      <c r="E1035" s="399" t="n">
        <v>4</v>
      </c>
      <c r="F1035" s="399" t="inlineStr">
        <is>
          <t>生肖6</t>
        </is>
      </c>
      <c r="G1035" s="398" t="n">
        <v>22</v>
      </c>
      <c r="H1035" s="398" t="n">
        <v>45</v>
      </c>
      <c r="I1035" s="398" t="n">
        <v>7054</v>
      </c>
      <c r="J1035" s="398" t="n">
        <v>0</v>
      </c>
      <c r="K1035" s="398" t="n">
        <v>4</v>
      </c>
      <c r="L1035" s="398" t="n">
        <v>6</v>
      </c>
      <c r="M1035" s="398" t="n">
        <v>7054</v>
      </c>
      <c r="N1035" s="398" t="n">
        <v>7054</v>
      </c>
      <c r="O1035" s="398" t="n">
        <v>7054</v>
      </c>
      <c r="P1035" s="292" t="n"/>
      <c r="Q1035" s="292" t="inlineStr">
        <is>
          <t>candidate-preflight-passed</t>
        </is>
      </c>
      <c r="R1035" s="292" t="str"/>
      <c r="S1035" s="292" t="inlineStr">
        <is>
          <t>玄渊二十套全装备代码总表.xlsx</t>
        </is>
      </c>
      <c r="T1035" s="292" t="inlineStr">
        <is>
          <t>玄渊20套全装备视觉候选；Items/StateItem/DnItems三库同码；属性待策划填写；OverLap=4; Expand1=6</t>
        </is>
      </c>
      <c r="U1035">
        <f>IF(COUNTIF($B$2:$B$1076,B1035)&gt;1,"重复","")</f>
        <v/>
      </c>
      <c r="V1035">
        <f>IF(AND(OR(M1035="",M1035=B1035),OR(N1035="",N1035=B1035),OR(O1035="",O1035=B1035)),"通过","不一致")</f>
        <v/>
      </c>
    </row>
    <row r="1036" ht="22" customHeight="1">
      <c r="A1036" s="398" t="n">
        <v>1035</v>
      </c>
      <c r="B1036" s="398" t="n">
        <v>7055</v>
      </c>
      <c r="C1036" s="399" t="inlineStr">
        <is>
          <t>翠焰冥契·灾厄</t>
        </is>
      </c>
      <c r="D1036" s="399" t="inlineStr">
        <is>
          <t>翠焰冥契</t>
        </is>
      </c>
      <c r="E1036" s="399" t="n">
        <v>4</v>
      </c>
      <c r="F1036" s="399" t="inlineStr">
        <is>
          <t>生肖7</t>
        </is>
      </c>
      <c r="G1036" s="398" t="n">
        <v>22</v>
      </c>
      <c r="H1036" s="398" t="n">
        <v>46</v>
      </c>
      <c r="I1036" s="398" t="n">
        <v>7055</v>
      </c>
      <c r="J1036" s="398" t="n">
        <v>0</v>
      </c>
      <c r="K1036" s="398" t="n">
        <v>4</v>
      </c>
      <c r="L1036" s="398" t="n">
        <v>7</v>
      </c>
      <c r="M1036" s="398" t="n">
        <v>7055</v>
      </c>
      <c r="N1036" s="398" t="n">
        <v>7055</v>
      </c>
      <c r="O1036" s="398" t="n">
        <v>7055</v>
      </c>
      <c r="P1036" s="292" t="n"/>
      <c r="Q1036" s="292" t="inlineStr">
        <is>
          <t>candidate-preflight-passed</t>
        </is>
      </c>
      <c r="R1036" s="292" t="str"/>
      <c r="S1036" s="292" t="inlineStr">
        <is>
          <t>玄渊二十套全装备代码总表.xlsx</t>
        </is>
      </c>
      <c r="T1036" s="292" t="inlineStr">
        <is>
          <t>玄渊20套全装备视觉候选；Items/StateItem/DnItems三库同码；属性待策划填写；OverLap=4; Expand1=7</t>
        </is>
      </c>
      <c r="U1036">
        <f>IF(COUNTIF($B$2:$B$1076,B1036)&gt;1,"重复","")</f>
        <v/>
      </c>
      <c r="V1036">
        <f>IF(AND(OR(M1036="",M1036=B1036),OR(N1036="",N1036=B1036),OR(O1036="",O1036=B1036)),"通过","不一致")</f>
        <v/>
      </c>
    </row>
    <row r="1037" ht="22" customHeight="1">
      <c r="A1037" s="398" t="n">
        <v>1036</v>
      </c>
      <c r="B1037" s="398" t="n">
        <v>7056</v>
      </c>
      <c r="C1037" s="399" t="inlineStr">
        <is>
          <t>翠焰冥契·灾厄</t>
        </is>
      </c>
      <c r="D1037" s="399" t="inlineStr">
        <is>
          <t>翠焰冥契</t>
        </is>
      </c>
      <c r="E1037" s="399" t="n">
        <v>4</v>
      </c>
      <c r="F1037" s="399" t="inlineStr">
        <is>
          <t>生肖8</t>
        </is>
      </c>
      <c r="G1037" s="398" t="n">
        <v>22</v>
      </c>
      <c r="H1037" s="398" t="n">
        <v>47</v>
      </c>
      <c r="I1037" s="398" t="n">
        <v>7056</v>
      </c>
      <c r="J1037" s="398" t="n">
        <v>0</v>
      </c>
      <c r="K1037" s="398" t="n">
        <v>4</v>
      </c>
      <c r="L1037" s="398" t="n">
        <v>8</v>
      </c>
      <c r="M1037" s="398" t="n">
        <v>7056</v>
      </c>
      <c r="N1037" s="398" t="n">
        <v>7056</v>
      </c>
      <c r="O1037" s="398" t="n">
        <v>7056</v>
      </c>
      <c r="P1037" s="292" t="n"/>
      <c r="Q1037" s="292" t="inlineStr">
        <is>
          <t>candidate-preflight-passed</t>
        </is>
      </c>
      <c r="R1037" s="292" t="str"/>
      <c r="S1037" s="292" t="inlineStr">
        <is>
          <t>玄渊二十套全装备代码总表.xlsx</t>
        </is>
      </c>
      <c r="T1037" s="292" t="inlineStr">
        <is>
          <t>玄渊20套全装备视觉候选；Items/StateItem/DnItems三库同码；属性待策划填写；OverLap=4; Expand1=8</t>
        </is>
      </c>
      <c r="U1037">
        <f>IF(COUNTIF($B$2:$B$1076,B1037)&gt;1,"重复","")</f>
        <v/>
      </c>
      <c r="V1037">
        <f>IF(AND(OR(M1037="",M1037=B1037),OR(N1037="",N1037=B1037),OR(O1037="",O1037=B1037)),"通过","不一致")</f>
        <v/>
      </c>
    </row>
    <row r="1038" ht="22" customHeight="1">
      <c r="A1038" s="398" t="n">
        <v>1037</v>
      </c>
      <c r="B1038" s="398" t="n">
        <v>7057</v>
      </c>
      <c r="C1038" s="399" t="inlineStr">
        <is>
          <t>翠焰冥契·灾厄</t>
        </is>
      </c>
      <c r="D1038" s="399" t="inlineStr">
        <is>
          <t>翠焰冥契</t>
        </is>
      </c>
      <c r="E1038" s="399" t="n">
        <v>4</v>
      </c>
      <c r="F1038" s="399" t="inlineStr">
        <is>
          <t>生肖9</t>
        </is>
      </c>
      <c r="G1038" s="398" t="n">
        <v>22</v>
      </c>
      <c r="H1038" s="398" t="n">
        <v>48</v>
      </c>
      <c r="I1038" s="398" t="n">
        <v>7057</v>
      </c>
      <c r="J1038" s="398" t="n">
        <v>0</v>
      </c>
      <c r="K1038" s="398" t="n">
        <v>4</v>
      </c>
      <c r="L1038" s="398" t="n">
        <v>9</v>
      </c>
      <c r="M1038" s="398" t="n">
        <v>7057</v>
      </c>
      <c r="N1038" s="398" t="n">
        <v>7057</v>
      </c>
      <c r="O1038" s="398" t="n">
        <v>7057</v>
      </c>
      <c r="P1038" s="292" t="n"/>
      <c r="Q1038" s="292" t="inlineStr">
        <is>
          <t>candidate-preflight-passed</t>
        </is>
      </c>
      <c r="R1038" s="292" t="str"/>
      <c r="S1038" s="292" t="inlineStr">
        <is>
          <t>玄渊二十套全装备代码总表.xlsx</t>
        </is>
      </c>
      <c r="T1038" s="292" t="inlineStr">
        <is>
          <t>玄渊20套全装备视觉候选；Items/StateItem/DnItems三库同码；属性待策划填写；OverLap=4; Expand1=9</t>
        </is>
      </c>
      <c r="U1038">
        <f>IF(COUNTIF($B$2:$B$1076,B1038)&gt;1,"重复","")</f>
        <v/>
      </c>
      <c r="V1038">
        <f>IF(AND(OR(M1038="",M1038=B1038),OR(N1038="",N1038=B1038),OR(O1038="",O1038=B1038)),"通过","不一致")</f>
        <v/>
      </c>
    </row>
    <row r="1039" ht="22" customHeight="1">
      <c r="A1039" s="398" t="n">
        <v>1038</v>
      </c>
      <c r="B1039" s="398" t="n">
        <v>7058</v>
      </c>
      <c r="C1039" s="399" t="inlineStr">
        <is>
          <t>翠焰冥契·灾厄</t>
        </is>
      </c>
      <c r="D1039" s="399" t="inlineStr">
        <is>
          <t>翠焰冥契</t>
        </is>
      </c>
      <c r="E1039" s="399" t="n">
        <v>4</v>
      </c>
      <c r="F1039" s="399" t="inlineStr">
        <is>
          <t>生肖10</t>
        </is>
      </c>
      <c r="G1039" s="398" t="n">
        <v>22</v>
      </c>
      <c r="H1039" s="398" t="n">
        <v>49</v>
      </c>
      <c r="I1039" s="398" t="n">
        <v>7058</v>
      </c>
      <c r="J1039" s="398" t="n">
        <v>0</v>
      </c>
      <c r="K1039" s="398" t="n">
        <v>4</v>
      </c>
      <c r="L1039" s="398" t="n">
        <v>10</v>
      </c>
      <c r="M1039" s="398" t="n">
        <v>7058</v>
      </c>
      <c r="N1039" s="398" t="n">
        <v>7058</v>
      </c>
      <c r="O1039" s="398" t="n">
        <v>7058</v>
      </c>
      <c r="P1039" s="292" t="n"/>
      <c r="Q1039" s="292" t="inlineStr">
        <is>
          <t>candidate-preflight-passed</t>
        </is>
      </c>
      <c r="R1039" s="292" t="str"/>
      <c r="S1039" s="292" t="inlineStr">
        <is>
          <t>玄渊二十套全装备代码总表.xlsx</t>
        </is>
      </c>
      <c r="T1039" s="292" t="inlineStr">
        <is>
          <t>玄渊20套全装备视觉候选；Items/StateItem/DnItems三库同码；属性待策划填写；OverLap=4; Expand1=10</t>
        </is>
      </c>
      <c r="U1039">
        <f>IF(COUNTIF($B$2:$B$1076,B1039)&gt;1,"重复","")</f>
        <v/>
      </c>
      <c r="V1039">
        <f>IF(AND(OR(M1039="",M1039=B1039),OR(N1039="",N1039=B1039),OR(O1039="",O1039=B1039)),"通过","不一致")</f>
        <v/>
      </c>
    </row>
    <row r="1040" ht="22" customHeight="1">
      <c r="A1040" s="398" t="n">
        <v>1039</v>
      </c>
      <c r="B1040" s="398" t="n">
        <v>7059</v>
      </c>
      <c r="C1040" s="399" t="inlineStr">
        <is>
          <t>翠焰冥契·灾厄</t>
        </is>
      </c>
      <c r="D1040" s="399" t="inlineStr">
        <is>
          <t>翠焰冥契</t>
        </is>
      </c>
      <c r="E1040" s="399" t="n">
        <v>4</v>
      </c>
      <c r="F1040" s="399" t="inlineStr">
        <is>
          <t>生肖11</t>
        </is>
      </c>
      <c r="G1040" s="398" t="n">
        <v>22</v>
      </c>
      <c r="H1040" s="398" t="n">
        <v>50</v>
      </c>
      <c r="I1040" s="398" t="n">
        <v>7059</v>
      </c>
      <c r="J1040" s="398" t="n">
        <v>0</v>
      </c>
      <c r="K1040" s="398" t="n">
        <v>4</v>
      </c>
      <c r="L1040" s="398" t="n">
        <v>11</v>
      </c>
      <c r="M1040" s="398" t="n">
        <v>7059</v>
      </c>
      <c r="N1040" s="398" t="n">
        <v>7059</v>
      </c>
      <c r="O1040" s="398" t="n">
        <v>7059</v>
      </c>
      <c r="P1040" s="292" t="n"/>
      <c r="Q1040" s="292" t="inlineStr">
        <is>
          <t>candidate-preflight-passed</t>
        </is>
      </c>
      <c r="R1040" s="292" t="str"/>
      <c r="S1040" s="292" t="inlineStr">
        <is>
          <t>玄渊二十套全装备代码总表.xlsx</t>
        </is>
      </c>
      <c r="T1040" s="292" t="inlineStr">
        <is>
          <t>玄渊20套全装备视觉候选；Items/StateItem/DnItems三库同码；属性待策划填写；OverLap=4; Expand1=11</t>
        </is>
      </c>
      <c r="U1040">
        <f>IF(COUNTIF($B$2:$B$1076,B1040)&gt;1,"重复","")</f>
        <v/>
      </c>
      <c r="V1040">
        <f>IF(AND(OR(M1040="",M1040=B1040),OR(N1040="",N1040=B1040),OR(O1040="",O1040=B1040)),"通过","不一致")</f>
        <v/>
      </c>
    </row>
    <row r="1041" ht="22" customHeight="1">
      <c r="A1041" s="398" t="n">
        <v>1040</v>
      </c>
      <c r="B1041" s="398" t="n">
        <v>7060</v>
      </c>
      <c r="C1041" s="399" t="inlineStr">
        <is>
          <t>翠焰冥契·灾厄</t>
        </is>
      </c>
      <c r="D1041" s="399" t="inlineStr">
        <is>
          <t>翠焰冥契</t>
        </is>
      </c>
      <c r="E1041" s="399" t="n">
        <v>4</v>
      </c>
      <c r="F1041" s="399" t="inlineStr">
        <is>
          <t>生肖12</t>
        </is>
      </c>
      <c r="G1041" s="398" t="n">
        <v>22</v>
      </c>
      <c r="H1041" s="398" t="n">
        <v>51</v>
      </c>
      <c r="I1041" s="398" t="n">
        <v>7060</v>
      </c>
      <c r="J1041" s="398" t="n">
        <v>0</v>
      </c>
      <c r="K1041" s="398" t="n">
        <v>4</v>
      </c>
      <c r="L1041" s="398" t="n">
        <v>12</v>
      </c>
      <c r="M1041" s="398" t="n">
        <v>7060</v>
      </c>
      <c r="N1041" s="398" t="n">
        <v>7060</v>
      </c>
      <c r="O1041" s="398" t="n">
        <v>7060</v>
      </c>
      <c r="P1041" s="292" t="n"/>
      <c r="Q1041" s="292" t="inlineStr">
        <is>
          <t>candidate-preflight-passed</t>
        </is>
      </c>
      <c r="R1041" s="292" t="str"/>
      <c r="S1041" s="292" t="inlineStr">
        <is>
          <t>玄渊二十套全装备代码总表.xlsx</t>
        </is>
      </c>
      <c r="T1041" s="292" t="inlineStr">
        <is>
          <t>玄渊20套全装备视觉候选；Items/StateItem/DnItems三库同码；属性待策划填写；OverLap=4; Expand1=12</t>
        </is>
      </c>
      <c r="U1041">
        <f>IF(COUNTIF($B$2:$B$1076,B1041)&gt;1,"重复","")</f>
        <v/>
      </c>
      <c r="V1041">
        <f>IF(AND(OR(M1041="",M1041=B1041),OR(N1041="",N1041=B1041),OR(O1041="",O1041=B1041)),"通过","不一致")</f>
        <v/>
      </c>
    </row>
    <row r="1042" ht="22" customHeight="1">
      <c r="A1042" s="398" t="n">
        <v>1041</v>
      </c>
      <c r="B1042" s="398" t="n">
        <v>7061</v>
      </c>
      <c r="C1042" s="399" t="inlineStr">
        <is>
          <t>翠焰冥契·永夜</t>
        </is>
      </c>
      <c r="D1042" s="399" t="inlineStr">
        <is>
          <t>翠焰冥契</t>
        </is>
      </c>
      <c r="E1042" s="399" t="n">
        <v>5</v>
      </c>
      <c r="F1042" s="399" t="inlineStr">
        <is>
          <t>武器</t>
        </is>
      </c>
      <c r="G1042" s="398" t="n">
        <v>5</v>
      </c>
      <c r="H1042" s="398" t="n">
        <v>1</v>
      </c>
      <c r="I1042" s="398" t="n">
        <v>7061</v>
      </c>
      <c r="J1042" s="398" t="n">
        <v>11</v>
      </c>
      <c r="K1042" s="398" t="n">
        <v>0</v>
      </c>
      <c r="L1042" s="398" t="n">
        <v>0</v>
      </c>
      <c r="M1042" s="398" t="n">
        <v>7061</v>
      </c>
      <c r="N1042" s="398" t="n">
        <v>7061</v>
      </c>
      <c r="O1042" s="398" t="n">
        <v>7061</v>
      </c>
      <c r="P1042" s="292" t="inlineStr">
        <is>
          <t>Weapon.wzl/wzx（复用现有真实动作）</t>
        </is>
      </c>
      <c r="Q1042" s="292" t="inlineStr">
        <is>
          <t>candidate-preflight-passed</t>
        </is>
      </c>
      <c r="R1042" s="324" t="inlineStr">
        <is>
          <t>C3-C10规划锁定：万冠终律圣刃</t>
        </is>
      </c>
      <c r="S1042" s="292" t="inlineStr">
        <is>
          <t>玄渊二十套全装备代码总表.xlsx</t>
        </is>
      </c>
      <c r="T1042" s="292" t="inlineStr">
        <is>
          <t>玄渊20套全装备视觉候选；Items/StateItem/DnItems三库同码；属性待策划填写；Weapon Shape=11</t>
        </is>
      </c>
      <c r="U1042">
        <f>IF(COUNTIF($B$2:$B$1076,B1042)&gt;1,"重复","")</f>
        <v/>
      </c>
      <c r="V1042">
        <f>IF(AND(OR(M1042="",M1042=B1042),OR(N1042="",N1042=B1042),OR(O1042="",O1042=B1042)),"通过","不一致")</f>
        <v/>
      </c>
    </row>
    <row r="1043" ht="22" customHeight="1">
      <c r="A1043" s="398" t="n">
        <v>1042</v>
      </c>
      <c r="B1043" s="398" t="n">
        <v>7062</v>
      </c>
      <c r="C1043" s="399" t="inlineStr">
        <is>
          <t>翠焰冥契·永夜</t>
        </is>
      </c>
      <c r="D1043" s="399" t="inlineStr">
        <is>
          <t>翠焰冥契</t>
        </is>
      </c>
      <c r="E1043" s="399" t="n">
        <v>5</v>
      </c>
      <c r="F1043" s="399" t="inlineStr">
        <is>
          <t>男衣服</t>
        </is>
      </c>
      <c r="G1043" s="398" t="n">
        <v>10</v>
      </c>
      <c r="H1043" s="398" t="n">
        <v>0</v>
      </c>
      <c r="I1043" s="398" t="n">
        <v>7062</v>
      </c>
      <c r="J1043" s="398" t="n">
        <v>4</v>
      </c>
      <c r="K1043" s="398" t="n">
        <v>0</v>
      </c>
      <c r="L1043" s="398" t="n">
        <v>0</v>
      </c>
      <c r="M1043" s="398" t="n">
        <v>7062</v>
      </c>
      <c r="N1043" s="398" t="n">
        <v>7062</v>
      </c>
      <c r="O1043" s="398" t="n">
        <v>7062</v>
      </c>
      <c r="P1043" s="292" t="inlineStr">
        <is>
          <t>Hum.wzl/wzx（复用现有真实动作）</t>
        </is>
      </c>
      <c r="Q1043" s="292" t="inlineStr">
        <is>
          <t>candidate-preflight-passed</t>
        </is>
      </c>
      <c r="R1043" s="324" t="inlineStr">
        <is>
          <t>C3-C10规划锁定：埃琉斯永霜铠</t>
        </is>
      </c>
      <c r="S1043" s="292" t="inlineStr">
        <is>
          <t>玄渊二十套全装备代码总表.xlsx</t>
        </is>
      </c>
      <c r="T1043" s="292" t="inlineStr">
        <is>
          <t>玄渊20套全装备视觉候选；Items/StateItem/DnItems三库同码；属性待策划填写；Hum Shape=4</t>
        </is>
      </c>
      <c r="U1043">
        <f>IF(COUNTIF($B$2:$B$1076,B1043)&gt;1,"重复","")</f>
        <v/>
      </c>
      <c r="V1043">
        <f>IF(AND(OR(M1043="",M1043=B1043),OR(N1043="",N1043=B1043),OR(O1043="",O1043=B1043)),"通过","不一致")</f>
        <v/>
      </c>
    </row>
    <row r="1044" ht="22" customHeight="1">
      <c r="A1044" s="398" t="n">
        <v>1043</v>
      </c>
      <c r="B1044" s="398" t="n">
        <v>7063</v>
      </c>
      <c r="C1044" s="399" t="inlineStr">
        <is>
          <t>翠焰冥契·永夜</t>
        </is>
      </c>
      <c r="D1044" s="399" t="inlineStr">
        <is>
          <t>翠焰冥契</t>
        </is>
      </c>
      <c r="E1044" s="399" t="n">
        <v>5</v>
      </c>
      <c r="F1044" s="399" t="inlineStr">
        <is>
          <t>女衣服</t>
        </is>
      </c>
      <c r="G1044" s="398" t="n">
        <v>11</v>
      </c>
      <c r="H1044" s="398" t="n">
        <v>0</v>
      </c>
      <c r="I1044" s="398" t="n">
        <v>7063</v>
      </c>
      <c r="J1044" s="398" t="n">
        <v>4</v>
      </c>
      <c r="K1044" s="398" t="n">
        <v>0</v>
      </c>
      <c r="L1044" s="398" t="n">
        <v>0</v>
      </c>
      <c r="M1044" s="398" t="n">
        <v>7063</v>
      </c>
      <c r="N1044" s="398" t="n">
        <v>7063</v>
      </c>
      <c r="O1044" s="398" t="n">
        <v>7063</v>
      </c>
      <c r="P1044" s="292" t="inlineStr">
        <is>
          <t>Hum.wzl/wzx（复用现有真实动作）</t>
        </is>
      </c>
      <c r="Q1044" s="292" t="inlineStr">
        <is>
          <t>candidate-preflight-passed</t>
        </is>
      </c>
      <c r="R1044" s="292" t="str"/>
      <c r="S1044" s="292" t="inlineStr">
        <is>
          <t>玄渊二十套全装备代码总表.xlsx</t>
        </is>
      </c>
      <c r="T1044" s="292" t="inlineStr">
        <is>
          <t>玄渊20套全装备视觉候选；Items/StateItem/DnItems三库同码；属性待策划填写；Hum Shape=4</t>
        </is>
      </c>
      <c r="U1044">
        <f>IF(COUNTIF($B$2:$B$1076,B1044)&gt;1,"重复","")</f>
        <v/>
      </c>
      <c r="V1044">
        <f>IF(AND(OR(M1044="",M1044=B1044),OR(N1044="",N1044=B1044),OR(O1044="",O1044=B1044)),"通过","不一致")</f>
        <v/>
      </c>
    </row>
    <row r="1045" ht="22" customHeight="1">
      <c r="A1045" s="398" t="n">
        <v>1044</v>
      </c>
      <c r="B1045" s="398" t="n">
        <v>7064</v>
      </c>
      <c r="C1045" s="399" t="inlineStr">
        <is>
          <t>翠焰冥契·永夜</t>
        </is>
      </c>
      <c r="D1045" s="399" t="inlineStr">
        <is>
          <t>翠焰冥契</t>
        </is>
      </c>
      <c r="E1045" s="399" t="n">
        <v>5</v>
      </c>
      <c r="F1045" s="399" t="inlineStr">
        <is>
          <t>头盔</t>
        </is>
      </c>
      <c r="G1045" s="398" t="n">
        <v>15</v>
      </c>
      <c r="H1045" s="398" t="n">
        <v>4</v>
      </c>
      <c r="I1045" s="398" t="n">
        <v>7064</v>
      </c>
      <c r="J1045" s="398" t="n">
        <v>0</v>
      </c>
      <c r="K1045" s="398" t="n">
        <v>0</v>
      </c>
      <c r="L1045" s="398" t="n">
        <v>0</v>
      </c>
      <c r="M1045" s="398" t="n">
        <v>7064</v>
      </c>
      <c r="N1045" s="398" t="n">
        <v>7064</v>
      </c>
      <c r="O1045" s="398" t="n">
        <v>7064</v>
      </c>
      <c r="P1045" s="292" t="n"/>
      <c r="Q1045" s="292" t="inlineStr">
        <is>
          <t>candidate-preflight-passed</t>
        </is>
      </c>
      <c r="R1045" s="324" t="inlineStr">
        <is>
          <t>C3-C10规划锁定：凝霜乐师冠</t>
        </is>
      </c>
      <c r="S1045" s="292" t="inlineStr">
        <is>
          <t>玄渊二十套全装备代码总表.xlsx</t>
        </is>
      </c>
      <c r="T1045" s="292" t="inlineStr">
        <is>
          <t>玄渊20套全装备视觉候选；Items/StateItem/DnItems三库同码；属性待策划填写</t>
        </is>
      </c>
      <c r="U1045">
        <f>IF(COUNTIF($B$2:$B$1076,B1045)&gt;1,"重复","")</f>
        <v/>
      </c>
      <c r="V1045">
        <f>IF(AND(OR(M1045="",M1045=B1045),OR(N1045="",N1045=B1045),OR(O1045="",O1045=B1045)),"通过","不一致")</f>
        <v/>
      </c>
    </row>
    <row r="1046" ht="22" customHeight="1">
      <c r="A1046" s="398" t="n">
        <v>1045</v>
      </c>
      <c r="B1046" s="398" t="n">
        <v>7065</v>
      </c>
      <c r="C1046" s="399" t="inlineStr">
        <is>
          <t>翠焰冥契·永夜</t>
        </is>
      </c>
      <c r="D1046" s="399" t="inlineStr">
        <is>
          <t>翠焰冥契</t>
        </is>
      </c>
      <c r="E1046" s="399" t="n">
        <v>5</v>
      </c>
      <c r="F1046" s="399" t="inlineStr">
        <is>
          <t>面巾</t>
        </is>
      </c>
      <c r="G1046" s="398" t="n">
        <v>16</v>
      </c>
      <c r="H1046" s="398" t="n">
        <v>13</v>
      </c>
      <c r="I1046" s="398" t="n">
        <v>7065</v>
      </c>
      <c r="J1046" s="398" t="n">
        <v>0</v>
      </c>
      <c r="K1046" s="398" t="n">
        <v>0</v>
      </c>
      <c r="L1046" s="398" t="n">
        <v>0</v>
      </c>
      <c r="M1046" s="398" t="n">
        <v>7065</v>
      </c>
      <c r="N1046" s="398" t="n">
        <v>7065</v>
      </c>
      <c r="O1046" s="398" t="n">
        <v>7065</v>
      </c>
      <c r="P1046" s="292" t="n"/>
      <c r="Q1046" s="292" t="inlineStr">
        <is>
          <t>candidate-preflight-passed</t>
        </is>
      </c>
      <c r="R1046" s="324" t="inlineStr">
        <is>
          <t>C3-C10规划锁定：碎日禁卫斗笠</t>
        </is>
      </c>
      <c r="S1046" s="292" t="inlineStr">
        <is>
          <t>玄渊二十套全装备代码总表.xlsx</t>
        </is>
      </c>
      <c r="T1046" s="292" t="inlineStr">
        <is>
          <t>玄渊20套全装备视觉候选；Items/StateItem/DnItems三库同码；属性待策划填写</t>
        </is>
      </c>
      <c r="U1046">
        <f>IF(COUNTIF($B$2:$B$1076,B1046)&gt;1,"重复","")</f>
        <v/>
      </c>
      <c r="V1046">
        <f>IF(AND(OR(M1046="",M1046=B1046),OR(N1046="",N1046=B1046),OR(O1046="",O1046=B1046)),"通过","不一致")</f>
        <v/>
      </c>
    </row>
    <row r="1047" ht="22" customHeight="1">
      <c r="A1047" s="398" t="n">
        <v>1046</v>
      </c>
      <c r="B1047" s="398" t="n">
        <v>7066</v>
      </c>
      <c r="C1047" s="399" t="inlineStr">
        <is>
          <t>翠焰冥契·永夜</t>
        </is>
      </c>
      <c r="D1047" s="399" t="inlineStr">
        <is>
          <t>翠焰冥契</t>
        </is>
      </c>
      <c r="E1047" s="399" t="n">
        <v>5</v>
      </c>
      <c r="F1047" s="399" t="inlineStr">
        <is>
          <t>项链</t>
        </is>
      </c>
      <c r="G1047" s="398" t="n">
        <v>19</v>
      </c>
      <c r="H1047" s="398" t="n">
        <v>3</v>
      </c>
      <c r="I1047" s="398" t="n">
        <v>7066</v>
      </c>
      <c r="J1047" s="398" t="n">
        <v>0</v>
      </c>
      <c r="K1047" s="398" t="n">
        <v>0</v>
      </c>
      <c r="L1047" s="398" t="n">
        <v>0</v>
      </c>
      <c r="M1047" s="398" t="n">
        <v>7066</v>
      </c>
      <c r="N1047" s="398" t="n">
        <v>7066</v>
      </c>
      <c r="O1047" s="398" t="n">
        <v>7066</v>
      </c>
      <c r="P1047" s="292" t="n"/>
      <c r="Q1047" s="292" t="inlineStr">
        <is>
          <t>candidate-preflight-passed</t>
        </is>
      </c>
      <c r="R1047" s="324" t="inlineStr">
        <is>
          <t>C3-C10规划锁定：悬月卫潮链</t>
        </is>
      </c>
      <c r="S1047" s="292" t="inlineStr">
        <is>
          <t>玄渊二十套全装备代码总表.xlsx</t>
        </is>
      </c>
      <c r="T1047" s="292" t="inlineStr">
        <is>
          <t>玄渊20套全装备视觉候选；Items/StateItem/DnItems三库同码；属性待策划填写</t>
        </is>
      </c>
      <c r="U1047">
        <f>IF(COUNTIF($B$2:$B$1076,B1047)&gt;1,"重复","")</f>
        <v/>
      </c>
      <c r="V1047">
        <f>IF(AND(OR(M1047="",M1047=B1047),OR(N1047="",N1047=B1047),OR(O1047="",O1047=B1047)),"通过","不一致")</f>
        <v/>
      </c>
    </row>
    <row r="1048" ht="22" customHeight="1">
      <c r="A1048" s="398" t="n">
        <v>1047</v>
      </c>
      <c r="B1048" s="398" t="n">
        <v>7067</v>
      </c>
      <c r="C1048" s="399" t="inlineStr">
        <is>
          <t>翠焰冥契·永夜</t>
        </is>
      </c>
      <c r="D1048" s="399" t="inlineStr">
        <is>
          <t>翠焰冥契</t>
        </is>
      </c>
      <c r="E1048" s="399" t="n">
        <v>5</v>
      </c>
      <c r="F1048" s="399" t="inlineStr">
        <is>
          <t>手镯</t>
        </is>
      </c>
      <c r="G1048" s="398" t="n">
        <v>26</v>
      </c>
      <c r="H1048" s="398" t="n">
        <v>5</v>
      </c>
      <c r="I1048" s="398" t="n">
        <v>7067</v>
      </c>
      <c r="J1048" s="398" t="n">
        <v>0</v>
      </c>
      <c r="K1048" s="398" t="n">
        <v>0</v>
      </c>
      <c r="L1048" s="398" t="n">
        <v>0</v>
      </c>
      <c r="M1048" s="398" t="n">
        <v>7067</v>
      </c>
      <c r="N1048" s="398" t="n">
        <v>7067</v>
      </c>
      <c r="O1048" s="398" t="n">
        <v>7067</v>
      </c>
      <c r="P1048" s="292" t="n"/>
      <c r="Q1048" s="292" t="inlineStr">
        <is>
          <t>candidate-preflight-passed</t>
        </is>
      </c>
      <c r="R1048" s="324" t="inlineStr">
        <is>
          <t>C3-C10规划锁定：银纹封庭镯</t>
        </is>
      </c>
      <c r="S1048" s="292" t="inlineStr">
        <is>
          <t>玄渊二十套全装备代码总表.xlsx</t>
        </is>
      </c>
      <c r="T1048" s="292" t="inlineStr">
        <is>
          <t>玄渊20套全装备视觉候选；Items/StateItem/DnItems三库同码；属性待策划填写</t>
        </is>
      </c>
      <c r="U1048">
        <f>IF(COUNTIF($B$2:$B$1076,B1048)&gt;1,"重复","")</f>
        <v/>
      </c>
      <c r="V1048">
        <f>IF(AND(OR(M1048="",M1048=B1048),OR(N1048="",N1048=B1048),OR(O1048="",O1048=B1048)),"通过","不一致")</f>
        <v/>
      </c>
    </row>
    <row r="1049" ht="22" customHeight="1">
      <c r="A1049" s="398" t="n">
        <v>1048</v>
      </c>
      <c r="B1049" s="398" t="n">
        <v>7068</v>
      </c>
      <c r="C1049" s="399" t="inlineStr">
        <is>
          <t>翠焰冥契·永夜</t>
        </is>
      </c>
      <c r="D1049" s="399" t="inlineStr">
        <is>
          <t>翠焰冥契</t>
        </is>
      </c>
      <c r="E1049" s="399" t="n">
        <v>5</v>
      </c>
      <c r="F1049" s="399" t="inlineStr">
        <is>
          <t>戒指</t>
        </is>
      </c>
      <c r="G1049" s="398" t="n">
        <v>22</v>
      </c>
      <c r="H1049" s="398" t="n">
        <v>7</v>
      </c>
      <c r="I1049" s="398" t="n">
        <v>7068</v>
      </c>
      <c r="J1049" s="398" t="n">
        <v>0</v>
      </c>
      <c r="K1049" s="398" t="n">
        <v>0</v>
      </c>
      <c r="L1049" s="398" t="n">
        <v>0</v>
      </c>
      <c r="M1049" s="398" t="n">
        <v>7068</v>
      </c>
      <c r="N1049" s="398" t="n">
        <v>7068</v>
      </c>
      <c r="O1049" s="398" t="n">
        <v>7068</v>
      </c>
      <c r="P1049" s="292" t="n"/>
      <c r="Q1049" s="292" t="inlineStr">
        <is>
          <t>candidate-preflight-passed</t>
        </is>
      </c>
      <c r="R1049" s="324" t="inlineStr">
        <is>
          <t>C3-C10规划锁定：月镜游鱼戒</t>
        </is>
      </c>
      <c r="S1049" s="292" t="inlineStr">
        <is>
          <t>玄渊二十套全装备代码总表.xlsx</t>
        </is>
      </c>
      <c r="T1049" s="292" t="inlineStr">
        <is>
          <t>玄渊20套全装备视觉候选；Items/StateItem/DnItems三库同码；属性待策划填写</t>
        </is>
      </c>
      <c r="U1049">
        <f>IF(COUNTIF($B$2:$B$1076,B1049)&gt;1,"重复","")</f>
        <v/>
      </c>
      <c r="V1049">
        <f>IF(AND(OR(M1049="",M1049=B1049),OR(N1049="",N1049=B1049),OR(O1049="",O1049=B1049)),"通过","不一致")</f>
        <v/>
      </c>
    </row>
    <row r="1050" ht="22" customHeight="1">
      <c r="A1050" s="398" t="n">
        <v>1049</v>
      </c>
      <c r="B1050" s="398" t="n">
        <v>7069</v>
      </c>
      <c r="C1050" s="399" t="inlineStr">
        <is>
          <t>翠焰冥契·永夜</t>
        </is>
      </c>
      <c r="D1050" s="399" t="inlineStr">
        <is>
          <t>翠焰冥契</t>
        </is>
      </c>
      <c r="E1050" s="399" t="n">
        <v>5</v>
      </c>
      <c r="F1050" s="399" t="inlineStr">
        <is>
          <t>勋章</t>
        </is>
      </c>
      <c r="G1050" s="398" t="n">
        <v>30</v>
      </c>
      <c r="H1050" s="398" t="n">
        <v>2</v>
      </c>
      <c r="I1050" s="398" t="n">
        <v>7069</v>
      </c>
      <c r="J1050" s="398" t="n">
        <v>0</v>
      </c>
      <c r="K1050" s="398" t="n">
        <v>0</v>
      </c>
      <c r="L1050" s="398" t="n">
        <v>0</v>
      </c>
      <c r="M1050" s="398" t="n">
        <v>7069</v>
      </c>
      <c r="N1050" s="398" t="n">
        <v>7069</v>
      </c>
      <c r="O1050" s="398" t="n">
        <v>7069</v>
      </c>
      <c r="P1050" s="292" t="n"/>
      <c r="Q1050" s="292" t="inlineStr">
        <is>
          <t>candidate-preflight-passed</t>
        </is>
      </c>
      <c r="R1050" s="324" t="inlineStr">
        <is>
          <t>C3-C10规划锁定：霜钟罪章</t>
        </is>
      </c>
      <c r="S1050" s="292" t="inlineStr">
        <is>
          <t>玄渊二十套全装备代码总表.xlsx</t>
        </is>
      </c>
      <c r="T1050" s="292" t="inlineStr">
        <is>
          <t>玄渊20套全装备视觉候选；Items/StateItem/DnItems三库同码；属性待策划填写</t>
        </is>
      </c>
      <c r="U1050">
        <f>IF(COUNTIF($B$2:$B$1076,B1050)&gt;1,"重复","")</f>
        <v/>
      </c>
      <c r="V1050">
        <f>IF(AND(OR(M1050="",M1050=B1050),OR(N1050="",N1050=B1050),OR(O1050="",O1050=B1050)),"通过","不一致")</f>
        <v/>
      </c>
    </row>
    <row r="1051" ht="22" customHeight="1">
      <c r="A1051" s="398" t="n">
        <v>1050</v>
      </c>
      <c r="B1051" s="398" t="n">
        <v>7070</v>
      </c>
      <c r="C1051" s="399" t="inlineStr">
        <is>
          <t>翠焰冥契·永夜</t>
        </is>
      </c>
      <c r="D1051" s="399" t="inlineStr">
        <is>
          <t>翠焰冥契</t>
        </is>
      </c>
      <c r="E1051" s="399" t="n">
        <v>5</v>
      </c>
      <c r="F1051" s="399" t="inlineStr">
        <is>
          <t>盾牌</t>
        </is>
      </c>
      <c r="G1051" s="398" t="n">
        <v>12</v>
      </c>
      <c r="H1051" s="398" t="n">
        <v>16</v>
      </c>
      <c r="I1051" s="398" t="n">
        <v>7070</v>
      </c>
      <c r="J1051" s="398" t="n">
        <v>0</v>
      </c>
      <c r="K1051" s="398" t="n">
        <v>0</v>
      </c>
      <c r="L1051" s="398" t="n">
        <v>0</v>
      </c>
      <c r="M1051" s="398" t="n">
        <v>7070</v>
      </c>
      <c r="N1051" s="398" t="n">
        <v>7070</v>
      </c>
      <c r="O1051" s="398" t="n">
        <v>7070</v>
      </c>
      <c r="P1051" s="292" t="n"/>
      <c r="Q1051" s="292" t="inlineStr">
        <is>
          <t>candidate-preflight-passed</t>
        </is>
      </c>
      <c r="R1051" s="324" t="inlineStr">
        <is>
          <t>C3-C10规划锁定：锁门重盾</t>
        </is>
      </c>
      <c r="S1051" s="292" t="inlineStr">
        <is>
          <t>玄渊二十套全装备代码总表.xlsx</t>
        </is>
      </c>
      <c r="T1051" s="292" t="inlineStr">
        <is>
          <t>玄渊20套全装备视觉候选；Items/StateItem/DnItems三库同码；属性待策划填写</t>
        </is>
      </c>
      <c r="U1051">
        <f>IF(COUNTIF($B$2:$B$1076,B1051)&gt;1,"重复","")</f>
        <v/>
      </c>
      <c r="V1051">
        <f>IF(AND(OR(M1051="",M1051=B1051),OR(N1051="",N1051=B1051),OR(O1051="",O1051=B1051)),"通过","不一致")</f>
        <v/>
      </c>
    </row>
    <row r="1052" ht="22" customHeight="1">
      <c r="A1052" s="398" t="n">
        <v>1051</v>
      </c>
      <c r="B1052" s="398" t="n">
        <v>7071</v>
      </c>
      <c r="C1052" s="399" t="inlineStr">
        <is>
          <t>翠焰冥契·永夜</t>
        </is>
      </c>
      <c r="D1052" s="399" t="inlineStr">
        <is>
          <t>翠焰冥契</t>
        </is>
      </c>
      <c r="E1052" s="399" t="n">
        <v>5</v>
      </c>
      <c r="F1052" s="399" t="inlineStr">
        <is>
          <t>灵玉</t>
        </is>
      </c>
      <c r="G1052" s="398" t="n">
        <v>90</v>
      </c>
      <c r="H1052" s="398" t="n">
        <v>17</v>
      </c>
      <c r="I1052" s="398" t="n">
        <v>7071</v>
      </c>
      <c r="J1052" s="398" t="n">
        <v>0</v>
      </c>
      <c r="K1052" s="398" t="n">
        <v>0</v>
      </c>
      <c r="L1052" s="398" t="n">
        <v>0</v>
      </c>
      <c r="M1052" s="398" t="n">
        <v>7071</v>
      </c>
      <c r="N1052" s="398" t="n">
        <v>7071</v>
      </c>
      <c r="O1052" s="398" t="n">
        <v>7071</v>
      </c>
      <c r="P1052" s="292" t="n"/>
      <c r="Q1052" s="292" t="inlineStr">
        <is>
          <t>candidate-preflight-passed</t>
        </is>
      </c>
      <c r="R1052" s="292" t="str"/>
      <c r="S1052" s="292" t="inlineStr">
        <is>
          <t>玄渊二十套全装备代码总表.xlsx</t>
        </is>
      </c>
      <c r="T1052" s="292" t="inlineStr">
        <is>
          <t>玄渊20套全装备视觉候选；Items/StateItem/DnItems三库同码；属性待策划填写</t>
        </is>
      </c>
      <c r="U1052">
        <f>IF(COUNTIF($B$2:$B$1076,B1052)&gt;1,"重复","")</f>
        <v/>
      </c>
      <c r="V1052">
        <f>IF(AND(OR(M1052="",M1052=B1052),OR(N1052="",N1052=B1052),OR(O1052="",O1052=B1052)),"通过","不一致")</f>
        <v/>
      </c>
    </row>
    <row r="1053" ht="22" customHeight="1">
      <c r="A1053" s="398" t="n">
        <v>1052</v>
      </c>
      <c r="B1053" s="398" t="n">
        <v>7072</v>
      </c>
      <c r="C1053" s="399" t="inlineStr">
        <is>
          <t>翠焰冥契·永夜</t>
        </is>
      </c>
      <c r="D1053" s="399" t="inlineStr">
        <is>
          <t>翠焰冥契</t>
        </is>
      </c>
      <c r="E1053" s="399" t="n">
        <v>5</v>
      </c>
      <c r="F1053" s="399" t="inlineStr">
        <is>
          <t>鞋子</t>
        </is>
      </c>
      <c r="G1053" s="398" t="n">
        <v>62</v>
      </c>
      <c r="H1053" s="398" t="n">
        <v>11</v>
      </c>
      <c r="I1053" s="398" t="n">
        <v>7072</v>
      </c>
      <c r="J1053" s="398" t="n">
        <v>0</v>
      </c>
      <c r="K1053" s="398" t="n">
        <v>0</v>
      </c>
      <c r="L1053" s="398" t="n">
        <v>0</v>
      </c>
      <c r="M1053" s="398" t="n">
        <v>7072</v>
      </c>
      <c r="N1053" s="398" t="n">
        <v>7072</v>
      </c>
      <c r="O1053" s="398" t="n">
        <v>7072</v>
      </c>
      <c r="P1053" s="292" t="n"/>
      <c r="Q1053" s="292" t="inlineStr">
        <is>
          <t>candidate-preflight-passed</t>
        </is>
      </c>
      <c r="R1053" s="324" t="inlineStr">
        <is>
          <t>C3-C10规划锁定：血尘猎靴</t>
        </is>
      </c>
      <c r="S1053" s="292" t="inlineStr">
        <is>
          <t>玄渊二十套全装备代码总表.xlsx</t>
        </is>
      </c>
      <c r="T1053" s="292" t="inlineStr">
        <is>
          <t>玄渊20套全装备视觉候选；Items/StateItem/DnItems三库同码；属性待策划填写</t>
        </is>
      </c>
      <c r="U1053">
        <f>IF(COUNTIF($B$2:$B$1076,B1053)&gt;1,"重复","")</f>
        <v/>
      </c>
      <c r="V1053">
        <f>IF(AND(OR(M1053="",M1053=B1053),OR(N1053="",N1053=B1053),OR(O1053="",O1053=B1053)),"通过","不一致")</f>
        <v/>
      </c>
    </row>
    <row r="1054" ht="22" customHeight="1">
      <c r="A1054" s="398" t="n">
        <v>1053</v>
      </c>
      <c r="B1054" s="398" t="n">
        <v>7073</v>
      </c>
      <c r="C1054" s="399" t="inlineStr">
        <is>
          <t>翠焰冥契·永夜</t>
        </is>
      </c>
      <c r="D1054" s="399" t="inlineStr">
        <is>
          <t>翠焰冥契</t>
        </is>
      </c>
      <c r="E1054" s="399" t="n">
        <v>5</v>
      </c>
      <c r="F1054" s="399" t="inlineStr">
        <is>
          <t>腰带</t>
        </is>
      </c>
      <c r="G1054" s="398" t="n">
        <v>64</v>
      </c>
      <c r="H1054" s="398" t="n">
        <v>10</v>
      </c>
      <c r="I1054" s="398" t="n">
        <v>7073</v>
      </c>
      <c r="J1054" s="398" t="n">
        <v>0</v>
      </c>
      <c r="K1054" s="398" t="n">
        <v>0</v>
      </c>
      <c r="L1054" s="398" t="n">
        <v>0</v>
      </c>
      <c r="M1054" s="398" t="n">
        <v>7073</v>
      </c>
      <c r="N1054" s="398" t="n">
        <v>7073</v>
      </c>
      <c r="O1054" s="398" t="n">
        <v>7073</v>
      </c>
      <c r="P1054" s="292" t="n"/>
      <c r="Q1054" s="292" t="inlineStr">
        <is>
          <t>candidate-preflight-passed</t>
        </is>
      </c>
      <c r="R1054" s="324" t="inlineStr">
        <is>
          <t>C3-C10规划锁定：斩翼腰封</t>
        </is>
      </c>
      <c r="S1054" s="292" t="inlineStr">
        <is>
          <t>玄渊二十套全装备代码总表.xlsx</t>
        </is>
      </c>
      <c r="T1054" s="292" t="inlineStr">
        <is>
          <t>玄渊20套全装备视觉候选；Items/StateItem/DnItems三库同码；属性待策划填写</t>
        </is>
      </c>
      <c r="U1054">
        <f>IF(COUNTIF($B$2:$B$1076,B1054)&gt;1,"重复","")</f>
        <v/>
      </c>
      <c r="V1054">
        <f>IF(AND(OR(M1054="",M1054=B1054),OR(N1054="",N1054=B1054),OR(O1054="",O1054=B1054)),"通过","不一致")</f>
        <v/>
      </c>
    </row>
    <row r="1055" ht="22" customHeight="1">
      <c r="A1055" s="398" t="n">
        <v>1054</v>
      </c>
      <c r="B1055" s="398" t="n">
        <v>7074</v>
      </c>
      <c r="C1055" s="399" t="inlineStr">
        <is>
          <t>翠焰冥契·永夜</t>
        </is>
      </c>
      <c r="D1055" s="399" t="inlineStr">
        <is>
          <t>翠焰冥契</t>
        </is>
      </c>
      <c r="E1055" s="399" t="n">
        <v>5</v>
      </c>
      <c r="F1055" s="399" t="inlineStr">
        <is>
          <t>护身符</t>
        </is>
      </c>
      <c r="G1055" s="398" t="n">
        <v>25</v>
      </c>
      <c r="H1055" s="398" t="n">
        <v>9</v>
      </c>
      <c r="I1055" s="398" t="n">
        <v>7074</v>
      </c>
      <c r="J1055" s="398" t="n">
        <v>0</v>
      </c>
      <c r="K1055" s="398" t="n">
        <v>0</v>
      </c>
      <c r="L1055" s="398" t="n">
        <v>0</v>
      </c>
      <c r="M1055" s="398" t="n">
        <v>7074</v>
      </c>
      <c r="N1055" s="398" t="n">
        <v>7074</v>
      </c>
      <c r="O1055" s="398" t="n">
        <v>7074</v>
      </c>
      <c r="P1055" s="292" t="n"/>
      <c r="Q1055" s="292" t="inlineStr">
        <is>
          <t>candidate-preflight-passed</t>
        </is>
      </c>
      <c r="R1055" s="292" t="str"/>
      <c r="S1055" s="292" t="inlineStr">
        <is>
          <t>玄渊二十套全装备代码总表.xlsx</t>
        </is>
      </c>
      <c r="T1055" s="292" t="inlineStr">
        <is>
          <t>玄渊20套全装备视觉候选；Items/StateItem/DnItems三库同码；属性待策划填写</t>
        </is>
      </c>
      <c r="U1055">
        <f>IF(COUNTIF($B$2:$B$1076,B1055)&gt;1,"重复","")</f>
        <v/>
      </c>
      <c r="V1055">
        <f>IF(AND(OR(M1055="",M1055=B1055),OR(N1055="",N1055=B1055),OR(O1055="",O1055=B1055)),"通过","不一致")</f>
        <v/>
      </c>
    </row>
    <row r="1056" ht="22" customHeight="1">
      <c r="A1056" s="398" t="n">
        <v>1055</v>
      </c>
      <c r="B1056" s="398" t="n">
        <v>7075</v>
      </c>
      <c r="C1056" s="399" t="inlineStr">
        <is>
          <t>翠焰冥契·永夜</t>
        </is>
      </c>
      <c r="D1056" s="399" t="inlineStr">
        <is>
          <t>翠焰冥契</t>
        </is>
      </c>
      <c r="E1056" s="399" t="n">
        <v>5</v>
      </c>
      <c r="F1056" s="399" t="inlineStr">
        <is>
          <t>宝石</t>
        </is>
      </c>
      <c r="G1056" s="398" t="n">
        <v>63</v>
      </c>
      <c r="H1056" s="398" t="n">
        <v>12</v>
      </c>
      <c r="I1056" s="398" t="n">
        <v>7075</v>
      </c>
      <c r="J1056" s="398" t="n">
        <v>0</v>
      </c>
      <c r="K1056" s="398" t="n">
        <v>0</v>
      </c>
      <c r="L1056" s="398" t="n">
        <v>0</v>
      </c>
      <c r="M1056" s="398" t="n">
        <v>7075</v>
      </c>
      <c r="N1056" s="398" t="n">
        <v>7075</v>
      </c>
      <c r="O1056" s="398" t="n">
        <v>7075</v>
      </c>
      <c r="P1056" s="292" t="n"/>
      <c r="Q1056" s="292" t="inlineStr">
        <is>
          <t>candidate-preflight-passed</t>
        </is>
      </c>
      <c r="R1056" s="292" t="str"/>
      <c r="S1056" s="292" t="inlineStr">
        <is>
          <t>玄渊二十套全装备代码总表.xlsx</t>
        </is>
      </c>
      <c r="T1056" s="292" t="inlineStr">
        <is>
          <t>玄渊20套全装备视觉候选；Items/StateItem/DnItems三库同码；属性待策划填写</t>
        </is>
      </c>
      <c r="U1056">
        <f>IF(COUNTIF($B$2:$B$1076,B1056)&gt;1,"重复","")</f>
        <v/>
      </c>
      <c r="V1056">
        <f>IF(AND(OR(M1056="",M1056=B1056),OR(N1056="",N1056=B1056),OR(O1056="",O1056=B1056)),"通过","不一致")</f>
        <v/>
      </c>
    </row>
    <row r="1057" ht="22" customHeight="1">
      <c r="A1057" s="398" t="n">
        <v>1056</v>
      </c>
      <c r="B1057" s="398" t="n">
        <v>7076</v>
      </c>
      <c r="C1057" s="399" t="inlineStr">
        <is>
          <t>翠焰冥契·永夜</t>
        </is>
      </c>
      <c r="D1057" s="399" t="inlineStr">
        <is>
          <t>翠焰冥契</t>
        </is>
      </c>
      <c r="E1057" s="399" t="n">
        <v>5</v>
      </c>
      <c r="F1057" s="399" t="inlineStr">
        <is>
          <t>军鼓</t>
        </is>
      </c>
      <c r="G1057" s="398" t="n">
        <v>65</v>
      </c>
      <c r="H1057" s="398" t="n">
        <v>14</v>
      </c>
      <c r="I1057" s="398" t="n">
        <v>7076</v>
      </c>
      <c r="J1057" s="398" t="n">
        <v>0</v>
      </c>
      <c r="K1057" s="398" t="n">
        <v>0</v>
      </c>
      <c r="L1057" s="398" t="n">
        <v>0</v>
      </c>
      <c r="M1057" s="398" t="n">
        <v>7076</v>
      </c>
      <c r="N1057" s="398" t="n">
        <v>7076</v>
      </c>
      <c r="O1057" s="398" t="n">
        <v>7076</v>
      </c>
      <c r="P1057" s="292" t="n"/>
      <c r="Q1057" s="292" t="inlineStr">
        <is>
          <t>candidate-preflight-passed</t>
        </is>
      </c>
      <c r="R1057" s="292" t="str"/>
      <c r="S1057" s="292" t="inlineStr">
        <is>
          <t>玄渊二十套全装备代码总表.xlsx</t>
        </is>
      </c>
      <c r="T1057" s="292" t="inlineStr">
        <is>
          <t>玄渊20套全装备视觉候选；Items/StateItem/DnItems三库同码；属性待策划填写</t>
        </is>
      </c>
      <c r="U1057">
        <f>IF(COUNTIF($B$2:$B$1076,B1057)&gt;1,"重复","")</f>
        <v/>
      </c>
      <c r="V1057">
        <f>IF(AND(OR(M1057="",M1057=B1057),OR(N1057="",N1057=B1057),OR(O1057="",O1057=B1057)),"通过","不一致")</f>
        <v/>
      </c>
    </row>
    <row r="1058" ht="22" customHeight="1">
      <c r="A1058" s="398" t="n">
        <v>1057</v>
      </c>
      <c r="B1058" s="398" t="n">
        <v>7077</v>
      </c>
      <c r="C1058" s="399" t="inlineStr">
        <is>
          <t>翠焰冥契·永夜</t>
        </is>
      </c>
      <c r="D1058" s="399" t="inlineStr">
        <is>
          <t>翠焰冥契</t>
        </is>
      </c>
      <c r="E1058" s="399" t="n">
        <v>5</v>
      </c>
      <c r="F1058" s="399" t="inlineStr">
        <is>
          <t>马牌</t>
        </is>
      </c>
      <c r="G1058" s="398" t="n">
        <v>28</v>
      </c>
      <c r="H1058" s="398" t="n">
        <v>15</v>
      </c>
      <c r="I1058" s="398" t="n">
        <v>7077</v>
      </c>
      <c r="J1058" s="398" t="n">
        <v>0</v>
      </c>
      <c r="K1058" s="398" t="n">
        <v>0</v>
      </c>
      <c r="L1058" s="398" t="n">
        <v>0</v>
      </c>
      <c r="M1058" s="398" t="n">
        <v>7077</v>
      </c>
      <c r="N1058" s="398" t="n">
        <v>7077</v>
      </c>
      <c r="O1058" s="398" t="n">
        <v>7077</v>
      </c>
      <c r="P1058" s="292" t="n"/>
      <c r="Q1058" s="292" t="inlineStr">
        <is>
          <t>candidate-preflight-passed</t>
        </is>
      </c>
      <c r="R1058" s="292" t="str"/>
      <c r="S1058" s="292" t="inlineStr">
        <is>
          <t>玄渊二十套全装备代码总表.xlsx</t>
        </is>
      </c>
      <c r="T1058" s="292" t="inlineStr">
        <is>
          <t>玄渊20套全装备视觉候选；Items/StateItem/DnItems三库同码；属性待策划填写</t>
        </is>
      </c>
      <c r="U1058">
        <f>IF(COUNTIF($B$2:$B$1076,B1058)&gt;1,"重复","")</f>
        <v/>
      </c>
      <c r="V1058">
        <f>IF(AND(OR(M1058="",M1058=B1058),OR(N1058="",N1058=B1058),OR(O1058="",O1058=B1058)),"通过","不一致")</f>
        <v/>
      </c>
    </row>
    <row r="1059" ht="22" customHeight="1">
      <c r="A1059" s="398" t="n">
        <v>1058</v>
      </c>
      <c r="B1059" s="398" t="n">
        <v>7078</v>
      </c>
      <c r="C1059" s="399" t="inlineStr">
        <is>
          <t>翠焰冥契·永夜</t>
        </is>
      </c>
      <c r="D1059" s="399" t="inlineStr">
        <is>
          <t>翠焰冥契</t>
        </is>
      </c>
      <c r="E1059" s="399" t="n">
        <v>5</v>
      </c>
      <c r="F1059" s="399" t="inlineStr">
        <is>
          <t>首饰盒1</t>
        </is>
      </c>
      <c r="G1059" s="398" t="n">
        <v>22</v>
      </c>
      <c r="H1059" s="398" t="n">
        <v>30</v>
      </c>
      <c r="I1059" s="398" t="n">
        <v>7078</v>
      </c>
      <c r="J1059" s="398" t="n">
        <v>0</v>
      </c>
      <c r="K1059" s="398" t="n">
        <v>2</v>
      </c>
      <c r="L1059" s="398" t="n">
        <v>1</v>
      </c>
      <c r="M1059" s="398" t="n">
        <v>7078</v>
      </c>
      <c r="N1059" s="398" t="n">
        <v>7078</v>
      </c>
      <c r="O1059" s="398" t="n">
        <v>7078</v>
      </c>
      <c r="P1059" s="292" t="n"/>
      <c r="Q1059" s="292" t="inlineStr">
        <is>
          <t>candidate-preflight-passed</t>
        </is>
      </c>
      <c r="R1059" s="292" t="str"/>
      <c r="S1059" s="292" t="inlineStr">
        <is>
          <t>玄渊二十套全装备代码总表.xlsx</t>
        </is>
      </c>
      <c r="T1059" s="292" t="inlineStr">
        <is>
          <t>玄渊20套全装备视觉候选；Items/StateItem/DnItems三库同码；属性待策划填写；OverLap=2; Expand1=1</t>
        </is>
      </c>
      <c r="U1059">
        <f>IF(COUNTIF($B$2:$B$1076,B1059)&gt;1,"重复","")</f>
        <v/>
      </c>
      <c r="V1059">
        <f>IF(AND(OR(M1059="",M1059=B1059),OR(N1059="",N1059=B1059),OR(O1059="",O1059=B1059)),"通过","不一致")</f>
        <v/>
      </c>
    </row>
    <row r="1060" ht="22" customHeight="1">
      <c r="A1060" s="398" t="n">
        <v>1059</v>
      </c>
      <c r="B1060" s="398" t="n">
        <v>7079</v>
      </c>
      <c r="C1060" s="399" t="inlineStr">
        <is>
          <t>翠焰冥契·永夜</t>
        </is>
      </c>
      <c r="D1060" s="399" t="inlineStr">
        <is>
          <t>翠焰冥契</t>
        </is>
      </c>
      <c r="E1060" s="399" t="n">
        <v>5</v>
      </c>
      <c r="F1060" s="399" t="inlineStr">
        <is>
          <t>首饰盒2</t>
        </is>
      </c>
      <c r="G1060" s="398" t="n">
        <v>22</v>
      </c>
      <c r="H1060" s="398" t="n">
        <v>31</v>
      </c>
      <c r="I1060" s="398" t="n">
        <v>7079</v>
      </c>
      <c r="J1060" s="398" t="n">
        <v>0</v>
      </c>
      <c r="K1060" s="398" t="n">
        <v>2</v>
      </c>
      <c r="L1060" s="398" t="n">
        <v>2</v>
      </c>
      <c r="M1060" s="398" t="n">
        <v>7079</v>
      </c>
      <c r="N1060" s="398" t="n">
        <v>7079</v>
      </c>
      <c r="O1060" s="398" t="n">
        <v>7079</v>
      </c>
      <c r="P1060" s="292" t="n"/>
      <c r="Q1060" s="292" t="inlineStr">
        <is>
          <t>candidate-preflight-passed</t>
        </is>
      </c>
      <c r="R1060" s="292" t="str"/>
      <c r="S1060" s="292" t="inlineStr">
        <is>
          <t>玄渊二十套全装备代码总表.xlsx</t>
        </is>
      </c>
      <c r="T1060" s="292" t="inlineStr">
        <is>
          <t>玄渊20套全装备视觉候选；Items/StateItem/DnItems三库同码；属性待策划填写；OverLap=2; Expand1=2</t>
        </is>
      </c>
      <c r="U1060">
        <f>IF(COUNTIF($B$2:$B$1076,B1060)&gt;1,"重复","")</f>
        <v/>
      </c>
      <c r="V1060">
        <f>IF(AND(OR(M1060="",M1060=B1060),OR(N1060="",N1060=B1060),OR(O1060="",O1060=B1060)),"通过","不一致")</f>
        <v/>
      </c>
    </row>
    <row r="1061" ht="22" customHeight="1">
      <c r="A1061" s="398" t="n">
        <v>1060</v>
      </c>
      <c r="B1061" s="398" t="n">
        <v>7080</v>
      </c>
      <c r="C1061" s="399" t="inlineStr">
        <is>
          <t>翠焰冥契·永夜</t>
        </is>
      </c>
      <c r="D1061" s="399" t="inlineStr">
        <is>
          <t>翠焰冥契</t>
        </is>
      </c>
      <c r="E1061" s="399" t="n">
        <v>5</v>
      </c>
      <c r="F1061" s="399" t="inlineStr">
        <is>
          <t>首饰盒3</t>
        </is>
      </c>
      <c r="G1061" s="398" t="n">
        <v>22</v>
      </c>
      <c r="H1061" s="398" t="n">
        <v>32</v>
      </c>
      <c r="I1061" s="398" t="n">
        <v>7080</v>
      </c>
      <c r="J1061" s="398" t="n">
        <v>0</v>
      </c>
      <c r="K1061" s="398" t="n">
        <v>2</v>
      </c>
      <c r="L1061" s="398" t="n">
        <v>3</v>
      </c>
      <c r="M1061" s="398" t="n">
        <v>7080</v>
      </c>
      <c r="N1061" s="398" t="n">
        <v>7080</v>
      </c>
      <c r="O1061" s="398" t="n">
        <v>7080</v>
      </c>
      <c r="P1061" s="292" t="n"/>
      <c r="Q1061" s="292" t="inlineStr">
        <is>
          <t>candidate-preflight-passed</t>
        </is>
      </c>
      <c r="R1061" s="292" t="str"/>
      <c r="S1061" s="292" t="inlineStr">
        <is>
          <t>玄渊二十套全装备代码总表.xlsx</t>
        </is>
      </c>
      <c r="T1061" s="292" t="inlineStr">
        <is>
          <t>玄渊20套全装备视觉候选；Items/StateItem/DnItems三库同码；属性待策划填写；OverLap=2; Expand1=3</t>
        </is>
      </c>
      <c r="U1061">
        <f>IF(COUNTIF($B$2:$B$1076,B1061)&gt;1,"重复","")</f>
        <v/>
      </c>
      <c r="V1061">
        <f>IF(AND(OR(M1061="",M1061=B1061),OR(N1061="",N1061=B1061),OR(O1061="",O1061=B1061)),"通过","不一致")</f>
        <v/>
      </c>
    </row>
    <row r="1062" ht="22" customHeight="1">
      <c r="A1062" s="398" t="n">
        <v>1061</v>
      </c>
      <c r="B1062" s="398" t="n">
        <v>7081</v>
      </c>
      <c r="C1062" s="399" t="inlineStr">
        <is>
          <t>翠焰冥契·永夜</t>
        </is>
      </c>
      <c r="D1062" s="399" t="inlineStr">
        <is>
          <t>翠焰冥契</t>
        </is>
      </c>
      <c r="E1062" s="399" t="n">
        <v>5</v>
      </c>
      <c r="F1062" s="399" t="inlineStr">
        <is>
          <t>首饰盒4</t>
        </is>
      </c>
      <c r="G1062" s="398" t="n">
        <v>22</v>
      </c>
      <c r="H1062" s="398" t="n">
        <v>33</v>
      </c>
      <c r="I1062" s="398" t="n">
        <v>7081</v>
      </c>
      <c r="J1062" s="398" t="n">
        <v>0</v>
      </c>
      <c r="K1062" s="398" t="n">
        <v>2</v>
      </c>
      <c r="L1062" s="398" t="n">
        <v>4</v>
      </c>
      <c r="M1062" s="398" t="n">
        <v>7081</v>
      </c>
      <c r="N1062" s="398" t="n">
        <v>7081</v>
      </c>
      <c r="O1062" s="398" t="n">
        <v>7081</v>
      </c>
      <c r="P1062" s="292" t="n"/>
      <c r="Q1062" s="292" t="inlineStr">
        <is>
          <t>candidate-preflight-passed</t>
        </is>
      </c>
      <c r="R1062" s="292" t="str"/>
      <c r="S1062" s="292" t="inlineStr">
        <is>
          <t>玄渊二十套全装备代码总表.xlsx</t>
        </is>
      </c>
      <c r="T1062" s="292" t="inlineStr">
        <is>
          <t>玄渊20套全装备视觉候选；Items/StateItem/DnItems三库同码；属性待策划填写；OverLap=2; Expand1=4</t>
        </is>
      </c>
      <c r="U1062">
        <f>IF(COUNTIF($B$2:$B$1076,B1062)&gt;1,"重复","")</f>
        <v/>
      </c>
      <c r="V1062">
        <f>IF(AND(OR(M1062="",M1062=B1062),OR(N1062="",N1062=B1062),OR(O1062="",O1062=B1062)),"通过","不一致")</f>
        <v/>
      </c>
    </row>
    <row r="1063" ht="22" customHeight="1">
      <c r="A1063" s="398" t="n">
        <v>1062</v>
      </c>
      <c r="B1063" s="398" t="n">
        <v>7082</v>
      </c>
      <c r="C1063" s="399" t="inlineStr">
        <is>
          <t>翠焰冥契·永夜</t>
        </is>
      </c>
      <c r="D1063" s="399" t="inlineStr">
        <is>
          <t>翠焰冥契</t>
        </is>
      </c>
      <c r="E1063" s="399" t="n">
        <v>5</v>
      </c>
      <c r="F1063" s="399" t="inlineStr">
        <is>
          <t>首饰盒5</t>
        </is>
      </c>
      <c r="G1063" s="398" t="n">
        <v>22</v>
      </c>
      <c r="H1063" s="398" t="n">
        <v>34</v>
      </c>
      <c r="I1063" s="398" t="n">
        <v>7082</v>
      </c>
      <c r="J1063" s="398" t="n">
        <v>0</v>
      </c>
      <c r="K1063" s="398" t="n">
        <v>2</v>
      </c>
      <c r="L1063" s="398" t="n">
        <v>5</v>
      </c>
      <c r="M1063" s="398" t="n">
        <v>7082</v>
      </c>
      <c r="N1063" s="398" t="n">
        <v>7082</v>
      </c>
      <c r="O1063" s="398" t="n">
        <v>7082</v>
      </c>
      <c r="P1063" s="292" t="n"/>
      <c r="Q1063" s="292" t="inlineStr">
        <is>
          <t>candidate-preflight-passed</t>
        </is>
      </c>
      <c r="R1063" s="292" t="str"/>
      <c r="S1063" s="292" t="inlineStr">
        <is>
          <t>玄渊二十套全装备代码总表.xlsx</t>
        </is>
      </c>
      <c r="T1063" s="292" t="inlineStr">
        <is>
          <t>玄渊20套全装备视觉候选；Items/StateItem/DnItems三库同码；属性待策划填写；OverLap=2; Expand1=5</t>
        </is>
      </c>
      <c r="U1063">
        <f>IF(COUNTIF($B$2:$B$1076,B1063)&gt;1,"重复","")</f>
        <v/>
      </c>
      <c r="V1063">
        <f>IF(AND(OR(M1063="",M1063=B1063),OR(N1063="",N1063=B1063),OR(O1063="",O1063=B1063)),"通过","不一致")</f>
        <v/>
      </c>
    </row>
    <row r="1064" ht="22" customHeight="1">
      <c r="A1064" s="398" t="n">
        <v>1063</v>
      </c>
      <c r="B1064" s="398" t="n">
        <v>7083</v>
      </c>
      <c r="C1064" s="399" t="inlineStr">
        <is>
          <t>翠焰冥契·永夜</t>
        </is>
      </c>
      <c r="D1064" s="399" t="inlineStr">
        <is>
          <t>翠焰冥契</t>
        </is>
      </c>
      <c r="E1064" s="399" t="n">
        <v>5</v>
      </c>
      <c r="F1064" s="399" t="inlineStr">
        <is>
          <t>首饰盒6</t>
        </is>
      </c>
      <c r="G1064" s="398" t="n">
        <v>22</v>
      </c>
      <c r="H1064" s="398" t="n">
        <v>35</v>
      </c>
      <c r="I1064" s="398" t="n">
        <v>7083</v>
      </c>
      <c r="J1064" s="398" t="n">
        <v>0</v>
      </c>
      <c r="K1064" s="398" t="n">
        <v>2</v>
      </c>
      <c r="L1064" s="398" t="n">
        <v>6</v>
      </c>
      <c r="M1064" s="398" t="n">
        <v>7083</v>
      </c>
      <c r="N1064" s="398" t="n">
        <v>7083</v>
      </c>
      <c r="O1064" s="398" t="n">
        <v>7083</v>
      </c>
      <c r="P1064" s="292" t="n"/>
      <c r="Q1064" s="292" t="inlineStr">
        <is>
          <t>candidate-preflight-passed</t>
        </is>
      </c>
      <c r="R1064" s="292" t="str"/>
      <c r="S1064" s="292" t="inlineStr">
        <is>
          <t>玄渊二十套全装备代码总表.xlsx</t>
        </is>
      </c>
      <c r="T1064" s="292" t="inlineStr">
        <is>
          <t>玄渊20套全装备视觉候选；Items/StateItem/DnItems三库同码；属性待策划填写；OverLap=2; Expand1=6</t>
        </is>
      </c>
      <c r="U1064">
        <f>IF(COUNTIF($B$2:$B$1076,B1064)&gt;1,"重复","")</f>
        <v/>
      </c>
      <c r="V1064">
        <f>IF(AND(OR(M1064="",M1064=B1064),OR(N1064="",N1064=B1064),OR(O1064="",O1064=B1064)),"通过","不一致")</f>
        <v/>
      </c>
    </row>
    <row r="1065" ht="22" customHeight="1">
      <c r="A1065" s="398" t="n">
        <v>1064</v>
      </c>
      <c r="B1065" s="398" t="n">
        <v>7084</v>
      </c>
      <c r="C1065" s="399" t="inlineStr">
        <is>
          <t>翠焰冥契·永夜</t>
        </is>
      </c>
      <c r="D1065" s="399" t="inlineStr">
        <is>
          <t>翠焰冥契</t>
        </is>
      </c>
      <c r="E1065" s="399" t="n">
        <v>5</v>
      </c>
      <c r="F1065" s="399" t="inlineStr">
        <is>
          <t>生肖1</t>
        </is>
      </c>
      <c r="G1065" s="398" t="n">
        <v>22</v>
      </c>
      <c r="H1065" s="398" t="n">
        <v>40</v>
      </c>
      <c r="I1065" s="398" t="n">
        <v>7084</v>
      </c>
      <c r="J1065" s="398" t="n">
        <v>0</v>
      </c>
      <c r="K1065" s="398" t="n">
        <v>4</v>
      </c>
      <c r="L1065" s="398" t="n">
        <v>1</v>
      </c>
      <c r="M1065" s="398" t="n">
        <v>7084</v>
      </c>
      <c r="N1065" s="398" t="n">
        <v>7084</v>
      </c>
      <c r="O1065" s="398" t="n">
        <v>7084</v>
      </c>
      <c r="P1065" s="292" t="n"/>
      <c r="Q1065" s="292" t="inlineStr">
        <is>
          <t>candidate-preflight-passed</t>
        </is>
      </c>
      <c r="R1065" s="292" t="str"/>
      <c r="S1065" s="292" t="inlineStr">
        <is>
          <t>玄渊二十套全装备代码总表.xlsx</t>
        </is>
      </c>
      <c r="T1065" s="292" t="inlineStr">
        <is>
          <t>玄渊20套全装备视觉候选；Items/StateItem/DnItems三库同码；属性待策划填写；OverLap=4; Expand1=1</t>
        </is>
      </c>
      <c r="U1065">
        <f>IF(COUNTIF($B$2:$B$1076,B1065)&gt;1,"重复","")</f>
        <v/>
      </c>
      <c r="V1065">
        <f>IF(AND(OR(M1065="",M1065=B1065),OR(N1065="",N1065=B1065),OR(O1065="",O1065=B1065)),"通过","不一致")</f>
        <v/>
      </c>
    </row>
    <row r="1066" ht="22" customHeight="1">
      <c r="A1066" s="398" t="n">
        <v>1065</v>
      </c>
      <c r="B1066" s="398" t="n">
        <v>7085</v>
      </c>
      <c r="C1066" s="399" t="inlineStr">
        <is>
          <t>翠焰冥契·永夜</t>
        </is>
      </c>
      <c r="D1066" s="399" t="inlineStr">
        <is>
          <t>翠焰冥契</t>
        </is>
      </c>
      <c r="E1066" s="399" t="n">
        <v>5</v>
      </c>
      <c r="F1066" s="399" t="inlineStr">
        <is>
          <t>生肖2</t>
        </is>
      </c>
      <c r="G1066" s="398" t="n">
        <v>22</v>
      </c>
      <c r="H1066" s="398" t="n">
        <v>41</v>
      </c>
      <c r="I1066" s="398" t="n">
        <v>7085</v>
      </c>
      <c r="J1066" s="398" t="n">
        <v>0</v>
      </c>
      <c r="K1066" s="398" t="n">
        <v>4</v>
      </c>
      <c r="L1066" s="398" t="n">
        <v>2</v>
      </c>
      <c r="M1066" s="398" t="n">
        <v>7085</v>
      </c>
      <c r="N1066" s="398" t="n">
        <v>7085</v>
      </c>
      <c r="O1066" s="398" t="n">
        <v>7085</v>
      </c>
      <c r="P1066" s="292" t="n"/>
      <c r="Q1066" s="292" t="inlineStr">
        <is>
          <t>candidate-preflight-passed</t>
        </is>
      </c>
      <c r="R1066" s="292" t="str"/>
      <c r="S1066" s="292" t="inlineStr">
        <is>
          <t>玄渊二十套全装备代码总表.xlsx</t>
        </is>
      </c>
      <c r="T1066" s="292" t="inlineStr">
        <is>
          <t>玄渊20套全装备视觉候选；Items/StateItem/DnItems三库同码；属性待策划填写；OverLap=4; Expand1=2</t>
        </is>
      </c>
      <c r="U1066">
        <f>IF(COUNTIF($B$2:$B$1076,B1066)&gt;1,"重复","")</f>
        <v/>
      </c>
      <c r="V1066">
        <f>IF(AND(OR(M1066="",M1066=B1066),OR(N1066="",N1066=B1066),OR(O1066="",O1066=B1066)),"通过","不一致")</f>
        <v/>
      </c>
    </row>
    <row r="1067" ht="22" customHeight="1">
      <c r="A1067" s="398" t="n">
        <v>1066</v>
      </c>
      <c r="B1067" s="398" t="n">
        <v>7086</v>
      </c>
      <c r="C1067" s="399" t="inlineStr">
        <is>
          <t>翠焰冥契·永夜</t>
        </is>
      </c>
      <c r="D1067" s="399" t="inlineStr">
        <is>
          <t>翠焰冥契</t>
        </is>
      </c>
      <c r="E1067" s="399" t="n">
        <v>5</v>
      </c>
      <c r="F1067" s="399" t="inlineStr">
        <is>
          <t>生肖3</t>
        </is>
      </c>
      <c r="G1067" s="398" t="n">
        <v>22</v>
      </c>
      <c r="H1067" s="398" t="n">
        <v>42</v>
      </c>
      <c r="I1067" s="398" t="n">
        <v>7086</v>
      </c>
      <c r="J1067" s="398" t="n">
        <v>0</v>
      </c>
      <c r="K1067" s="398" t="n">
        <v>4</v>
      </c>
      <c r="L1067" s="398" t="n">
        <v>3</v>
      </c>
      <c r="M1067" s="398" t="n">
        <v>7086</v>
      </c>
      <c r="N1067" s="398" t="n">
        <v>7086</v>
      </c>
      <c r="O1067" s="398" t="n">
        <v>7086</v>
      </c>
      <c r="P1067" s="292" t="n"/>
      <c r="Q1067" s="292" t="inlineStr">
        <is>
          <t>candidate-preflight-passed</t>
        </is>
      </c>
      <c r="R1067" s="292" t="str"/>
      <c r="S1067" s="292" t="inlineStr">
        <is>
          <t>玄渊二十套全装备代码总表.xlsx</t>
        </is>
      </c>
      <c r="T1067" s="292" t="inlineStr">
        <is>
          <t>玄渊20套全装备视觉候选；Items/StateItem/DnItems三库同码；属性待策划填写；OverLap=4; Expand1=3</t>
        </is>
      </c>
      <c r="U1067">
        <f>IF(COUNTIF($B$2:$B$1076,B1067)&gt;1,"重复","")</f>
        <v/>
      </c>
      <c r="V1067">
        <f>IF(AND(OR(M1067="",M1067=B1067),OR(N1067="",N1067=B1067),OR(O1067="",O1067=B1067)),"通过","不一致")</f>
        <v/>
      </c>
    </row>
    <row r="1068" ht="22" customHeight="1">
      <c r="A1068" s="398" t="n">
        <v>1067</v>
      </c>
      <c r="B1068" s="398" t="n">
        <v>7087</v>
      </c>
      <c r="C1068" s="399" t="inlineStr">
        <is>
          <t>翠焰冥契·永夜</t>
        </is>
      </c>
      <c r="D1068" s="399" t="inlineStr">
        <is>
          <t>翠焰冥契</t>
        </is>
      </c>
      <c r="E1068" s="399" t="n">
        <v>5</v>
      </c>
      <c r="F1068" s="399" t="inlineStr">
        <is>
          <t>生肖4</t>
        </is>
      </c>
      <c r="G1068" s="398" t="n">
        <v>22</v>
      </c>
      <c r="H1068" s="398" t="n">
        <v>43</v>
      </c>
      <c r="I1068" s="398" t="n">
        <v>7087</v>
      </c>
      <c r="J1068" s="398" t="n">
        <v>0</v>
      </c>
      <c r="K1068" s="398" t="n">
        <v>4</v>
      </c>
      <c r="L1068" s="398" t="n">
        <v>4</v>
      </c>
      <c r="M1068" s="398" t="n">
        <v>7087</v>
      </c>
      <c r="N1068" s="398" t="n">
        <v>7087</v>
      </c>
      <c r="O1068" s="398" t="n">
        <v>7087</v>
      </c>
      <c r="P1068" s="292" t="n"/>
      <c r="Q1068" s="292" t="inlineStr">
        <is>
          <t>candidate-preflight-passed</t>
        </is>
      </c>
      <c r="R1068" s="292" t="str"/>
      <c r="S1068" s="292" t="inlineStr">
        <is>
          <t>玄渊二十套全装备代码总表.xlsx</t>
        </is>
      </c>
      <c r="T1068" s="292" t="inlineStr">
        <is>
          <t>玄渊20套全装备视觉候选；Items/StateItem/DnItems三库同码；属性待策划填写；OverLap=4; Expand1=4</t>
        </is>
      </c>
      <c r="U1068">
        <f>IF(COUNTIF($B$2:$B$1076,B1068)&gt;1,"重复","")</f>
        <v/>
      </c>
      <c r="V1068">
        <f>IF(AND(OR(M1068="",M1068=B1068),OR(N1068="",N1068=B1068),OR(O1068="",O1068=B1068)),"通过","不一致")</f>
        <v/>
      </c>
    </row>
    <row r="1069" ht="22" customHeight="1">
      <c r="A1069" s="398" t="n">
        <v>1068</v>
      </c>
      <c r="B1069" s="398" t="n">
        <v>7088</v>
      </c>
      <c r="C1069" s="399" t="inlineStr">
        <is>
          <t>翠焰冥契·永夜</t>
        </is>
      </c>
      <c r="D1069" s="399" t="inlineStr">
        <is>
          <t>翠焰冥契</t>
        </is>
      </c>
      <c r="E1069" s="399" t="n">
        <v>5</v>
      </c>
      <c r="F1069" s="399" t="inlineStr">
        <is>
          <t>生肖5</t>
        </is>
      </c>
      <c r="G1069" s="398" t="n">
        <v>22</v>
      </c>
      <c r="H1069" s="398" t="n">
        <v>44</v>
      </c>
      <c r="I1069" s="398" t="n">
        <v>7088</v>
      </c>
      <c r="J1069" s="398" t="n">
        <v>0</v>
      </c>
      <c r="K1069" s="398" t="n">
        <v>4</v>
      </c>
      <c r="L1069" s="398" t="n">
        <v>5</v>
      </c>
      <c r="M1069" s="398" t="n">
        <v>7088</v>
      </c>
      <c r="N1069" s="398" t="n">
        <v>7088</v>
      </c>
      <c r="O1069" s="398" t="n">
        <v>7088</v>
      </c>
      <c r="P1069" s="292" t="n"/>
      <c r="Q1069" s="292" t="inlineStr">
        <is>
          <t>candidate-preflight-passed</t>
        </is>
      </c>
      <c r="R1069" s="292" t="str"/>
      <c r="S1069" s="292" t="inlineStr">
        <is>
          <t>玄渊二十套全装备代码总表.xlsx</t>
        </is>
      </c>
      <c r="T1069" s="292" t="inlineStr">
        <is>
          <t>玄渊20套全装备视觉候选；Items/StateItem/DnItems三库同码；属性待策划填写；OverLap=4; Expand1=5</t>
        </is>
      </c>
      <c r="U1069">
        <f>IF(COUNTIF($B$2:$B$1076,B1069)&gt;1,"重复","")</f>
        <v/>
      </c>
      <c r="V1069">
        <f>IF(AND(OR(M1069="",M1069=B1069),OR(N1069="",N1069=B1069),OR(O1069="",O1069=B1069)),"通过","不一致")</f>
        <v/>
      </c>
    </row>
    <row r="1070" ht="22" customHeight="1">
      <c r="A1070" s="398" t="n">
        <v>1069</v>
      </c>
      <c r="B1070" s="398" t="n">
        <v>7089</v>
      </c>
      <c r="C1070" s="399" t="inlineStr">
        <is>
          <t>翠焰冥契·永夜</t>
        </is>
      </c>
      <c r="D1070" s="399" t="inlineStr">
        <is>
          <t>翠焰冥契</t>
        </is>
      </c>
      <c r="E1070" s="399" t="n">
        <v>5</v>
      </c>
      <c r="F1070" s="399" t="inlineStr">
        <is>
          <t>生肖6</t>
        </is>
      </c>
      <c r="G1070" s="398" t="n">
        <v>22</v>
      </c>
      <c r="H1070" s="398" t="n">
        <v>45</v>
      </c>
      <c r="I1070" s="398" t="n">
        <v>7089</v>
      </c>
      <c r="J1070" s="398" t="n">
        <v>0</v>
      </c>
      <c r="K1070" s="398" t="n">
        <v>4</v>
      </c>
      <c r="L1070" s="398" t="n">
        <v>6</v>
      </c>
      <c r="M1070" s="398" t="n">
        <v>7089</v>
      </c>
      <c r="N1070" s="398" t="n">
        <v>7089</v>
      </c>
      <c r="O1070" s="398" t="n">
        <v>7089</v>
      </c>
      <c r="P1070" s="292" t="n"/>
      <c r="Q1070" s="292" t="inlineStr">
        <is>
          <t>candidate-preflight-passed</t>
        </is>
      </c>
      <c r="R1070" s="292" t="str"/>
      <c r="S1070" s="292" t="inlineStr">
        <is>
          <t>玄渊二十套全装备代码总表.xlsx</t>
        </is>
      </c>
      <c r="T1070" s="292" t="inlineStr">
        <is>
          <t>玄渊20套全装备视觉候选；Items/StateItem/DnItems三库同码；属性待策划填写；OverLap=4; Expand1=6</t>
        </is>
      </c>
      <c r="U1070">
        <f>IF(COUNTIF($B$2:$B$1076,B1070)&gt;1,"重复","")</f>
        <v/>
      </c>
      <c r="V1070">
        <f>IF(AND(OR(M1070="",M1070=B1070),OR(N1070="",N1070=B1070),OR(O1070="",O1070=B1070)),"通过","不一致")</f>
        <v/>
      </c>
    </row>
    <row r="1071" ht="22" customHeight="1">
      <c r="A1071" s="398" t="n">
        <v>1070</v>
      </c>
      <c r="B1071" s="398" t="n">
        <v>7090</v>
      </c>
      <c r="C1071" s="399" t="inlineStr">
        <is>
          <t>翠焰冥契·永夜</t>
        </is>
      </c>
      <c r="D1071" s="399" t="inlineStr">
        <is>
          <t>翠焰冥契</t>
        </is>
      </c>
      <c r="E1071" s="399" t="n">
        <v>5</v>
      </c>
      <c r="F1071" s="399" t="inlineStr">
        <is>
          <t>生肖7</t>
        </is>
      </c>
      <c r="G1071" s="398" t="n">
        <v>22</v>
      </c>
      <c r="H1071" s="398" t="n">
        <v>46</v>
      </c>
      <c r="I1071" s="398" t="n">
        <v>7090</v>
      </c>
      <c r="J1071" s="398" t="n">
        <v>0</v>
      </c>
      <c r="K1071" s="398" t="n">
        <v>4</v>
      </c>
      <c r="L1071" s="398" t="n">
        <v>7</v>
      </c>
      <c r="M1071" s="398" t="n">
        <v>7090</v>
      </c>
      <c r="N1071" s="398" t="n">
        <v>7090</v>
      </c>
      <c r="O1071" s="398" t="n">
        <v>7090</v>
      </c>
      <c r="P1071" s="292" t="n"/>
      <c r="Q1071" s="292" t="inlineStr">
        <is>
          <t>candidate-preflight-passed</t>
        </is>
      </c>
      <c r="R1071" s="292" t="str"/>
      <c r="S1071" s="292" t="inlineStr">
        <is>
          <t>玄渊二十套全装备代码总表.xlsx</t>
        </is>
      </c>
      <c r="T1071" s="292" t="inlineStr">
        <is>
          <t>玄渊20套全装备视觉候选；Items/StateItem/DnItems三库同码；属性待策划填写；OverLap=4; Expand1=7</t>
        </is>
      </c>
      <c r="U1071">
        <f>IF(COUNTIF($B$2:$B$1076,B1071)&gt;1,"重复","")</f>
        <v/>
      </c>
      <c r="V1071">
        <f>IF(AND(OR(M1071="",M1071=B1071),OR(N1071="",N1071=B1071),OR(O1071="",O1071=B1071)),"通过","不一致")</f>
        <v/>
      </c>
    </row>
    <row r="1072" ht="22" customHeight="1">
      <c r="A1072" s="398" t="n">
        <v>1071</v>
      </c>
      <c r="B1072" s="398" t="n">
        <v>7091</v>
      </c>
      <c r="C1072" s="399" t="inlineStr">
        <is>
          <t>翠焰冥契·永夜</t>
        </is>
      </c>
      <c r="D1072" s="399" t="inlineStr">
        <is>
          <t>翠焰冥契</t>
        </is>
      </c>
      <c r="E1072" s="399" t="n">
        <v>5</v>
      </c>
      <c r="F1072" s="399" t="inlineStr">
        <is>
          <t>生肖8</t>
        </is>
      </c>
      <c r="G1072" s="398" t="n">
        <v>22</v>
      </c>
      <c r="H1072" s="398" t="n">
        <v>47</v>
      </c>
      <c r="I1072" s="398" t="n">
        <v>7091</v>
      </c>
      <c r="J1072" s="398" t="n">
        <v>0</v>
      </c>
      <c r="K1072" s="398" t="n">
        <v>4</v>
      </c>
      <c r="L1072" s="398" t="n">
        <v>8</v>
      </c>
      <c r="M1072" s="398" t="n">
        <v>7091</v>
      </c>
      <c r="N1072" s="398" t="n">
        <v>7091</v>
      </c>
      <c r="O1072" s="398" t="n">
        <v>7091</v>
      </c>
      <c r="P1072" s="292" t="n"/>
      <c r="Q1072" s="292" t="inlineStr">
        <is>
          <t>candidate-preflight-passed</t>
        </is>
      </c>
      <c r="R1072" s="292" t="str"/>
      <c r="S1072" s="292" t="inlineStr">
        <is>
          <t>玄渊二十套全装备代码总表.xlsx</t>
        </is>
      </c>
      <c r="T1072" s="292" t="inlineStr">
        <is>
          <t>玄渊20套全装备视觉候选；Items/StateItem/DnItems三库同码；属性待策划填写；OverLap=4; Expand1=8</t>
        </is>
      </c>
      <c r="U1072">
        <f>IF(COUNTIF($B$2:$B$1076,B1072)&gt;1,"重复","")</f>
        <v/>
      </c>
      <c r="V1072">
        <f>IF(AND(OR(M1072="",M1072=B1072),OR(N1072="",N1072=B1072),OR(O1072="",O1072=B1072)),"通过","不一致")</f>
        <v/>
      </c>
    </row>
    <row r="1073" ht="22" customHeight="1">
      <c r="A1073" s="398" t="n">
        <v>1072</v>
      </c>
      <c r="B1073" s="398" t="n">
        <v>7092</v>
      </c>
      <c r="C1073" s="399" t="inlineStr">
        <is>
          <t>翠焰冥契·永夜</t>
        </is>
      </c>
      <c r="D1073" s="399" t="inlineStr">
        <is>
          <t>翠焰冥契</t>
        </is>
      </c>
      <c r="E1073" s="399" t="n">
        <v>5</v>
      </c>
      <c r="F1073" s="399" t="inlineStr">
        <is>
          <t>生肖9</t>
        </is>
      </c>
      <c r="G1073" s="398" t="n">
        <v>22</v>
      </c>
      <c r="H1073" s="398" t="n">
        <v>48</v>
      </c>
      <c r="I1073" s="398" t="n">
        <v>7092</v>
      </c>
      <c r="J1073" s="398" t="n">
        <v>0</v>
      </c>
      <c r="K1073" s="398" t="n">
        <v>4</v>
      </c>
      <c r="L1073" s="398" t="n">
        <v>9</v>
      </c>
      <c r="M1073" s="398" t="n">
        <v>7092</v>
      </c>
      <c r="N1073" s="398" t="n">
        <v>7092</v>
      </c>
      <c r="O1073" s="398" t="n">
        <v>7092</v>
      </c>
      <c r="P1073" s="292" t="n"/>
      <c r="Q1073" s="292" t="inlineStr">
        <is>
          <t>candidate-preflight-passed</t>
        </is>
      </c>
      <c r="R1073" s="292" t="str"/>
      <c r="S1073" s="292" t="inlineStr">
        <is>
          <t>玄渊二十套全装备代码总表.xlsx</t>
        </is>
      </c>
      <c r="T1073" s="292" t="inlineStr">
        <is>
          <t>玄渊20套全装备视觉候选；Items/StateItem/DnItems三库同码；属性待策划填写；OverLap=4; Expand1=9</t>
        </is>
      </c>
      <c r="U1073">
        <f>IF(COUNTIF($B$2:$B$1076,B1073)&gt;1,"重复","")</f>
        <v/>
      </c>
      <c r="V1073">
        <f>IF(AND(OR(M1073="",M1073=B1073),OR(N1073="",N1073=B1073),OR(O1073="",O1073=B1073)),"通过","不一致")</f>
        <v/>
      </c>
    </row>
    <row r="1074" ht="22" customHeight="1">
      <c r="A1074" s="398" t="n">
        <v>1073</v>
      </c>
      <c r="B1074" s="398" t="n">
        <v>7093</v>
      </c>
      <c r="C1074" s="399" t="inlineStr">
        <is>
          <t>翠焰冥契·永夜</t>
        </is>
      </c>
      <c r="D1074" s="399" t="inlineStr">
        <is>
          <t>翠焰冥契</t>
        </is>
      </c>
      <c r="E1074" s="399" t="n">
        <v>5</v>
      </c>
      <c r="F1074" s="399" t="inlineStr">
        <is>
          <t>生肖10</t>
        </is>
      </c>
      <c r="G1074" s="398" t="n">
        <v>22</v>
      </c>
      <c r="H1074" s="398" t="n">
        <v>49</v>
      </c>
      <c r="I1074" s="398" t="n">
        <v>7093</v>
      </c>
      <c r="J1074" s="398" t="n">
        <v>0</v>
      </c>
      <c r="K1074" s="398" t="n">
        <v>4</v>
      </c>
      <c r="L1074" s="398" t="n">
        <v>10</v>
      </c>
      <c r="M1074" s="398" t="n">
        <v>7093</v>
      </c>
      <c r="N1074" s="398" t="n">
        <v>7093</v>
      </c>
      <c r="O1074" s="398" t="n">
        <v>7093</v>
      </c>
      <c r="P1074" s="292" t="n"/>
      <c r="Q1074" s="292" t="inlineStr">
        <is>
          <t>candidate-preflight-passed</t>
        </is>
      </c>
      <c r="R1074" s="292" t="str"/>
      <c r="S1074" s="292" t="inlineStr">
        <is>
          <t>玄渊二十套全装备代码总表.xlsx</t>
        </is>
      </c>
      <c r="T1074" s="292" t="inlineStr">
        <is>
          <t>玄渊20套全装备视觉候选；Items/StateItem/DnItems三库同码；属性待策划填写；OverLap=4; Expand1=10</t>
        </is>
      </c>
      <c r="U1074">
        <f>IF(COUNTIF($B$2:$B$1076,B1074)&gt;1,"重复","")</f>
        <v/>
      </c>
      <c r="V1074">
        <f>IF(AND(OR(M1074="",M1074=B1074),OR(N1074="",N1074=B1074),OR(O1074="",O1074=B1074)),"通过","不一致")</f>
        <v/>
      </c>
    </row>
    <row r="1075" ht="22" customHeight="1">
      <c r="A1075" s="398" t="n">
        <v>1074</v>
      </c>
      <c r="B1075" s="398" t="n">
        <v>7094</v>
      </c>
      <c r="C1075" s="399" t="inlineStr">
        <is>
          <t>翠焰冥契·永夜</t>
        </is>
      </c>
      <c r="D1075" s="399" t="inlineStr">
        <is>
          <t>翠焰冥契</t>
        </is>
      </c>
      <c r="E1075" s="399" t="n">
        <v>5</v>
      </c>
      <c r="F1075" s="399" t="inlineStr">
        <is>
          <t>生肖11</t>
        </is>
      </c>
      <c r="G1075" s="398" t="n">
        <v>22</v>
      </c>
      <c r="H1075" s="398" t="n">
        <v>50</v>
      </c>
      <c r="I1075" s="398" t="n">
        <v>7094</v>
      </c>
      <c r="J1075" s="398" t="n">
        <v>0</v>
      </c>
      <c r="K1075" s="398" t="n">
        <v>4</v>
      </c>
      <c r="L1075" s="398" t="n">
        <v>11</v>
      </c>
      <c r="M1075" s="398" t="n">
        <v>7094</v>
      </c>
      <c r="N1075" s="398" t="n">
        <v>7094</v>
      </c>
      <c r="O1075" s="398" t="n">
        <v>7094</v>
      </c>
      <c r="P1075" s="292" t="n"/>
      <c r="Q1075" s="292" t="inlineStr">
        <is>
          <t>candidate-preflight-passed</t>
        </is>
      </c>
      <c r="R1075" s="292" t="str"/>
      <c r="S1075" s="292" t="inlineStr">
        <is>
          <t>玄渊二十套全装备代码总表.xlsx</t>
        </is>
      </c>
      <c r="T1075" s="292" t="inlineStr">
        <is>
          <t>玄渊20套全装备视觉候选；Items/StateItem/DnItems三库同码；属性待策划填写；OverLap=4; Expand1=11</t>
        </is>
      </c>
      <c r="U1075">
        <f>IF(COUNTIF($B$2:$B$1076,B1075)&gt;1,"重复","")</f>
        <v/>
      </c>
      <c r="V1075">
        <f>IF(AND(OR(M1075="",M1075=B1075),OR(N1075="",N1075=B1075),OR(O1075="",O1075=B1075)),"通过","不一致")</f>
        <v/>
      </c>
    </row>
    <row r="1076" ht="22" customHeight="1">
      <c r="A1076" s="398" t="n">
        <v>1075</v>
      </c>
      <c r="B1076" s="398" t="n">
        <v>7095</v>
      </c>
      <c r="C1076" s="399" t="inlineStr">
        <is>
          <t>翠焰冥契·永夜</t>
        </is>
      </c>
      <c r="D1076" s="399" t="inlineStr">
        <is>
          <t>翠焰冥契</t>
        </is>
      </c>
      <c r="E1076" s="399" t="n">
        <v>5</v>
      </c>
      <c r="F1076" s="399" t="inlineStr">
        <is>
          <t>生肖12</t>
        </is>
      </c>
      <c r="G1076" s="398" t="n">
        <v>22</v>
      </c>
      <c r="H1076" s="398" t="n">
        <v>51</v>
      </c>
      <c r="I1076" s="398" t="n">
        <v>7095</v>
      </c>
      <c r="J1076" s="398" t="n">
        <v>0</v>
      </c>
      <c r="K1076" s="398" t="n">
        <v>4</v>
      </c>
      <c r="L1076" s="398" t="n">
        <v>12</v>
      </c>
      <c r="M1076" s="398" t="n">
        <v>7095</v>
      </c>
      <c r="N1076" s="398" t="n">
        <v>7095</v>
      </c>
      <c r="O1076" s="398" t="n">
        <v>7095</v>
      </c>
      <c r="P1076" s="292" t="n"/>
      <c r="Q1076" s="292" t="inlineStr">
        <is>
          <t>candidate-preflight-passed</t>
        </is>
      </c>
      <c r="R1076" s="292" t="str"/>
      <c r="S1076" s="292" t="inlineStr">
        <is>
          <t>玄渊二十套全装备代码总表.xlsx</t>
        </is>
      </c>
      <c r="T1076" s="292" t="inlineStr">
        <is>
          <t>玄渊20套全装备视觉候选；Items/StateItem/DnItems三库同码；属性待策划填写；OverLap=4; Expand1=12</t>
        </is>
      </c>
      <c r="U1076">
        <f>IF(COUNTIF($B$2:$B$1076,B1076)&gt;1,"重复","")</f>
        <v/>
      </c>
      <c r="V1076">
        <f>IF(AND(OR(M1076="",M1076=B1076),OR(N1076="",N1076=B1076),OR(O1076="",O1076=B1076)),"通过","不一致")</f>
        <v/>
      </c>
    </row>
    <row r="1077">
      <c r="A1077" s="398" t="n">
        <v>1076</v>
      </c>
      <c r="B1077" s="398" t="n">
        <v>7096</v>
      </c>
      <c r="C1077" s="399" t="inlineStr">
        <is>
          <t>C3-C10专属待补</t>
        </is>
      </c>
      <c r="D1077" s="399" t="inlineStr">
        <is>
          <t>宁姆格福西域</t>
        </is>
      </c>
      <c r="E1077" s="399" t="n">
        <v>1</v>
      </c>
      <c r="F1077" s="399" t="inlineStr">
        <is>
          <t>武器</t>
        </is>
      </c>
      <c r="G1077" s="398" t="n">
        <v>5</v>
      </c>
      <c r="H1077" s="398" t="n"/>
      <c r="I1077" s="398" t="n">
        <v>7096</v>
      </c>
      <c r="J1077" s="398" t="n">
        <v>14</v>
      </c>
      <c r="K1077" s="398" t="n"/>
      <c r="L1077" s="398" t="n"/>
      <c r="M1077" s="398" t="n">
        <v>7096</v>
      </c>
      <c r="N1077" s="398" t="n">
        <v>7096</v>
      </c>
      <c r="O1077" s="398" t="n">
        <v>7096</v>
      </c>
      <c r="P1077" s="292" t="n"/>
      <c r="Q1077" s="292" t="inlineStr">
        <is>
          <t>测试新增资源已回读</t>
        </is>
      </c>
      <c r="R1077" s="292" t="inlineStr">
        <is>
          <t>C03-M001</t>
        </is>
      </c>
      <c r="S1077" s="292" t="inlineStr">
        <is>
          <t>平台装备素材/0001_黄金圣树·初誓_武器.bmp</t>
        </is>
      </c>
      <c r="T1077" s="292" t="inlineStr">
        <is>
          <t>仅测试副本；未写正式客户端</t>
        </is>
      </c>
      <c r="U1077">
        <f>IF(COUNTIF($B$2:$B$1198,B1077)&gt;1,"重复","")</f>
        <v/>
      </c>
      <c r="V1077">
        <f>IF(AND(OR(M1077="",M1077=B1077),OR(N1077="",N1077=B1077),OR(O1077="",O1077=B1077)),"通过","不一致")</f>
        <v/>
      </c>
    </row>
    <row r="1078">
      <c r="A1078" s="398" t="n">
        <v>1077</v>
      </c>
      <c r="B1078" s="398" t="n">
        <v>7097</v>
      </c>
      <c r="C1078" s="399" t="inlineStr">
        <is>
          <t>C3-C10专属待补</t>
        </is>
      </c>
      <c r="D1078" s="399" t="inlineStr">
        <is>
          <t>宁姆格福西域</t>
        </is>
      </c>
      <c r="E1078" s="399" t="n">
        <v>1</v>
      </c>
      <c r="F1078" s="399" t="inlineStr">
        <is>
          <t>男衣服（现行模板的衣服映射）</t>
        </is>
      </c>
      <c r="G1078" s="398" t="n">
        <v>10</v>
      </c>
      <c r="H1078" s="398" t="n"/>
      <c r="I1078" s="398" t="n">
        <v>7097</v>
      </c>
      <c r="J1078" s="398" t="n">
        <v>1</v>
      </c>
      <c r="K1078" s="398" t="n"/>
      <c r="L1078" s="398" t="n"/>
      <c r="M1078" s="398" t="n">
        <v>7097</v>
      </c>
      <c r="N1078" s="398" t="n">
        <v>7097</v>
      </c>
      <c r="O1078" s="398" t="n">
        <v>7097</v>
      </c>
      <c r="P1078" s="292" t="n"/>
      <c r="Q1078" s="292" t="inlineStr">
        <is>
          <t>测试新增资源已回读</t>
        </is>
      </c>
      <c r="R1078" s="292" t="inlineStr">
        <is>
          <t>C03-M009</t>
        </is>
      </c>
      <c r="S1078" s="292" t="inlineStr">
        <is>
          <t>平台装备素材/0002_黄金圣树·初誓_男衣服.bmp</t>
        </is>
      </c>
      <c r="T1078" s="292" t="inlineStr">
        <is>
          <t>仅测试副本；未写正式客户端</t>
        </is>
      </c>
      <c r="U1078">
        <f>IF(COUNTIF($B$2:$B$1198,B1078)&gt;1,"重复","")</f>
        <v/>
      </c>
      <c r="V1078">
        <f>IF(AND(OR(M1078="",M1078=B1078),OR(N1078="",N1078=B1078),OR(O1078="",O1078=B1078)),"通过","不一致")</f>
        <v/>
      </c>
    </row>
    <row r="1079">
      <c r="A1079" s="398" t="n">
        <v>1078</v>
      </c>
      <c r="B1079" s="398" t="n">
        <v>7098</v>
      </c>
      <c r="C1079" s="399" t="inlineStr">
        <is>
          <t>C3-C10专属待补</t>
        </is>
      </c>
      <c r="D1079" s="399" t="inlineStr">
        <is>
          <t>宁姆格福西域</t>
        </is>
      </c>
      <c r="E1079" s="399" t="n">
        <v>1</v>
      </c>
      <c r="F1079" s="399" t="inlineStr">
        <is>
          <t>武器</t>
        </is>
      </c>
      <c r="G1079" s="398" t="n">
        <v>5</v>
      </c>
      <c r="H1079" s="398" t="n"/>
      <c r="I1079" s="398" t="n">
        <v>7098</v>
      </c>
      <c r="J1079" s="398" t="n">
        <v>14</v>
      </c>
      <c r="K1079" s="398" t="n"/>
      <c r="L1079" s="398" t="n"/>
      <c r="M1079" s="398" t="n">
        <v>7098</v>
      </c>
      <c r="N1079" s="398" t="n">
        <v>7098</v>
      </c>
      <c r="O1079" s="398" t="n">
        <v>7098</v>
      </c>
      <c r="P1079" s="292" t="n"/>
      <c r="Q1079" s="292" t="inlineStr">
        <is>
          <t>测试新增资源已回读</t>
        </is>
      </c>
      <c r="R1079" s="292" t="inlineStr">
        <is>
          <t>C03-M013</t>
        </is>
      </c>
      <c r="S1079" s="292" t="inlineStr">
        <is>
          <t>平台装备素材/0036_黄金圣树·圣枝_武器.bmp</t>
        </is>
      </c>
      <c r="T1079" s="292" t="inlineStr">
        <is>
          <t>仅测试副本；未写正式客户端</t>
        </is>
      </c>
      <c r="U1079">
        <f>IF(COUNTIF($B$2:$B$1198,B1079)&gt;1,"重复","")</f>
        <v/>
      </c>
      <c r="V1079">
        <f>IF(AND(OR(M1079="",M1079=B1079),OR(N1079="",N1079=B1079),OR(O1079="",O1079=B1079)),"通过","不一致")</f>
        <v/>
      </c>
    </row>
    <row r="1080">
      <c r="A1080" s="398" t="n">
        <v>1079</v>
      </c>
      <c r="B1080" s="398" t="n">
        <v>7099</v>
      </c>
      <c r="C1080" s="399" t="inlineStr">
        <is>
          <t>C3-C10专属待补</t>
        </is>
      </c>
      <c r="D1080" s="399" t="inlineStr">
        <is>
          <t>宁姆格福西域</t>
        </is>
      </c>
      <c r="E1080" s="399" t="n">
        <v>1</v>
      </c>
      <c r="F1080" s="399" t="inlineStr">
        <is>
          <t>武器</t>
        </is>
      </c>
      <c r="G1080" s="398" t="n">
        <v>5</v>
      </c>
      <c r="H1080" s="398" t="n"/>
      <c r="I1080" s="398" t="n">
        <v>7099</v>
      </c>
      <c r="J1080" s="398" t="n">
        <v>14</v>
      </c>
      <c r="K1080" s="398" t="n"/>
      <c r="L1080" s="398" t="n"/>
      <c r="M1080" s="398" t="n">
        <v>7099</v>
      </c>
      <c r="N1080" s="398" t="n">
        <v>7099</v>
      </c>
      <c r="O1080" s="398" t="n">
        <v>7099</v>
      </c>
      <c r="P1080" s="292" t="n"/>
      <c r="Q1080" s="292" t="inlineStr">
        <is>
          <t>测试新增资源已回读</t>
        </is>
      </c>
      <c r="R1080" s="292" t="inlineStr">
        <is>
          <t>C03-M014</t>
        </is>
      </c>
      <c r="S1080" s="292" t="inlineStr">
        <is>
          <t>平台装备素材/0071_黄金圣树·王权_武器.bmp</t>
        </is>
      </c>
      <c r="T1080" s="292" t="inlineStr">
        <is>
          <t>仅测试副本；未写正式客户端</t>
        </is>
      </c>
      <c r="U1080">
        <f>IF(COUNTIF($B$2:$B$1198,B1080)&gt;1,"重复","")</f>
        <v/>
      </c>
      <c r="V1080">
        <f>IF(AND(OR(M1080="",M1080=B1080),OR(N1080="",N1080=B1080),OR(O1080="",O1080=B1080)),"通过","不一致")</f>
        <v/>
      </c>
    </row>
    <row r="1081">
      <c r="A1081" s="398" t="n">
        <v>1080</v>
      </c>
      <c r="B1081" s="398" t="n">
        <v>7100</v>
      </c>
      <c r="C1081" s="399" t="inlineStr">
        <is>
          <t>C3-C10专属待补</t>
        </is>
      </c>
      <c r="D1081" s="399" t="inlineStr">
        <is>
          <t>宁姆格福西域</t>
        </is>
      </c>
      <c r="E1081" s="399" t="n">
        <v>1</v>
      </c>
      <c r="F1081" s="399" t="inlineStr">
        <is>
          <t>男衣服（现行模板的衣服映射）</t>
        </is>
      </c>
      <c r="G1081" s="398" t="n">
        <v>10</v>
      </c>
      <c r="H1081" s="398" t="n"/>
      <c r="I1081" s="398" t="n">
        <v>7100</v>
      </c>
      <c r="J1081" s="398" t="n">
        <v>1</v>
      </c>
      <c r="K1081" s="398" t="n"/>
      <c r="L1081" s="398" t="n"/>
      <c r="M1081" s="398" t="n">
        <v>7100</v>
      </c>
      <c r="N1081" s="398" t="n">
        <v>7100</v>
      </c>
      <c r="O1081" s="398" t="n">
        <v>7100</v>
      </c>
      <c r="P1081" s="292" t="n"/>
      <c r="Q1081" s="292" t="inlineStr">
        <is>
          <t>测试新增资源已回读</t>
        </is>
      </c>
      <c r="R1081" s="292" t="inlineStr">
        <is>
          <t>C03-M020</t>
        </is>
      </c>
      <c r="S1081" s="292" t="inlineStr">
        <is>
          <t>平台装备素材/0037_黄金圣树·圣枝_男衣服.bmp</t>
        </is>
      </c>
      <c r="T1081" s="292" t="inlineStr">
        <is>
          <t>仅测试副本；未写正式客户端</t>
        </is>
      </c>
      <c r="U1081">
        <f>IF(COUNTIF($B$2:$B$1198,B1081)&gt;1,"重复","")</f>
        <v/>
      </c>
      <c r="V1081">
        <f>IF(AND(OR(M1081="",M1081=B1081),OR(N1081="",N1081=B1081),OR(O1081="",O1081=B1081)),"通过","不一致")</f>
        <v/>
      </c>
    </row>
    <row r="1082">
      <c r="A1082" s="398" t="n">
        <v>1081</v>
      </c>
      <c r="B1082" s="398" t="n">
        <v>7101</v>
      </c>
      <c r="C1082" s="399" t="inlineStr">
        <is>
          <t>C3-C10专属待补</t>
        </is>
      </c>
      <c r="D1082" s="399" t="inlineStr">
        <is>
          <t>宁姆格福西域</t>
        </is>
      </c>
      <c r="E1082" s="399" t="n">
        <v>1</v>
      </c>
      <c r="F1082" s="399" t="inlineStr">
        <is>
          <t>武器</t>
        </is>
      </c>
      <c r="G1082" s="398" t="n">
        <v>5</v>
      </c>
      <c r="H1082" s="398" t="n"/>
      <c r="I1082" s="398" t="n">
        <v>7101</v>
      </c>
      <c r="J1082" s="398" t="n">
        <v>14</v>
      </c>
      <c r="K1082" s="398" t="n"/>
      <c r="L1082" s="398" t="n"/>
      <c r="M1082" s="398" t="n">
        <v>7101</v>
      </c>
      <c r="N1082" s="398" t="n">
        <v>7101</v>
      </c>
      <c r="O1082" s="398" t="n">
        <v>7101</v>
      </c>
      <c r="P1082" s="292" t="n"/>
      <c r="Q1082" s="292" t="inlineStr">
        <is>
          <t>测试新增资源已回读</t>
        </is>
      </c>
      <c r="R1082" s="292" t="inlineStr">
        <is>
          <t>C03-M025</t>
        </is>
      </c>
      <c r="S1082" s="292" t="inlineStr">
        <is>
          <t>平台装备素材/0106_黄金圣树·律法_武器.bmp</t>
        </is>
      </c>
      <c r="T1082" s="292" t="inlineStr">
        <is>
          <t>仅测试副本；未写正式客户端</t>
        </is>
      </c>
      <c r="U1082">
        <f>IF(COUNTIF($B$2:$B$1198,B1082)&gt;1,"重复","")</f>
        <v/>
      </c>
      <c r="V1082">
        <f>IF(AND(OR(M1082="",M1082=B1082),OR(N1082="",N1082=B1082),OR(O1082="",O1082=B1082)),"通过","不一致")</f>
        <v/>
      </c>
    </row>
    <row r="1083">
      <c r="A1083" s="398" t="n">
        <v>1082</v>
      </c>
      <c r="B1083" s="398" t="n">
        <v>7102</v>
      </c>
      <c r="C1083" s="399" t="inlineStr">
        <is>
          <t>C3-C10专属待补</t>
        </is>
      </c>
      <c r="D1083" s="399" t="inlineStr">
        <is>
          <t>宁姆格福西域</t>
        </is>
      </c>
      <c r="E1083" s="399" t="n">
        <v>1</v>
      </c>
      <c r="F1083" s="399" t="inlineStr">
        <is>
          <t>男衣服（现行模板的衣服映射）</t>
        </is>
      </c>
      <c r="G1083" s="398" t="n">
        <v>10</v>
      </c>
      <c r="H1083" s="398" t="n"/>
      <c r="I1083" s="398" t="n">
        <v>7102</v>
      </c>
      <c r="J1083" s="398" t="n">
        <v>1</v>
      </c>
      <c r="K1083" s="398" t="n"/>
      <c r="L1083" s="398" t="n"/>
      <c r="M1083" s="398" t="n">
        <v>7102</v>
      </c>
      <c r="N1083" s="398" t="n">
        <v>7102</v>
      </c>
      <c r="O1083" s="398" t="n">
        <v>7102</v>
      </c>
      <c r="P1083" s="292" t="n"/>
      <c r="Q1083" s="292" t="inlineStr">
        <is>
          <t>测试新增资源已回读</t>
        </is>
      </c>
      <c r="R1083" s="292" t="inlineStr">
        <is>
          <t>C03-M028</t>
        </is>
      </c>
      <c r="S1083" s="292" t="inlineStr">
        <is>
          <t>平台装备素材/0072_黄金圣树·王权_男衣服.bmp</t>
        </is>
      </c>
      <c r="T1083" s="292" t="inlineStr">
        <is>
          <t>仅测试副本；未写正式客户端</t>
        </is>
      </c>
      <c r="U1083">
        <f>IF(COUNTIF($B$2:$B$1198,B1083)&gt;1,"重复","")</f>
        <v/>
      </c>
      <c r="V1083">
        <f>IF(AND(OR(M1083="",M1083=B1083),OR(N1083="",N1083=B1083),OR(O1083="",O1083=B1083)),"通过","不一致")</f>
        <v/>
      </c>
    </row>
    <row r="1084">
      <c r="A1084" s="398" t="n">
        <v>1083</v>
      </c>
      <c r="B1084" s="398" t="n">
        <v>7103</v>
      </c>
      <c r="C1084" s="399" t="inlineStr">
        <is>
          <t>C3-C10专属待补</t>
        </is>
      </c>
      <c r="D1084" s="399" t="inlineStr">
        <is>
          <t>宁姆格福西域</t>
        </is>
      </c>
      <c r="E1084" s="399" t="n">
        <v>1</v>
      </c>
      <c r="F1084" s="399" t="inlineStr">
        <is>
          <t>武器</t>
        </is>
      </c>
      <c r="G1084" s="398" t="n">
        <v>5</v>
      </c>
      <c r="H1084" s="398" t="n"/>
      <c r="I1084" s="398" t="n">
        <v>7103</v>
      </c>
      <c r="J1084" s="398" t="n">
        <v>14</v>
      </c>
      <c r="K1084" s="398" t="n"/>
      <c r="L1084" s="398" t="n"/>
      <c r="M1084" s="398" t="n">
        <v>7103</v>
      </c>
      <c r="N1084" s="398" t="n">
        <v>7103</v>
      </c>
      <c r="O1084" s="398" t="n">
        <v>7103</v>
      </c>
      <c r="P1084" s="292" t="n"/>
      <c r="Q1084" s="292" t="inlineStr">
        <is>
          <t>测试新增资源已回读</t>
        </is>
      </c>
      <c r="R1084" s="292" t="inlineStr">
        <is>
          <t>C03-M030</t>
        </is>
      </c>
      <c r="S1084" s="292" t="inlineStr">
        <is>
          <t>平台装备素材/0141_黄金圣树·永恒_武器.bmp</t>
        </is>
      </c>
      <c r="T1084" s="292" t="inlineStr">
        <is>
          <t>仅测试副本；未写正式客户端</t>
        </is>
      </c>
      <c r="U1084">
        <f>IF(COUNTIF($B$2:$B$1198,B1084)&gt;1,"重复","")</f>
        <v/>
      </c>
      <c r="V1084">
        <f>IF(AND(OR(M1084="",M1084=B1084),OR(N1084="",N1084=B1084),OR(O1084="",O1084=B1084)),"通过","不一致")</f>
        <v/>
      </c>
    </row>
    <row r="1085">
      <c r="A1085" s="398" t="n">
        <v>1084</v>
      </c>
      <c r="B1085" s="398" t="n">
        <v>7104</v>
      </c>
      <c r="C1085" s="399" t="inlineStr">
        <is>
          <t>C3-C10专属待补</t>
        </is>
      </c>
      <c r="D1085" s="399" t="inlineStr">
        <is>
          <t>宁姆格福西域</t>
        </is>
      </c>
      <c r="E1085" s="399" t="n">
        <v>1</v>
      </c>
      <c r="F1085" s="399" t="inlineStr">
        <is>
          <t>武器</t>
        </is>
      </c>
      <c r="G1085" s="398" t="n">
        <v>5</v>
      </c>
      <c r="H1085" s="398" t="n"/>
      <c r="I1085" s="398" t="n">
        <v>7104</v>
      </c>
      <c r="J1085" s="398" t="n">
        <v>14</v>
      </c>
      <c r="K1085" s="398" t="n"/>
      <c r="L1085" s="398" t="n"/>
      <c r="M1085" s="398" t="n">
        <v>7104</v>
      </c>
      <c r="N1085" s="398" t="n">
        <v>7104</v>
      </c>
      <c r="O1085" s="398" t="n">
        <v>7104</v>
      </c>
      <c r="P1085" s="292" t="n"/>
      <c r="Q1085" s="292" t="inlineStr">
        <is>
          <t>测试新增资源已回读</t>
        </is>
      </c>
      <c r="R1085" s="292" t="inlineStr">
        <is>
          <t>C03-M033</t>
        </is>
      </c>
      <c r="S1085" s="292" t="inlineStr">
        <is>
          <t>平台装备素材/0176_血月荆棘·血痕_武器.bmp</t>
        </is>
      </c>
      <c r="T1085" s="292" t="inlineStr">
        <is>
          <t>仅测试副本；未写正式客户端</t>
        </is>
      </c>
      <c r="U1085">
        <f>IF(COUNTIF($B$2:$B$1198,B1085)&gt;1,"重复","")</f>
        <v/>
      </c>
      <c r="V1085">
        <f>IF(AND(OR(M1085="",M1085=B1085),OR(N1085="",N1085=B1085),OR(O1085="",O1085=B1085)),"通过","不一致")</f>
        <v/>
      </c>
    </row>
    <row r="1086">
      <c r="A1086" s="398" t="n">
        <v>1085</v>
      </c>
      <c r="B1086" s="398" t="n">
        <v>7105</v>
      </c>
      <c r="C1086" s="399" t="inlineStr">
        <is>
          <t>C3-C10专属待补</t>
        </is>
      </c>
      <c r="D1086" s="399" t="inlineStr">
        <is>
          <t>宁姆格福西域</t>
        </is>
      </c>
      <c r="E1086" s="399" t="n">
        <v>1</v>
      </c>
      <c r="F1086" s="399" t="inlineStr">
        <is>
          <t>武器</t>
        </is>
      </c>
      <c r="G1086" s="398" t="n">
        <v>5</v>
      </c>
      <c r="H1086" s="398" t="n"/>
      <c r="I1086" s="398" t="n">
        <v>7105</v>
      </c>
      <c r="J1086" s="398" t="n">
        <v>14</v>
      </c>
      <c r="K1086" s="398" t="n"/>
      <c r="L1086" s="398" t="n"/>
      <c r="M1086" s="398" t="n">
        <v>7105</v>
      </c>
      <c r="N1086" s="398" t="n">
        <v>7105</v>
      </c>
      <c r="O1086" s="398" t="n">
        <v>7105</v>
      </c>
      <c r="P1086" s="292" t="n"/>
      <c r="Q1086" s="292" t="inlineStr">
        <is>
          <t>测试新增资源已回读</t>
        </is>
      </c>
      <c r="R1086" s="292" t="inlineStr">
        <is>
          <t>C03-M037</t>
        </is>
      </c>
      <c r="S1086" s="292" t="inlineStr">
        <is>
          <t>平台装备素材/0211_血月荆棘·荆冠_武器.bmp</t>
        </is>
      </c>
      <c r="T1086" s="292" t="inlineStr">
        <is>
          <t>仅测试副本；未写正式客户端</t>
        </is>
      </c>
      <c r="U1086">
        <f>IF(COUNTIF($B$2:$B$1198,B1086)&gt;1,"重复","")</f>
        <v/>
      </c>
      <c r="V1086">
        <f>IF(AND(OR(M1086="",M1086=B1086),OR(N1086="",N1086=B1086),OR(O1086="",O1086=B1086)),"通过","不一致")</f>
        <v/>
      </c>
    </row>
    <row r="1087">
      <c r="A1087" s="398" t="n">
        <v>1086</v>
      </c>
      <c r="B1087" s="398" t="n">
        <v>7106</v>
      </c>
      <c r="C1087" s="399" t="inlineStr">
        <is>
          <t>C3-C10专属待补</t>
        </is>
      </c>
      <c r="D1087" s="399" t="inlineStr">
        <is>
          <t>宁姆格福西域</t>
        </is>
      </c>
      <c r="E1087" s="399" t="n">
        <v>1</v>
      </c>
      <c r="F1087" s="399" t="inlineStr">
        <is>
          <t>男衣服（现行模板的衣服映射）</t>
        </is>
      </c>
      <c r="G1087" s="398" t="n">
        <v>10</v>
      </c>
      <c r="H1087" s="398" t="n"/>
      <c r="I1087" s="398" t="n">
        <v>7106</v>
      </c>
      <c r="J1087" s="398" t="n">
        <v>1</v>
      </c>
      <c r="K1087" s="398" t="n"/>
      <c r="L1087" s="398" t="n"/>
      <c r="M1087" s="398" t="n">
        <v>7106</v>
      </c>
      <c r="N1087" s="398" t="n">
        <v>7106</v>
      </c>
      <c r="O1087" s="398" t="n">
        <v>7106</v>
      </c>
      <c r="P1087" s="292" t="n"/>
      <c r="Q1087" s="292" t="inlineStr">
        <is>
          <t>测试新增资源已回读</t>
        </is>
      </c>
      <c r="R1087" s="292" t="inlineStr">
        <is>
          <t>C03-M039</t>
        </is>
      </c>
      <c r="S1087" s="292" t="inlineStr">
        <is>
          <t>平台装备素材/0107_黄金圣树·律法_男衣服.bmp</t>
        </is>
      </c>
      <c r="T1087" s="292" t="inlineStr">
        <is>
          <t>仅测试副本；未写正式客户端</t>
        </is>
      </c>
      <c r="U1087">
        <f>IF(COUNTIF($B$2:$B$1198,B1087)&gt;1,"重复","")</f>
        <v/>
      </c>
      <c r="V1087">
        <f>IF(AND(OR(M1087="",M1087=B1087),OR(N1087="",N1087=B1087),OR(O1087="",O1087=B1087)),"通过","不一致")</f>
        <v/>
      </c>
    </row>
    <row r="1088">
      <c r="A1088" s="398" t="n">
        <v>1087</v>
      </c>
      <c r="B1088" s="398" t="n">
        <v>7107</v>
      </c>
      <c r="C1088" s="399" t="inlineStr">
        <is>
          <t>C3-C10专属待补</t>
        </is>
      </c>
      <c r="D1088" s="399" t="inlineStr">
        <is>
          <t>宁姆格福西域</t>
        </is>
      </c>
      <c r="E1088" s="399" t="n">
        <v>1</v>
      </c>
      <c r="F1088" s="399" t="inlineStr">
        <is>
          <t>武器</t>
        </is>
      </c>
      <c r="G1088" s="398" t="n">
        <v>5</v>
      </c>
      <c r="H1088" s="398" t="n"/>
      <c r="I1088" s="398" t="n">
        <v>7107</v>
      </c>
      <c r="J1088" s="398" t="n">
        <v>14</v>
      </c>
      <c r="K1088" s="398" t="n"/>
      <c r="L1088" s="398" t="n"/>
      <c r="M1088" s="398" t="n">
        <v>7107</v>
      </c>
      <c r="N1088" s="398" t="n">
        <v>7107</v>
      </c>
      <c r="O1088" s="398" t="n">
        <v>7107</v>
      </c>
      <c r="P1088" s="292" t="n"/>
      <c r="Q1088" s="292" t="inlineStr">
        <is>
          <t>测试新增资源已回读</t>
        </is>
      </c>
      <c r="R1088" s="292" t="inlineStr">
        <is>
          <t>C03-M049</t>
        </is>
      </c>
      <c r="S1088" s="292" t="inlineStr">
        <is>
          <t>平台装备素材/0246_血月荆棘·猩月_武器.bmp</t>
        </is>
      </c>
      <c r="T1088" s="292" t="inlineStr">
        <is>
          <t>仅测试副本；未写正式客户端</t>
        </is>
      </c>
      <c r="U1088">
        <f>IF(COUNTIF($B$2:$B$1198,B1088)&gt;1,"重复","")</f>
        <v/>
      </c>
      <c r="V1088">
        <f>IF(AND(OR(M1088="",M1088=B1088),OR(N1088="",N1088=B1088),OR(O1088="",O1088=B1088)),"通过","不一致")</f>
        <v/>
      </c>
    </row>
    <row r="1089">
      <c r="A1089" s="398" t="n">
        <v>1088</v>
      </c>
      <c r="B1089" s="398" t="n">
        <v>7108</v>
      </c>
      <c r="C1089" s="399" t="inlineStr">
        <is>
          <t>C3-C10专属待补</t>
        </is>
      </c>
      <c r="D1089" s="399" t="inlineStr">
        <is>
          <t>宁姆格福西域</t>
        </is>
      </c>
      <c r="E1089" s="399" t="n">
        <v>1</v>
      </c>
      <c r="F1089" s="399" t="inlineStr">
        <is>
          <t>武器</t>
        </is>
      </c>
      <c r="G1089" s="398" t="n">
        <v>5</v>
      </c>
      <c r="H1089" s="398" t="n"/>
      <c r="I1089" s="398" t="n">
        <v>7108</v>
      </c>
      <c r="J1089" s="398" t="n">
        <v>14</v>
      </c>
      <c r="K1089" s="398" t="n"/>
      <c r="L1089" s="398" t="n"/>
      <c r="M1089" s="398" t="n">
        <v>7108</v>
      </c>
      <c r="N1089" s="398" t="n">
        <v>7108</v>
      </c>
      <c r="O1089" s="398" t="n">
        <v>7108</v>
      </c>
      <c r="P1089" s="292" t="n"/>
      <c r="Q1089" s="292" t="inlineStr">
        <is>
          <t>测试新增资源已回读</t>
        </is>
      </c>
      <c r="R1089" s="292" t="inlineStr">
        <is>
          <t>C03-M056</t>
        </is>
      </c>
      <c r="S1089" s="292" t="inlineStr">
        <is>
          <t>平台装备素材/0281_血月荆棘·弑王_武器.bmp</t>
        </is>
      </c>
      <c r="T1089" s="292" t="inlineStr">
        <is>
          <t>仅测试副本；未写正式客户端</t>
        </is>
      </c>
      <c r="U1089">
        <f>IF(COUNTIF($B$2:$B$1198,B1089)&gt;1,"重复","")</f>
        <v/>
      </c>
      <c r="V1089">
        <f>IF(AND(OR(M1089="",M1089=B1089),OR(N1089="",N1089=B1089),OR(O1089="",O1089=B1089)),"通过","不一致")</f>
        <v/>
      </c>
    </row>
    <row r="1090">
      <c r="A1090" s="398" t="n">
        <v>1089</v>
      </c>
      <c r="B1090" s="398" t="n">
        <v>7109</v>
      </c>
      <c r="C1090" s="399" t="inlineStr">
        <is>
          <t>C3-C10专属待补</t>
        </is>
      </c>
      <c r="D1090" s="399" t="inlineStr">
        <is>
          <t>宁姆格福西域</t>
        </is>
      </c>
      <c r="E1090" s="399" t="n">
        <v>1</v>
      </c>
      <c r="F1090" s="399" t="inlineStr">
        <is>
          <t>武器</t>
        </is>
      </c>
      <c r="G1090" s="398" t="n">
        <v>5</v>
      </c>
      <c r="H1090" s="398" t="n"/>
      <c r="I1090" s="398" t="n">
        <v>7109</v>
      </c>
      <c r="J1090" s="398" t="n">
        <v>14</v>
      </c>
      <c r="K1090" s="398" t="n"/>
      <c r="L1090" s="398" t="n"/>
      <c r="M1090" s="398" t="n">
        <v>7109</v>
      </c>
      <c r="N1090" s="398" t="n">
        <v>7109</v>
      </c>
      <c r="O1090" s="398" t="n">
        <v>7109</v>
      </c>
      <c r="P1090" s="292" t="n"/>
      <c r="Q1090" s="292" t="inlineStr">
        <is>
          <t>测试新增资源已回读</t>
        </is>
      </c>
      <c r="R1090" s="292" t="inlineStr">
        <is>
          <t>C03-M061</t>
        </is>
      </c>
      <c r="S1090" s="292" t="inlineStr">
        <is>
          <t>平台装备素材/0316_血月荆棘·血月_武器.bmp</t>
        </is>
      </c>
      <c r="T1090" s="292" t="inlineStr">
        <is>
          <t>仅测试副本；未写正式客户端</t>
        </is>
      </c>
      <c r="U1090">
        <f>IF(COUNTIF($B$2:$B$1198,B1090)&gt;1,"重复","")</f>
        <v/>
      </c>
      <c r="V1090">
        <f>IF(AND(OR(M1090="",M1090=B1090),OR(N1090="",N1090=B1090),OR(O1090="",O1090=B1090)),"通过","不一致")</f>
        <v/>
      </c>
    </row>
    <row r="1091">
      <c r="A1091" s="398" t="n">
        <v>1090</v>
      </c>
      <c r="B1091" s="398" t="n">
        <v>7110</v>
      </c>
      <c r="C1091" s="399" t="inlineStr">
        <is>
          <t>C3-C10专属待补</t>
        </is>
      </c>
      <c r="D1091" s="399" t="inlineStr">
        <is>
          <t>宁姆格福西域</t>
        </is>
      </c>
      <c r="E1091" s="399" t="n">
        <v>1</v>
      </c>
      <c r="F1091" s="399" t="inlineStr">
        <is>
          <t>男衣服（现行模板的衣服映射）</t>
        </is>
      </c>
      <c r="G1091" s="398" t="n">
        <v>10</v>
      </c>
      <c r="H1091" s="398" t="n"/>
      <c r="I1091" s="398" t="n">
        <v>7110</v>
      </c>
      <c r="J1091" s="398" t="n">
        <v>1</v>
      </c>
      <c r="K1091" s="398" t="n"/>
      <c r="L1091" s="398" t="n"/>
      <c r="M1091" s="398" t="n">
        <v>7110</v>
      </c>
      <c r="N1091" s="398" t="n">
        <v>7110</v>
      </c>
      <c r="O1091" s="398" t="n">
        <v>7110</v>
      </c>
      <c r="P1091" s="292" t="n"/>
      <c r="Q1091" s="292" t="inlineStr">
        <is>
          <t>测试新增资源已回读</t>
        </is>
      </c>
      <c r="R1091" s="292" t="inlineStr">
        <is>
          <t>C03-M067</t>
        </is>
      </c>
      <c r="S1091" s="292" t="inlineStr">
        <is>
          <t>平台装备素材/0142_黄金圣树·永恒_男衣服.bmp</t>
        </is>
      </c>
      <c r="T1091" s="292" t="inlineStr">
        <is>
          <t>仅测试副本；未写正式客户端</t>
        </is>
      </c>
      <c r="U1091">
        <f>IF(COUNTIF($B$2:$B$1198,B1091)&gt;1,"重复","")</f>
        <v/>
      </c>
      <c r="V1091">
        <f>IF(AND(OR(M1091="",M1091=B1091),OR(N1091="",N1091=B1091),OR(O1091="",O1091=B1091)),"通过","不一致")</f>
        <v/>
      </c>
    </row>
    <row r="1092">
      <c r="A1092" s="398" t="n">
        <v>1091</v>
      </c>
      <c r="B1092" s="398" t="n">
        <v>7111</v>
      </c>
      <c r="C1092" s="399" t="inlineStr">
        <is>
          <t>C3-C10专属待补</t>
        </is>
      </c>
      <c r="D1092" s="399" t="inlineStr">
        <is>
          <t>利耶尼亚海域</t>
        </is>
      </c>
      <c r="E1092" s="399" t="n">
        <v>1</v>
      </c>
      <c r="F1092" s="399" t="inlineStr">
        <is>
          <t>武器</t>
        </is>
      </c>
      <c r="G1092" s="398" t="n">
        <v>5</v>
      </c>
      <c r="H1092" s="398" t="n"/>
      <c r="I1092" s="398" t="n">
        <v>7111</v>
      </c>
      <c r="J1092" s="398" t="n">
        <v>14</v>
      </c>
      <c r="K1092" s="398" t="n"/>
      <c r="L1092" s="398" t="n"/>
      <c r="M1092" s="398" t="n">
        <v>7111</v>
      </c>
      <c r="N1092" s="398" t="n">
        <v>7111</v>
      </c>
      <c r="O1092" s="398" t="n">
        <v>7111</v>
      </c>
      <c r="P1092" s="292" t="n"/>
      <c r="Q1092" s="292" t="inlineStr">
        <is>
          <t>测试新增资源已回读</t>
        </is>
      </c>
      <c r="R1092" s="292" t="inlineStr">
        <is>
          <t>C04-M006</t>
        </is>
      </c>
      <c r="S1092" s="292" t="inlineStr">
        <is>
          <t>平台装备素材/0351_星渊龙息·星痕_武器.bmp</t>
        </is>
      </c>
      <c r="T1092" s="292" t="inlineStr">
        <is>
          <t>仅测试副本；未写正式客户端</t>
        </is>
      </c>
      <c r="U1092">
        <f>IF(COUNTIF($B$2:$B$1198,B1092)&gt;1,"重复","")</f>
        <v/>
      </c>
      <c r="V1092">
        <f>IF(AND(OR(M1092="",M1092=B1092),OR(N1092="",N1092=B1092),OR(O1092="",O1092=B1092)),"通过","不一致")</f>
        <v/>
      </c>
    </row>
    <row r="1093">
      <c r="A1093" s="398" t="n">
        <v>1092</v>
      </c>
      <c r="B1093" s="398" t="n">
        <v>7112</v>
      </c>
      <c r="C1093" s="399" t="inlineStr">
        <is>
          <t>C3-C10专属待补</t>
        </is>
      </c>
      <c r="D1093" s="399" t="inlineStr">
        <is>
          <t>利耶尼亚海域</t>
        </is>
      </c>
      <c r="E1093" s="399" t="n">
        <v>1</v>
      </c>
      <c r="F1093" s="399" t="inlineStr">
        <is>
          <t>男衣服（现行模板的衣服映射）</t>
        </is>
      </c>
      <c r="G1093" s="398" t="n">
        <v>10</v>
      </c>
      <c r="H1093" s="398" t="n"/>
      <c r="I1093" s="398" t="n">
        <v>7112</v>
      </c>
      <c r="J1093" s="398" t="n">
        <v>1</v>
      </c>
      <c r="K1093" s="398" t="n"/>
      <c r="L1093" s="398" t="n"/>
      <c r="M1093" s="398" t="n">
        <v>7112</v>
      </c>
      <c r="N1093" s="398" t="n">
        <v>7112</v>
      </c>
      <c r="O1093" s="398" t="n">
        <v>7112</v>
      </c>
      <c r="P1093" s="292" t="n"/>
      <c r="Q1093" s="292" t="inlineStr">
        <is>
          <t>测试新增资源已回读</t>
        </is>
      </c>
      <c r="R1093" s="292" t="inlineStr">
        <is>
          <t>C04-M008</t>
        </is>
      </c>
      <c r="S1093" s="292" t="inlineStr">
        <is>
          <t>平台装备素材/0177_血月荆棘·血痕_男衣服.bmp</t>
        </is>
      </c>
      <c r="T1093" s="292" t="inlineStr">
        <is>
          <t>仅测试副本；未写正式客户端</t>
        </is>
      </c>
      <c r="U1093">
        <f>IF(COUNTIF($B$2:$B$1198,B1093)&gt;1,"重复","")</f>
        <v/>
      </c>
      <c r="V1093">
        <f>IF(AND(OR(M1093="",M1093=B1093),OR(N1093="",N1093=B1093),OR(O1093="",O1093=B1093)),"通过","不一致")</f>
        <v/>
      </c>
    </row>
    <row r="1094">
      <c r="A1094" s="398" t="n">
        <v>1093</v>
      </c>
      <c r="B1094" s="398" t="n">
        <v>7113</v>
      </c>
      <c r="C1094" s="399" t="inlineStr">
        <is>
          <t>C3-C10专属待补</t>
        </is>
      </c>
      <c r="D1094" s="399" t="inlineStr">
        <is>
          <t>利耶尼亚海域</t>
        </is>
      </c>
      <c r="E1094" s="399" t="n">
        <v>1</v>
      </c>
      <c r="F1094" s="399" t="inlineStr">
        <is>
          <t>武器</t>
        </is>
      </c>
      <c r="G1094" s="398" t="n">
        <v>5</v>
      </c>
      <c r="H1094" s="398" t="n"/>
      <c r="I1094" s="398" t="n">
        <v>7113</v>
      </c>
      <c r="J1094" s="398" t="n">
        <v>14</v>
      </c>
      <c r="K1094" s="398" t="n"/>
      <c r="L1094" s="398" t="n"/>
      <c r="M1094" s="398" t="n">
        <v>7113</v>
      </c>
      <c r="N1094" s="398" t="n">
        <v>7113</v>
      </c>
      <c r="O1094" s="398" t="n">
        <v>7113</v>
      </c>
      <c r="P1094" s="292" t="n"/>
      <c r="Q1094" s="292" t="inlineStr">
        <is>
          <t>测试新增资源已回读</t>
        </is>
      </c>
      <c r="R1094" s="292" t="inlineStr">
        <is>
          <t>C04-M013</t>
        </is>
      </c>
      <c r="S1094" s="292" t="inlineStr">
        <is>
          <t>平台装备素材/0386_星渊龙息·龙鳞_武器.bmp</t>
        </is>
      </c>
      <c r="T1094" s="292" t="inlineStr">
        <is>
          <t>仅测试副本；未写正式客户端</t>
        </is>
      </c>
      <c r="U1094">
        <f>IF(COUNTIF($B$2:$B$1198,B1094)&gt;1,"重复","")</f>
        <v/>
      </c>
      <c r="V1094">
        <f>IF(AND(OR(M1094="",M1094=B1094),OR(N1094="",N1094=B1094),OR(O1094="",O1094=B1094)),"通过","不一致")</f>
        <v/>
      </c>
    </row>
    <row r="1095">
      <c r="A1095" s="398" t="n">
        <v>1094</v>
      </c>
      <c r="B1095" s="398" t="n">
        <v>7114</v>
      </c>
      <c r="C1095" s="399" t="inlineStr">
        <is>
          <t>C3-C10专属待补</t>
        </is>
      </c>
      <c r="D1095" s="399" t="inlineStr">
        <is>
          <t>利耶尼亚海域</t>
        </is>
      </c>
      <c r="E1095" s="399" t="n">
        <v>1</v>
      </c>
      <c r="F1095" s="399" t="inlineStr">
        <is>
          <t>武器</t>
        </is>
      </c>
      <c r="G1095" s="398" t="n">
        <v>5</v>
      </c>
      <c r="H1095" s="398" t="n"/>
      <c r="I1095" s="398" t="n">
        <v>7114</v>
      </c>
      <c r="J1095" s="398" t="n">
        <v>14</v>
      </c>
      <c r="K1095" s="398" t="n"/>
      <c r="L1095" s="398" t="n"/>
      <c r="M1095" s="398" t="n">
        <v>7114</v>
      </c>
      <c r="N1095" s="398" t="n">
        <v>7114</v>
      </c>
      <c r="O1095" s="398" t="n">
        <v>7114</v>
      </c>
      <c r="P1095" s="292" t="n"/>
      <c r="Q1095" s="292" t="inlineStr">
        <is>
          <t>测试新增资源已回读</t>
        </is>
      </c>
      <c r="R1095" s="292" t="inlineStr">
        <is>
          <t>C04-M015</t>
        </is>
      </c>
      <c r="S1095" s="292" t="inlineStr">
        <is>
          <t>平台装备素材/0421_星渊龙息·渊辉_武器.bmp</t>
        </is>
      </c>
      <c r="T1095" s="292" t="inlineStr">
        <is>
          <t>仅测试副本；未写正式客户端</t>
        </is>
      </c>
      <c r="U1095">
        <f>IF(COUNTIF($B$2:$B$1198,B1095)&gt;1,"重复","")</f>
        <v/>
      </c>
      <c r="V1095">
        <f>IF(AND(OR(M1095="",M1095=B1095),OR(N1095="",N1095=B1095),OR(O1095="",O1095=B1095)),"通过","不一致")</f>
        <v/>
      </c>
    </row>
    <row r="1096">
      <c r="A1096" s="398" t="n">
        <v>1095</v>
      </c>
      <c r="B1096" s="398" t="n">
        <v>7115</v>
      </c>
      <c r="C1096" s="399" t="inlineStr">
        <is>
          <t>C3-C10专属待补</t>
        </is>
      </c>
      <c r="D1096" s="399" t="inlineStr">
        <is>
          <t>利耶尼亚海域</t>
        </is>
      </c>
      <c r="E1096" s="399" t="n">
        <v>1</v>
      </c>
      <c r="F1096" s="399" t="inlineStr">
        <is>
          <t>男衣服（现行模板的衣服映射）</t>
        </is>
      </c>
      <c r="G1096" s="398" t="n">
        <v>10</v>
      </c>
      <c r="H1096" s="398" t="n"/>
      <c r="I1096" s="398" t="n">
        <v>7115</v>
      </c>
      <c r="J1096" s="398" t="n">
        <v>1</v>
      </c>
      <c r="K1096" s="398" t="n"/>
      <c r="L1096" s="398" t="n"/>
      <c r="M1096" s="398" t="n">
        <v>7115</v>
      </c>
      <c r="N1096" s="398" t="n">
        <v>7115</v>
      </c>
      <c r="O1096" s="398" t="n">
        <v>7115</v>
      </c>
      <c r="P1096" s="292" t="n"/>
      <c r="Q1096" s="292" t="inlineStr">
        <is>
          <t>测试新增资源已回读</t>
        </is>
      </c>
      <c r="R1096" s="292" t="inlineStr">
        <is>
          <t>C04-M016</t>
        </is>
      </c>
      <c r="S1096" s="292" t="inlineStr">
        <is>
          <t>平台装备素材/0212_血月荆棘·荆冠_男衣服.bmp</t>
        </is>
      </c>
      <c r="T1096" s="292" t="inlineStr">
        <is>
          <t>仅测试副本；未写正式客户端</t>
        </is>
      </c>
      <c r="U1096">
        <f>IF(COUNTIF($B$2:$B$1198,B1096)&gt;1,"重复","")</f>
        <v/>
      </c>
      <c r="V1096">
        <f>IF(AND(OR(M1096="",M1096=B1096),OR(N1096="",N1096=B1096),OR(O1096="",O1096=B1096)),"通过","不一致")</f>
        <v/>
      </c>
    </row>
    <row r="1097">
      <c r="A1097" s="398" t="n">
        <v>1096</v>
      </c>
      <c r="B1097" s="398" t="n">
        <v>7116</v>
      </c>
      <c r="C1097" s="399" t="inlineStr">
        <is>
          <t>C3-C10专属待补</t>
        </is>
      </c>
      <c r="D1097" s="399" t="inlineStr">
        <is>
          <t>利耶尼亚海域</t>
        </is>
      </c>
      <c r="E1097" s="399" t="n">
        <v>1</v>
      </c>
      <c r="F1097" s="399" t="inlineStr">
        <is>
          <t>武器</t>
        </is>
      </c>
      <c r="G1097" s="398" t="n">
        <v>5</v>
      </c>
      <c r="H1097" s="398" t="n"/>
      <c r="I1097" s="398" t="n">
        <v>7116</v>
      </c>
      <c r="J1097" s="398" t="n">
        <v>14</v>
      </c>
      <c r="K1097" s="398" t="n"/>
      <c r="L1097" s="398" t="n"/>
      <c r="M1097" s="398" t="n">
        <v>7116</v>
      </c>
      <c r="N1097" s="398" t="n">
        <v>7116</v>
      </c>
      <c r="O1097" s="398" t="n">
        <v>7116</v>
      </c>
      <c r="P1097" s="292" t="n"/>
      <c r="Q1097" s="292" t="inlineStr">
        <is>
          <t>测试新增资源已回读</t>
        </is>
      </c>
      <c r="R1097" s="292" t="inlineStr">
        <is>
          <t>C04-M027</t>
        </is>
      </c>
      <c r="S1097" s="292" t="inlineStr">
        <is>
          <t>平台装备素材/0456_星渊龙息·天穹_武器.bmp</t>
        </is>
      </c>
      <c r="T1097" s="292" t="inlineStr">
        <is>
          <t>仅测试副本；未写正式客户端</t>
        </is>
      </c>
      <c r="U1097">
        <f>IF(COUNTIF($B$2:$B$1198,B1097)&gt;1,"重复","")</f>
        <v/>
      </c>
      <c r="V1097">
        <f>IF(AND(OR(M1097="",M1097=B1097),OR(N1097="",N1097=B1097),OR(O1097="",O1097=B1097)),"通过","不一致")</f>
        <v/>
      </c>
    </row>
    <row r="1098">
      <c r="A1098" s="398" t="n">
        <v>1097</v>
      </c>
      <c r="B1098" s="398" t="n">
        <v>7117</v>
      </c>
      <c r="C1098" s="399" t="inlineStr">
        <is>
          <t>C3-C10专属待补</t>
        </is>
      </c>
      <c r="D1098" s="399" t="inlineStr">
        <is>
          <t>利耶尼亚海域</t>
        </is>
      </c>
      <c r="E1098" s="399" t="n">
        <v>1</v>
      </c>
      <c r="F1098" s="399" t="inlineStr">
        <is>
          <t>男衣服（现行模板的衣服映射）</t>
        </is>
      </c>
      <c r="G1098" s="398" t="n">
        <v>10</v>
      </c>
      <c r="H1098" s="398" t="n"/>
      <c r="I1098" s="398" t="n">
        <v>7117</v>
      </c>
      <c r="J1098" s="398" t="n">
        <v>1</v>
      </c>
      <c r="K1098" s="398" t="n"/>
      <c r="L1098" s="398" t="n"/>
      <c r="M1098" s="398" t="n">
        <v>7117</v>
      </c>
      <c r="N1098" s="398" t="n">
        <v>7117</v>
      </c>
      <c r="O1098" s="398" t="n">
        <v>7117</v>
      </c>
      <c r="P1098" s="292" t="n"/>
      <c r="Q1098" s="292" t="inlineStr">
        <is>
          <t>测试新增资源已回读</t>
        </is>
      </c>
      <c r="R1098" s="292" t="inlineStr">
        <is>
          <t>C04-M030</t>
        </is>
      </c>
      <c r="S1098" s="292" t="inlineStr">
        <is>
          <t>平台装备素材/0247_血月荆棘·猩月_男衣服.bmp</t>
        </is>
      </c>
      <c r="T1098" s="292" t="inlineStr">
        <is>
          <t>仅测试副本；未写正式客户端</t>
        </is>
      </c>
      <c r="U1098">
        <f>IF(COUNTIF($B$2:$B$1198,B1098)&gt;1,"重复","")</f>
        <v/>
      </c>
      <c r="V1098">
        <f>IF(AND(OR(M1098="",M1098=B1098),OR(N1098="",N1098=B1098),OR(O1098="",O1098=B1098)),"通过","不一致")</f>
        <v/>
      </c>
    </row>
    <row r="1099">
      <c r="A1099" s="398" t="n">
        <v>1098</v>
      </c>
      <c r="B1099" s="398" t="n">
        <v>7118</v>
      </c>
      <c r="C1099" s="399" t="inlineStr">
        <is>
          <t>C3-C10专属待补</t>
        </is>
      </c>
      <c r="D1099" s="399" t="inlineStr">
        <is>
          <t>利耶尼亚海域</t>
        </is>
      </c>
      <c r="E1099" s="399" t="n">
        <v>1</v>
      </c>
      <c r="F1099" s="399" t="inlineStr">
        <is>
          <t>武器</t>
        </is>
      </c>
      <c r="G1099" s="398" t="n">
        <v>5</v>
      </c>
      <c r="H1099" s="398" t="n"/>
      <c r="I1099" s="398" t="n">
        <v>7118</v>
      </c>
      <c r="J1099" s="398" t="n">
        <v>14</v>
      </c>
      <c r="K1099" s="398" t="n"/>
      <c r="L1099" s="398" t="n"/>
      <c r="M1099" s="398" t="n">
        <v>7118</v>
      </c>
      <c r="N1099" s="398" t="n">
        <v>7118</v>
      </c>
      <c r="O1099" s="398" t="n">
        <v>7118</v>
      </c>
      <c r="P1099" s="292" t="n"/>
      <c r="Q1099" s="292" t="inlineStr">
        <is>
          <t>测试新增资源已回读</t>
        </is>
      </c>
      <c r="R1099" s="292" t="inlineStr">
        <is>
          <t>C04-M039</t>
        </is>
      </c>
      <c r="S1099" s="292" t="inlineStr">
        <is>
          <t>平台装备素材/0491_星渊龙息·无垠_武器.bmp</t>
        </is>
      </c>
      <c r="T1099" s="292" t="inlineStr">
        <is>
          <t>仅测试副本；未写正式客户端</t>
        </is>
      </c>
      <c r="U1099">
        <f>IF(COUNTIF($B$2:$B$1198,B1099)&gt;1,"重复","")</f>
        <v/>
      </c>
      <c r="V1099">
        <f>IF(AND(OR(M1099="",M1099=B1099),OR(N1099="",N1099=B1099),OR(O1099="",O1099=B1099)),"通过","不一致")</f>
        <v/>
      </c>
    </row>
    <row r="1100">
      <c r="A1100" s="398" t="n">
        <v>1099</v>
      </c>
      <c r="B1100" s="398" t="n">
        <v>7119</v>
      </c>
      <c r="C1100" s="399" t="inlineStr">
        <is>
          <t>C3-C10专属待补</t>
        </is>
      </c>
      <c r="D1100" s="399" t="inlineStr">
        <is>
          <t>利耶尼亚海域</t>
        </is>
      </c>
      <c r="E1100" s="399" t="n">
        <v>1</v>
      </c>
      <c r="F1100" s="399" t="inlineStr">
        <is>
          <t>男衣服（现行模板的衣服映射）</t>
        </is>
      </c>
      <c r="G1100" s="398" t="n">
        <v>10</v>
      </c>
      <c r="H1100" s="398" t="n"/>
      <c r="I1100" s="398" t="n">
        <v>7119</v>
      </c>
      <c r="J1100" s="398" t="n">
        <v>1</v>
      </c>
      <c r="K1100" s="398" t="n"/>
      <c r="L1100" s="398" t="n"/>
      <c r="M1100" s="398" t="n">
        <v>7119</v>
      </c>
      <c r="N1100" s="398" t="n">
        <v>7119</v>
      </c>
      <c r="O1100" s="398" t="n">
        <v>7119</v>
      </c>
      <c r="P1100" s="292" t="n"/>
      <c r="Q1100" s="292" t="inlineStr">
        <is>
          <t>测试新增资源已回读</t>
        </is>
      </c>
      <c r="R1100" s="292" t="inlineStr">
        <is>
          <t>C04-M041</t>
        </is>
      </c>
      <c r="S1100" s="292" t="inlineStr">
        <is>
          <t>平台装备素材/0282_血月荆棘·弑王_男衣服.bmp</t>
        </is>
      </c>
      <c r="T1100" s="292" t="inlineStr">
        <is>
          <t>仅测试副本；未写正式客户端</t>
        </is>
      </c>
      <c r="U1100">
        <f>IF(COUNTIF($B$2:$B$1198,B1100)&gt;1,"重复","")</f>
        <v/>
      </c>
      <c r="V1100">
        <f>IF(AND(OR(M1100="",M1100=B1100),OR(N1100="",N1100=B1100),OR(O1100="",O1100=B1100)),"通过","不一致")</f>
        <v/>
      </c>
    </row>
    <row r="1101">
      <c r="A1101" s="398" t="n">
        <v>1100</v>
      </c>
      <c r="B1101" s="398" t="n">
        <v>7120</v>
      </c>
      <c r="C1101" s="399" t="inlineStr">
        <is>
          <t>C3-C10专属待补</t>
        </is>
      </c>
      <c r="D1101" s="399" t="inlineStr">
        <is>
          <t>利耶尼亚海域</t>
        </is>
      </c>
      <c r="E1101" s="399" t="n">
        <v>1</v>
      </c>
      <c r="F1101" s="399" t="inlineStr">
        <is>
          <t>武器</t>
        </is>
      </c>
      <c r="G1101" s="398" t="n">
        <v>5</v>
      </c>
      <c r="H1101" s="398" t="n"/>
      <c r="I1101" s="398" t="n">
        <v>7120</v>
      </c>
      <c r="J1101" s="398" t="n">
        <v>14</v>
      </c>
      <c r="K1101" s="398" t="n"/>
      <c r="L1101" s="398" t="n"/>
      <c r="M1101" s="398" t="n">
        <v>7120</v>
      </c>
      <c r="N1101" s="398" t="n">
        <v>7120</v>
      </c>
      <c r="O1101" s="398" t="n">
        <v>7120</v>
      </c>
      <c r="P1101" s="292" t="n"/>
      <c r="Q1101" s="292" t="inlineStr">
        <is>
          <t>测试新增资源已回读</t>
        </is>
      </c>
      <c r="R1101" s="292" t="inlineStr">
        <is>
          <t>C04-M051</t>
        </is>
      </c>
      <c r="S1101" s="292" t="inlineStr">
        <is>
          <t>平台装备素材/0526_翠焰冥契·幽焰_武器.bmp</t>
        </is>
      </c>
      <c r="T1101" s="292" t="inlineStr">
        <is>
          <t>仅测试副本；未写正式客户端</t>
        </is>
      </c>
      <c r="U1101">
        <f>IF(COUNTIF($B$2:$B$1198,B1101)&gt;1,"重复","")</f>
        <v/>
      </c>
      <c r="V1101">
        <f>IF(AND(OR(M1101="",M1101=B1101),OR(N1101="",N1101=B1101),OR(O1101="",O1101=B1101)),"通过","不一致")</f>
        <v/>
      </c>
    </row>
    <row r="1102">
      <c r="A1102" s="398" t="n">
        <v>1101</v>
      </c>
      <c r="B1102" s="398" t="n">
        <v>7121</v>
      </c>
      <c r="C1102" s="399" t="inlineStr">
        <is>
          <t>C3-C10专属待补</t>
        </is>
      </c>
      <c r="D1102" s="399" t="inlineStr">
        <is>
          <t>利耶尼亚海域</t>
        </is>
      </c>
      <c r="E1102" s="399" t="n">
        <v>1</v>
      </c>
      <c r="F1102" s="399" t="inlineStr">
        <is>
          <t>面巾（位置13，对应斗笠）</t>
        </is>
      </c>
      <c r="G1102" s="398" t="n">
        <v>16</v>
      </c>
      <c r="H1102" s="398" t="n">
        <v>13</v>
      </c>
      <c r="I1102" s="398" t="n">
        <v>7121</v>
      </c>
      <c r="J1102" s="398" t="n"/>
      <c r="K1102" s="398" t="n"/>
      <c r="L1102" s="398" t="n"/>
      <c r="M1102" s="398" t="n">
        <v>7121</v>
      </c>
      <c r="N1102" s="398" t="n">
        <v>7121</v>
      </c>
      <c r="O1102" s="398" t="n">
        <v>7121</v>
      </c>
      <c r="P1102" s="292" t="n"/>
      <c r="Q1102" s="292" t="inlineStr">
        <is>
          <t>测试新增资源已回读</t>
        </is>
      </c>
      <c r="R1102" s="292" t="inlineStr">
        <is>
          <t>C04-M052</t>
        </is>
      </c>
      <c r="S1102" s="292" t="inlineStr">
        <is>
          <t>平台装备素材/0005_黄金圣树·初誓_面巾.bmp</t>
        </is>
      </c>
      <c r="T1102" s="292" t="inlineStr">
        <is>
          <t>仅测试副本；未写正式客户端</t>
        </is>
      </c>
      <c r="U1102">
        <f>IF(COUNTIF($B$2:$B$1198,B1102)&gt;1,"重复","")</f>
        <v/>
      </c>
      <c r="V1102">
        <f>IF(AND(OR(M1102="",M1102=B1102),OR(N1102="",N1102=B1102),OR(O1102="",O1102=B1102)),"通过","不一致")</f>
        <v/>
      </c>
    </row>
    <row r="1103">
      <c r="A1103" s="398" t="n">
        <v>1102</v>
      </c>
      <c r="B1103" s="398" t="n">
        <v>7122</v>
      </c>
      <c r="C1103" s="399" t="inlineStr">
        <is>
          <t>C3-C10专属待补</t>
        </is>
      </c>
      <c r="D1103" s="399" t="inlineStr">
        <is>
          <t>利耶尼亚海域</t>
        </is>
      </c>
      <c r="E1103" s="399" t="n">
        <v>1</v>
      </c>
      <c r="F1103" s="399" t="inlineStr">
        <is>
          <t>男衣服（现行模板的衣服映射）</t>
        </is>
      </c>
      <c r="G1103" s="398" t="n">
        <v>10</v>
      </c>
      <c r="H1103" s="398" t="n"/>
      <c r="I1103" s="398" t="n">
        <v>7122</v>
      </c>
      <c r="J1103" s="398" t="n">
        <v>1</v>
      </c>
      <c r="K1103" s="398" t="n"/>
      <c r="L1103" s="398" t="n"/>
      <c r="M1103" s="398" t="n">
        <v>7122</v>
      </c>
      <c r="N1103" s="398" t="n">
        <v>7122</v>
      </c>
      <c r="O1103" s="398" t="n">
        <v>7122</v>
      </c>
      <c r="P1103" s="292" t="n"/>
      <c r="Q1103" s="292" t="inlineStr">
        <is>
          <t>测试新增资源已回读</t>
        </is>
      </c>
      <c r="R1103" s="292" t="inlineStr">
        <is>
          <t>C04-M055</t>
        </is>
      </c>
      <c r="S1103" s="292" t="inlineStr">
        <is>
          <t>平台装备素材/0317_血月荆棘·血月_男衣服.bmp</t>
        </is>
      </c>
      <c r="T1103" s="292" t="inlineStr">
        <is>
          <t>仅测试副本；未写正式客户端</t>
        </is>
      </c>
      <c r="U1103">
        <f>IF(COUNTIF($B$2:$B$1198,B1103)&gt;1,"重复","")</f>
        <v/>
      </c>
      <c r="V1103">
        <f>IF(AND(OR(M1103="",M1103=B1103),OR(N1103="",N1103=B1103),OR(O1103="",O1103=B1103)),"通过","不一致")</f>
        <v/>
      </c>
    </row>
    <row r="1104">
      <c r="A1104" s="398" t="n">
        <v>1103</v>
      </c>
      <c r="B1104" s="398" t="n">
        <v>7123</v>
      </c>
      <c r="C1104" s="399" t="inlineStr">
        <is>
          <t>C3-C10专属待补</t>
        </is>
      </c>
      <c r="D1104" s="399" t="inlineStr">
        <is>
          <t>利耶尼亚海域</t>
        </is>
      </c>
      <c r="E1104" s="399" t="n">
        <v>1</v>
      </c>
      <c r="F1104" s="399" t="inlineStr">
        <is>
          <t>武器</t>
        </is>
      </c>
      <c r="G1104" s="398" t="n">
        <v>5</v>
      </c>
      <c r="H1104" s="398" t="n"/>
      <c r="I1104" s="398" t="n">
        <v>7123</v>
      </c>
      <c r="J1104" s="398" t="n">
        <v>14</v>
      </c>
      <c r="K1104" s="398" t="n"/>
      <c r="L1104" s="398" t="n"/>
      <c r="M1104" s="398" t="n">
        <v>7123</v>
      </c>
      <c r="N1104" s="398" t="n">
        <v>7123</v>
      </c>
      <c r="O1104" s="398" t="n">
        <v>7123</v>
      </c>
      <c r="P1104" s="292" t="n"/>
      <c r="Q1104" s="292" t="inlineStr">
        <is>
          <t>测试新增资源已回读</t>
        </is>
      </c>
      <c r="R1104" s="292" t="inlineStr">
        <is>
          <t>C04-M061</t>
        </is>
      </c>
      <c r="S1104" s="292" t="inlineStr">
        <is>
          <t>平台装备素材/0561_翠焰冥契·腐痕_武器.bmp</t>
        </is>
      </c>
      <c r="T1104" s="292" t="inlineStr">
        <is>
          <t>仅测试副本；未写正式客户端</t>
        </is>
      </c>
      <c r="U1104">
        <f>IF(COUNTIF($B$2:$B$1198,B1104)&gt;1,"重复","")</f>
        <v/>
      </c>
      <c r="V1104">
        <f>IF(AND(OR(M1104="",M1104=B1104),OR(N1104="",N1104=B1104),OR(O1104="",O1104=B1104)),"通过","不一致")</f>
        <v/>
      </c>
    </row>
    <row r="1105">
      <c r="A1105" s="398" t="n">
        <v>1104</v>
      </c>
      <c r="B1105" s="398" t="n">
        <v>7124</v>
      </c>
      <c r="C1105" s="399" t="inlineStr">
        <is>
          <t>C3-C10专属待补</t>
        </is>
      </c>
      <c r="D1105" s="399" t="inlineStr">
        <is>
          <t>利耶尼亚海域</t>
        </is>
      </c>
      <c r="E1105" s="399" t="n">
        <v>1</v>
      </c>
      <c r="F1105" s="399" t="inlineStr">
        <is>
          <t>男衣服（现行模板的衣服映射）</t>
        </is>
      </c>
      <c r="G1105" s="398" t="n">
        <v>10</v>
      </c>
      <c r="H1105" s="398" t="n"/>
      <c r="I1105" s="398" t="n">
        <v>7124</v>
      </c>
      <c r="J1105" s="398" t="n">
        <v>1</v>
      </c>
      <c r="K1105" s="398" t="n"/>
      <c r="L1105" s="398" t="n"/>
      <c r="M1105" s="398" t="n">
        <v>7124</v>
      </c>
      <c r="N1105" s="398" t="n">
        <v>7124</v>
      </c>
      <c r="O1105" s="398" t="n">
        <v>7124</v>
      </c>
      <c r="P1105" s="292" t="n"/>
      <c r="Q1105" s="292" t="inlineStr">
        <is>
          <t>测试新增资源已回读</t>
        </is>
      </c>
      <c r="R1105" s="292" t="inlineStr">
        <is>
          <t>C04-M064</t>
        </is>
      </c>
      <c r="S1105" s="292" t="inlineStr">
        <is>
          <t>平台装备素材/0352_星渊龙息·星痕_男衣服.bmp</t>
        </is>
      </c>
      <c r="T1105" s="292" t="inlineStr">
        <is>
          <t>仅测试副本；未写正式客户端</t>
        </is>
      </c>
      <c r="U1105">
        <f>IF(COUNTIF($B$2:$B$1198,B1105)&gt;1,"重复","")</f>
        <v/>
      </c>
      <c r="V1105">
        <f>IF(AND(OR(M1105="",M1105=B1105),OR(N1105="",N1105=B1105),OR(O1105="",O1105=B1105)),"通过","不一致")</f>
        <v/>
      </c>
    </row>
    <row r="1106">
      <c r="A1106" s="398" t="n">
        <v>1105</v>
      </c>
      <c r="B1106" s="398" t="n">
        <v>7125</v>
      </c>
      <c r="C1106" s="399" t="inlineStr">
        <is>
          <t>C3-C10专属待补</t>
        </is>
      </c>
      <c r="D1106" s="399" t="inlineStr">
        <is>
          <t>湖之利耶尼亚</t>
        </is>
      </c>
      <c r="E1106" s="399" t="n">
        <v>1</v>
      </c>
      <c r="F1106" s="399" t="inlineStr">
        <is>
          <t>面巾（位置13，对应斗笠）</t>
        </is>
      </c>
      <c r="G1106" s="398" t="n">
        <v>16</v>
      </c>
      <c r="H1106" s="398" t="n">
        <v>13</v>
      </c>
      <c r="I1106" s="398" t="n">
        <v>7125</v>
      </c>
      <c r="J1106" s="398" t="n"/>
      <c r="K1106" s="398" t="n"/>
      <c r="L1106" s="398" t="n"/>
      <c r="M1106" s="398" t="n">
        <v>7125</v>
      </c>
      <c r="N1106" s="398" t="n">
        <v>7125</v>
      </c>
      <c r="O1106" s="398" t="n">
        <v>7125</v>
      </c>
      <c r="P1106" s="292" t="n"/>
      <c r="Q1106" s="292" t="inlineStr">
        <is>
          <t>测试新增资源已回读</t>
        </is>
      </c>
      <c r="R1106" s="292" t="inlineStr">
        <is>
          <t>C05-M003</t>
        </is>
      </c>
      <c r="S1106" s="292" t="inlineStr">
        <is>
          <t>平台装备素材/0040_黄金圣树·圣枝_面巾.bmp</t>
        </is>
      </c>
      <c r="T1106" s="292" t="inlineStr">
        <is>
          <t>仅测试副本；未写正式客户端</t>
        </is>
      </c>
      <c r="U1106">
        <f>IF(COUNTIF($B$2:$B$1198,B1106)&gt;1,"重复","")</f>
        <v/>
      </c>
      <c r="V1106">
        <f>IF(AND(OR(M1106="",M1106=B1106),OR(N1106="",N1106=B1106),OR(O1106="",O1106=B1106)),"通过","不一致")</f>
        <v/>
      </c>
    </row>
    <row r="1107">
      <c r="A1107" s="398" t="n">
        <v>1106</v>
      </c>
      <c r="B1107" s="398" t="n">
        <v>7126</v>
      </c>
      <c r="C1107" s="399" t="inlineStr">
        <is>
          <t>C3-C10专属待补</t>
        </is>
      </c>
      <c r="D1107" s="399" t="inlineStr">
        <is>
          <t>湖之利耶尼亚</t>
        </is>
      </c>
      <c r="E1107" s="399" t="n">
        <v>1</v>
      </c>
      <c r="F1107" s="399" t="inlineStr">
        <is>
          <t>男衣服（现行模板的衣服映射）</t>
        </is>
      </c>
      <c r="G1107" s="398" t="n">
        <v>10</v>
      </c>
      <c r="H1107" s="398" t="n"/>
      <c r="I1107" s="398" t="n">
        <v>7126</v>
      </c>
      <c r="J1107" s="398" t="n">
        <v>1</v>
      </c>
      <c r="K1107" s="398" t="n"/>
      <c r="L1107" s="398" t="n"/>
      <c r="M1107" s="398" t="n">
        <v>7126</v>
      </c>
      <c r="N1107" s="398" t="n">
        <v>7126</v>
      </c>
      <c r="O1107" s="398" t="n">
        <v>7126</v>
      </c>
      <c r="P1107" s="292" t="n"/>
      <c r="Q1107" s="292" t="inlineStr">
        <is>
          <t>测试新增资源已回读</t>
        </is>
      </c>
      <c r="R1107" s="292" t="inlineStr">
        <is>
          <t>C05-M010</t>
        </is>
      </c>
      <c r="S1107" s="292" t="inlineStr">
        <is>
          <t>平台装备素材/0387_星渊龙息·龙鳞_男衣服.bmp</t>
        </is>
      </c>
      <c r="T1107" s="292" t="inlineStr">
        <is>
          <t>仅测试副本；未写正式客户端</t>
        </is>
      </c>
      <c r="U1107">
        <f>IF(COUNTIF($B$2:$B$1198,B1107)&gt;1,"重复","")</f>
        <v/>
      </c>
      <c r="V1107">
        <f>IF(AND(OR(M1107="",M1107=B1107),OR(N1107="",N1107=B1107),OR(O1107="",O1107=B1107)),"通过","不一致")</f>
        <v/>
      </c>
    </row>
    <row r="1108">
      <c r="A1108" s="398" t="n">
        <v>1107</v>
      </c>
      <c r="B1108" s="398" t="n">
        <v>7127</v>
      </c>
      <c r="C1108" s="399" t="inlineStr">
        <is>
          <t>C3-C10专属待补</t>
        </is>
      </c>
      <c r="D1108" s="399" t="inlineStr">
        <is>
          <t>湖之利耶尼亚</t>
        </is>
      </c>
      <c r="E1108" s="399" t="n">
        <v>1</v>
      </c>
      <c r="F1108" s="399" t="inlineStr">
        <is>
          <t>面巾（位置13，对应斗笠）</t>
        </is>
      </c>
      <c r="G1108" s="398" t="n">
        <v>16</v>
      </c>
      <c r="H1108" s="398" t="n">
        <v>13</v>
      </c>
      <c r="I1108" s="398" t="n">
        <v>7127</v>
      </c>
      <c r="J1108" s="398" t="n"/>
      <c r="K1108" s="398" t="n"/>
      <c r="L1108" s="398" t="n"/>
      <c r="M1108" s="398" t="n">
        <v>7127</v>
      </c>
      <c r="N1108" s="398" t="n">
        <v>7127</v>
      </c>
      <c r="O1108" s="398" t="n">
        <v>7127</v>
      </c>
      <c r="P1108" s="292" t="n"/>
      <c r="Q1108" s="292" t="inlineStr">
        <is>
          <t>测试新增资源已回读</t>
        </is>
      </c>
      <c r="R1108" s="292" t="inlineStr">
        <is>
          <t>C05-M018</t>
        </is>
      </c>
      <c r="S1108" s="292" t="inlineStr">
        <is>
          <t>平台装备素材/0075_黄金圣树·王权_面巾.bmp</t>
        </is>
      </c>
      <c r="T1108" s="292" t="inlineStr">
        <is>
          <t>仅测试副本；未写正式客户端</t>
        </is>
      </c>
      <c r="U1108">
        <f>IF(COUNTIF($B$2:$B$1198,B1108)&gt;1,"重复","")</f>
        <v/>
      </c>
      <c r="V1108">
        <f>IF(AND(OR(M1108="",M1108=B1108),OR(N1108="",N1108=B1108),OR(O1108="",O1108=B1108)),"通过","不一致")</f>
        <v/>
      </c>
    </row>
    <row r="1109">
      <c r="A1109" s="398" t="n">
        <v>1108</v>
      </c>
      <c r="B1109" s="398" t="n">
        <v>7128</v>
      </c>
      <c r="C1109" s="399" t="inlineStr">
        <is>
          <t>C3-C10专属待补</t>
        </is>
      </c>
      <c r="D1109" s="399" t="inlineStr">
        <is>
          <t>湖之利耶尼亚</t>
        </is>
      </c>
      <c r="E1109" s="399" t="n">
        <v>1</v>
      </c>
      <c r="F1109" s="399" t="inlineStr">
        <is>
          <t>男衣服（现行模板的衣服映射）</t>
        </is>
      </c>
      <c r="G1109" s="398" t="n">
        <v>10</v>
      </c>
      <c r="H1109" s="398" t="n"/>
      <c r="I1109" s="398" t="n">
        <v>7128</v>
      </c>
      <c r="J1109" s="398" t="n">
        <v>1</v>
      </c>
      <c r="K1109" s="398" t="n"/>
      <c r="L1109" s="398" t="n"/>
      <c r="M1109" s="398" t="n">
        <v>7128</v>
      </c>
      <c r="N1109" s="398" t="n">
        <v>7128</v>
      </c>
      <c r="O1109" s="398" t="n">
        <v>7128</v>
      </c>
      <c r="P1109" s="292" t="n"/>
      <c r="Q1109" s="292" t="inlineStr">
        <is>
          <t>测试新增资源已回读</t>
        </is>
      </c>
      <c r="R1109" s="292" t="inlineStr">
        <is>
          <t>C05-M022</t>
        </is>
      </c>
      <c r="S1109" s="292" t="inlineStr">
        <is>
          <t>平台装备素材/0422_星渊龙息·渊辉_男衣服.bmp</t>
        </is>
      </c>
      <c r="T1109" s="292" t="inlineStr">
        <is>
          <t>仅测试副本；未写正式客户端</t>
        </is>
      </c>
      <c r="U1109">
        <f>IF(COUNTIF($B$2:$B$1198,B1109)&gt;1,"重复","")</f>
        <v/>
      </c>
      <c r="V1109">
        <f>IF(AND(OR(M1109="",M1109=B1109),OR(N1109="",N1109=B1109),OR(O1109="",O1109=B1109)),"通过","不一致")</f>
        <v/>
      </c>
    </row>
    <row r="1110">
      <c r="A1110" s="398" t="n">
        <v>1109</v>
      </c>
      <c r="B1110" s="398" t="n">
        <v>7129</v>
      </c>
      <c r="C1110" s="399" t="inlineStr">
        <is>
          <t>C3-C10专属待补</t>
        </is>
      </c>
      <c r="D1110" s="399" t="inlineStr">
        <is>
          <t>湖之利耶尼亚</t>
        </is>
      </c>
      <c r="E1110" s="399" t="n">
        <v>1</v>
      </c>
      <c r="F1110" s="399" t="inlineStr">
        <is>
          <t>武器</t>
        </is>
      </c>
      <c r="G1110" s="398" t="n">
        <v>5</v>
      </c>
      <c r="H1110" s="398" t="n"/>
      <c r="I1110" s="398" t="n">
        <v>7129</v>
      </c>
      <c r="J1110" s="398" t="n">
        <v>14</v>
      </c>
      <c r="K1110" s="398" t="n"/>
      <c r="L1110" s="398" t="n"/>
      <c r="M1110" s="398" t="n">
        <v>7129</v>
      </c>
      <c r="N1110" s="398" t="n">
        <v>7129</v>
      </c>
      <c r="O1110" s="398" t="n">
        <v>7129</v>
      </c>
      <c r="P1110" s="292" t="n"/>
      <c r="Q1110" s="292" t="inlineStr">
        <is>
          <t>测试新增资源已回读</t>
        </is>
      </c>
      <c r="R1110" s="292" t="inlineStr">
        <is>
          <t>C05-M023</t>
        </is>
      </c>
      <c r="S1110" s="292" t="inlineStr">
        <is>
          <t>平台装备素材/0596_翠焰冥契·冥契_武器.bmp</t>
        </is>
      </c>
      <c r="T1110" s="292" t="inlineStr">
        <is>
          <t>仅测试副本；未写正式客户端</t>
        </is>
      </c>
      <c r="U1110">
        <f>IF(COUNTIF($B$2:$B$1198,B1110)&gt;1,"重复","")</f>
        <v/>
      </c>
      <c r="V1110">
        <f>IF(AND(OR(M1110="",M1110=B1110),OR(N1110="",N1110=B1110),OR(O1110="",O1110=B1110)),"通过","不一致")</f>
        <v/>
      </c>
    </row>
    <row r="1111">
      <c r="A1111" s="398" t="n">
        <v>1110</v>
      </c>
      <c r="B1111" s="398" t="n">
        <v>7130</v>
      </c>
      <c r="C1111" s="399" t="inlineStr">
        <is>
          <t>C3-C10专属待补</t>
        </is>
      </c>
      <c r="D1111" s="399" t="inlineStr">
        <is>
          <t>湖之利耶尼亚</t>
        </is>
      </c>
      <c r="E1111" s="399" t="n">
        <v>1</v>
      </c>
      <c r="F1111" s="399" t="inlineStr">
        <is>
          <t>面巾（位置13，对应斗笠）</t>
        </is>
      </c>
      <c r="G1111" s="398" t="n">
        <v>16</v>
      </c>
      <c r="H1111" s="398" t="n">
        <v>13</v>
      </c>
      <c r="I1111" s="398" t="n">
        <v>7130</v>
      </c>
      <c r="J1111" s="398" t="n"/>
      <c r="K1111" s="398" t="n"/>
      <c r="L1111" s="398" t="n"/>
      <c r="M1111" s="398" t="n">
        <v>7130</v>
      </c>
      <c r="N1111" s="398" t="n">
        <v>7130</v>
      </c>
      <c r="O1111" s="398" t="n">
        <v>7130</v>
      </c>
      <c r="P1111" s="292" t="n"/>
      <c r="Q1111" s="292" t="inlineStr">
        <is>
          <t>测试新增资源已回读</t>
        </is>
      </c>
      <c r="R1111" s="292" t="inlineStr">
        <is>
          <t>C05-M025</t>
        </is>
      </c>
      <c r="S1111" s="292" t="inlineStr">
        <is>
          <t>平台装备素材/0110_黄金圣树·律法_面巾.bmp</t>
        </is>
      </c>
      <c r="T1111" s="292" t="inlineStr">
        <is>
          <t>仅测试副本；未写正式客户端</t>
        </is>
      </c>
      <c r="U1111">
        <f>IF(COUNTIF($B$2:$B$1198,B1111)&gt;1,"重复","")</f>
        <v/>
      </c>
      <c r="V1111">
        <f>IF(AND(OR(M1111="",M1111=B1111),OR(N1111="",N1111=B1111),OR(O1111="",O1111=B1111)),"通过","不一致")</f>
        <v/>
      </c>
    </row>
    <row r="1112">
      <c r="A1112" s="398" t="n">
        <v>1111</v>
      </c>
      <c r="B1112" s="398" t="n">
        <v>7131</v>
      </c>
      <c r="C1112" s="399" t="inlineStr">
        <is>
          <t>C3-C10专属待补</t>
        </is>
      </c>
      <c r="D1112" s="399" t="inlineStr">
        <is>
          <t>湖之利耶尼亚</t>
        </is>
      </c>
      <c r="E1112" s="399" t="n">
        <v>1</v>
      </c>
      <c r="F1112" s="399" t="inlineStr">
        <is>
          <t>男衣服（现行模板的衣服映射）</t>
        </is>
      </c>
      <c r="G1112" s="398" t="n">
        <v>10</v>
      </c>
      <c r="H1112" s="398" t="n"/>
      <c r="I1112" s="398" t="n">
        <v>7131</v>
      </c>
      <c r="J1112" s="398" t="n">
        <v>1</v>
      </c>
      <c r="K1112" s="398" t="n"/>
      <c r="L1112" s="398" t="n"/>
      <c r="M1112" s="398" t="n">
        <v>7131</v>
      </c>
      <c r="N1112" s="398" t="n">
        <v>7131</v>
      </c>
      <c r="O1112" s="398" t="n">
        <v>7131</v>
      </c>
      <c r="P1112" s="292" t="n"/>
      <c r="Q1112" s="292" t="inlineStr">
        <is>
          <t>测试新增资源已回读</t>
        </is>
      </c>
      <c r="R1112" s="292" t="inlineStr">
        <is>
          <t>C05-M034</t>
        </is>
      </c>
      <c r="S1112" s="292" t="inlineStr">
        <is>
          <t>平台装备素材/0457_星渊龙息·天穹_男衣服.bmp</t>
        </is>
      </c>
      <c r="T1112" s="292" t="inlineStr">
        <is>
          <t>仅测试副本；未写正式客户端</t>
        </is>
      </c>
      <c r="U1112">
        <f>IF(COUNTIF($B$2:$B$1198,B1112)&gt;1,"重复","")</f>
        <v/>
      </c>
      <c r="V1112">
        <f>IF(AND(OR(M1112="",M1112=B1112),OR(N1112="",N1112=B1112),OR(O1112="",O1112=B1112)),"通过","不一致")</f>
        <v/>
      </c>
    </row>
    <row r="1113">
      <c r="A1113" s="398" t="n">
        <v>1112</v>
      </c>
      <c r="B1113" s="398" t="n">
        <v>7132</v>
      </c>
      <c r="C1113" s="399" t="inlineStr">
        <is>
          <t>C3-C10专属待补</t>
        </is>
      </c>
      <c r="D1113" s="399" t="inlineStr">
        <is>
          <t>湖之利耶尼亚</t>
        </is>
      </c>
      <c r="E1113" s="399" t="n">
        <v>1</v>
      </c>
      <c r="F1113" s="399" t="inlineStr">
        <is>
          <t>武器</t>
        </is>
      </c>
      <c r="G1113" s="398" t="n">
        <v>5</v>
      </c>
      <c r="H1113" s="398" t="n"/>
      <c r="I1113" s="398" t="n">
        <v>7132</v>
      </c>
      <c r="J1113" s="398" t="n">
        <v>14</v>
      </c>
      <c r="K1113" s="398" t="n"/>
      <c r="L1113" s="398" t="n"/>
      <c r="M1113" s="398" t="n">
        <v>7132</v>
      </c>
      <c r="N1113" s="398" t="n">
        <v>7132</v>
      </c>
      <c r="O1113" s="398" t="n">
        <v>7132</v>
      </c>
      <c r="P1113" s="292" t="n"/>
      <c r="Q1113" s="292" t="inlineStr">
        <is>
          <t>测试新增资源已回读</t>
        </is>
      </c>
      <c r="R1113" s="292" t="inlineStr">
        <is>
          <t>C05-M035</t>
        </is>
      </c>
      <c r="S1113" s="292" t="inlineStr">
        <is>
          <t>平台装备素材/0631_翠焰冥契·灾厄_武器.bmp</t>
        </is>
      </c>
      <c r="T1113" s="292" t="inlineStr">
        <is>
          <t>仅测试副本；未写正式客户端</t>
        </is>
      </c>
      <c r="U1113">
        <f>IF(COUNTIF($B$2:$B$1198,B1113)&gt;1,"重复","")</f>
        <v/>
      </c>
      <c r="V1113">
        <f>IF(AND(OR(M1113="",M1113=B1113),OR(N1113="",N1113=B1113),OR(O1113="",O1113=B1113)),"通过","不一致")</f>
        <v/>
      </c>
    </row>
    <row r="1114">
      <c r="A1114" s="398" t="n">
        <v>1113</v>
      </c>
      <c r="B1114" s="398" t="n">
        <v>7133</v>
      </c>
      <c r="C1114" s="399" t="inlineStr">
        <is>
          <t>C3-C10专属待补</t>
        </is>
      </c>
      <c r="D1114" s="399" t="inlineStr">
        <is>
          <t>湖之利耶尼亚</t>
        </is>
      </c>
      <c r="E1114" s="399" t="n">
        <v>1</v>
      </c>
      <c r="F1114" s="399" t="inlineStr">
        <is>
          <t>面巾（位置13，对应斗笠）</t>
        </is>
      </c>
      <c r="G1114" s="398" t="n">
        <v>16</v>
      </c>
      <c r="H1114" s="398" t="n">
        <v>13</v>
      </c>
      <c r="I1114" s="398" t="n">
        <v>7133</v>
      </c>
      <c r="J1114" s="398" t="n"/>
      <c r="K1114" s="398" t="n"/>
      <c r="L1114" s="398" t="n"/>
      <c r="M1114" s="398" t="n">
        <v>7133</v>
      </c>
      <c r="N1114" s="398" t="n">
        <v>7133</v>
      </c>
      <c r="O1114" s="398" t="n">
        <v>7133</v>
      </c>
      <c r="P1114" s="292" t="n"/>
      <c r="Q1114" s="292" t="inlineStr">
        <is>
          <t>测试新增资源已回读</t>
        </is>
      </c>
      <c r="R1114" s="292" t="inlineStr">
        <is>
          <t>C05-M038</t>
        </is>
      </c>
      <c r="S1114" s="292" t="inlineStr">
        <is>
          <t>平台装备素材/0145_黄金圣树·永恒_面巾.bmp</t>
        </is>
      </c>
      <c r="T1114" s="292" t="inlineStr">
        <is>
          <t>仅测试副本；未写正式客户端</t>
        </is>
      </c>
      <c r="U1114">
        <f>IF(COUNTIF($B$2:$B$1198,B1114)&gt;1,"重复","")</f>
        <v/>
      </c>
      <c r="V1114">
        <f>IF(AND(OR(M1114="",M1114=B1114),OR(N1114="",N1114=B1114),OR(O1114="",O1114=B1114)),"通过","不一致")</f>
        <v/>
      </c>
    </row>
    <row r="1115">
      <c r="A1115" s="398" t="n">
        <v>1114</v>
      </c>
      <c r="B1115" s="398" t="n">
        <v>7134</v>
      </c>
      <c r="C1115" s="399" t="inlineStr">
        <is>
          <t>C3-C10专属待补</t>
        </is>
      </c>
      <c r="D1115" s="399" t="inlineStr">
        <is>
          <t>湖之利耶尼亚</t>
        </is>
      </c>
      <c r="E1115" s="399" t="n">
        <v>1</v>
      </c>
      <c r="F1115" s="399" t="inlineStr">
        <is>
          <t>男衣服（现行模板的衣服映射）</t>
        </is>
      </c>
      <c r="G1115" s="398" t="n">
        <v>10</v>
      </c>
      <c r="H1115" s="398" t="n"/>
      <c r="I1115" s="398" t="n">
        <v>7134</v>
      </c>
      <c r="J1115" s="398" t="n">
        <v>1</v>
      </c>
      <c r="K1115" s="398" t="n"/>
      <c r="L1115" s="398" t="n"/>
      <c r="M1115" s="398" t="n">
        <v>7134</v>
      </c>
      <c r="N1115" s="398" t="n">
        <v>7134</v>
      </c>
      <c r="O1115" s="398" t="n">
        <v>7134</v>
      </c>
      <c r="P1115" s="292" t="n"/>
      <c r="Q1115" s="292" t="inlineStr">
        <is>
          <t>测试新增资源已回读</t>
        </is>
      </c>
      <c r="R1115" s="292" t="inlineStr">
        <is>
          <t>C05-M046</t>
        </is>
      </c>
      <c r="S1115" s="292" t="inlineStr">
        <is>
          <t>平台装备素材/0492_星渊龙息·无垠_男衣服.bmp</t>
        </is>
      </c>
      <c r="T1115" s="292" t="inlineStr">
        <is>
          <t>仅测试副本；未写正式客户端</t>
        </is>
      </c>
      <c r="U1115">
        <f>IF(COUNTIF($B$2:$B$1198,B1115)&gt;1,"重复","")</f>
        <v/>
      </c>
      <c r="V1115">
        <f>IF(AND(OR(M1115="",M1115=B1115),OR(N1115="",N1115=B1115),OR(O1115="",O1115=B1115)),"通过","不一致")</f>
        <v/>
      </c>
    </row>
    <row r="1116">
      <c r="A1116" s="398" t="n">
        <v>1115</v>
      </c>
      <c r="B1116" s="398" t="n">
        <v>7135</v>
      </c>
      <c r="C1116" s="399" t="inlineStr">
        <is>
          <t>C3-C10专属待补</t>
        </is>
      </c>
      <c r="D1116" s="399" t="inlineStr">
        <is>
          <t>湖之利耶尼亚</t>
        </is>
      </c>
      <c r="E1116" s="399" t="n">
        <v>1</v>
      </c>
      <c r="F1116" s="399" t="inlineStr">
        <is>
          <t>武器</t>
        </is>
      </c>
      <c r="G1116" s="398" t="n">
        <v>5</v>
      </c>
      <c r="H1116" s="398" t="n"/>
      <c r="I1116" s="398" t="n">
        <v>7135</v>
      </c>
      <c r="J1116" s="398" t="n">
        <v>14</v>
      </c>
      <c r="K1116" s="398" t="n"/>
      <c r="L1116" s="398" t="n"/>
      <c r="M1116" s="398" t="n">
        <v>7135</v>
      </c>
      <c r="N1116" s="398" t="n">
        <v>7135</v>
      </c>
      <c r="O1116" s="398" t="n">
        <v>7135</v>
      </c>
      <c r="P1116" s="292" t="n"/>
      <c r="Q1116" s="292" t="inlineStr">
        <is>
          <t>测试新增资源已回读</t>
        </is>
      </c>
      <c r="R1116" s="292" t="inlineStr">
        <is>
          <t>C05-M047</t>
        </is>
      </c>
      <c r="S1116" s="292" t="inlineStr">
        <is>
          <t>平台装备素材/0666_翠焰冥契·永夜_武器.bmp</t>
        </is>
      </c>
      <c r="T1116" s="292" t="inlineStr">
        <is>
          <t>仅测试副本；未写正式客户端</t>
        </is>
      </c>
      <c r="U1116">
        <f>IF(COUNTIF($B$2:$B$1198,B1116)&gt;1,"重复","")</f>
        <v/>
      </c>
      <c r="V1116">
        <f>IF(AND(OR(M1116="",M1116=B1116),OR(N1116="",N1116=B1116),OR(O1116="",O1116=B1116)),"通过","不一致")</f>
        <v/>
      </c>
    </row>
    <row r="1117">
      <c r="A1117" s="398" t="n">
        <v>1116</v>
      </c>
      <c r="B1117" s="398" t="n">
        <v>7136</v>
      </c>
      <c r="C1117" s="399" t="inlineStr">
        <is>
          <t>C3-C10专属待补</t>
        </is>
      </c>
      <c r="D1117" s="399" t="inlineStr">
        <is>
          <t>湖之利耶尼亚</t>
        </is>
      </c>
      <c r="E1117" s="399" t="n">
        <v>1</v>
      </c>
      <c r="F1117" s="399" t="inlineStr">
        <is>
          <t>武器</t>
        </is>
      </c>
      <c r="G1117" s="398" t="n">
        <v>5</v>
      </c>
      <c r="H1117" s="398" t="n"/>
      <c r="I1117" s="398" t="n">
        <v>7136</v>
      </c>
      <c r="J1117" s="398" t="n">
        <v>14</v>
      </c>
      <c r="K1117" s="398" t="n"/>
      <c r="L1117" s="398" t="n"/>
      <c r="M1117" s="398" t="n">
        <v>7136</v>
      </c>
      <c r="N1117" s="398" t="n">
        <v>7136</v>
      </c>
      <c r="O1117" s="398" t="n">
        <v>7136</v>
      </c>
      <c r="P1117" s="292" t="n"/>
      <c r="Q1117" s="292" t="inlineStr">
        <is>
          <t>测试新增资源已回读</t>
        </is>
      </c>
      <c r="R1117" s="292" t="inlineStr">
        <is>
          <t>C05-M049</t>
        </is>
      </c>
      <c r="S1117" s="292" t="inlineStr">
        <is>
          <t>平台装备素材/0001_黄金圣树·初誓_武器.bmp</t>
        </is>
      </c>
      <c r="T1117" s="292" t="inlineStr">
        <is>
          <t>仅测试副本；未写正式客户端</t>
        </is>
      </c>
      <c r="U1117">
        <f>IF(COUNTIF($B$2:$B$1198,B1117)&gt;1,"重复","")</f>
        <v/>
      </c>
      <c r="V1117">
        <f>IF(AND(OR(M1117="",M1117=B1117),OR(N1117="",N1117=B1117),OR(O1117="",O1117=B1117)),"通过","不一致")</f>
        <v/>
      </c>
    </row>
    <row r="1118">
      <c r="A1118" s="398" t="n">
        <v>1117</v>
      </c>
      <c r="B1118" s="398" t="n">
        <v>7137</v>
      </c>
      <c r="C1118" s="399" t="inlineStr">
        <is>
          <t>C3-C10专属待补</t>
        </is>
      </c>
      <c r="D1118" s="399" t="inlineStr">
        <is>
          <t>湖之利耶尼亚</t>
        </is>
      </c>
      <c r="E1118" s="399" t="n">
        <v>1</v>
      </c>
      <c r="F1118" s="399" t="inlineStr">
        <is>
          <t>面巾（位置13，对应斗笠）</t>
        </is>
      </c>
      <c r="G1118" s="398" t="n">
        <v>16</v>
      </c>
      <c r="H1118" s="398" t="n">
        <v>13</v>
      </c>
      <c r="I1118" s="398" t="n">
        <v>7137</v>
      </c>
      <c r="J1118" s="398" t="n"/>
      <c r="K1118" s="398" t="n"/>
      <c r="L1118" s="398" t="n"/>
      <c r="M1118" s="398" t="n">
        <v>7137</v>
      </c>
      <c r="N1118" s="398" t="n">
        <v>7137</v>
      </c>
      <c r="O1118" s="398" t="n">
        <v>7137</v>
      </c>
      <c r="P1118" s="292" t="n"/>
      <c r="Q1118" s="292" t="inlineStr">
        <is>
          <t>测试新增资源已回读</t>
        </is>
      </c>
      <c r="R1118" s="292" t="inlineStr">
        <is>
          <t>C05-M051</t>
        </is>
      </c>
      <c r="S1118" s="292" t="inlineStr">
        <is>
          <t>平台装备素材/0180_血月荆棘·血痕_面巾.bmp</t>
        </is>
      </c>
      <c r="T1118" s="292" t="inlineStr">
        <is>
          <t>仅测试副本；未写正式客户端</t>
        </is>
      </c>
      <c r="U1118">
        <f>IF(COUNTIF($B$2:$B$1198,B1118)&gt;1,"重复","")</f>
        <v/>
      </c>
      <c r="V1118">
        <f>IF(AND(OR(M1118="",M1118=B1118),OR(N1118="",N1118=B1118),OR(O1118="",O1118=B1118)),"通过","不一致")</f>
        <v/>
      </c>
    </row>
    <row r="1119">
      <c r="A1119" s="398" t="n">
        <v>1118</v>
      </c>
      <c r="B1119" s="398" t="n">
        <v>7138</v>
      </c>
      <c r="C1119" s="399" t="inlineStr">
        <is>
          <t>C3-C10专属待补</t>
        </is>
      </c>
      <c r="D1119" s="399" t="inlineStr">
        <is>
          <t>湖之利耶尼亚</t>
        </is>
      </c>
      <c r="E1119" s="399" t="n">
        <v>1</v>
      </c>
      <c r="F1119" s="399" t="inlineStr">
        <is>
          <t>武器</t>
        </is>
      </c>
      <c r="G1119" s="398" t="n">
        <v>5</v>
      </c>
      <c r="H1119" s="398" t="n"/>
      <c r="I1119" s="398" t="n">
        <v>7138</v>
      </c>
      <c r="J1119" s="398" t="n">
        <v>14</v>
      </c>
      <c r="K1119" s="398" t="n"/>
      <c r="L1119" s="398" t="n"/>
      <c r="M1119" s="398" t="n">
        <v>7138</v>
      </c>
      <c r="N1119" s="398" t="n">
        <v>7138</v>
      </c>
      <c r="O1119" s="398" t="n">
        <v>7138</v>
      </c>
      <c r="P1119" s="292" t="n"/>
      <c r="Q1119" s="292" t="inlineStr">
        <is>
          <t>测试新增资源已回读</t>
        </is>
      </c>
      <c r="R1119" s="292" t="inlineStr">
        <is>
          <t>C05-M060</t>
        </is>
      </c>
      <c r="S1119" s="292" t="inlineStr">
        <is>
          <t>平台装备素材/0036_黄金圣树·圣枝_武器.bmp</t>
        </is>
      </c>
      <c r="T1119" s="292" t="inlineStr">
        <is>
          <t>仅测试副本；未写正式客户端</t>
        </is>
      </c>
      <c r="U1119">
        <f>IF(COUNTIF($B$2:$B$1198,B1119)&gt;1,"重复","")</f>
        <v/>
      </c>
      <c r="V1119">
        <f>IF(AND(OR(M1119="",M1119=B1119),OR(N1119="",N1119=B1119),OR(O1119="",O1119=B1119)),"通过","不一致")</f>
        <v/>
      </c>
    </row>
    <row r="1120">
      <c r="A1120" s="398" t="n">
        <v>1119</v>
      </c>
      <c r="B1120" s="398" t="n">
        <v>7139</v>
      </c>
      <c r="C1120" s="399" t="inlineStr">
        <is>
          <t>C3-C10专属待补</t>
        </is>
      </c>
      <c r="D1120" s="399" t="inlineStr">
        <is>
          <t>湖之利耶尼亚</t>
        </is>
      </c>
      <c r="E1120" s="399" t="n">
        <v>1</v>
      </c>
      <c r="F1120" s="399" t="inlineStr">
        <is>
          <t>武器</t>
        </is>
      </c>
      <c r="G1120" s="398" t="n">
        <v>5</v>
      </c>
      <c r="H1120" s="398" t="n"/>
      <c r="I1120" s="398" t="n">
        <v>7139</v>
      </c>
      <c r="J1120" s="398" t="n">
        <v>14</v>
      </c>
      <c r="K1120" s="398" t="n"/>
      <c r="L1120" s="398" t="n"/>
      <c r="M1120" s="398" t="n">
        <v>7139</v>
      </c>
      <c r="N1120" s="398" t="n">
        <v>7139</v>
      </c>
      <c r="O1120" s="398" t="n">
        <v>7139</v>
      </c>
      <c r="P1120" s="292" t="n"/>
      <c r="Q1120" s="292" t="inlineStr">
        <is>
          <t>测试新增资源已回读</t>
        </is>
      </c>
      <c r="R1120" s="292" t="inlineStr">
        <is>
          <t>C05-M062</t>
        </is>
      </c>
      <c r="S1120" s="292" t="inlineStr">
        <is>
          <t>平台装备素材/0071_黄金圣树·王权_武器.bmp</t>
        </is>
      </c>
      <c r="T1120" s="292" t="inlineStr">
        <is>
          <t>仅测试副本；未写正式客户端</t>
        </is>
      </c>
      <c r="U1120">
        <f>IF(COUNTIF($B$2:$B$1198,B1120)&gt;1,"重复","")</f>
        <v/>
      </c>
      <c r="V1120">
        <f>IF(AND(OR(M1120="",M1120=B1120),OR(N1120="",N1120=B1120),OR(O1120="",O1120=B1120)),"通过","不一致")</f>
        <v/>
      </c>
    </row>
    <row r="1121">
      <c r="A1121" s="398" t="n">
        <v>1120</v>
      </c>
      <c r="B1121" s="398" t="n">
        <v>7140</v>
      </c>
      <c r="C1121" s="399" t="inlineStr">
        <is>
          <t>C3-C10专属待补</t>
        </is>
      </c>
      <c r="D1121" s="399" t="inlineStr">
        <is>
          <t>湖之利耶尼亚</t>
        </is>
      </c>
      <c r="E1121" s="399" t="n">
        <v>1</v>
      </c>
      <c r="F1121" s="399" t="inlineStr">
        <is>
          <t>面巾（位置13，对应斗笠）</t>
        </is>
      </c>
      <c r="G1121" s="398" t="n">
        <v>16</v>
      </c>
      <c r="H1121" s="398" t="n">
        <v>13</v>
      </c>
      <c r="I1121" s="398" t="n">
        <v>7140</v>
      </c>
      <c r="J1121" s="398" t="n"/>
      <c r="K1121" s="398" t="n"/>
      <c r="L1121" s="398" t="n"/>
      <c r="M1121" s="398" t="n">
        <v>7140</v>
      </c>
      <c r="N1121" s="398" t="n">
        <v>7140</v>
      </c>
      <c r="O1121" s="398" t="n">
        <v>7140</v>
      </c>
      <c r="P1121" s="292" t="n"/>
      <c r="Q1121" s="292" t="inlineStr">
        <is>
          <t>测试新增资源已回读</t>
        </is>
      </c>
      <c r="R1121" s="292" t="inlineStr">
        <is>
          <t>C05-M065</t>
        </is>
      </c>
      <c r="S1121" s="292" t="inlineStr">
        <is>
          <t>平台装备素材/0215_血月荆棘·荆冠_面巾.bmp</t>
        </is>
      </c>
      <c r="T1121" s="292" t="inlineStr">
        <is>
          <t>仅测试副本；未写正式客户端</t>
        </is>
      </c>
      <c r="U1121">
        <f>IF(COUNTIF($B$2:$B$1198,B1121)&gt;1,"重复","")</f>
        <v/>
      </c>
      <c r="V1121">
        <f>IF(AND(OR(M1121="",M1121=B1121),OR(N1121="",N1121=B1121),OR(O1121="",O1121=B1121)),"通过","不一致")</f>
        <v/>
      </c>
    </row>
    <row r="1122">
      <c r="A1122" s="398" t="n">
        <v>1121</v>
      </c>
      <c r="B1122" s="398" t="n">
        <v>7141</v>
      </c>
      <c r="C1122" s="399" t="inlineStr">
        <is>
          <t>C3-C10专属待补</t>
        </is>
      </c>
      <c r="D1122" s="399" t="inlineStr">
        <is>
          <t>湖之利耶尼亚</t>
        </is>
      </c>
      <c r="E1122" s="399" t="n">
        <v>1</v>
      </c>
      <c r="F1122" s="399" t="inlineStr">
        <is>
          <t>武器</t>
        </is>
      </c>
      <c r="G1122" s="398" t="n">
        <v>5</v>
      </c>
      <c r="H1122" s="398" t="n"/>
      <c r="I1122" s="398" t="n">
        <v>7141</v>
      </c>
      <c r="J1122" s="398" t="n">
        <v>14</v>
      </c>
      <c r="K1122" s="398" t="n"/>
      <c r="L1122" s="398" t="n"/>
      <c r="M1122" s="398" t="n">
        <v>7141</v>
      </c>
      <c r="N1122" s="398" t="n">
        <v>7141</v>
      </c>
      <c r="O1122" s="398" t="n">
        <v>7141</v>
      </c>
      <c r="P1122" s="292" t="n"/>
      <c r="Q1122" s="292" t="inlineStr">
        <is>
          <t>测试新增资源已回读</t>
        </is>
      </c>
      <c r="R1122" s="292" t="inlineStr">
        <is>
          <t>C05-M072</t>
        </is>
      </c>
      <c r="S1122" s="292" t="inlineStr">
        <is>
          <t>平台装备素材/0106_黄金圣树·律法_武器.bmp</t>
        </is>
      </c>
      <c r="T1122" s="292" t="inlineStr">
        <is>
          <t>仅测试副本；未写正式客户端</t>
        </is>
      </c>
      <c r="U1122">
        <f>IF(COUNTIF($B$2:$B$1198,B1122)&gt;1,"重复","")</f>
        <v/>
      </c>
      <c r="V1122">
        <f>IF(AND(OR(M1122="",M1122=B1122),OR(N1122="",N1122=B1122),OR(O1122="",O1122=B1122)),"通过","不一致")</f>
        <v/>
      </c>
    </row>
    <row r="1123">
      <c r="A1123" s="398" t="n">
        <v>1122</v>
      </c>
      <c r="B1123" s="398" t="n">
        <v>7142</v>
      </c>
      <c r="C1123" s="399" t="inlineStr">
        <is>
          <t>C3-C10专属待补</t>
        </is>
      </c>
      <c r="D1123" s="399" t="inlineStr">
        <is>
          <t>盖利德</t>
        </is>
      </c>
      <c r="E1123" s="399" t="n">
        <v>1</v>
      </c>
      <c r="F1123" s="399" t="inlineStr">
        <is>
          <t>武器</t>
        </is>
      </c>
      <c r="G1123" s="398" t="n">
        <v>5</v>
      </c>
      <c r="H1123" s="398" t="n"/>
      <c r="I1123" s="398" t="n">
        <v>7142</v>
      </c>
      <c r="J1123" s="398" t="n">
        <v>14</v>
      </c>
      <c r="K1123" s="398" t="n"/>
      <c r="L1123" s="398" t="n"/>
      <c r="M1123" s="398" t="n">
        <v>7142</v>
      </c>
      <c r="N1123" s="398" t="n">
        <v>7142</v>
      </c>
      <c r="O1123" s="398" t="n">
        <v>7142</v>
      </c>
      <c r="P1123" s="292" t="n"/>
      <c r="Q1123" s="292" t="inlineStr">
        <is>
          <t>测试新增资源已回读</t>
        </is>
      </c>
      <c r="R1123" s="292" t="inlineStr">
        <is>
          <t>C06-M001</t>
        </is>
      </c>
      <c r="S1123" s="292" t="inlineStr">
        <is>
          <t>平台装备素材/0141_黄金圣树·永恒_武器.bmp</t>
        </is>
      </c>
      <c r="T1123" s="292" t="inlineStr">
        <is>
          <t>仅测试副本；未写正式客户端</t>
        </is>
      </c>
      <c r="U1123">
        <f>IF(COUNTIF($B$2:$B$1198,B1123)&gt;1,"重复","")</f>
        <v/>
      </c>
      <c r="V1123">
        <f>IF(AND(OR(M1123="",M1123=B1123),OR(N1123="",N1123=B1123),OR(O1123="",O1123=B1123)),"通过","不一致")</f>
        <v/>
      </c>
    </row>
    <row r="1124">
      <c r="A1124" s="398" t="n">
        <v>1123</v>
      </c>
      <c r="B1124" s="398" t="n">
        <v>7143</v>
      </c>
      <c r="C1124" s="399" t="inlineStr">
        <is>
          <t>C3-C10专属待补</t>
        </is>
      </c>
      <c r="D1124" s="399" t="inlineStr">
        <is>
          <t>盖利德</t>
        </is>
      </c>
      <c r="E1124" s="399" t="n">
        <v>1</v>
      </c>
      <c r="F1124" s="399" t="inlineStr">
        <is>
          <t>男衣服（现行模板的衣服映射）</t>
        </is>
      </c>
      <c r="G1124" s="398" t="n">
        <v>10</v>
      </c>
      <c r="H1124" s="398" t="n"/>
      <c r="I1124" s="398" t="n">
        <v>7143</v>
      </c>
      <c r="J1124" s="398" t="n">
        <v>1</v>
      </c>
      <c r="K1124" s="398" t="n"/>
      <c r="L1124" s="398" t="n"/>
      <c r="M1124" s="398" t="n">
        <v>7143</v>
      </c>
      <c r="N1124" s="398" t="n">
        <v>7143</v>
      </c>
      <c r="O1124" s="398" t="n">
        <v>7143</v>
      </c>
      <c r="P1124" s="292" t="n"/>
      <c r="Q1124" s="292" t="inlineStr">
        <is>
          <t>测试新增资源已回读</t>
        </is>
      </c>
      <c r="R1124" s="292" t="inlineStr">
        <is>
          <t>C06-M003</t>
        </is>
      </c>
      <c r="S1124" s="292" t="inlineStr">
        <is>
          <t>平台装备素材/0527_翠焰冥契·幽焰_男衣服.bmp</t>
        </is>
      </c>
      <c r="T1124" s="292" t="inlineStr">
        <is>
          <t>仅测试副本；未写正式客户端</t>
        </is>
      </c>
      <c r="U1124">
        <f>IF(COUNTIF($B$2:$B$1198,B1124)&gt;1,"重复","")</f>
        <v/>
      </c>
      <c r="V1124">
        <f>IF(AND(OR(M1124="",M1124=B1124),OR(N1124="",N1124=B1124),OR(O1124="",O1124=B1124)),"通过","不一致")</f>
        <v/>
      </c>
    </row>
    <row r="1125">
      <c r="A1125" s="398" t="n">
        <v>1124</v>
      </c>
      <c r="B1125" s="398" t="n">
        <v>7144</v>
      </c>
      <c r="C1125" s="399" t="inlineStr">
        <is>
          <t>C3-C10专属待补</t>
        </is>
      </c>
      <c r="D1125" s="399" t="inlineStr">
        <is>
          <t>盖利德</t>
        </is>
      </c>
      <c r="E1125" s="399" t="n">
        <v>1</v>
      </c>
      <c r="F1125" s="399" t="inlineStr">
        <is>
          <t>武器</t>
        </is>
      </c>
      <c r="G1125" s="398" t="n">
        <v>5</v>
      </c>
      <c r="H1125" s="398" t="n"/>
      <c r="I1125" s="398" t="n">
        <v>7144</v>
      </c>
      <c r="J1125" s="398" t="n">
        <v>14</v>
      </c>
      <c r="K1125" s="398" t="n"/>
      <c r="L1125" s="398" t="n"/>
      <c r="M1125" s="398" t="n">
        <v>7144</v>
      </c>
      <c r="N1125" s="398" t="n">
        <v>7144</v>
      </c>
      <c r="O1125" s="398" t="n">
        <v>7144</v>
      </c>
      <c r="P1125" s="292" t="n"/>
      <c r="Q1125" s="292" t="inlineStr">
        <is>
          <t>测试新增资源已回读</t>
        </is>
      </c>
      <c r="R1125" s="292" t="inlineStr">
        <is>
          <t>C06-M011</t>
        </is>
      </c>
      <c r="S1125" s="292" t="inlineStr">
        <is>
          <t>平台装备素材/0176_血月荆棘·血痕_武器.bmp</t>
        </is>
      </c>
      <c r="T1125" s="292" t="inlineStr">
        <is>
          <t>仅测试副本；未写正式客户端</t>
        </is>
      </c>
      <c r="U1125">
        <f>IF(COUNTIF($B$2:$B$1198,B1125)&gt;1,"重复","")</f>
        <v/>
      </c>
      <c r="V1125">
        <f>IF(AND(OR(M1125="",M1125=B1125),OR(N1125="",N1125=B1125),OR(O1125="",O1125=B1125)),"通过","不一致")</f>
        <v/>
      </c>
    </row>
    <row r="1126">
      <c r="A1126" s="398" t="n">
        <v>1125</v>
      </c>
      <c r="B1126" s="398" t="n">
        <v>7145</v>
      </c>
      <c r="C1126" s="399" t="inlineStr">
        <is>
          <t>C3-C10专属待补</t>
        </is>
      </c>
      <c r="D1126" s="399" t="inlineStr">
        <is>
          <t>盖利德</t>
        </is>
      </c>
      <c r="E1126" s="399" t="n">
        <v>1</v>
      </c>
      <c r="F1126" s="399" t="inlineStr">
        <is>
          <t>男衣服（现行模板的衣服映射）</t>
        </is>
      </c>
      <c r="G1126" s="398" t="n">
        <v>10</v>
      </c>
      <c r="H1126" s="398" t="n"/>
      <c r="I1126" s="398" t="n">
        <v>7145</v>
      </c>
      <c r="J1126" s="398" t="n">
        <v>1</v>
      </c>
      <c r="K1126" s="398" t="n"/>
      <c r="L1126" s="398" t="n"/>
      <c r="M1126" s="398" t="n">
        <v>7145</v>
      </c>
      <c r="N1126" s="398" t="n">
        <v>7145</v>
      </c>
      <c r="O1126" s="398" t="n">
        <v>7145</v>
      </c>
      <c r="P1126" s="292" t="n"/>
      <c r="Q1126" s="292" t="inlineStr">
        <is>
          <t>测试新增资源已回读</t>
        </is>
      </c>
      <c r="R1126" s="292" t="inlineStr">
        <is>
          <t>C06-M012</t>
        </is>
      </c>
      <c r="S1126" s="292" t="inlineStr">
        <is>
          <t>平台装备素材/0562_翠焰冥契·腐痕_男衣服.bmp</t>
        </is>
      </c>
      <c r="T1126" s="292" t="inlineStr">
        <is>
          <t>仅测试副本；未写正式客户端</t>
        </is>
      </c>
      <c r="U1126">
        <f>IF(COUNTIF($B$2:$B$1198,B1126)&gt;1,"重复","")</f>
        <v/>
      </c>
      <c r="V1126">
        <f>IF(AND(OR(M1126="",M1126=B1126),OR(N1126="",N1126=B1126),OR(O1126="",O1126=B1126)),"通过","不一致")</f>
        <v/>
      </c>
    </row>
    <row r="1127">
      <c r="A1127" s="398" t="n">
        <v>1126</v>
      </c>
      <c r="B1127" s="398" t="n">
        <v>7146</v>
      </c>
      <c r="C1127" s="399" t="inlineStr">
        <is>
          <t>C3-C10专属待补</t>
        </is>
      </c>
      <c r="D1127" s="399" t="inlineStr">
        <is>
          <t>盖利德</t>
        </is>
      </c>
      <c r="E1127" s="399" t="n">
        <v>1</v>
      </c>
      <c r="F1127" s="399" t="inlineStr">
        <is>
          <t>武器</t>
        </is>
      </c>
      <c r="G1127" s="398" t="n">
        <v>5</v>
      </c>
      <c r="H1127" s="398" t="n"/>
      <c r="I1127" s="398" t="n">
        <v>7146</v>
      </c>
      <c r="J1127" s="398" t="n">
        <v>14</v>
      </c>
      <c r="K1127" s="398" t="n"/>
      <c r="L1127" s="398" t="n"/>
      <c r="M1127" s="398" t="n">
        <v>7146</v>
      </c>
      <c r="N1127" s="398" t="n">
        <v>7146</v>
      </c>
      <c r="O1127" s="398" t="n">
        <v>7146</v>
      </c>
      <c r="P1127" s="292" t="n"/>
      <c r="Q1127" s="292" t="inlineStr">
        <is>
          <t>测试新增资源已回读</t>
        </is>
      </c>
      <c r="R1127" s="292" t="inlineStr">
        <is>
          <t>C06-M014</t>
        </is>
      </c>
      <c r="S1127" s="292" t="inlineStr">
        <is>
          <t>平台装备素材/0211_血月荆棘·荆冠_武器.bmp</t>
        </is>
      </c>
      <c r="T1127" s="292" t="inlineStr">
        <is>
          <t>仅测试副本；未写正式客户端</t>
        </is>
      </c>
      <c r="U1127">
        <f>IF(COUNTIF($B$2:$B$1198,B1127)&gt;1,"重复","")</f>
        <v/>
      </c>
      <c r="V1127">
        <f>IF(AND(OR(M1127="",M1127=B1127),OR(N1127="",N1127=B1127),OR(O1127="",O1127=B1127)),"通过","不一致")</f>
        <v/>
      </c>
    </row>
    <row r="1128">
      <c r="A1128" s="398" t="n">
        <v>1127</v>
      </c>
      <c r="B1128" s="398" t="n">
        <v>7147</v>
      </c>
      <c r="C1128" s="399" t="inlineStr">
        <is>
          <t>C3-C10专属待补</t>
        </is>
      </c>
      <c r="D1128" s="399" t="inlineStr">
        <is>
          <t>盖利德</t>
        </is>
      </c>
      <c r="E1128" s="399" t="n">
        <v>1</v>
      </c>
      <c r="F1128" s="399" t="inlineStr">
        <is>
          <t>男衣服（现行模板的衣服映射）</t>
        </is>
      </c>
      <c r="G1128" s="398" t="n">
        <v>10</v>
      </c>
      <c r="H1128" s="398" t="n"/>
      <c r="I1128" s="398" t="n">
        <v>7147</v>
      </c>
      <c r="J1128" s="398" t="n">
        <v>1</v>
      </c>
      <c r="K1128" s="398" t="n"/>
      <c r="L1128" s="398" t="n"/>
      <c r="M1128" s="398" t="n">
        <v>7147</v>
      </c>
      <c r="N1128" s="398" t="n">
        <v>7147</v>
      </c>
      <c r="O1128" s="398" t="n">
        <v>7147</v>
      </c>
      <c r="P1128" s="292" t="n"/>
      <c r="Q1128" s="292" t="inlineStr">
        <is>
          <t>测试新增资源已回读</t>
        </is>
      </c>
      <c r="R1128" s="292" t="inlineStr">
        <is>
          <t>C06-M015</t>
        </is>
      </c>
      <c r="S1128" s="292" t="inlineStr">
        <is>
          <t>平台装备素材/0597_翠焰冥契·冥契_男衣服.bmp</t>
        </is>
      </c>
      <c r="T1128" s="292" t="inlineStr">
        <is>
          <t>仅测试副本；未写正式客户端</t>
        </is>
      </c>
      <c r="U1128">
        <f>IF(COUNTIF($B$2:$B$1198,B1128)&gt;1,"重复","")</f>
        <v/>
      </c>
      <c r="V1128">
        <f>IF(AND(OR(M1128="",M1128=B1128),OR(N1128="",N1128=B1128),OR(O1128="",O1128=B1128)),"通过","不一致")</f>
        <v/>
      </c>
    </row>
    <row r="1129">
      <c r="A1129" s="398" t="n">
        <v>1128</v>
      </c>
      <c r="B1129" s="398" t="n">
        <v>7148</v>
      </c>
      <c r="C1129" s="399" t="inlineStr">
        <is>
          <t>C3-C10专属待补</t>
        </is>
      </c>
      <c r="D1129" s="399" t="inlineStr">
        <is>
          <t>盖利德</t>
        </is>
      </c>
      <c r="E1129" s="399" t="n">
        <v>1</v>
      </c>
      <c r="F1129" s="399" t="inlineStr">
        <is>
          <t>面巾（位置13，对应斗笠）</t>
        </is>
      </c>
      <c r="G1129" s="398" t="n">
        <v>16</v>
      </c>
      <c r="H1129" s="398" t="n">
        <v>13</v>
      </c>
      <c r="I1129" s="398" t="n">
        <v>7148</v>
      </c>
      <c r="J1129" s="398" t="n"/>
      <c r="K1129" s="398" t="n"/>
      <c r="L1129" s="398" t="n"/>
      <c r="M1129" s="398" t="n">
        <v>7148</v>
      </c>
      <c r="N1129" s="398" t="n">
        <v>7148</v>
      </c>
      <c r="O1129" s="398" t="n">
        <v>7148</v>
      </c>
      <c r="P1129" s="292" t="n"/>
      <c r="Q1129" s="292" t="inlineStr">
        <is>
          <t>测试新增资源已回读</t>
        </is>
      </c>
      <c r="R1129" s="292" t="inlineStr">
        <is>
          <t>C06-M017</t>
        </is>
      </c>
      <c r="S1129" s="292" t="inlineStr">
        <is>
          <t>平台装备素材/0250_血月荆棘·猩月_面巾.bmp</t>
        </is>
      </c>
      <c r="T1129" s="292" t="inlineStr">
        <is>
          <t>仅测试副本；未写正式客户端</t>
        </is>
      </c>
      <c r="U1129">
        <f>IF(COUNTIF($B$2:$B$1198,B1129)&gt;1,"重复","")</f>
        <v/>
      </c>
      <c r="V1129">
        <f>IF(AND(OR(M1129="",M1129=B1129),OR(N1129="",N1129=B1129),OR(O1129="",O1129=B1129)),"通过","不一致")</f>
        <v/>
      </c>
    </row>
    <row r="1130">
      <c r="A1130" s="398" t="n">
        <v>1129</v>
      </c>
      <c r="B1130" s="398" t="n">
        <v>7149</v>
      </c>
      <c r="C1130" s="399" t="inlineStr">
        <is>
          <t>C3-C10专属待补</t>
        </is>
      </c>
      <c r="D1130" s="399" t="inlineStr">
        <is>
          <t>盖利德</t>
        </is>
      </c>
      <c r="E1130" s="399" t="n">
        <v>1</v>
      </c>
      <c r="F1130" s="399" t="inlineStr">
        <is>
          <t>武器</t>
        </is>
      </c>
      <c r="G1130" s="398" t="n">
        <v>5</v>
      </c>
      <c r="H1130" s="398" t="n"/>
      <c r="I1130" s="398" t="n">
        <v>7149</v>
      </c>
      <c r="J1130" s="398" t="n">
        <v>14</v>
      </c>
      <c r="K1130" s="398" t="n"/>
      <c r="L1130" s="398" t="n"/>
      <c r="M1130" s="398" t="n">
        <v>7149</v>
      </c>
      <c r="N1130" s="398" t="n">
        <v>7149</v>
      </c>
      <c r="O1130" s="398" t="n">
        <v>7149</v>
      </c>
      <c r="P1130" s="292" t="n"/>
      <c r="Q1130" s="292" t="inlineStr">
        <is>
          <t>测试新增资源已回读</t>
        </is>
      </c>
      <c r="R1130" s="292" t="inlineStr">
        <is>
          <t>C06-M019</t>
        </is>
      </c>
      <c r="S1130" s="292" t="inlineStr">
        <is>
          <t>平台装备素材/0246_血月荆棘·猩月_武器.bmp</t>
        </is>
      </c>
      <c r="T1130" s="292" t="inlineStr">
        <is>
          <t>仅测试副本；未写正式客户端</t>
        </is>
      </c>
      <c r="U1130">
        <f>IF(COUNTIF($B$2:$B$1198,B1130)&gt;1,"重复","")</f>
        <v/>
      </c>
      <c r="V1130">
        <f>IF(AND(OR(M1130="",M1130=B1130),OR(N1130="",N1130=B1130),OR(O1130="",O1130=B1130)),"通过","不一致")</f>
        <v/>
      </c>
    </row>
    <row r="1131">
      <c r="A1131" s="398" t="n">
        <v>1130</v>
      </c>
      <c r="B1131" s="398" t="n">
        <v>7150</v>
      </c>
      <c r="C1131" s="399" t="inlineStr">
        <is>
          <t>C3-C10专属待补</t>
        </is>
      </c>
      <c r="D1131" s="399" t="inlineStr">
        <is>
          <t>盖利德</t>
        </is>
      </c>
      <c r="E1131" s="399" t="n">
        <v>1</v>
      </c>
      <c r="F1131" s="399" t="inlineStr">
        <is>
          <t>男衣服（现行模板的衣服映射）</t>
        </is>
      </c>
      <c r="G1131" s="398" t="n">
        <v>10</v>
      </c>
      <c r="H1131" s="398" t="n"/>
      <c r="I1131" s="398" t="n">
        <v>7150</v>
      </c>
      <c r="J1131" s="398" t="n">
        <v>1</v>
      </c>
      <c r="K1131" s="398" t="n"/>
      <c r="L1131" s="398" t="n"/>
      <c r="M1131" s="398" t="n">
        <v>7150</v>
      </c>
      <c r="N1131" s="398" t="n">
        <v>7150</v>
      </c>
      <c r="O1131" s="398" t="n">
        <v>7150</v>
      </c>
      <c r="P1131" s="292" t="n"/>
      <c r="Q1131" s="292" t="inlineStr">
        <is>
          <t>测试新增资源已回读</t>
        </is>
      </c>
      <c r="R1131" s="292" t="inlineStr">
        <is>
          <t>C06-M024</t>
        </is>
      </c>
      <c r="S1131" s="292" t="inlineStr">
        <is>
          <t>平台装备素材/0632_翠焰冥契·灾厄_男衣服.bmp</t>
        </is>
      </c>
      <c r="T1131" s="292" t="inlineStr">
        <is>
          <t>仅测试副本；未写正式客户端</t>
        </is>
      </c>
      <c r="U1131">
        <f>IF(COUNTIF($B$2:$B$1198,B1131)&gt;1,"重复","")</f>
        <v/>
      </c>
      <c r="V1131">
        <f>IF(AND(OR(M1131="",M1131=B1131),OR(N1131="",N1131=B1131),OR(O1131="",O1131=B1131)),"通过","不一致")</f>
        <v/>
      </c>
    </row>
    <row r="1132">
      <c r="A1132" s="398" t="n">
        <v>1131</v>
      </c>
      <c r="B1132" s="398" t="n">
        <v>7151</v>
      </c>
      <c r="C1132" s="399" t="inlineStr">
        <is>
          <t>C3-C10专属待补</t>
        </is>
      </c>
      <c r="D1132" s="399" t="inlineStr">
        <is>
          <t>盖利德</t>
        </is>
      </c>
      <c r="E1132" s="399" t="n">
        <v>1</v>
      </c>
      <c r="F1132" s="399" t="inlineStr">
        <is>
          <t>男衣服（现行模板的衣服映射）</t>
        </is>
      </c>
      <c r="G1132" s="398" t="n">
        <v>10</v>
      </c>
      <c r="H1132" s="398" t="n"/>
      <c r="I1132" s="398" t="n">
        <v>7151</v>
      </c>
      <c r="J1132" s="398" t="n">
        <v>1</v>
      </c>
      <c r="K1132" s="398" t="n"/>
      <c r="L1132" s="398" t="n"/>
      <c r="M1132" s="398" t="n">
        <v>7151</v>
      </c>
      <c r="N1132" s="398" t="n">
        <v>7151</v>
      </c>
      <c r="O1132" s="398" t="n">
        <v>7151</v>
      </c>
      <c r="P1132" s="292" t="n"/>
      <c r="Q1132" s="292" t="inlineStr">
        <is>
          <t>测试新增资源已回读</t>
        </is>
      </c>
      <c r="R1132" s="292" t="inlineStr">
        <is>
          <t>C06-M028</t>
        </is>
      </c>
      <c r="S1132" s="292" t="inlineStr">
        <is>
          <t>平台装备素材/0667_翠焰冥契·永夜_男衣服.bmp</t>
        </is>
      </c>
      <c r="T1132" s="292" t="inlineStr">
        <is>
          <t>仅测试副本；未写正式客户端</t>
        </is>
      </c>
      <c r="U1132">
        <f>IF(COUNTIF($B$2:$B$1198,B1132)&gt;1,"重复","")</f>
        <v/>
      </c>
      <c r="V1132">
        <f>IF(AND(OR(M1132="",M1132=B1132),OR(N1132="",N1132=B1132),OR(O1132="",O1132=B1132)),"通过","不一致")</f>
        <v/>
      </c>
    </row>
    <row r="1133">
      <c r="A1133" s="398" t="n">
        <v>1132</v>
      </c>
      <c r="B1133" s="398" t="n">
        <v>7152</v>
      </c>
      <c r="C1133" s="399" t="inlineStr">
        <is>
          <t>C3-C10专属待补</t>
        </is>
      </c>
      <c r="D1133" s="399" t="inlineStr">
        <is>
          <t>盖利德</t>
        </is>
      </c>
      <c r="E1133" s="399" t="n">
        <v>1</v>
      </c>
      <c r="F1133" s="399" t="inlineStr">
        <is>
          <t>武器</t>
        </is>
      </c>
      <c r="G1133" s="398" t="n">
        <v>5</v>
      </c>
      <c r="H1133" s="398" t="n"/>
      <c r="I1133" s="398" t="n">
        <v>7152</v>
      </c>
      <c r="J1133" s="398" t="n">
        <v>14</v>
      </c>
      <c r="K1133" s="398" t="n"/>
      <c r="L1133" s="398" t="n"/>
      <c r="M1133" s="398" t="n">
        <v>7152</v>
      </c>
      <c r="N1133" s="398" t="n">
        <v>7152</v>
      </c>
      <c r="O1133" s="398" t="n">
        <v>7152</v>
      </c>
      <c r="P1133" s="292" t="n"/>
      <c r="Q1133" s="292" t="inlineStr">
        <is>
          <t>测试新增资源已回读</t>
        </is>
      </c>
      <c r="R1133" s="292" t="inlineStr">
        <is>
          <t>C06-M029</t>
        </is>
      </c>
      <c r="S1133" s="292" t="inlineStr">
        <is>
          <t>平台装备素材/0281_血月荆棘·弑王_武器.bmp</t>
        </is>
      </c>
      <c r="T1133" s="292" t="inlineStr">
        <is>
          <t>仅测试副本；未写正式客户端</t>
        </is>
      </c>
      <c r="U1133">
        <f>IF(COUNTIF($B$2:$B$1198,B1133)&gt;1,"重复","")</f>
        <v/>
      </c>
      <c r="V1133">
        <f>IF(AND(OR(M1133="",M1133=B1133),OR(N1133="",N1133=B1133),OR(O1133="",O1133=B1133)),"通过","不一致")</f>
        <v/>
      </c>
    </row>
    <row r="1134">
      <c r="A1134" s="398" t="n">
        <v>1133</v>
      </c>
      <c r="B1134" s="398" t="n">
        <v>7153</v>
      </c>
      <c r="C1134" s="399" t="inlineStr">
        <is>
          <t>C3-C10专属待补</t>
        </is>
      </c>
      <c r="D1134" s="399" t="inlineStr">
        <is>
          <t>盖利德</t>
        </is>
      </c>
      <c r="E1134" s="399" t="n">
        <v>1</v>
      </c>
      <c r="F1134" s="399" t="inlineStr">
        <is>
          <t>武器</t>
        </is>
      </c>
      <c r="G1134" s="398" t="n">
        <v>5</v>
      </c>
      <c r="H1134" s="398" t="n"/>
      <c r="I1134" s="398" t="n">
        <v>7153</v>
      </c>
      <c r="J1134" s="398" t="n">
        <v>14</v>
      </c>
      <c r="K1134" s="398" t="n"/>
      <c r="L1134" s="398" t="n"/>
      <c r="M1134" s="398" t="n">
        <v>7153</v>
      </c>
      <c r="N1134" s="398" t="n">
        <v>7153</v>
      </c>
      <c r="O1134" s="398" t="n">
        <v>7153</v>
      </c>
      <c r="P1134" s="292" t="n"/>
      <c r="Q1134" s="292" t="inlineStr">
        <is>
          <t>测试新增资源已回读</t>
        </is>
      </c>
      <c r="R1134" s="292" t="inlineStr">
        <is>
          <t>C06-M035</t>
        </is>
      </c>
      <c r="S1134" s="292" t="inlineStr">
        <is>
          <t>平台装备素材/0316_血月荆棘·血月_武器.bmp</t>
        </is>
      </c>
      <c r="T1134" s="292" t="inlineStr">
        <is>
          <t>仅测试副本；未写正式客户端</t>
        </is>
      </c>
      <c r="U1134">
        <f>IF(COUNTIF($B$2:$B$1198,B1134)&gt;1,"重复","")</f>
        <v/>
      </c>
      <c r="V1134">
        <f>IF(AND(OR(M1134="",M1134=B1134),OR(N1134="",N1134=B1134),OR(O1134="",O1134=B1134)),"通过","不一致")</f>
        <v/>
      </c>
    </row>
    <row r="1135">
      <c r="A1135" s="398" t="n">
        <v>1134</v>
      </c>
      <c r="B1135" s="398" t="n">
        <v>7154</v>
      </c>
      <c r="C1135" s="399" t="inlineStr">
        <is>
          <t>C3-C10专属待补</t>
        </is>
      </c>
      <c r="D1135" s="399" t="inlineStr">
        <is>
          <t>盖利德</t>
        </is>
      </c>
      <c r="E1135" s="399" t="n">
        <v>1</v>
      </c>
      <c r="F1135" s="399" t="inlineStr">
        <is>
          <t>男衣服（现行模板的衣服映射）</t>
        </is>
      </c>
      <c r="G1135" s="398" t="n">
        <v>10</v>
      </c>
      <c r="H1135" s="398" t="n"/>
      <c r="I1135" s="398" t="n">
        <v>7154</v>
      </c>
      <c r="J1135" s="398" t="n">
        <v>1</v>
      </c>
      <c r="K1135" s="398" t="n"/>
      <c r="L1135" s="398" t="n"/>
      <c r="M1135" s="398" t="n">
        <v>7154</v>
      </c>
      <c r="N1135" s="398" t="n">
        <v>7154</v>
      </c>
      <c r="O1135" s="398" t="n">
        <v>7154</v>
      </c>
      <c r="P1135" s="292" t="n"/>
      <c r="Q1135" s="292" t="inlineStr">
        <is>
          <t>测试新增资源已回读</t>
        </is>
      </c>
      <c r="R1135" s="292" t="inlineStr">
        <is>
          <t>C06-M036</t>
        </is>
      </c>
      <c r="S1135" s="292" t="inlineStr">
        <is>
          <t>平台装备素材/0002_黄金圣树·初誓_男衣服.bmp</t>
        </is>
      </c>
      <c r="T1135" s="292" t="inlineStr">
        <is>
          <t>仅测试副本；未写正式客户端</t>
        </is>
      </c>
      <c r="U1135">
        <f>IF(COUNTIF($B$2:$B$1198,B1135)&gt;1,"重复","")</f>
        <v/>
      </c>
      <c r="V1135">
        <f>IF(AND(OR(M1135="",M1135=B1135),OR(N1135="",N1135=B1135),OR(O1135="",O1135=B1135)),"通过","不一致")</f>
        <v/>
      </c>
    </row>
    <row r="1136">
      <c r="A1136" s="398" t="n">
        <v>1135</v>
      </c>
      <c r="B1136" s="398" t="n">
        <v>7155</v>
      </c>
      <c r="C1136" s="399" t="inlineStr">
        <is>
          <t>C3-C10专属待补</t>
        </is>
      </c>
      <c r="D1136" s="399" t="inlineStr">
        <is>
          <t>化圣雪原</t>
        </is>
      </c>
      <c r="E1136" s="399" t="n">
        <v>1</v>
      </c>
      <c r="F1136" s="399" t="inlineStr">
        <is>
          <t>武器</t>
        </is>
      </c>
      <c r="G1136" s="398" t="n">
        <v>5</v>
      </c>
      <c r="H1136" s="398" t="n"/>
      <c r="I1136" s="398" t="n">
        <v>7155</v>
      </c>
      <c r="J1136" s="398" t="n">
        <v>14</v>
      </c>
      <c r="K1136" s="398" t="n"/>
      <c r="L1136" s="398" t="n"/>
      <c r="M1136" s="398" t="n">
        <v>7155</v>
      </c>
      <c r="N1136" s="398" t="n">
        <v>7155</v>
      </c>
      <c r="O1136" s="398" t="n">
        <v>7155</v>
      </c>
      <c r="P1136" s="292" t="n"/>
      <c r="Q1136" s="292" t="inlineStr">
        <is>
          <t>测试新增资源已回读</t>
        </is>
      </c>
      <c r="R1136" s="292" t="inlineStr">
        <is>
          <t>C07-M002</t>
        </is>
      </c>
      <c r="S1136" s="292" t="inlineStr">
        <is>
          <t>平台装备素材/0351_星渊龙息·星痕_武器.bmp</t>
        </is>
      </c>
      <c r="T1136" s="292" t="inlineStr">
        <is>
          <t>仅测试副本；未写正式客户端</t>
        </is>
      </c>
      <c r="U1136">
        <f>IF(COUNTIF($B$2:$B$1198,B1136)&gt;1,"重复","")</f>
        <v/>
      </c>
      <c r="V1136">
        <f>IF(AND(OR(M1136="",M1136=B1136),OR(N1136="",N1136=B1136),OR(O1136="",O1136=B1136)),"通过","不一致")</f>
        <v/>
      </c>
    </row>
    <row r="1137">
      <c r="A1137" s="398" t="n">
        <v>1136</v>
      </c>
      <c r="B1137" s="398" t="n">
        <v>7156</v>
      </c>
      <c r="C1137" s="399" t="inlineStr">
        <is>
          <t>C3-C10专属待补</t>
        </is>
      </c>
      <c r="D1137" s="399" t="inlineStr">
        <is>
          <t>化圣雪原</t>
        </is>
      </c>
      <c r="E1137" s="399" t="n">
        <v>1</v>
      </c>
      <c r="F1137" s="399" t="inlineStr">
        <is>
          <t>男衣服（现行模板的衣服映射）</t>
        </is>
      </c>
      <c r="G1137" s="398" t="n">
        <v>10</v>
      </c>
      <c r="H1137" s="398" t="n"/>
      <c r="I1137" s="398" t="n">
        <v>7156</v>
      </c>
      <c r="J1137" s="398" t="n">
        <v>1</v>
      </c>
      <c r="K1137" s="398" t="n"/>
      <c r="L1137" s="398" t="n"/>
      <c r="M1137" s="398" t="n">
        <v>7156</v>
      </c>
      <c r="N1137" s="398" t="n">
        <v>7156</v>
      </c>
      <c r="O1137" s="398" t="n">
        <v>7156</v>
      </c>
      <c r="P1137" s="292" t="n"/>
      <c r="Q1137" s="292" t="inlineStr">
        <is>
          <t>测试新增资源已回读</t>
        </is>
      </c>
      <c r="R1137" s="292" t="inlineStr">
        <is>
          <t>C07-M007</t>
        </is>
      </c>
      <c r="S1137" s="292" t="inlineStr">
        <is>
          <t>平台装备素材/0037_黄金圣树·圣枝_男衣服.bmp</t>
        </is>
      </c>
      <c r="T1137" s="292" t="inlineStr">
        <is>
          <t>仅测试副本；未写正式客户端</t>
        </is>
      </c>
      <c r="U1137">
        <f>IF(COUNTIF($B$2:$B$1198,B1137)&gt;1,"重复","")</f>
        <v/>
      </c>
      <c r="V1137">
        <f>IF(AND(OR(M1137="",M1137=B1137),OR(N1137="",N1137=B1137),OR(O1137="",O1137=B1137)),"通过","不一致")</f>
        <v/>
      </c>
    </row>
    <row r="1138">
      <c r="A1138" s="398" t="n">
        <v>1137</v>
      </c>
      <c r="B1138" s="398" t="n">
        <v>7157</v>
      </c>
      <c r="C1138" s="399" t="inlineStr">
        <is>
          <t>C3-C10专属待补</t>
        </is>
      </c>
      <c r="D1138" s="399" t="inlineStr">
        <is>
          <t>化圣雪原</t>
        </is>
      </c>
      <c r="E1138" s="399" t="n">
        <v>1</v>
      </c>
      <c r="F1138" s="399" t="inlineStr">
        <is>
          <t>武器</t>
        </is>
      </c>
      <c r="G1138" s="398" t="n">
        <v>5</v>
      </c>
      <c r="H1138" s="398" t="n"/>
      <c r="I1138" s="398" t="n">
        <v>7157</v>
      </c>
      <c r="J1138" s="398" t="n">
        <v>14</v>
      </c>
      <c r="K1138" s="398" t="n"/>
      <c r="L1138" s="398" t="n"/>
      <c r="M1138" s="398" t="n">
        <v>7157</v>
      </c>
      <c r="N1138" s="398" t="n">
        <v>7157</v>
      </c>
      <c r="O1138" s="398" t="n">
        <v>7157</v>
      </c>
      <c r="P1138" s="292" t="n"/>
      <c r="Q1138" s="292" t="inlineStr">
        <is>
          <t>测试新增资源已回读</t>
        </is>
      </c>
      <c r="R1138" s="292" t="inlineStr">
        <is>
          <t>C07-M011</t>
        </is>
      </c>
      <c r="S1138" s="292" t="inlineStr">
        <is>
          <t>平台装备素材/0386_星渊龙息·龙鳞_武器.bmp</t>
        </is>
      </c>
      <c r="T1138" s="292" t="inlineStr">
        <is>
          <t>仅测试副本；未写正式客户端</t>
        </is>
      </c>
      <c r="U1138">
        <f>IF(COUNTIF($B$2:$B$1198,B1138)&gt;1,"重复","")</f>
        <v/>
      </c>
      <c r="V1138">
        <f>IF(AND(OR(M1138="",M1138=B1138),OR(N1138="",N1138=B1138),OR(O1138="",O1138=B1138)),"通过","不一致")</f>
        <v/>
      </c>
    </row>
    <row r="1139">
      <c r="A1139" s="398" t="n">
        <v>1138</v>
      </c>
      <c r="B1139" s="398" t="n">
        <v>7158</v>
      </c>
      <c r="C1139" s="399" t="inlineStr">
        <is>
          <t>C3-C10专属待补</t>
        </is>
      </c>
      <c r="D1139" s="399" t="inlineStr">
        <is>
          <t>化圣雪原</t>
        </is>
      </c>
      <c r="E1139" s="399" t="n">
        <v>1</v>
      </c>
      <c r="F1139" s="399" t="inlineStr">
        <is>
          <t>武器</t>
        </is>
      </c>
      <c r="G1139" s="398" t="n">
        <v>5</v>
      </c>
      <c r="H1139" s="398" t="n"/>
      <c r="I1139" s="398" t="n">
        <v>7158</v>
      </c>
      <c r="J1139" s="398" t="n">
        <v>14</v>
      </c>
      <c r="K1139" s="398" t="n"/>
      <c r="L1139" s="398" t="n"/>
      <c r="M1139" s="398" t="n">
        <v>7158</v>
      </c>
      <c r="N1139" s="398" t="n">
        <v>7158</v>
      </c>
      <c r="O1139" s="398" t="n">
        <v>7158</v>
      </c>
      <c r="P1139" s="292" t="n"/>
      <c r="Q1139" s="292" t="inlineStr">
        <is>
          <t>测试新增资源已回读</t>
        </is>
      </c>
      <c r="R1139" s="292" t="inlineStr">
        <is>
          <t>C07-M014</t>
        </is>
      </c>
      <c r="S1139" s="292" t="inlineStr">
        <is>
          <t>平台装备素材/0421_星渊龙息·渊辉_武器.bmp</t>
        </is>
      </c>
      <c r="T1139" s="292" t="inlineStr">
        <is>
          <t>仅测试副本；未写正式客户端</t>
        </is>
      </c>
      <c r="U1139">
        <f>IF(COUNTIF($B$2:$B$1198,B1139)&gt;1,"重复","")</f>
        <v/>
      </c>
      <c r="V1139">
        <f>IF(AND(OR(M1139="",M1139=B1139),OR(N1139="",N1139=B1139),OR(O1139="",O1139=B1139)),"通过","不一致")</f>
        <v/>
      </c>
    </row>
    <row r="1140">
      <c r="A1140" s="398" t="n">
        <v>1139</v>
      </c>
      <c r="B1140" s="398" t="n">
        <v>7159</v>
      </c>
      <c r="C1140" s="399" t="inlineStr">
        <is>
          <t>C3-C10专属待补</t>
        </is>
      </c>
      <c r="D1140" s="399" t="inlineStr">
        <is>
          <t>化圣雪原</t>
        </is>
      </c>
      <c r="E1140" s="399" t="n">
        <v>1</v>
      </c>
      <c r="F1140" s="399" t="inlineStr">
        <is>
          <t>男衣服（现行模板的衣服映射）</t>
        </is>
      </c>
      <c r="G1140" s="398" t="n">
        <v>10</v>
      </c>
      <c r="H1140" s="398" t="n"/>
      <c r="I1140" s="398" t="n">
        <v>7159</v>
      </c>
      <c r="J1140" s="398" t="n">
        <v>1</v>
      </c>
      <c r="K1140" s="398" t="n"/>
      <c r="L1140" s="398" t="n"/>
      <c r="M1140" s="398" t="n">
        <v>7159</v>
      </c>
      <c r="N1140" s="398" t="n">
        <v>7159</v>
      </c>
      <c r="O1140" s="398" t="n">
        <v>7159</v>
      </c>
      <c r="P1140" s="292" t="n"/>
      <c r="Q1140" s="292" t="inlineStr">
        <is>
          <t>测试新增资源已回读</t>
        </is>
      </c>
      <c r="R1140" s="292" t="inlineStr">
        <is>
          <t>C07-M015</t>
        </is>
      </c>
      <c r="S1140" s="292" t="inlineStr">
        <is>
          <t>平台装备素材/0072_黄金圣树·王权_男衣服.bmp</t>
        </is>
      </c>
      <c r="T1140" s="292" t="inlineStr">
        <is>
          <t>仅测试副本；未写正式客户端</t>
        </is>
      </c>
      <c r="U1140">
        <f>IF(COUNTIF($B$2:$B$1198,B1140)&gt;1,"重复","")</f>
        <v/>
      </c>
      <c r="V1140">
        <f>IF(AND(OR(M1140="",M1140=B1140),OR(N1140="",N1140=B1140),OR(O1140="",O1140=B1140)),"通过","不一致")</f>
        <v/>
      </c>
    </row>
    <row r="1141">
      <c r="A1141" s="398" t="n">
        <v>1140</v>
      </c>
      <c r="B1141" s="398" t="n">
        <v>7160</v>
      </c>
      <c r="C1141" s="399" t="inlineStr">
        <is>
          <t>C3-C10专属待补</t>
        </is>
      </c>
      <c r="D1141" s="399" t="inlineStr">
        <is>
          <t>化圣雪原</t>
        </is>
      </c>
      <c r="E1141" s="399" t="n">
        <v>1</v>
      </c>
      <c r="F1141" s="399" t="inlineStr">
        <is>
          <t>面巾（位置13，对应斗笠）</t>
        </is>
      </c>
      <c r="G1141" s="398" t="n">
        <v>16</v>
      </c>
      <c r="H1141" s="398" t="n">
        <v>13</v>
      </c>
      <c r="I1141" s="398" t="n">
        <v>7160</v>
      </c>
      <c r="J1141" s="398" t="n"/>
      <c r="K1141" s="398" t="n"/>
      <c r="L1141" s="398" t="n"/>
      <c r="M1141" s="398" t="n">
        <v>7160</v>
      </c>
      <c r="N1141" s="398" t="n">
        <v>7160</v>
      </c>
      <c r="O1141" s="398" t="n">
        <v>7160</v>
      </c>
      <c r="P1141" s="292" t="n"/>
      <c r="Q1141" s="292" t="inlineStr">
        <is>
          <t>测试新增资源已回读</t>
        </is>
      </c>
      <c r="R1141" s="292" t="inlineStr">
        <is>
          <t>C07-M016</t>
        </is>
      </c>
      <c r="S1141" s="292" t="inlineStr">
        <is>
          <t>平台装备素材/0285_血月荆棘·弑王_面巾.bmp</t>
        </is>
      </c>
      <c r="T1141" s="292" t="inlineStr">
        <is>
          <t>仅测试副本；未写正式客户端</t>
        </is>
      </c>
      <c r="U1141">
        <f>IF(COUNTIF($B$2:$B$1198,B1141)&gt;1,"重复","")</f>
        <v/>
      </c>
      <c r="V1141">
        <f>IF(AND(OR(M1141="",M1141=B1141),OR(N1141="",N1141=B1141),OR(O1141="",O1141=B1141)),"通过","不一致")</f>
        <v/>
      </c>
    </row>
    <row r="1142">
      <c r="A1142" s="398" t="n">
        <v>1141</v>
      </c>
      <c r="B1142" s="398" t="n">
        <v>7161</v>
      </c>
      <c r="C1142" s="399" t="inlineStr">
        <is>
          <t>C3-C10专属待补</t>
        </is>
      </c>
      <c r="D1142" s="399" t="inlineStr">
        <is>
          <t>化圣雪原</t>
        </is>
      </c>
      <c r="E1142" s="399" t="n">
        <v>1</v>
      </c>
      <c r="F1142" s="399" t="inlineStr">
        <is>
          <t>男衣服（现行模板的衣服映射）</t>
        </is>
      </c>
      <c r="G1142" s="398" t="n">
        <v>10</v>
      </c>
      <c r="H1142" s="398" t="n"/>
      <c r="I1142" s="398" t="n">
        <v>7161</v>
      </c>
      <c r="J1142" s="398" t="n">
        <v>1</v>
      </c>
      <c r="K1142" s="398" t="n"/>
      <c r="L1142" s="398" t="n"/>
      <c r="M1142" s="398" t="n">
        <v>7161</v>
      </c>
      <c r="N1142" s="398" t="n">
        <v>7161</v>
      </c>
      <c r="O1142" s="398" t="n">
        <v>7161</v>
      </c>
      <c r="P1142" s="292" t="n"/>
      <c r="Q1142" s="292" t="inlineStr">
        <is>
          <t>测试新增资源已回读</t>
        </is>
      </c>
      <c r="R1142" s="292" t="inlineStr">
        <is>
          <t>C07-M024</t>
        </is>
      </c>
      <c r="S1142" s="292" t="inlineStr">
        <is>
          <t>平台装备素材/0107_黄金圣树·律法_男衣服.bmp</t>
        </is>
      </c>
      <c r="T1142" s="292" t="inlineStr">
        <is>
          <t>仅测试副本；未写正式客户端</t>
        </is>
      </c>
      <c r="U1142">
        <f>IF(COUNTIF($B$2:$B$1198,B1142)&gt;1,"重复","")</f>
        <v/>
      </c>
      <c r="V1142">
        <f>IF(AND(OR(M1142="",M1142=B1142),OR(N1142="",N1142=B1142),OR(O1142="",O1142=B1142)),"通过","不一致")</f>
        <v/>
      </c>
    </row>
    <row r="1143">
      <c r="A1143" s="398" t="n">
        <v>1142</v>
      </c>
      <c r="B1143" s="398" t="n">
        <v>7162</v>
      </c>
      <c r="C1143" s="399" t="inlineStr">
        <is>
          <t>C3-C10专属待补</t>
        </is>
      </c>
      <c r="D1143" s="399" t="inlineStr">
        <is>
          <t>化圣雪原</t>
        </is>
      </c>
      <c r="E1143" s="399" t="n">
        <v>1</v>
      </c>
      <c r="F1143" s="399" t="inlineStr">
        <is>
          <t>武器</t>
        </is>
      </c>
      <c r="G1143" s="398" t="n">
        <v>5</v>
      </c>
      <c r="H1143" s="398" t="n"/>
      <c r="I1143" s="398" t="n">
        <v>7162</v>
      </c>
      <c r="J1143" s="398" t="n">
        <v>14</v>
      </c>
      <c r="K1143" s="398" t="n"/>
      <c r="L1143" s="398" t="n"/>
      <c r="M1143" s="398" t="n">
        <v>7162</v>
      </c>
      <c r="N1143" s="398" t="n">
        <v>7162</v>
      </c>
      <c r="O1143" s="398" t="n">
        <v>7162</v>
      </c>
      <c r="P1143" s="292" t="n"/>
      <c r="Q1143" s="292" t="inlineStr">
        <is>
          <t>测试新增资源已回读</t>
        </is>
      </c>
      <c r="R1143" s="292" t="inlineStr">
        <is>
          <t>C07-M025</t>
        </is>
      </c>
      <c r="S1143" s="292" t="inlineStr">
        <is>
          <t>平台装备素材/0456_星渊龙息·天穹_武器.bmp</t>
        </is>
      </c>
      <c r="T1143" s="292" t="inlineStr">
        <is>
          <t>仅测试副本；未写正式客户端</t>
        </is>
      </c>
      <c r="U1143">
        <f>IF(COUNTIF($B$2:$B$1198,B1143)&gt;1,"重复","")</f>
        <v/>
      </c>
      <c r="V1143">
        <f>IF(AND(OR(M1143="",M1143=B1143),OR(N1143="",N1143=B1143),OR(O1143="",O1143=B1143)),"通过","不一致")</f>
        <v/>
      </c>
    </row>
    <row r="1144">
      <c r="A1144" s="398" t="n">
        <v>1143</v>
      </c>
      <c r="B1144" s="398" t="n">
        <v>7163</v>
      </c>
      <c r="C1144" s="399" t="inlineStr">
        <is>
          <t>C3-C10专属待补</t>
        </is>
      </c>
      <c r="D1144" s="399" t="inlineStr">
        <is>
          <t>化圣雪原</t>
        </is>
      </c>
      <c r="E1144" s="399" t="n">
        <v>1</v>
      </c>
      <c r="F1144" s="399" t="inlineStr">
        <is>
          <t>面巾（位置13，对应斗笠）</t>
        </is>
      </c>
      <c r="G1144" s="398" t="n">
        <v>16</v>
      </c>
      <c r="H1144" s="398" t="n">
        <v>13</v>
      </c>
      <c r="I1144" s="398" t="n">
        <v>7163</v>
      </c>
      <c r="J1144" s="398" t="n"/>
      <c r="K1144" s="398" t="n"/>
      <c r="L1144" s="398" t="n"/>
      <c r="M1144" s="398" t="n">
        <v>7163</v>
      </c>
      <c r="N1144" s="398" t="n">
        <v>7163</v>
      </c>
      <c r="O1144" s="398" t="n">
        <v>7163</v>
      </c>
      <c r="P1144" s="292" t="n"/>
      <c r="Q1144" s="292" t="inlineStr">
        <is>
          <t>测试新增资源已回读</t>
        </is>
      </c>
      <c r="R1144" s="292" t="inlineStr">
        <is>
          <t>C07-M026</t>
        </is>
      </c>
      <c r="S1144" s="292" t="inlineStr">
        <is>
          <t>平台装备素材/0320_血月荆棘·血月_面巾.bmp</t>
        </is>
      </c>
      <c r="T1144" s="292" t="inlineStr">
        <is>
          <t>仅测试副本；未写正式客户端</t>
        </is>
      </c>
      <c r="U1144">
        <f>IF(COUNTIF($B$2:$B$1198,B1144)&gt;1,"重复","")</f>
        <v/>
      </c>
      <c r="V1144">
        <f>IF(AND(OR(M1144="",M1144=B1144),OR(N1144="",N1144=B1144),OR(O1144="",O1144=B1144)),"通过","不一致")</f>
        <v/>
      </c>
    </row>
    <row r="1145">
      <c r="A1145" s="398" t="n">
        <v>1144</v>
      </c>
      <c r="B1145" s="398" t="n">
        <v>7164</v>
      </c>
      <c r="C1145" s="399" t="inlineStr">
        <is>
          <t>C3-C10专属待补</t>
        </is>
      </c>
      <c r="D1145" s="399" t="inlineStr">
        <is>
          <t>化圣雪原</t>
        </is>
      </c>
      <c r="E1145" s="399" t="n">
        <v>1</v>
      </c>
      <c r="F1145" s="399" t="inlineStr">
        <is>
          <t>男衣服（现行模板的衣服映射）</t>
        </is>
      </c>
      <c r="G1145" s="398" t="n">
        <v>10</v>
      </c>
      <c r="H1145" s="398" t="n"/>
      <c r="I1145" s="398" t="n">
        <v>7164</v>
      </c>
      <c r="J1145" s="398" t="n">
        <v>1</v>
      </c>
      <c r="K1145" s="398" t="n"/>
      <c r="L1145" s="398" t="n"/>
      <c r="M1145" s="398" t="n">
        <v>7164</v>
      </c>
      <c r="N1145" s="398" t="n">
        <v>7164</v>
      </c>
      <c r="O1145" s="398" t="n">
        <v>7164</v>
      </c>
      <c r="P1145" s="292" t="n"/>
      <c r="Q1145" s="292" t="inlineStr">
        <is>
          <t>测试新增资源已回读</t>
        </is>
      </c>
      <c r="R1145" s="292" t="inlineStr">
        <is>
          <t>C07-M029</t>
        </is>
      </c>
      <c r="S1145" s="292" t="inlineStr">
        <is>
          <t>平台装备素材/0142_黄金圣树·永恒_男衣服.bmp</t>
        </is>
      </c>
      <c r="T1145" s="292" t="inlineStr">
        <is>
          <t>仅测试副本；未写正式客户端</t>
        </is>
      </c>
      <c r="U1145">
        <f>IF(COUNTIF($B$2:$B$1198,B1145)&gt;1,"重复","")</f>
        <v/>
      </c>
      <c r="V1145">
        <f>IF(AND(OR(M1145="",M1145=B1145),OR(N1145="",N1145=B1145),OR(O1145="",O1145=B1145)),"通过","不一致")</f>
        <v/>
      </c>
    </row>
    <row r="1146">
      <c r="A1146" s="398" t="n">
        <v>1145</v>
      </c>
      <c r="B1146" s="398" t="n">
        <v>7165</v>
      </c>
      <c r="C1146" s="399" t="inlineStr">
        <is>
          <t>C3-C10专属待补</t>
        </is>
      </c>
      <c r="D1146" s="399" t="inlineStr">
        <is>
          <t>化圣雪原</t>
        </is>
      </c>
      <c r="E1146" s="399" t="n">
        <v>1</v>
      </c>
      <c r="F1146" s="399" t="inlineStr">
        <is>
          <t>武器</t>
        </is>
      </c>
      <c r="G1146" s="398" t="n">
        <v>5</v>
      </c>
      <c r="H1146" s="398" t="n"/>
      <c r="I1146" s="398" t="n">
        <v>7165</v>
      </c>
      <c r="J1146" s="398" t="n">
        <v>14</v>
      </c>
      <c r="K1146" s="398" t="n"/>
      <c r="L1146" s="398" t="n"/>
      <c r="M1146" s="398" t="n">
        <v>7165</v>
      </c>
      <c r="N1146" s="398" t="n">
        <v>7165</v>
      </c>
      <c r="O1146" s="398" t="n">
        <v>7165</v>
      </c>
      <c r="P1146" s="292" t="n"/>
      <c r="Q1146" s="292" t="inlineStr">
        <is>
          <t>测试新增资源已回读</t>
        </is>
      </c>
      <c r="R1146" s="292" t="inlineStr">
        <is>
          <t>C07-M035</t>
        </is>
      </c>
      <c r="S1146" s="292" t="inlineStr">
        <is>
          <t>平台装备素材/0491_星渊龙息·无垠_武器.bmp</t>
        </is>
      </c>
      <c r="T1146" s="292" t="inlineStr">
        <is>
          <t>仅测试副本；未写正式客户端</t>
        </is>
      </c>
      <c r="U1146">
        <f>IF(COUNTIF($B$2:$B$1198,B1146)&gt;1,"重复","")</f>
        <v/>
      </c>
      <c r="V1146">
        <f>IF(AND(OR(M1146="",M1146=B1146),OR(N1146="",N1146=B1146),OR(O1146="",O1146=B1146)),"通过","不一致")</f>
        <v/>
      </c>
    </row>
    <row r="1147">
      <c r="A1147" s="398" t="n">
        <v>1146</v>
      </c>
      <c r="B1147" s="398" t="n">
        <v>7166</v>
      </c>
      <c r="C1147" s="399" t="inlineStr">
        <is>
          <t>C3-C10专属待补</t>
        </is>
      </c>
      <c r="D1147" s="399" t="inlineStr">
        <is>
          <t>巨人山顶</t>
        </is>
      </c>
      <c r="E1147" s="399" t="n">
        <v>1</v>
      </c>
      <c r="F1147" s="399" t="inlineStr">
        <is>
          <t>武器</t>
        </is>
      </c>
      <c r="G1147" s="398" t="n">
        <v>5</v>
      </c>
      <c r="H1147" s="398" t="n"/>
      <c r="I1147" s="398" t="n">
        <v>7166</v>
      </c>
      <c r="J1147" s="398" t="n">
        <v>14</v>
      </c>
      <c r="K1147" s="398" t="n"/>
      <c r="L1147" s="398" t="n"/>
      <c r="M1147" s="398" t="n">
        <v>7166</v>
      </c>
      <c r="N1147" s="398" t="n">
        <v>7166</v>
      </c>
      <c r="O1147" s="398" t="n">
        <v>7166</v>
      </c>
      <c r="P1147" s="292" t="n"/>
      <c r="Q1147" s="292" t="inlineStr">
        <is>
          <t>测试新增资源已回读</t>
        </is>
      </c>
      <c r="R1147" s="292" t="inlineStr">
        <is>
          <t>C08-M002</t>
        </is>
      </c>
      <c r="S1147" s="292" t="inlineStr">
        <is>
          <t>平台装备素材/0526_翠焰冥契·幽焰_武器.bmp</t>
        </is>
      </c>
      <c r="T1147" s="292" t="inlineStr">
        <is>
          <t>仅测试副本；未写正式客户端</t>
        </is>
      </c>
      <c r="U1147">
        <f>IF(COUNTIF($B$2:$B$1198,B1147)&gt;1,"重复","")</f>
        <v/>
      </c>
      <c r="V1147">
        <f>IF(AND(OR(M1147="",M1147=B1147),OR(N1147="",N1147=B1147),OR(O1147="",O1147=B1147)),"通过","不一致")</f>
        <v/>
      </c>
    </row>
    <row r="1148">
      <c r="A1148" s="398" t="n">
        <v>1147</v>
      </c>
      <c r="B1148" s="398" t="n">
        <v>7167</v>
      </c>
      <c r="C1148" s="399" t="inlineStr">
        <is>
          <t>C3-C10专属待补</t>
        </is>
      </c>
      <c r="D1148" s="399" t="inlineStr">
        <is>
          <t>巨人山顶</t>
        </is>
      </c>
      <c r="E1148" s="399" t="n">
        <v>1</v>
      </c>
      <c r="F1148" s="399" t="inlineStr">
        <is>
          <t>男衣服（现行模板的衣服映射）</t>
        </is>
      </c>
      <c r="G1148" s="398" t="n">
        <v>10</v>
      </c>
      <c r="H1148" s="398" t="n"/>
      <c r="I1148" s="398" t="n">
        <v>7167</v>
      </c>
      <c r="J1148" s="398" t="n">
        <v>1</v>
      </c>
      <c r="K1148" s="398" t="n"/>
      <c r="L1148" s="398" t="n"/>
      <c r="M1148" s="398" t="n">
        <v>7167</v>
      </c>
      <c r="N1148" s="398" t="n">
        <v>7167</v>
      </c>
      <c r="O1148" s="398" t="n">
        <v>7167</v>
      </c>
      <c r="P1148" s="292" t="n"/>
      <c r="Q1148" s="292" t="inlineStr">
        <is>
          <t>测试新增资源已回读</t>
        </is>
      </c>
      <c r="R1148" s="292" t="inlineStr">
        <is>
          <t>C08-M003</t>
        </is>
      </c>
      <c r="S1148" s="292" t="inlineStr">
        <is>
          <t>平台装备素材/0177_血月荆棘·血痕_男衣服.bmp</t>
        </is>
      </c>
      <c r="T1148" s="292" t="inlineStr">
        <is>
          <t>仅测试副本；未写正式客户端</t>
        </is>
      </c>
      <c r="U1148">
        <f>IF(COUNTIF($B$2:$B$1198,B1148)&gt;1,"重复","")</f>
        <v/>
      </c>
      <c r="V1148">
        <f>IF(AND(OR(M1148="",M1148=B1148),OR(N1148="",N1148=B1148),OR(O1148="",O1148=B1148)),"通过","不一致")</f>
        <v/>
      </c>
    </row>
    <row r="1149">
      <c r="A1149" s="398" t="n">
        <v>1148</v>
      </c>
      <c r="B1149" s="398" t="n">
        <v>7168</v>
      </c>
      <c r="C1149" s="399" t="inlineStr">
        <is>
          <t>C3-C10专属待补</t>
        </is>
      </c>
      <c r="D1149" s="399" t="inlineStr">
        <is>
          <t>巨人山顶</t>
        </is>
      </c>
      <c r="E1149" s="399" t="n">
        <v>1</v>
      </c>
      <c r="F1149" s="399" t="inlineStr">
        <is>
          <t>武器</t>
        </is>
      </c>
      <c r="G1149" s="398" t="n">
        <v>5</v>
      </c>
      <c r="H1149" s="398" t="n"/>
      <c r="I1149" s="398" t="n">
        <v>7168</v>
      </c>
      <c r="J1149" s="398" t="n">
        <v>14</v>
      </c>
      <c r="K1149" s="398" t="n"/>
      <c r="L1149" s="398" t="n"/>
      <c r="M1149" s="398" t="n">
        <v>7168</v>
      </c>
      <c r="N1149" s="398" t="n">
        <v>7168</v>
      </c>
      <c r="O1149" s="398" t="n">
        <v>7168</v>
      </c>
      <c r="P1149" s="292" t="n"/>
      <c r="Q1149" s="292" t="inlineStr">
        <is>
          <t>测试新增资源已回读</t>
        </is>
      </c>
      <c r="R1149" s="292" t="inlineStr">
        <is>
          <t>C08-M011</t>
        </is>
      </c>
      <c r="S1149" s="292" t="inlineStr">
        <is>
          <t>平台装备素材/0561_翠焰冥契·腐痕_武器.bmp</t>
        </is>
      </c>
      <c r="T1149" s="292" t="inlineStr">
        <is>
          <t>仅测试副本；未写正式客户端</t>
        </is>
      </c>
      <c r="U1149">
        <f>IF(COUNTIF($B$2:$B$1198,B1149)&gt;1,"重复","")</f>
        <v/>
      </c>
      <c r="V1149">
        <f>IF(AND(OR(M1149="",M1149=B1149),OR(N1149="",N1149=B1149),OR(O1149="",O1149=B1149)),"通过","不一致")</f>
        <v/>
      </c>
    </row>
    <row r="1150">
      <c r="A1150" s="398" t="n">
        <v>1149</v>
      </c>
      <c r="B1150" s="398" t="n">
        <v>7169</v>
      </c>
      <c r="C1150" s="399" t="inlineStr">
        <is>
          <t>C3-C10专属待补</t>
        </is>
      </c>
      <c r="D1150" s="399" t="inlineStr">
        <is>
          <t>巨人山顶</t>
        </is>
      </c>
      <c r="E1150" s="399" t="n">
        <v>1</v>
      </c>
      <c r="F1150" s="399" t="inlineStr">
        <is>
          <t>男衣服（现行模板的衣服映射）</t>
        </is>
      </c>
      <c r="G1150" s="398" t="n">
        <v>10</v>
      </c>
      <c r="H1150" s="398" t="n"/>
      <c r="I1150" s="398" t="n">
        <v>7169</v>
      </c>
      <c r="J1150" s="398" t="n">
        <v>1</v>
      </c>
      <c r="K1150" s="398" t="n"/>
      <c r="L1150" s="398" t="n"/>
      <c r="M1150" s="398" t="n">
        <v>7169</v>
      </c>
      <c r="N1150" s="398" t="n">
        <v>7169</v>
      </c>
      <c r="O1150" s="398" t="n">
        <v>7169</v>
      </c>
      <c r="P1150" s="292" t="n"/>
      <c r="Q1150" s="292" t="inlineStr">
        <is>
          <t>测试新增资源已回读</t>
        </is>
      </c>
      <c r="R1150" s="292" t="inlineStr">
        <is>
          <t>C08-M012</t>
        </is>
      </c>
      <c r="S1150" s="292" t="inlineStr">
        <is>
          <t>平台装备素材/0212_血月荆棘·荆冠_男衣服.bmp</t>
        </is>
      </c>
      <c r="T1150" s="292" t="inlineStr">
        <is>
          <t>仅测试副本；未写正式客户端</t>
        </is>
      </c>
      <c r="U1150">
        <f>IF(COUNTIF($B$2:$B$1198,B1150)&gt;1,"重复","")</f>
        <v/>
      </c>
      <c r="V1150">
        <f>IF(AND(OR(M1150="",M1150=B1150),OR(N1150="",N1150=B1150),OR(O1150="",O1150=B1150)),"通过","不一致")</f>
        <v/>
      </c>
    </row>
    <row r="1151">
      <c r="A1151" s="398" t="n">
        <v>1150</v>
      </c>
      <c r="B1151" s="398" t="n">
        <v>7170</v>
      </c>
      <c r="C1151" s="399" t="inlineStr">
        <is>
          <t>C3-C10专属待补</t>
        </is>
      </c>
      <c r="D1151" s="399" t="inlineStr">
        <is>
          <t>巨人山顶</t>
        </is>
      </c>
      <c r="E1151" s="399" t="n">
        <v>1</v>
      </c>
      <c r="F1151" s="399" t="inlineStr">
        <is>
          <t>武器</t>
        </is>
      </c>
      <c r="G1151" s="398" t="n">
        <v>5</v>
      </c>
      <c r="H1151" s="398" t="n"/>
      <c r="I1151" s="398" t="n">
        <v>7170</v>
      </c>
      <c r="J1151" s="398" t="n">
        <v>14</v>
      </c>
      <c r="K1151" s="398" t="n"/>
      <c r="L1151" s="398" t="n"/>
      <c r="M1151" s="398" t="n">
        <v>7170</v>
      </c>
      <c r="N1151" s="398" t="n">
        <v>7170</v>
      </c>
      <c r="O1151" s="398" t="n">
        <v>7170</v>
      </c>
      <c r="P1151" s="292" t="n"/>
      <c r="Q1151" s="292" t="inlineStr">
        <is>
          <t>测试新增资源已回读</t>
        </is>
      </c>
      <c r="R1151" s="292" t="inlineStr">
        <is>
          <t>C08-M015</t>
        </is>
      </c>
      <c r="S1151" s="292" t="inlineStr">
        <is>
          <t>平台装备素材/0596_翠焰冥契·冥契_武器.bmp</t>
        </is>
      </c>
      <c r="T1151" s="292" t="inlineStr">
        <is>
          <t>仅测试副本；未写正式客户端</t>
        </is>
      </c>
      <c r="U1151">
        <f>IF(COUNTIF($B$2:$B$1198,B1151)&gt;1,"重复","")</f>
        <v/>
      </c>
      <c r="V1151">
        <f>IF(AND(OR(M1151="",M1151=B1151),OR(N1151="",N1151=B1151),OR(O1151="",O1151=B1151)),"通过","不一致")</f>
        <v/>
      </c>
    </row>
    <row r="1152">
      <c r="A1152" s="398" t="n">
        <v>1151</v>
      </c>
      <c r="B1152" s="398" t="n">
        <v>7171</v>
      </c>
      <c r="C1152" s="399" t="inlineStr">
        <is>
          <t>C3-C10专属待补</t>
        </is>
      </c>
      <c r="D1152" s="399" t="inlineStr">
        <is>
          <t>巨人山顶</t>
        </is>
      </c>
      <c r="E1152" s="399" t="n">
        <v>1</v>
      </c>
      <c r="F1152" s="399" t="inlineStr">
        <is>
          <t>男衣服（现行模板的衣服映射）</t>
        </is>
      </c>
      <c r="G1152" s="398" t="n">
        <v>10</v>
      </c>
      <c r="H1152" s="398" t="n"/>
      <c r="I1152" s="398" t="n">
        <v>7171</v>
      </c>
      <c r="J1152" s="398" t="n">
        <v>1</v>
      </c>
      <c r="K1152" s="398" t="n"/>
      <c r="L1152" s="398" t="n"/>
      <c r="M1152" s="398" t="n">
        <v>7171</v>
      </c>
      <c r="N1152" s="398" t="n">
        <v>7171</v>
      </c>
      <c r="O1152" s="398" t="n">
        <v>7171</v>
      </c>
      <c r="P1152" s="292" t="n"/>
      <c r="Q1152" s="292" t="inlineStr">
        <is>
          <t>测试新增资源已回读</t>
        </is>
      </c>
      <c r="R1152" s="292" t="inlineStr">
        <is>
          <t>C08-M019</t>
        </is>
      </c>
      <c r="S1152" s="292" t="inlineStr">
        <is>
          <t>平台装备素材/0247_血月荆棘·猩月_男衣服.bmp</t>
        </is>
      </c>
      <c r="T1152" s="292" t="inlineStr">
        <is>
          <t>仅测试副本；未写正式客户端</t>
        </is>
      </c>
      <c r="U1152">
        <f>IF(COUNTIF($B$2:$B$1198,B1152)&gt;1,"重复","")</f>
        <v/>
      </c>
      <c r="V1152">
        <f>IF(AND(OR(M1152="",M1152=B1152),OR(N1152="",N1152=B1152),OR(O1152="",O1152=B1152)),"通过","不一致")</f>
        <v/>
      </c>
    </row>
    <row r="1153">
      <c r="A1153" s="398" t="n">
        <v>1152</v>
      </c>
      <c r="B1153" s="398" t="n">
        <v>7172</v>
      </c>
      <c r="C1153" s="399" t="inlineStr">
        <is>
          <t>C3-C10专属待补</t>
        </is>
      </c>
      <c r="D1153" s="399" t="inlineStr">
        <is>
          <t>巨人山顶</t>
        </is>
      </c>
      <c r="E1153" s="399" t="n">
        <v>1</v>
      </c>
      <c r="F1153" s="399" t="inlineStr">
        <is>
          <t>武器</t>
        </is>
      </c>
      <c r="G1153" s="398" t="n">
        <v>5</v>
      </c>
      <c r="H1153" s="398" t="n"/>
      <c r="I1153" s="398" t="n">
        <v>7172</v>
      </c>
      <c r="J1153" s="398" t="n">
        <v>14</v>
      </c>
      <c r="K1153" s="398" t="n"/>
      <c r="L1153" s="398" t="n"/>
      <c r="M1153" s="398" t="n">
        <v>7172</v>
      </c>
      <c r="N1153" s="398" t="n">
        <v>7172</v>
      </c>
      <c r="O1153" s="398" t="n">
        <v>7172</v>
      </c>
      <c r="P1153" s="292" t="n"/>
      <c r="Q1153" s="292" t="inlineStr">
        <is>
          <t>测试新增资源已回读</t>
        </is>
      </c>
      <c r="R1153" s="292" t="inlineStr">
        <is>
          <t>C08-M023</t>
        </is>
      </c>
      <c r="S1153" s="292" t="inlineStr">
        <is>
          <t>平台装备素材/0631_翠焰冥契·灾厄_武器.bmp</t>
        </is>
      </c>
      <c r="T1153" s="292" t="inlineStr">
        <is>
          <t>仅测试副本；未写正式客户端</t>
        </is>
      </c>
      <c r="U1153">
        <f>IF(COUNTIF($B$2:$B$1198,B1153)&gt;1,"重复","")</f>
        <v/>
      </c>
      <c r="V1153">
        <f>IF(AND(OR(M1153="",M1153=B1153),OR(N1153="",N1153=B1153),OR(O1153="",O1153=B1153)),"通过","不一致")</f>
        <v/>
      </c>
    </row>
    <row r="1154">
      <c r="A1154" s="398" t="n">
        <v>1153</v>
      </c>
      <c r="B1154" s="398" t="n">
        <v>7173</v>
      </c>
      <c r="C1154" s="399" t="inlineStr">
        <is>
          <t>C3-C10专属待补</t>
        </is>
      </c>
      <c r="D1154" s="399" t="inlineStr">
        <is>
          <t>巨人山顶</t>
        </is>
      </c>
      <c r="E1154" s="399" t="n">
        <v>1</v>
      </c>
      <c r="F1154" s="399" t="inlineStr">
        <is>
          <t>男衣服（现行模板的衣服映射）</t>
        </is>
      </c>
      <c r="G1154" s="398" t="n">
        <v>10</v>
      </c>
      <c r="H1154" s="398" t="n"/>
      <c r="I1154" s="398" t="n">
        <v>7173</v>
      </c>
      <c r="J1154" s="398" t="n">
        <v>1</v>
      </c>
      <c r="K1154" s="398" t="n"/>
      <c r="L1154" s="398" t="n"/>
      <c r="M1154" s="398" t="n">
        <v>7173</v>
      </c>
      <c r="N1154" s="398" t="n">
        <v>7173</v>
      </c>
      <c r="O1154" s="398" t="n">
        <v>7173</v>
      </c>
      <c r="P1154" s="292" t="n"/>
      <c r="Q1154" s="292" t="inlineStr">
        <is>
          <t>测试新增资源已回读</t>
        </is>
      </c>
      <c r="R1154" s="292" t="inlineStr">
        <is>
          <t>C08-M024</t>
        </is>
      </c>
      <c r="S1154" s="292" t="inlineStr">
        <is>
          <t>平台装备素材/0282_血月荆棘·弑王_男衣服.bmp</t>
        </is>
      </c>
      <c r="T1154" s="292" t="inlineStr">
        <is>
          <t>仅测试副本；未写正式客户端</t>
        </is>
      </c>
      <c r="U1154">
        <f>IF(COUNTIF($B$2:$B$1198,B1154)&gt;1,"重复","")</f>
        <v/>
      </c>
      <c r="V1154">
        <f>IF(AND(OR(M1154="",M1154=B1154),OR(N1154="",N1154=B1154),OR(O1154="",O1154=B1154)),"通过","不一致")</f>
        <v/>
      </c>
    </row>
    <row r="1155">
      <c r="A1155" s="398" t="n">
        <v>1154</v>
      </c>
      <c r="B1155" s="398" t="n">
        <v>7174</v>
      </c>
      <c r="C1155" s="399" t="inlineStr">
        <is>
          <t>C3-C10专属待补</t>
        </is>
      </c>
      <c r="D1155" s="399" t="inlineStr">
        <is>
          <t>巨人山顶</t>
        </is>
      </c>
      <c r="E1155" s="399" t="n">
        <v>1</v>
      </c>
      <c r="F1155" s="399" t="inlineStr">
        <is>
          <t>武器</t>
        </is>
      </c>
      <c r="G1155" s="398" t="n">
        <v>5</v>
      </c>
      <c r="H1155" s="398" t="n"/>
      <c r="I1155" s="398" t="n">
        <v>7174</v>
      </c>
      <c r="J1155" s="398" t="n">
        <v>14</v>
      </c>
      <c r="K1155" s="398" t="n"/>
      <c r="L1155" s="398" t="n"/>
      <c r="M1155" s="398" t="n">
        <v>7174</v>
      </c>
      <c r="N1155" s="398" t="n">
        <v>7174</v>
      </c>
      <c r="O1155" s="398" t="n">
        <v>7174</v>
      </c>
      <c r="P1155" s="292" t="n"/>
      <c r="Q1155" s="292" t="inlineStr">
        <is>
          <t>测试新增资源已回读</t>
        </is>
      </c>
      <c r="R1155" s="292" t="inlineStr">
        <is>
          <t>C08-M026</t>
        </is>
      </c>
      <c r="S1155" s="292" t="inlineStr">
        <is>
          <t>平台装备素材/0666_翠焰冥契·永夜_武器.bmp</t>
        </is>
      </c>
      <c r="T1155" s="292" t="inlineStr">
        <is>
          <t>仅测试副本；未写正式客户端</t>
        </is>
      </c>
      <c r="U1155">
        <f>IF(COUNTIF($B$2:$B$1198,B1155)&gt;1,"重复","")</f>
        <v/>
      </c>
      <c r="V1155">
        <f>IF(AND(OR(M1155="",M1155=B1155),OR(N1155="",N1155=B1155),OR(O1155="",O1155=B1155)),"通过","不一致")</f>
        <v/>
      </c>
    </row>
    <row r="1156">
      <c r="A1156" s="398" t="n">
        <v>1155</v>
      </c>
      <c r="B1156" s="398" t="n">
        <v>7175</v>
      </c>
      <c r="C1156" s="399" t="inlineStr">
        <is>
          <t>C3-C10专属待补</t>
        </is>
      </c>
      <c r="D1156" s="399" t="inlineStr">
        <is>
          <t>巨人山顶</t>
        </is>
      </c>
      <c r="E1156" s="399" t="n">
        <v>1</v>
      </c>
      <c r="F1156" s="399" t="inlineStr">
        <is>
          <t>男衣服（现行模板的衣服映射）</t>
        </is>
      </c>
      <c r="G1156" s="398" t="n">
        <v>10</v>
      </c>
      <c r="H1156" s="398" t="n"/>
      <c r="I1156" s="398" t="n">
        <v>7175</v>
      </c>
      <c r="J1156" s="398" t="n">
        <v>1</v>
      </c>
      <c r="K1156" s="398" t="n"/>
      <c r="L1156" s="398" t="n"/>
      <c r="M1156" s="398" t="n">
        <v>7175</v>
      </c>
      <c r="N1156" s="398" t="n">
        <v>7175</v>
      </c>
      <c r="O1156" s="398" t="n">
        <v>7175</v>
      </c>
      <c r="P1156" s="292" t="n"/>
      <c r="Q1156" s="292" t="inlineStr">
        <is>
          <t>测试新增资源已回读</t>
        </is>
      </c>
      <c r="R1156" s="292" t="inlineStr">
        <is>
          <t>C08-M028</t>
        </is>
      </c>
      <c r="S1156" s="292" t="inlineStr">
        <is>
          <t>平台装备素材/0317_血月荆棘·血月_男衣服.bmp</t>
        </is>
      </c>
      <c r="T1156" s="292" t="inlineStr">
        <is>
          <t>仅测试副本；未写正式客户端</t>
        </is>
      </c>
      <c r="U1156">
        <f>IF(COUNTIF($B$2:$B$1198,B1156)&gt;1,"重复","")</f>
        <v/>
      </c>
      <c r="V1156">
        <f>IF(AND(OR(M1156="",M1156=B1156),OR(N1156="",N1156=B1156),OR(O1156="",O1156=B1156)),"通过","不一致")</f>
        <v/>
      </c>
    </row>
    <row r="1157">
      <c r="A1157" s="398" t="n">
        <v>1156</v>
      </c>
      <c r="B1157" s="398" t="n">
        <v>7176</v>
      </c>
      <c r="C1157" s="399" t="inlineStr">
        <is>
          <t>C3-C10专属待补</t>
        </is>
      </c>
      <c r="D1157" s="399" t="inlineStr">
        <is>
          <t>巨人山顶</t>
        </is>
      </c>
      <c r="E1157" s="399" t="n">
        <v>1</v>
      </c>
      <c r="F1157" s="399" t="inlineStr">
        <is>
          <t>武器</t>
        </is>
      </c>
      <c r="G1157" s="398" t="n">
        <v>5</v>
      </c>
      <c r="H1157" s="398" t="n"/>
      <c r="I1157" s="398" t="n">
        <v>7176</v>
      </c>
      <c r="J1157" s="398" t="n">
        <v>14</v>
      </c>
      <c r="K1157" s="398" t="n"/>
      <c r="L1157" s="398" t="n"/>
      <c r="M1157" s="398" t="n">
        <v>7176</v>
      </c>
      <c r="N1157" s="398" t="n">
        <v>7176</v>
      </c>
      <c r="O1157" s="398" t="n">
        <v>7176</v>
      </c>
      <c r="P1157" s="292" t="n"/>
      <c r="Q1157" s="292" t="inlineStr">
        <is>
          <t>测试新增资源已回读</t>
        </is>
      </c>
      <c r="R1157" s="292" t="inlineStr">
        <is>
          <t>C08-M035</t>
        </is>
      </c>
      <c r="S1157" s="292" t="inlineStr">
        <is>
          <t>平台装备素材/0001_黄金圣树·初誓_武器.bmp</t>
        </is>
      </c>
      <c r="T1157" s="292" t="inlineStr">
        <is>
          <t>仅测试副本；未写正式客户端</t>
        </is>
      </c>
      <c r="U1157">
        <f>IF(COUNTIF($B$2:$B$1198,B1157)&gt;1,"重复","")</f>
        <v/>
      </c>
      <c r="V1157">
        <f>IF(AND(OR(M1157="",M1157=B1157),OR(N1157="",N1157=B1157),OR(O1157="",O1157=B1157)),"通过","不一致")</f>
        <v/>
      </c>
    </row>
    <row r="1158">
      <c r="A1158" s="398" t="n">
        <v>1157</v>
      </c>
      <c r="B1158" s="398" t="n">
        <v>7177</v>
      </c>
      <c r="C1158" s="399" t="inlineStr">
        <is>
          <t>C3-C10专属待补</t>
        </is>
      </c>
      <c r="D1158" s="399" t="inlineStr">
        <is>
          <t>巨人山顶</t>
        </is>
      </c>
      <c r="E1158" s="399" t="n">
        <v>1</v>
      </c>
      <c r="F1158" s="399" t="inlineStr">
        <is>
          <t>男衣服（现行模板的衣服映射）</t>
        </is>
      </c>
      <c r="G1158" s="398" t="n">
        <v>10</v>
      </c>
      <c r="H1158" s="398" t="n"/>
      <c r="I1158" s="398" t="n">
        <v>7177</v>
      </c>
      <c r="J1158" s="398" t="n">
        <v>1</v>
      </c>
      <c r="K1158" s="398" t="n"/>
      <c r="L1158" s="398" t="n"/>
      <c r="M1158" s="398" t="n">
        <v>7177</v>
      </c>
      <c r="N1158" s="398" t="n">
        <v>7177</v>
      </c>
      <c r="O1158" s="398" t="n">
        <v>7177</v>
      </c>
      <c r="P1158" s="292" t="n"/>
      <c r="Q1158" s="292" t="inlineStr">
        <is>
          <t>测试新增资源已回读</t>
        </is>
      </c>
      <c r="R1158" s="292" t="inlineStr">
        <is>
          <t>C08-M036</t>
        </is>
      </c>
      <c r="S1158" s="292" t="inlineStr">
        <is>
          <t>平台装备素材/0352_星渊龙息·星痕_男衣服.bmp</t>
        </is>
      </c>
      <c r="T1158" s="292" t="inlineStr">
        <is>
          <t>仅测试副本；未写正式客户端</t>
        </is>
      </c>
      <c r="U1158">
        <f>IF(COUNTIF($B$2:$B$1198,B1158)&gt;1,"重复","")</f>
        <v/>
      </c>
      <c r="V1158">
        <f>IF(AND(OR(M1158="",M1158=B1158),OR(N1158="",N1158=B1158),OR(O1158="",O1158=B1158)),"通过","不一致")</f>
        <v/>
      </c>
    </row>
    <row r="1159">
      <c r="A1159" s="398" t="n">
        <v>1158</v>
      </c>
      <c r="B1159" s="398" t="n">
        <v>7178</v>
      </c>
      <c r="C1159" s="399" t="inlineStr">
        <is>
          <t>C3-C10专属待补</t>
        </is>
      </c>
      <c r="D1159" s="399" t="inlineStr">
        <is>
          <t>巨人山顶</t>
        </is>
      </c>
      <c r="E1159" s="399" t="n">
        <v>1</v>
      </c>
      <c r="F1159" s="399" t="inlineStr">
        <is>
          <t>武器</t>
        </is>
      </c>
      <c r="G1159" s="398" t="n">
        <v>5</v>
      </c>
      <c r="H1159" s="398" t="n"/>
      <c r="I1159" s="398" t="n">
        <v>7178</v>
      </c>
      <c r="J1159" s="398" t="n">
        <v>14</v>
      </c>
      <c r="K1159" s="398" t="n"/>
      <c r="L1159" s="398" t="n"/>
      <c r="M1159" s="398" t="n">
        <v>7178</v>
      </c>
      <c r="N1159" s="398" t="n">
        <v>7178</v>
      </c>
      <c r="O1159" s="398" t="n">
        <v>7178</v>
      </c>
      <c r="P1159" s="292" t="n"/>
      <c r="Q1159" s="292" t="inlineStr">
        <is>
          <t>测试新增资源已回读</t>
        </is>
      </c>
      <c r="R1159" s="292" t="inlineStr">
        <is>
          <t>C08-M037</t>
        </is>
      </c>
      <c r="S1159" s="292" t="inlineStr">
        <is>
          <t>平台装备素材/0036_黄金圣树·圣枝_武器.bmp</t>
        </is>
      </c>
      <c r="T1159" s="292" t="inlineStr">
        <is>
          <t>仅测试副本；未写正式客户端</t>
        </is>
      </c>
      <c r="U1159">
        <f>IF(COUNTIF($B$2:$B$1198,B1159)&gt;1,"重复","")</f>
        <v/>
      </c>
      <c r="V1159">
        <f>IF(AND(OR(M1159="",M1159=B1159),OR(N1159="",N1159=B1159),OR(O1159="",O1159=B1159)),"通过","不一致")</f>
        <v/>
      </c>
    </row>
    <row r="1160">
      <c r="A1160" s="398" t="n">
        <v>1159</v>
      </c>
      <c r="B1160" s="398" t="n">
        <v>7179</v>
      </c>
      <c r="C1160" s="399" t="inlineStr">
        <is>
          <t>C3-C10专属待补</t>
        </is>
      </c>
      <c r="D1160" s="399" t="inlineStr">
        <is>
          <t>巨人山顶</t>
        </is>
      </c>
      <c r="E1160" s="399" t="n">
        <v>1</v>
      </c>
      <c r="F1160" s="399" t="inlineStr">
        <is>
          <t>男衣服（现行模板的衣服映射）</t>
        </is>
      </c>
      <c r="G1160" s="398" t="n">
        <v>10</v>
      </c>
      <c r="H1160" s="398" t="n"/>
      <c r="I1160" s="398" t="n">
        <v>7179</v>
      </c>
      <c r="J1160" s="398" t="n">
        <v>1</v>
      </c>
      <c r="K1160" s="398" t="n"/>
      <c r="L1160" s="398" t="n"/>
      <c r="M1160" s="398" t="n">
        <v>7179</v>
      </c>
      <c r="N1160" s="398" t="n">
        <v>7179</v>
      </c>
      <c r="O1160" s="398" t="n">
        <v>7179</v>
      </c>
      <c r="P1160" s="292" t="n"/>
      <c r="Q1160" s="292" t="inlineStr">
        <is>
          <t>测试新增资源已回读</t>
        </is>
      </c>
      <c r="R1160" s="292" t="inlineStr">
        <is>
          <t>C08-M039</t>
        </is>
      </c>
      <c r="S1160" s="292" t="inlineStr">
        <is>
          <t>平台装备素材/0387_星渊龙息·龙鳞_男衣服.bmp</t>
        </is>
      </c>
      <c r="T1160" s="292" t="inlineStr">
        <is>
          <t>仅测试副本；未写正式客户端</t>
        </is>
      </c>
      <c r="U1160">
        <f>IF(COUNTIF($B$2:$B$1198,B1160)&gt;1,"重复","")</f>
        <v/>
      </c>
      <c r="V1160">
        <f>IF(AND(OR(M1160="",M1160=B1160),OR(N1160="",N1160=B1160),OR(O1160="",O1160=B1160)),"通过","不一致")</f>
        <v/>
      </c>
    </row>
    <row r="1161">
      <c r="A1161" s="398" t="n">
        <v>1160</v>
      </c>
      <c r="B1161" s="398" t="n">
        <v>7180</v>
      </c>
      <c r="C1161" s="399" t="inlineStr">
        <is>
          <t>C3-C10专属待补</t>
        </is>
      </c>
      <c r="D1161" s="399" t="inlineStr">
        <is>
          <t>巨人山顶</t>
        </is>
      </c>
      <c r="E1161" s="399" t="n">
        <v>1</v>
      </c>
      <c r="F1161" s="399" t="inlineStr">
        <is>
          <t>武器</t>
        </is>
      </c>
      <c r="G1161" s="398" t="n">
        <v>5</v>
      </c>
      <c r="H1161" s="398" t="n"/>
      <c r="I1161" s="398" t="n">
        <v>7180</v>
      </c>
      <c r="J1161" s="398" t="n">
        <v>14</v>
      </c>
      <c r="K1161" s="398" t="n"/>
      <c r="L1161" s="398" t="n"/>
      <c r="M1161" s="398" t="n">
        <v>7180</v>
      </c>
      <c r="N1161" s="398" t="n">
        <v>7180</v>
      </c>
      <c r="O1161" s="398" t="n">
        <v>7180</v>
      </c>
      <c r="P1161" s="292" t="n"/>
      <c r="Q1161" s="292" t="inlineStr">
        <is>
          <t>测试新增资源已回读</t>
        </is>
      </c>
      <c r="R1161" s="292" t="inlineStr">
        <is>
          <t>C08-M047</t>
        </is>
      </c>
      <c r="S1161" s="292" t="inlineStr">
        <is>
          <t>平台装备素材/0071_黄金圣树·王权_武器.bmp</t>
        </is>
      </c>
      <c r="T1161" s="292" t="inlineStr">
        <is>
          <t>仅测试副本；未写正式客户端</t>
        </is>
      </c>
      <c r="U1161">
        <f>IF(COUNTIF($B$2:$B$1198,B1161)&gt;1,"重复","")</f>
        <v/>
      </c>
      <c r="V1161">
        <f>IF(AND(OR(M1161="",M1161=B1161),OR(N1161="",N1161=B1161),OR(O1161="",O1161=B1161)),"通过","不一致")</f>
        <v/>
      </c>
    </row>
    <row r="1162">
      <c r="A1162" s="398" t="n">
        <v>1161</v>
      </c>
      <c r="B1162" s="398" t="n">
        <v>7181</v>
      </c>
      <c r="C1162" s="399" t="inlineStr">
        <is>
          <t>C3-C10专属待补</t>
        </is>
      </c>
      <c r="D1162" s="399" t="inlineStr">
        <is>
          <t>巨人山顶</t>
        </is>
      </c>
      <c r="E1162" s="399" t="n">
        <v>1</v>
      </c>
      <c r="F1162" s="399" t="inlineStr">
        <is>
          <t>男衣服（现行模板的衣服映射）</t>
        </is>
      </c>
      <c r="G1162" s="398" t="n">
        <v>10</v>
      </c>
      <c r="H1162" s="398" t="n"/>
      <c r="I1162" s="398" t="n">
        <v>7181</v>
      </c>
      <c r="J1162" s="398" t="n">
        <v>1</v>
      </c>
      <c r="K1162" s="398" t="n"/>
      <c r="L1162" s="398" t="n"/>
      <c r="M1162" s="398" t="n">
        <v>7181</v>
      </c>
      <c r="N1162" s="398" t="n">
        <v>7181</v>
      </c>
      <c r="O1162" s="398" t="n">
        <v>7181</v>
      </c>
      <c r="P1162" s="292" t="n"/>
      <c r="Q1162" s="292" t="inlineStr">
        <is>
          <t>测试新增资源已回读</t>
        </is>
      </c>
      <c r="R1162" s="292" t="inlineStr">
        <is>
          <t>C08-M048</t>
        </is>
      </c>
      <c r="S1162" s="292" t="inlineStr">
        <is>
          <t>平台装备素材/0422_星渊龙息·渊辉_男衣服.bmp</t>
        </is>
      </c>
      <c r="T1162" s="292" t="inlineStr">
        <is>
          <t>仅测试副本；未写正式客户端</t>
        </is>
      </c>
      <c r="U1162">
        <f>IF(COUNTIF($B$2:$B$1198,B1162)&gt;1,"重复","")</f>
        <v/>
      </c>
      <c r="V1162">
        <f>IF(AND(OR(M1162="",M1162=B1162),OR(N1162="",N1162=B1162),OR(O1162="",O1162=B1162)),"通过","不一致")</f>
        <v/>
      </c>
    </row>
    <row r="1163">
      <c r="A1163" s="398" t="n">
        <v>1162</v>
      </c>
      <c r="B1163" s="398" t="n">
        <v>7182</v>
      </c>
      <c r="C1163" s="399" t="inlineStr">
        <is>
          <t>C3-C10专属待补</t>
        </is>
      </c>
      <c r="D1163" s="399" t="inlineStr">
        <is>
          <t>亚坛高原</t>
        </is>
      </c>
      <c r="E1163" s="399" t="n">
        <v>1</v>
      </c>
      <c r="F1163" s="399" t="inlineStr">
        <is>
          <t>武器</t>
        </is>
      </c>
      <c r="G1163" s="398" t="n">
        <v>5</v>
      </c>
      <c r="H1163" s="398" t="n"/>
      <c r="I1163" s="398" t="n">
        <v>7182</v>
      </c>
      <c r="J1163" s="398" t="n">
        <v>14</v>
      </c>
      <c r="K1163" s="398" t="n"/>
      <c r="L1163" s="398" t="n"/>
      <c r="M1163" s="398" t="n">
        <v>7182</v>
      </c>
      <c r="N1163" s="398" t="n">
        <v>7182</v>
      </c>
      <c r="O1163" s="398" t="n">
        <v>7182</v>
      </c>
      <c r="P1163" s="292" t="n"/>
      <c r="Q1163" s="292" t="inlineStr">
        <is>
          <t>测试新增资源已回读</t>
        </is>
      </c>
      <c r="R1163" s="292" t="inlineStr">
        <is>
          <t>C09-M002</t>
        </is>
      </c>
      <c r="S1163" s="292" t="inlineStr">
        <is>
          <t>平台装备素材/0106_黄金圣树·律法_武器.bmp</t>
        </is>
      </c>
      <c r="T1163" s="292" t="inlineStr">
        <is>
          <t>仅测试副本；未写正式客户端</t>
        </is>
      </c>
      <c r="U1163">
        <f>IF(COUNTIF($B$2:$B$1198,B1163)&gt;1,"重复","")</f>
        <v/>
      </c>
      <c r="V1163">
        <f>IF(AND(OR(M1163="",M1163=B1163),OR(N1163="",N1163=B1163),OR(O1163="",O1163=B1163)),"通过","不一致")</f>
        <v/>
      </c>
    </row>
    <row r="1164">
      <c r="A1164" s="398" t="n">
        <v>1163</v>
      </c>
      <c r="B1164" s="398" t="n">
        <v>7183</v>
      </c>
      <c r="C1164" s="399" t="inlineStr">
        <is>
          <t>C3-C10专属待补</t>
        </is>
      </c>
      <c r="D1164" s="399" t="inlineStr">
        <is>
          <t>亚坛高原</t>
        </is>
      </c>
      <c r="E1164" s="399" t="n">
        <v>1</v>
      </c>
      <c r="F1164" s="399" t="inlineStr">
        <is>
          <t>男衣服（现行模板的衣服映射）</t>
        </is>
      </c>
      <c r="G1164" s="398" t="n">
        <v>10</v>
      </c>
      <c r="H1164" s="398" t="n"/>
      <c r="I1164" s="398" t="n">
        <v>7183</v>
      </c>
      <c r="J1164" s="398" t="n">
        <v>1</v>
      </c>
      <c r="K1164" s="398" t="n"/>
      <c r="L1164" s="398" t="n"/>
      <c r="M1164" s="398" t="n">
        <v>7183</v>
      </c>
      <c r="N1164" s="398" t="n">
        <v>7183</v>
      </c>
      <c r="O1164" s="398" t="n">
        <v>7183</v>
      </c>
      <c r="P1164" s="292" t="n"/>
      <c r="Q1164" s="292" t="inlineStr">
        <is>
          <t>测试新增资源已回读</t>
        </is>
      </c>
      <c r="R1164" s="292" t="inlineStr">
        <is>
          <t>C09-M005</t>
        </is>
      </c>
      <c r="S1164" s="292" t="inlineStr">
        <is>
          <t>平台装备素材/0457_星渊龙息·天穹_男衣服.bmp</t>
        </is>
      </c>
      <c r="T1164" s="292" t="inlineStr">
        <is>
          <t>仅测试副本；未写正式客户端</t>
        </is>
      </c>
      <c r="U1164">
        <f>IF(COUNTIF($B$2:$B$1198,B1164)&gt;1,"重复","")</f>
        <v/>
      </c>
      <c r="V1164">
        <f>IF(AND(OR(M1164="",M1164=B1164),OR(N1164="",N1164=B1164),OR(O1164="",O1164=B1164)),"通过","不一致")</f>
        <v/>
      </c>
    </row>
    <row r="1165">
      <c r="A1165" s="398" t="n">
        <v>1164</v>
      </c>
      <c r="B1165" s="398" t="n">
        <v>7184</v>
      </c>
      <c r="C1165" s="399" t="inlineStr">
        <is>
          <t>C3-C10专属待补</t>
        </is>
      </c>
      <c r="D1165" s="399" t="inlineStr">
        <is>
          <t>亚坛高原</t>
        </is>
      </c>
      <c r="E1165" s="399" t="n">
        <v>1</v>
      </c>
      <c r="F1165" s="399" t="inlineStr">
        <is>
          <t>武器</t>
        </is>
      </c>
      <c r="G1165" s="398" t="n">
        <v>5</v>
      </c>
      <c r="H1165" s="398" t="n"/>
      <c r="I1165" s="398" t="n">
        <v>7184</v>
      </c>
      <c r="J1165" s="398" t="n">
        <v>14</v>
      </c>
      <c r="K1165" s="398" t="n"/>
      <c r="L1165" s="398" t="n"/>
      <c r="M1165" s="398" t="n">
        <v>7184</v>
      </c>
      <c r="N1165" s="398" t="n">
        <v>7184</v>
      </c>
      <c r="O1165" s="398" t="n">
        <v>7184</v>
      </c>
      <c r="P1165" s="292" t="n"/>
      <c r="Q1165" s="292" t="inlineStr">
        <is>
          <t>测试新增资源已回读</t>
        </is>
      </c>
      <c r="R1165" s="292" t="inlineStr">
        <is>
          <t>C09-M011</t>
        </is>
      </c>
      <c r="S1165" s="292" t="inlineStr">
        <is>
          <t>平台装备素材/0141_黄金圣树·永恒_武器.bmp</t>
        </is>
      </c>
      <c r="T1165" s="292" t="inlineStr">
        <is>
          <t>仅测试副本；未写正式客户端</t>
        </is>
      </c>
      <c r="U1165">
        <f>IF(COUNTIF($B$2:$B$1198,B1165)&gt;1,"重复","")</f>
        <v/>
      </c>
      <c r="V1165">
        <f>IF(AND(OR(M1165="",M1165=B1165),OR(N1165="",N1165=B1165),OR(O1165="",O1165=B1165)),"通过","不一致")</f>
        <v/>
      </c>
    </row>
    <row r="1166">
      <c r="A1166" s="398" t="n">
        <v>1165</v>
      </c>
      <c r="B1166" s="398" t="n">
        <v>7185</v>
      </c>
      <c r="C1166" s="399" t="inlineStr">
        <is>
          <t>C3-C10专属待补</t>
        </is>
      </c>
      <c r="D1166" s="399" t="inlineStr">
        <is>
          <t>亚坛高原</t>
        </is>
      </c>
      <c r="E1166" s="399" t="n">
        <v>1</v>
      </c>
      <c r="F1166" s="399" t="inlineStr">
        <is>
          <t>男衣服（现行模板的衣服映射）</t>
        </is>
      </c>
      <c r="G1166" s="398" t="n">
        <v>10</v>
      </c>
      <c r="H1166" s="398" t="n"/>
      <c r="I1166" s="398" t="n">
        <v>7185</v>
      </c>
      <c r="J1166" s="398" t="n">
        <v>1</v>
      </c>
      <c r="K1166" s="398" t="n"/>
      <c r="L1166" s="398" t="n"/>
      <c r="M1166" s="398" t="n">
        <v>7185</v>
      </c>
      <c r="N1166" s="398" t="n">
        <v>7185</v>
      </c>
      <c r="O1166" s="398" t="n">
        <v>7185</v>
      </c>
      <c r="P1166" s="292" t="n"/>
      <c r="Q1166" s="292" t="inlineStr">
        <is>
          <t>测试新增资源已回读</t>
        </is>
      </c>
      <c r="R1166" s="292" t="inlineStr">
        <is>
          <t>C09-M012</t>
        </is>
      </c>
      <c r="S1166" s="292" t="inlineStr">
        <is>
          <t>平台装备素材/0492_星渊龙息·无垠_男衣服.bmp</t>
        </is>
      </c>
      <c r="T1166" s="292" t="inlineStr">
        <is>
          <t>仅测试副本；未写正式客户端</t>
        </is>
      </c>
      <c r="U1166">
        <f>IF(COUNTIF($B$2:$B$1198,B1166)&gt;1,"重复","")</f>
        <v/>
      </c>
      <c r="V1166">
        <f>IF(AND(OR(M1166="",M1166=B1166),OR(N1166="",N1166=B1166),OR(O1166="",O1166=B1166)),"通过","不一致")</f>
        <v/>
      </c>
    </row>
    <row r="1167">
      <c r="A1167" s="398" t="n">
        <v>1166</v>
      </c>
      <c r="B1167" s="398" t="n">
        <v>7186</v>
      </c>
      <c r="C1167" s="399" t="inlineStr">
        <is>
          <t>C3-C10专属待补</t>
        </is>
      </c>
      <c r="D1167" s="399" t="inlineStr">
        <is>
          <t>亚坛高原</t>
        </is>
      </c>
      <c r="E1167" s="399" t="n">
        <v>1</v>
      </c>
      <c r="F1167" s="399" t="inlineStr">
        <is>
          <t>武器</t>
        </is>
      </c>
      <c r="G1167" s="398" t="n">
        <v>5</v>
      </c>
      <c r="H1167" s="398" t="n"/>
      <c r="I1167" s="398" t="n">
        <v>7186</v>
      </c>
      <c r="J1167" s="398" t="n">
        <v>14</v>
      </c>
      <c r="K1167" s="398" t="n"/>
      <c r="L1167" s="398" t="n"/>
      <c r="M1167" s="398" t="n">
        <v>7186</v>
      </c>
      <c r="N1167" s="398" t="n">
        <v>7186</v>
      </c>
      <c r="O1167" s="398" t="n">
        <v>7186</v>
      </c>
      <c r="P1167" s="292" t="n"/>
      <c r="Q1167" s="292" t="inlineStr">
        <is>
          <t>测试新增资源已回读</t>
        </is>
      </c>
      <c r="R1167" s="292" t="inlineStr">
        <is>
          <t>C09-M015</t>
        </is>
      </c>
      <c r="S1167" s="292" t="inlineStr">
        <is>
          <t>平台装备素材/0176_血月荆棘·血痕_武器.bmp</t>
        </is>
      </c>
      <c r="T1167" s="292" t="inlineStr">
        <is>
          <t>仅测试副本；未写正式客户端</t>
        </is>
      </c>
      <c r="U1167">
        <f>IF(COUNTIF($B$2:$B$1198,B1167)&gt;1,"重复","")</f>
        <v/>
      </c>
      <c r="V1167">
        <f>IF(AND(OR(M1167="",M1167=B1167),OR(N1167="",N1167=B1167),OR(O1167="",O1167=B1167)),"通过","不一致")</f>
        <v/>
      </c>
    </row>
    <row r="1168">
      <c r="A1168" s="398" t="n">
        <v>1167</v>
      </c>
      <c r="B1168" s="398" t="n">
        <v>7187</v>
      </c>
      <c r="C1168" s="399" t="inlineStr">
        <is>
          <t>C3-C10专属待补</t>
        </is>
      </c>
      <c r="D1168" s="399" t="inlineStr">
        <is>
          <t>亚坛高原</t>
        </is>
      </c>
      <c r="E1168" s="399" t="n">
        <v>1</v>
      </c>
      <c r="F1168" s="399" t="inlineStr">
        <is>
          <t>面巾（位置13，对应斗笠）</t>
        </is>
      </c>
      <c r="G1168" s="398" t="n">
        <v>16</v>
      </c>
      <c r="H1168" s="398" t="n">
        <v>13</v>
      </c>
      <c r="I1168" s="398" t="n">
        <v>7187</v>
      </c>
      <c r="J1168" s="398" t="n"/>
      <c r="K1168" s="398" t="n"/>
      <c r="L1168" s="398" t="n"/>
      <c r="M1168" s="398" t="n">
        <v>7187</v>
      </c>
      <c r="N1168" s="398" t="n">
        <v>7187</v>
      </c>
      <c r="O1168" s="398" t="n">
        <v>7187</v>
      </c>
      <c r="P1168" s="292" t="n"/>
      <c r="Q1168" s="292" t="inlineStr">
        <is>
          <t>测试新增资源已回读</t>
        </is>
      </c>
      <c r="R1168" s="292" t="inlineStr">
        <is>
          <t>C09-M016</t>
        </is>
      </c>
      <c r="S1168" s="292" t="inlineStr">
        <is>
          <t>平台装备素材/0355_星渊龙息·星痕_面巾.bmp</t>
        </is>
      </c>
      <c r="T1168" s="292" t="inlineStr">
        <is>
          <t>仅测试副本；未写正式客户端</t>
        </is>
      </c>
      <c r="U1168">
        <f>IF(COUNTIF($B$2:$B$1198,B1168)&gt;1,"重复","")</f>
        <v/>
      </c>
      <c r="V1168">
        <f>IF(AND(OR(M1168="",M1168=B1168),OR(N1168="",N1168=B1168),OR(O1168="",O1168=B1168)),"通过","不一致")</f>
        <v/>
      </c>
    </row>
    <row r="1169">
      <c r="A1169" s="398" t="n">
        <v>1168</v>
      </c>
      <c r="B1169" s="398" t="n">
        <v>7188</v>
      </c>
      <c r="C1169" s="399" t="inlineStr">
        <is>
          <t>C3-C10专属待补</t>
        </is>
      </c>
      <c r="D1169" s="399" t="inlineStr">
        <is>
          <t>亚坛高原</t>
        </is>
      </c>
      <c r="E1169" s="399" t="n">
        <v>1</v>
      </c>
      <c r="F1169" s="399" t="inlineStr">
        <is>
          <t>男衣服（现行模板的衣服映射）</t>
        </is>
      </c>
      <c r="G1169" s="398" t="n">
        <v>10</v>
      </c>
      <c r="H1169" s="398" t="n"/>
      <c r="I1169" s="398" t="n">
        <v>7188</v>
      </c>
      <c r="J1169" s="398" t="n">
        <v>1</v>
      </c>
      <c r="K1169" s="398" t="n"/>
      <c r="L1169" s="398" t="n"/>
      <c r="M1169" s="398" t="n">
        <v>7188</v>
      </c>
      <c r="N1169" s="398" t="n">
        <v>7188</v>
      </c>
      <c r="O1169" s="398" t="n">
        <v>7188</v>
      </c>
      <c r="P1169" s="292" t="n"/>
      <c r="Q1169" s="292" t="inlineStr">
        <is>
          <t>测试新增资源已回读</t>
        </is>
      </c>
      <c r="R1169" s="292" t="inlineStr">
        <is>
          <t>C09-M017</t>
        </is>
      </c>
      <c r="S1169" s="292" t="inlineStr">
        <is>
          <t>平台装备素材/0527_翠焰冥契·幽焰_男衣服.bmp</t>
        </is>
      </c>
      <c r="T1169" s="292" t="inlineStr">
        <is>
          <t>仅测试副本；未写正式客户端</t>
        </is>
      </c>
      <c r="U1169">
        <f>IF(COUNTIF($B$2:$B$1198,B1169)&gt;1,"重复","")</f>
        <v/>
      </c>
      <c r="V1169">
        <f>IF(AND(OR(M1169="",M1169=B1169),OR(N1169="",N1169=B1169),OR(O1169="",O1169=B1169)),"通过","不一致")</f>
        <v/>
      </c>
    </row>
    <row r="1170">
      <c r="A1170" s="398" t="n">
        <v>1169</v>
      </c>
      <c r="B1170" s="398" t="n">
        <v>7189</v>
      </c>
      <c r="C1170" s="399" t="inlineStr">
        <is>
          <t>C3-C10专属待补</t>
        </is>
      </c>
      <c r="D1170" s="399" t="inlineStr">
        <is>
          <t>亚坛高原</t>
        </is>
      </c>
      <c r="E1170" s="399" t="n">
        <v>1</v>
      </c>
      <c r="F1170" s="399" t="inlineStr">
        <is>
          <t>武器</t>
        </is>
      </c>
      <c r="G1170" s="398" t="n">
        <v>5</v>
      </c>
      <c r="H1170" s="398" t="n"/>
      <c r="I1170" s="398" t="n">
        <v>7189</v>
      </c>
      <c r="J1170" s="398" t="n">
        <v>14</v>
      </c>
      <c r="K1170" s="398" t="n"/>
      <c r="L1170" s="398" t="n"/>
      <c r="M1170" s="398" t="n">
        <v>7189</v>
      </c>
      <c r="N1170" s="398" t="n">
        <v>7189</v>
      </c>
      <c r="O1170" s="398" t="n">
        <v>7189</v>
      </c>
      <c r="P1170" s="292" t="n"/>
      <c r="Q1170" s="292" t="inlineStr">
        <is>
          <t>测试新增资源已回读</t>
        </is>
      </c>
      <c r="R1170" s="292" t="inlineStr">
        <is>
          <t>C09-M023</t>
        </is>
      </c>
      <c r="S1170" s="292" t="inlineStr">
        <is>
          <t>平台装备素材/0211_血月荆棘·荆冠_武器.bmp</t>
        </is>
      </c>
      <c r="T1170" s="292" t="inlineStr">
        <is>
          <t>仅测试副本；未写正式客户端</t>
        </is>
      </c>
      <c r="U1170">
        <f>IF(COUNTIF($B$2:$B$1198,B1170)&gt;1,"重复","")</f>
        <v/>
      </c>
      <c r="V1170">
        <f>IF(AND(OR(M1170="",M1170=B1170),OR(N1170="",N1170=B1170),OR(O1170="",O1170=B1170)),"通过","不一致")</f>
        <v/>
      </c>
    </row>
    <row r="1171">
      <c r="A1171" s="398" t="n">
        <v>1170</v>
      </c>
      <c r="B1171" s="398" t="n">
        <v>7190</v>
      </c>
      <c r="C1171" s="399" t="inlineStr">
        <is>
          <t>C3-C10专属待补</t>
        </is>
      </c>
      <c r="D1171" s="399" t="inlineStr">
        <is>
          <t>亚坛高原</t>
        </is>
      </c>
      <c r="E1171" s="399" t="n">
        <v>1</v>
      </c>
      <c r="F1171" s="399" t="inlineStr">
        <is>
          <t>男衣服（现行模板的衣服映射）</t>
        </is>
      </c>
      <c r="G1171" s="398" t="n">
        <v>10</v>
      </c>
      <c r="H1171" s="398" t="n"/>
      <c r="I1171" s="398" t="n">
        <v>7190</v>
      </c>
      <c r="J1171" s="398" t="n">
        <v>1</v>
      </c>
      <c r="K1171" s="398" t="n"/>
      <c r="L1171" s="398" t="n"/>
      <c r="M1171" s="398" t="n">
        <v>7190</v>
      </c>
      <c r="N1171" s="398" t="n">
        <v>7190</v>
      </c>
      <c r="O1171" s="398" t="n">
        <v>7190</v>
      </c>
      <c r="P1171" s="292" t="n"/>
      <c r="Q1171" s="292" t="inlineStr">
        <is>
          <t>测试新增资源已回读</t>
        </is>
      </c>
      <c r="R1171" s="292" t="inlineStr">
        <is>
          <t>C09-M024</t>
        </is>
      </c>
      <c r="S1171" s="292" t="inlineStr">
        <is>
          <t>平台装备素材/0562_翠焰冥契·腐痕_男衣服.bmp</t>
        </is>
      </c>
      <c r="T1171" s="292" t="inlineStr">
        <is>
          <t>仅测试副本；未写正式客户端</t>
        </is>
      </c>
      <c r="U1171">
        <f>IF(COUNTIF($B$2:$B$1198,B1171)&gt;1,"重复","")</f>
        <v/>
      </c>
      <c r="V1171">
        <f>IF(AND(OR(M1171="",M1171=B1171),OR(N1171="",N1171=B1171),OR(O1171="",O1171=B1171)),"通过","不一致")</f>
        <v/>
      </c>
    </row>
    <row r="1172">
      <c r="A1172" s="398" t="n">
        <v>1171</v>
      </c>
      <c r="B1172" s="398" t="n">
        <v>7191</v>
      </c>
      <c r="C1172" s="399" t="inlineStr">
        <is>
          <t>C3-C10专属待补</t>
        </is>
      </c>
      <c r="D1172" s="399" t="inlineStr">
        <is>
          <t>亚坛高原</t>
        </is>
      </c>
      <c r="E1172" s="399" t="n">
        <v>1</v>
      </c>
      <c r="F1172" s="399" t="inlineStr">
        <is>
          <t>武器</t>
        </is>
      </c>
      <c r="G1172" s="398" t="n">
        <v>5</v>
      </c>
      <c r="H1172" s="398" t="n"/>
      <c r="I1172" s="398" t="n">
        <v>7191</v>
      </c>
      <c r="J1172" s="398" t="n">
        <v>14</v>
      </c>
      <c r="K1172" s="398" t="n"/>
      <c r="L1172" s="398" t="n"/>
      <c r="M1172" s="398" t="n">
        <v>7191</v>
      </c>
      <c r="N1172" s="398" t="n">
        <v>7191</v>
      </c>
      <c r="O1172" s="398" t="n">
        <v>7191</v>
      </c>
      <c r="P1172" s="292" t="n"/>
      <c r="Q1172" s="292" t="inlineStr">
        <is>
          <t>测试新增资源已回读</t>
        </is>
      </c>
      <c r="R1172" s="292" t="inlineStr">
        <is>
          <t>C09-M025</t>
        </is>
      </c>
      <c r="S1172" s="292" t="inlineStr">
        <is>
          <t>平台装备素材/0246_血月荆棘·猩月_武器.bmp</t>
        </is>
      </c>
      <c r="T1172" s="292" t="inlineStr">
        <is>
          <t>仅测试副本；未写正式客户端</t>
        </is>
      </c>
      <c r="U1172">
        <f>IF(COUNTIF($B$2:$B$1198,B1172)&gt;1,"重复","")</f>
        <v/>
      </c>
      <c r="V1172">
        <f>IF(AND(OR(M1172="",M1172=B1172),OR(N1172="",N1172=B1172),OR(O1172="",O1172=B1172)),"通过","不一致")</f>
        <v/>
      </c>
    </row>
    <row r="1173">
      <c r="A1173" s="398" t="n">
        <v>1172</v>
      </c>
      <c r="B1173" s="398" t="n">
        <v>7192</v>
      </c>
      <c r="C1173" s="399" t="inlineStr">
        <is>
          <t>C3-C10专属待补</t>
        </is>
      </c>
      <c r="D1173" s="399" t="inlineStr">
        <is>
          <t>亚坛高原</t>
        </is>
      </c>
      <c r="E1173" s="399" t="n">
        <v>1</v>
      </c>
      <c r="F1173" s="399" t="inlineStr">
        <is>
          <t>男衣服（现行模板的衣服映射）</t>
        </is>
      </c>
      <c r="G1173" s="398" t="n">
        <v>10</v>
      </c>
      <c r="H1173" s="398" t="n"/>
      <c r="I1173" s="398" t="n">
        <v>7192</v>
      </c>
      <c r="J1173" s="398" t="n">
        <v>1</v>
      </c>
      <c r="K1173" s="398" t="n"/>
      <c r="L1173" s="398" t="n"/>
      <c r="M1173" s="398" t="n">
        <v>7192</v>
      </c>
      <c r="N1173" s="398" t="n">
        <v>7192</v>
      </c>
      <c r="O1173" s="398" t="n">
        <v>7192</v>
      </c>
      <c r="P1173" s="292" t="n"/>
      <c r="Q1173" s="292" t="inlineStr">
        <is>
          <t>测试新增资源已回读</t>
        </is>
      </c>
      <c r="R1173" s="292" t="inlineStr">
        <is>
          <t>C09-M029</t>
        </is>
      </c>
      <c r="S1173" s="292" t="inlineStr">
        <is>
          <t>平台装备素材/0597_翠焰冥契·冥契_男衣服.bmp</t>
        </is>
      </c>
      <c r="T1173" s="292" t="inlineStr">
        <is>
          <t>仅测试副本；未写正式客户端</t>
        </is>
      </c>
      <c r="U1173">
        <f>IF(COUNTIF($B$2:$B$1198,B1173)&gt;1,"重复","")</f>
        <v/>
      </c>
      <c r="V1173">
        <f>IF(AND(OR(M1173="",M1173=B1173),OR(N1173="",N1173=B1173),OR(O1173="",O1173=B1173)),"通过","不一致")</f>
        <v/>
      </c>
    </row>
    <row r="1174">
      <c r="A1174" s="398" t="n">
        <v>1173</v>
      </c>
      <c r="B1174" s="398" t="n">
        <v>7193</v>
      </c>
      <c r="C1174" s="399" t="inlineStr">
        <is>
          <t>C3-C10专属待补</t>
        </is>
      </c>
      <c r="D1174" s="399" t="inlineStr">
        <is>
          <t>亚坛高原</t>
        </is>
      </c>
      <c r="E1174" s="399" t="n">
        <v>1</v>
      </c>
      <c r="F1174" s="399" t="inlineStr">
        <is>
          <t>武器</t>
        </is>
      </c>
      <c r="G1174" s="398" t="n">
        <v>5</v>
      </c>
      <c r="H1174" s="398" t="n"/>
      <c r="I1174" s="398" t="n">
        <v>7193</v>
      </c>
      <c r="J1174" s="398" t="n">
        <v>14</v>
      </c>
      <c r="K1174" s="398" t="n"/>
      <c r="L1174" s="398" t="n"/>
      <c r="M1174" s="398" t="n">
        <v>7193</v>
      </c>
      <c r="N1174" s="398" t="n">
        <v>7193</v>
      </c>
      <c r="O1174" s="398" t="n">
        <v>7193</v>
      </c>
      <c r="P1174" s="292" t="n"/>
      <c r="Q1174" s="292" t="inlineStr">
        <is>
          <t>测试新增资源已回读</t>
        </is>
      </c>
      <c r="R1174" s="292" t="inlineStr">
        <is>
          <t>C09-M035</t>
        </is>
      </c>
      <c r="S1174" s="292" t="inlineStr">
        <is>
          <t>平台装备素材/0281_血月荆棘·弑王_武器.bmp</t>
        </is>
      </c>
      <c r="T1174" s="292" t="inlineStr">
        <is>
          <t>仅测试副本；未写正式客户端</t>
        </is>
      </c>
      <c r="U1174">
        <f>IF(COUNTIF($B$2:$B$1198,B1174)&gt;1,"重复","")</f>
        <v/>
      </c>
      <c r="V1174">
        <f>IF(AND(OR(M1174="",M1174=B1174),OR(N1174="",N1174=B1174),OR(O1174="",O1174=B1174)),"通过","不一致")</f>
        <v/>
      </c>
    </row>
    <row r="1175">
      <c r="A1175" s="398" t="n">
        <v>1174</v>
      </c>
      <c r="B1175" s="398" t="n">
        <v>7194</v>
      </c>
      <c r="C1175" s="399" t="inlineStr">
        <is>
          <t>C3-C10专属待补</t>
        </is>
      </c>
      <c r="D1175" s="399" t="inlineStr">
        <is>
          <t>亚坛高原</t>
        </is>
      </c>
      <c r="E1175" s="399" t="n">
        <v>1</v>
      </c>
      <c r="F1175" s="399" t="inlineStr">
        <is>
          <t>男衣服（现行模板的衣服映射）</t>
        </is>
      </c>
      <c r="G1175" s="398" t="n">
        <v>10</v>
      </c>
      <c r="H1175" s="398" t="n"/>
      <c r="I1175" s="398" t="n">
        <v>7194</v>
      </c>
      <c r="J1175" s="398" t="n">
        <v>1</v>
      </c>
      <c r="K1175" s="398" t="n"/>
      <c r="L1175" s="398" t="n"/>
      <c r="M1175" s="398" t="n">
        <v>7194</v>
      </c>
      <c r="N1175" s="398" t="n">
        <v>7194</v>
      </c>
      <c r="O1175" s="398" t="n">
        <v>7194</v>
      </c>
      <c r="P1175" s="292" t="n"/>
      <c r="Q1175" s="292" t="inlineStr">
        <is>
          <t>测试新增资源已回读</t>
        </is>
      </c>
      <c r="R1175" s="292" t="inlineStr">
        <is>
          <t>C09-M036</t>
        </is>
      </c>
      <c r="S1175" s="292" t="inlineStr">
        <is>
          <t>平台装备素材/0632_翠焰冥契·灾厄_男衣服.bmp</t>
        </is>
      </c>
      <c r="T1175" s="292" t="inlineStr">
        <is>
          <t>仅测试副本；未写正式客户端</t>
        </is>
      </c>
      <c r="U1175">
        <f>IF(COUNTIF($B$2:$B$1198,B1175)&gt;1,"重复","")</f>
        <v/>
      </c>
      <c r="V1175">
        <f>IF(AND(OR(M1175="",M1175=B1175),OR(N1175="",N1175=B1175),OR(O1175="",O1175=B1175)),"通过","不一致")</f>
        <v/>
      </c>
    </row>
    <row r="1176">
      <c r="A1176" s="398" t="n">
        <v>1175</v>
      </c>
      <c r="B1176" s="398" t="n">
        <v>7195</v>
      </c>
      <c r="C1176" s="399" t="inlineStr">
        <is>
          <t>C3-C10专属待补</t>
        </is>
      </c>
      <c r="D1176" s="399" t="inlineStr">
        <is>
          <t>亚坛高原</t>
        </is>
      </c>
      <c r="E1176" s="399" t="n">
        <v>1</v>
      </c>
      <c r="F1176" s="399" t="inlineStr">
        <is>
          <t>男衣服（现行模板的衣服映射）</t>
        </is>
      </c>
      <c r="G1176" s="398" t="n">
        <v>10</v>
      </c>
      <c r="H1176" s="398" t="n"/>
      <c r="I1176" s="398" t="n">
        <v>7195</v>
      </c>
      <c r="J1176" s="398" t="n">
        <v>1</v>
      </c>
      <c r="K1176" s="398" t="n"/>
      <c r="L1176" s="398" t="n"/>
      <c r="M1176" s="398" t="n">
        <v>7195</v>
      </c>
      <c r="N1176" s="398" t="n">
        <v>7195</v>
      </c>
      <c r="O1176" s="398" t="n">
        <v>7195</v>
      </c>
      <c r="P1176" s="292" t="n"/>
      <c r="Q1176" s="292" t="inlineStr">
        <is>
          <t>测试新增资源已回读</t>
        </is>
      </c>
      <c r="R1176" s="292" t="inlineStr">
        <is>
          <t>C09-M039</t>
        </is>
      </c>
      <c r="S1176" s="292" t="inlineStr">
        <is>
          <t>平台装备素材/0667_翠焰冥契·永夜_男衣服.bmp</t>
        </is>
      </c>
      <c r="T1176" s="292" t="inlineStr">
        <is>
          <t>仅测试副本；未写正式客户端</t>
        </is>
      </c>
      <c r="U1176">
        <f>IF(COUNTIF($B$2:$B$1198,B1176)&gt;1,"重复","")</f>
        <v/>
      </c>
      <c r="V1176">
        <f>IF(AND(OR(M1176="",M1176=B1176),OR(N1176="",N1176=B1176),OR(O1176="",O1176=B1176)),"通过","不一致")</f>
        <v/>
      </c>
    </row>
    <row r="1177">
      <c r="A1177" s="398" t="n">
        <v>1176</v>
      </c>
      <c r="B1177" s="398" t="n">
        <v>7196</v>
      </c>
      <c r="C1177" s="399" t="inlineStr">
        <is>
          <t>C3-C10专属待补</t>
        </is>
      </c>
      <c r="D1177" s="399" t="inlineStr">
        <is>
          <t>亚坛高原</t>
        </is>
      </c>
      <c r="E1177" s="399" t="n">
        <v>1</v>
      </c>
      <c r="F1177" s="399" t="inlineStr">
        <is>
          <t>武器</t>
        </is>
      </c>
      <c r="G1177" s="398" t="n">
        <v>5</v>
      </c>
      <c r="H1177" s="398" t="n"/>
      <c r="I1177" s="398" t="n">
        <v>7196</v>
      </c>
      <c r="J1177" s="398" t="n">
        <v>14</v>
      </c>
      <c r="K1177" s="398" t="n"/>
      <c r="L1177" s="398" t="n"/>
      <c r="M1177" s="398" t="n">
        <v>7196</v>
      </c>
      <c r="N1177" s="398" t="n">
        <v>7196</v>
      </c>
      <c r="O1177" s="398" t="n">
        <v>7196</v>
      </c>
      <c r="P1177" s="292" t="n"/>
      <c r="Q1177" s="292" t="inlineStr">
        <is>
          <t>测试新增资源已回读</t>
        </is>
      </c>
      <c r="R1177" s="292" t="inlineStr">
        <is>
          <t>C09-M042</t>
        </is>
      </c>
      <c r="S1177" s="292" t="inlineStr">
        <is>
          <t>平台装备素材/0316_血月荆棘·血月_武器.bmp</t>
        </is>
      </c>
      <c r="T1177" s="292" t="inlineStr">
        <is>
          <t>仅测试副本；未写正式客户端</t>
        </is>
      </c>
      <c r="U1177">
        <f>IF(COUNTIF($B$2:$B$1198,B1177)&gt;1,"重复","")</f>
        <v/>
      </c>
      <c r="V1177">
        <f>IF(AND(OR(M1177="",M1177=B1177),OR(N1177="",N1177=B1177),OR(O1177="",O1177=B1177)),"通过","不一致")</f>
        <v/>
      </c>
    </row>
    <row r="1178">
      <c r="A1178" s="398" t="n">
        <v>1177</v>
      </c>
      <c r="B1178" s="398" t="n">
        <v>7197</v>
      </c>
      <c r="C1178" s="399" t="inlineStr">
        <is>
          <t>C3-C10专属待补</t>
        </is>
      </c>
      <c r="D1178" s="399" t="inlineStr">
        <is>
          <t>亚坛高原</t>
        </is>
      </c>
      <c r="E1178" s="399" t="n">
        <v>1</v>
      </c>
      <c r="F1178" s="399" t="inlineStr">
        <is>
          <t>武器</t>
        </is>
      </c>
      <c r="G1178" s="398" t="n">
        <v>5</v>
      </c>
      <c r="H1178" s="398" t="n"/>
      <c r="I1178" s="398" t="n">
        <v>7197</v>
      </c>
      <c r="J1178" s="398" t="n">
        <v>14</v>
      </c>
      <c r="K1178" s="398" t="n"/>
      <c r="L1178" s="398" t="n"/>
      <c r="M1178" s="398" t="n">
        <v>7197</v>
      </c>
      <c r="N1178" s="398" t="n">
        <v>7197</v>
      </c>
      <c r="O1178" s="398" t="n">
        <v>7197</v>
      </c>
      <c r="P1178" s="292" t="n"/>
      <c r="Q1178" s="292" t="inlineStr">
        <is>
          <t>测试新增资源已回读</t>
        </is>
      </c>
      <c r="R1178" s="292" t="inlineStr">
        <is>
          <t>C09-M047</t>
        </is>
      </c>
      <c r="S1178" s="292" t="inlineStr">
        <is>
          <t>平台装备素材/0351_星渊龙息·星痕_武器.bmp</t>
        </is>
      </c>
      <c r="T1178" s="292" t="inlineStr">
        <is>
          <t>仅测试副本；未写正式客户端</t>
        </is>
      </c>
      <c r="U1178">
        <f>IF(COUNTIF($B$2:$B$1198,B1178)&gt;1,"重复","")</f>
        <v/>
      </c>
      <c r="V1178">
        <f>IF(AND(OR(M1178="",M1178=B1178),OR(N1178="",N1178=B1178),OR(O1178="",O1178=B1178)),"通过","不一致")</f>
        <v/>
      </c>
    </row>
    <row r="1179">
      <c r="A1179" s="398" t="n">
        <v>1178</v>
      </c>
      <c r="B1179" s="398" t="n">
        <v>7198</v>
      </c>
      <c r="C1179" s="399" t="inlineStr">
        <is>
          <t>C3-C10专属待补</t>
        </is>
      </c>
      <c r="D1179" s="399" t="inlineStr">
        <is>
          <t>亚坛高原</t>
        </is>
      </c>
      <c r="E1179" s="399" t="n">
        <v>1</v>
      </c>
      <c r="F1179" s="399" t="inlineStr">
        <is>
          <t>男衣服（现行模板的衣服映射）</t>
        </is>
      </c>
      <c r="G1179" s="398" t="n">
        <v>10</v>
      </c>
      <c r="H1179" s="398" t="n"/>
      <c r="I1179" s="398" t="n">
        <v>7198</v>
      </c>
      <c r="J1179" s="398" t="n">
        <v>1</v>
      </c>
      <c r="K1179" s="398" t="n"/>
      <c r="L1179" s="398" t="n"/>
      <c r="M1179" s="398" t="n">
        <v>7198</v>
      </c>
      <c r="N1179" s="398" t="n">
        <v>7198</v>
      </c>
      <c r="O1179" s="398" t="n">
        <v>7198</v>
      </c>
      <c r="P1179" s="292" t="n"/>
      <c r="Q1179" s="292" t="inlineStr">
        <is>
          <t>测试新增资源已回读</t>
        </is>
      </c>
      <c r="R1179" s="292" t="inlineStr">
        <is>
          <t>C09-M048</t>
        </is>
      </c>
      <c r="S1179" s="292" t="inlineStr">
        <is>
          <t>平台装备素材/0002_黄金圣树·初誓_男衣服.bmp</t>
        </is>
      </c>
      <c r="T1179" s="292" t="inlineStr">
        <is>
          <t>仅测试副本；未写正式客户端</t>
        </is>
      </c>
      <c r="U1179">
        <f>IF(COUNTIF($B$2:$B$1198,B1179)&gt;1,"重复","")</f>
        <v/>
      </c>
      <c r="V1179">
        <f>IF(AND(OR(M1179="",M1179=B1179),OR(N1179="",N1179=B1179),OR(O1179="",O1179=B1179)),"通过","不一致")</f>
        <v/>
      </c>
    </row>
    <row r="1180">
      <c r="A1180" s="398" t="n">
        <v>1179</v>
      </c>
      <c r="B1180" s="398" t="n">
        <v>7199</v>
      </c>
      <c r="C1180" s="399" t="inlineStr">
        <is>
          <t>C3-C10专属待补</t>
        </is>
      </c>
      <c r="D1180" s="399" t="inlineStr">
        <is>
          <t>亚坛高原</t>
        </is>
      </c>
      <c r="E1180" s="399" t="n">
        <v>1</v>
      </c>
      <c r="F1180" s="399" t="inlineStr">
        <is>
          <t>武器</t>
        </is>
      </c>
      <c r="G1180" s="398" t="n">
        <v>5</v>
      </c>
      <c r="H1180" s="398" t="n"/>
      <c r="I1180" s="398" t="n">
        <v>7199</v>
      </c>
      <c r="J1180" s="398" t="n">
        <v>14</v>
      </c>
      <c r="K1180" s="398" t="n"/>
      <c r="L1180" s="398" t="n"/>
      <c r="M1180" s="398" t="n">
        <v>7199</v>
      </c>
      <c r="N1180" s="398" t="n">
        <v>7199</v>
      </c>
      <c r="O1180" s="398" t="n">
        <v>7199</v>
      </c>
      <c r="P1180" s="292" t="n"/>
      <c r="Q1180" s="292" t="inlineStr">
        <is>
          <t>测试新增资源已回读</t>
        </is>
      </c>
      <c r="R1180" s="292" t="inlineStr">
        <is>
          <t>C09-M051</t>
        </is>
      </c>
      <c r="S1180" s="292" t="inlineStr">
        <is>
          <t>平台装备素材/0386_星渊龙息·龙鳞_武器.bmp</t>
        </is>
      </c>
      <c r="T1180" s="292" t="inlineStr">
        <is>
          <t>仅测试副本；未写正式客户端</t>
        </is>
      </c>
      <c r="U1180">
        <f>IF(COUNTIF($B$2:$B$1198,B1180)&gt;1,"重复","")</f>
        <v/>
      </c>
      <c r="V1180">
        <f>IF(AND(OR(M1180="",M1180=B1180),OR(N1180="",N1180=B1180),OR(O1180="",O1180=B1180)),"通过","不一致")</f>
        <v/>
      </c>
    </row>
    <row r="1181">
      <c r="A1181" s="398" t="n">
        <v>1180</v>
      </c>
      <c r="B1181" s="398" t="n">
        <v>7200</v>
      </c>
      <c r="C1181" s="399" t="inlineStr">
        <is>
          <t>C3-C10专属待补</t>
        </is>
      </c>
      <c r="D1181" s="399" t="inlineStr">
        <is>
          <t>亚坛高原</t>
        </is>
      </c>
      <c r="E1181" s="399" t="n">
        <v>1</v>
      </c>
      <c r="F1181" s="399" t="inlineStr">
        <is>
          <t>男衣服（现行模板的衣服映射）</t>
        </is>
      </c>
      <c r="G1181" s="398" t="n">
        <v>10</v>
      </c>
      <c r="H1181" s="398" t="n"/>
      <c r="I1181" s="398" t="n">
        <v>7200</v>
      </c>
      <c r="J1181" s="398" t="n">
        <v>1</v>
      </c>
      <c r="K1181" s="398" t="n"/>
      <c r="L1181" s="398" t="n"/>
      <c r="M1181" s="398" t="n">
        <v>7200</v>
      </c>
      <c r="N1181" s="398" t="n">
        <v>7200</v>
      </c>
      <c r="O1181" s="398" t="n">
        <v>7200</v>
      </c>
      <c r="P1181" s="292" t="n"/>
      <c r="Q1181" s="292" t="inlineStr">
        <is>
          <t>测试新增资源已回读</t>
        </is>
      </c>
      <c r="R1181" s="292" t="inlineStr">
        <is>
          <t>C09-M054</t>
        </is>
      </c>
      <c r="S1181" s="292" t="inlineStr">
        <is>
          <t>平台装备素材/0037_黄金圣树·圣枝_男衣服.bmp</t>
        </is>
      </c>
      <c r="T1181" s="292" t="inlineStr">
        <is>
          <t>仅测试副本；未写正式客户端</t>
        </is>
      </c>
      <c r="U1181">
        <f>IF(COUNTIF($B$2:$B$1198,B1181)&gt;1,"重复","")</f>
        <v/>
      </c>
      <c r="V1181">
        <f>IF(AND(OR(M1181="",M1181=B1181),OR(N1181="",N1181=B1181),OR(O1181="",O1181=B1181)),"通过","不一致")</f>
        <v/>
      </c>
    </row>
    <row r="1182">
      <c r="A1182" s="398" t="n">
        <v>1181</v>
      </c>
      <c r="B1182" s="398" t="n">
        <v>7201</v>
      </c>
      <c r="C1182" s="399" t="inlineStr">
        <is>
          <t>C3-C10专属待补</t>
        </is>
      </c>
      <c r="D1182" s="399" t="inlineStr">
        <is>
          <t>亚坛高原</t>
        </is>
      </c>
      <c r="E1182" s="399" t="n">
        <v>1</v>
      </c>
      <c r="F1182" s="399" t="inlineStr">
        <is>
          <t>武器</t>
        </is>
      </c>
      <c r="G1182" s="398" t="n">
        <v>5</v>
      </c>
      <c r="H1182" s="398" t="n"/>
      <c r="I1182" s="398" t="n">
        <v>7201</v>
      </c>
      <c r="J1182" s="398" t="n">
        <v>14</v>
      </c>
      <c r="K1182" s="398" t="n"/>
      <c r="L1182" s="398" t="n"/>
      <c r="M1182" s="398" t="n">
        <v>7201</v>
      </c>
      <c r="N1182" s="398" t="n">
        <v>7201</v>
      </c>
      <c r="O1182" s="398" t="n">
        <v>7201</v>
      </c>
      <c r="P1182" s="292" t="n"/>
      <c r="Q1182" s="292" t="inlineStr">
        <is>
          <t>测试新增资源已回读</t>
        </is>
      </c>
      <c r="R1182" s="292" t="inlineStr">
        <is>
          <t>C09-M059</t>
        </is>
      </c>
      <c r="S1182" s="292" t="inlineStr">
        <is>
          <t>平台装备素材/0421_星渊龙息·渊辉_武器.bmp</t>
        </is>
      </c>
      <c r="T1182" s="292" t="inlineStr">
        <is>
          <t>仅测试副本；未写正式客户端</t>
        </is>
      </c>
      <c r="U1182">
        <f>IF(COUNTIF($B$2:$B$1198,B1182)&gt;1,"重复","")</f>
        <v/>
      </c>
      <c r="V1182">
        <f>IF(AND(OR(M1182="",M1182=B1182),OR(N1182="",N1182=B1182),OR(O1182="",O1182=B1182)),"通过","不一致")</f>
        <v/>
      </c>
    </row>
    <row r="1183">
      <c r="A1183" s="398" t="n">
        <v>1182</v>
      </c>
      <c r="B1183" s="398" t="n">
        <v>7202</v>
      </c>
      <c r="C1183" s="399" t="inlineStr">
        <is>
          <t>C3-C10专属待补</t>
        </is>
      </c>
      <c r="D1183" s="399" t="inlineStr">
        <is>
          <t>亚坛高原</t>
        </is>
      </c>
      <c r="E1183" s="399" t="n">
        <v>1</v>
      </c>
      <c r="F1183" s="399" t="inlineStr">
        <is>
          <t>男衣服（现行模板的衣服映射）</t>
        </is>
      </c>
      <c r="G1183" s="398" t="n">
        <v>10</v>
      </c>
      <c r="H1183" s="398" t="n"/>
      <c r="I1183" s="398" t="n">
        <v>7202</v>
      </c>
      <c r="J1183" s="398" t="n">
        <v>1</v>
      </c>
      <c r="K1183" s="398" t="n"/>
      <c r="L1183" s="398" t="n"/>
      <c r="M1183" s="398" t="n">
        <v>7202</v>
      </c>
      <c r="N1183" s="398" t="n">
        <v>7202</v>
      </c>
      <c r="O1183" s="398" t="n">
        <v>7202</v>
      </c>
      <c r="P1183" s="292" t="n"/>
      <c r="Q1183" s="292" t="inlineStr">
        <is>
          <t>测试新增资源已回读</t>
        </is>
      </c>
      <c r="R1183" s="292" t="inlineStr">
        <is>
          <t>C09-M060</t>
        </is>
      </c>
      <c r="S1183" s="292" t="inlineStr">
        <is>
          <t>平台装备素材/0072_黄金圣树·王权_男衣服.bmp</t>
        </is>
      </c>
      <c r="T1183" s="292" t="inlineStr">
        <is>
          <t>仅测试副本；未写正式客户端</t>
        </is>
      </c>
      <c r="U1183">
        <f>IF(COUNTIF($B$2:$B$1198,B1183)&gt;1,"重复","")</f>
        <v/>
      </c>
      <c r="V1183">
        <f>IF(AND(OR(M1183="",M1183=B1183),OR(N1183="",N1183=B1183),OR(O1183="",O1183=B1183)),"通过","不一致")</f>
        <v/>
      </c>
    </row>
    <row r="1184">
      <c r="A1184" s="398" t="n">
        <v>1183</v>
      </c>
      <c r="B1184" s="398" t="n">
        <v>7203</v>
      </c>
      <c r="C1184" s="399" t="inlineStr">
        <is>
          <t>C3-C10专属待补</t>
        </is>
      </c>
      <c r="D1184" s="399" t="inlineStr">
        <is>
          <t>王城罗德尔</t>
        </is>
      </c>
      <c r="E1184" s="399" t="n">
        <v>1</v>
      </c>
      <c r="F1184" s="399" t="inlineStr">
        <is>
          <t>武器</t>
        </is>
      </c>
      <c r="G1184" s="398" t="n">
        <v>5</v>
      </c>
      <c r="H1184" s="398" t="n"/>
      <c r="I1184" s="398" t="n">
        <v>7203</v>
      </c>
      <c r="J1184" s="398" t="n">
        <v>14</v>
      </c>
      <c r="K1184" s="398" t="n"/>
      <c r="L1184" s="398" t="n"/>
      <c r="M1184" s="398" t="n">
        <v>7203</v>
      </c>
      <c r="N1184" s="398" t="n">
        <v>7203</v>
      </c>
      <c r="O1184" s="398" t="n">
        <v>7203</v>
      </c>
      <c r="P1184" s="292" t="n"/>
      <c r="Q1184" s="292" t="inlineStr">
        <is>
          <t>测试新增资源已回读</t>
        </is>
      </c>
      <c r="R1184" s="292" t="inlineStr">
        <is>
          <t>C10-M001</t>
        </is>
      </c>
      <c r="S1184" s="292" t="inlineStr">
        <is>
          <t>平台装备素材/0456_星渊龙息·天穹_武器.bmp</t>
        </is>
      </c>
      <c r="T1184" s="292" t="inlineStr">
        <is>
          <t>仅测试副本；未写正式客户端</t>
        </is>
      </c>
      <c r="U1184">
        <f>IF(COUNTIF($B$2:$B$1198,B1184)&gt;1,"重复","")</f>
        <v/>
      </c>
      <c r="V1184">
        <f>IF(AND(OR(M1184="",M1184=B1184),OR(N1184="",N1184=B1184),OR(O1184="",O1184=B1184)),"通过","不一致")</f>
        <v/>
      </c>
    </row>
    <row r="1185">
      <c r="A1185" s="398" t="n">
        <v>1184</v>
      </c>
      <c r="B1185" s="398" t="n">
        <v>7204</v>
      </c>
      <c r="C1185" s="399" t="inlineStr">
        <is>
          <t>C3-C10专属待补</t>
        </is>
      </c>
      <c r="D1185" s="399" t="inlineStr">
        <is>
          <t>王城罗德尔</t>
        </is>
      </c>
      <c r="E1185" s="399" t="n">
        <v>1</v>
      </c>
      <c r="F1185" s="399" t="inlineStr">
        <is>
          <t>男衣服（现行模板的衣服映射）</t>
        </is>
      </c>
      <c r="G1185" s="398" t="n">
        <v>10</v>
      </c>
      <c r="H1185" s="398" t="n"/>
      <c r="I1185" s="398" t="n">
        <v>7204</v>
      </c>
      <c r="J1185" s="398" t="n">
        <v>1</v>
      </c>
      <c r="K1185" s="398" t="n"/>
      <c r="L1185" s="398" t="n"/>
      <c r="M1185" s="398" t="n">
        <v>7204</v>
      </c>
      <c r="N1185" s="398" t="n">
        <v>7204</v>
      </c>
      <c r="O1185" s="398" t="n">
        <v>7204</v>
      </c>
      <c r="P1185" s="292" t="n"/>
      <c r="Q1185" s="292" t="inlineStr">
        <is>
          <t>测试新增资源已回读</t>
        </is>
      </c>
      <c r="R1185" s="292" t="inlineStr">
        <is>
          <t>C10-M005</t>
        </is>
      </c>
      <c r="S1185" s="292" t="inlineStr">
        <is>
          <t>平台装备素材/0107_黄金圣树·律法_男衣服.bmp</t>
        </is>
      </c>
      <c r="T1185" s="292" t="inlineStr">
        <is>
          <t>仅测试副本；未写正式客户端</t>
        </is>
      </c>
      <c r="U1185">
        <f>IF(COUNTIF($B$2:$B$1198,B1185)&gt;1,"重复","")</f>
        <v/>
      </c>
      <c r="V1185">
        <f>IF(AND(OR(M1185="",M1185=B1185),OR(N1185="",N1185=B1185),OR(O1185="",O1185=B1185)),"通过","不一致")</f>
        <v/>
      </c>
    </row>
    <row r="1186">
      <c r="A1186" s="398" t="n">
        <v>1185</v>
      </c>
      <c r="B1186" s="398" t="n">
        <v>7205</v>
      </c>
      <c r="C1186" s="399" t="inlineStr">
        <is>
          <t>C3-C10专属待补</t>
        </is>
      </c>
      <c r="D1186" s="399" t="inlineStr">
        <is>
          <t>王城罗德尔</t>
        </is>
      </c>
      <c r="E1186" s="399" t="n">
        <v>1</v>
      </c>
      <c r="F1186" s="399" t="inlineStr">
        <is>
          <t>武器</t>
        </is>
      </c>
      <c r="G1186" s="398" t="n">
        <v>5</v>
      </c>
      <c r="H1186" s="398" t="n"/>
      <c r="I1186" s="398" t="n">
        <v>7205</v>
      </c>
      <c r="J1186" s="398" t="n">
        <v>14</v>
      </c>
      <c r="K1186" s="398" t="n"/>
      <c r="L1186" s="398" t="n"/>
      <c r="M1186" s="398" t="n">
        <v>7205</v>
      </c>
      <c r="N1186" s="398" t="n">
        <v>7205</v>
      </c>
      <c r="O1186" s="398" t="n">
        <v>7205</v>
      </c>
      <c r="P1186" s="292" t="n"/>
      <c r="Q1186" s="292" t="inlineStr">
        <is>
          <t>测试新增资源已回读</t>
        </is>
      </c>
      <c r="R1186" s="292" t="inlineStr">
        <is>
          <t>C10-M012</t>
        </is>
      </c>
      <c r="S1186" s="292" t="inlineStr">
        <is>
          <t>平台装备素材/0491_星渊龙息·无垠_武器.bmp</t>
        </is>
      </c>
      <c r="T1186" s="292" t="inlineStr">
        <is>
          <t>仅测试副本；未写正式客户端</t>
        </is>
      </c>
      <c r="U1186">
        <f>IF(COUNTIF($B$2:$B$1198,B1186)&gt;1,"重复","")</f>
        <v/>
      </c>
      <c r="V1186">
        <f>IF(AND(OR(M1186="",M1186=B1186),OR(N1186="",N1186=B1186),OR(O1186="",O1186=B1186)),"通过","不一致")</f>
        <v/>
      </c>
    </row>
    <row r="1187">
      <c r="A1187" s="398" t="n">
        <v>1186</v>
      </c>
      <c r="B1187" s="398" t="n">
        <v>7206</v>
      </c>
      <c r="C1187" s="399" t="inlineStr">
        <is>
          <t>C3-C10专属待补</t>
        </is>
      </c>
      <c r="D1187" s="399" t="inlineStr">
        <is>
          <t>王城罗德尔</t>
        </is>
      </c>
      <c r="E1187" s="399" t="n">
        <v>1</v>
      </c>
      <c r="F1187" s="399" t="inlineStr">
        <is>
          <t>武器</t>
        </is>
      </c>
      <c r="G1187" s="398" t="n">
        <v>5</v>
      </c>
      <c r="H1187" s="398" t="n"/>
      <c r="I1187" s="398" t="n">
        <v>7206</v>
      </c>
      <c r="J1187" s="398" t="n">
        <v>14</v>
      </c>
      <c r="K1187" s="398" t="n"/>
      <c r="L1187" s="398" t="n"/>
      <c r="M1187" s="398" t="n">
        <v>7206</v>
      </c>
      <c r="N1187" s="398" t="n">
        <v>7206</v>
      </c>
      <c r="O1187" s="398" t="n">
        <v>7206</v>
      </c>
      <c r="P1187" s="292" t="n"/>
      <c r="Q1187" s="292" t="inlineStr">
        <is>
          <t>测试新增资源已回读</t>
        </is>
      </c>
      <c r="R1187" s="292" t="inlineStr">
        <is>
          <t>C10-M013</t>
        </is>
      </c>
      <c r="S1187" s="292" t="inlineStr">
        <is>
          <t>平台装备素材/0526_翠焰冥契·幽焰_武器.bmp</t>
        </is>
      </c>
      <c r="T1187" s="292" t="inlineStr">
        <is>
          <t>仅测试副本；未写正式客户端</t>
        </is>
      </c>
      <c r="U1187">
        <f>IF(COUNTIF($B$2:$B$1198,B1187)&gt;1,"重复","")</f>
        <v/>
      </c>
      <c r="V1187">
        <f>IF(AND(OR(M1187="",M1187=B1187),OR(N1187="",N1187=B1187),OR(O1187="",O1187=B1187)),"通过","不一致")</f>
        <v/>
      </c>
    </row>
    <row r="1188">
      <c r="A1188" s="398" t="n">
        <v>1187</v>
      </c>
      <c r="B1188" s="398" t="n">
        <v>7207</v>
      </c>
      <c r="C1188" s="399" t="inlineStr">
        <is>
          <t>C3-C10专属待补</t>
        </is>
      </c>
      <c r="D1188" s="399" t="inlineStr">
        <is>
          <t>王城罗德尔</t>
        </is>
      </c>
      <c r="E1188" s="399" t="n">
        <v>1</v>
      </c>
      <c r="F1188" s="399" t="inlineStr">
        <is>
          <t>男衣服（现行模板的衣服映射）</t>
        </is>
      </c>
      <c r="G1188" s="398" t="n">
        <v>10</v>
      </c>
      <c r="H1188" s="398" t="n"/>
      <c r="I1188" s="398" t="n">
        <v>7207</v>
      </c>
      <c r="J1188" s="398" t="n">
        <v>1</v>
      </c>
      <c r="K1188" s="398" t="n"/>
      <c r="L1188" s="398" t="n"/>
      <c r="M1188" s="398" t="n">
        <v>7207</v>
      </c>
      <c r="N1188" s="398" t="n">
        <v>7207</v>
      </c>
      <c r="O1188" s="398" t="n">
        <v>7207</v>
      </c>
      <c r="P1188" s="292" t="n"/>
      <c r="Q1188" s="292" t="inlineStr">
        <is>
          <t>测试新增资源已回读</t>
        </is>
      </c>
      <c r="R1188" s="292" t="inlineStr">
        <is>
          <t>C10-M014</t>
        </is>
      </c>
      <c r="S1188" s="292" t="inlineStr">
        <is>
          <t>平台装备素材/0142_黄金圣树·永恒_男衣服.bmp</t>
        </is>
      </c>
      <c r="T1188" s="292" t="inlineStr">
        <is>
          <t>仅测试副本；未写正式客户端</t>
        </is>
      </c>
      <c r="U1188">
        <f>IF(COUNTIF($B$2:$B$1198,B1188)&gt;1,"重复","")</f>
        <v/>
      </c>
      <c r="V1188">
        <f>IF(AND(OR(M1188="",M1188=B1188),OR(N1188="",N1188=B1188),OR(O1188="",O1188=B1188)),"通过","不一致")</f>
        <v/>
      </c>
    </row>
    <row r="1189">
      <c r="A1189" s="398" t="n">
        <v>1188</v>
      </c>
      <c r="B1189" s="398" t="n">
        <v>7208</v>
      </c>
      <c r="C1189" s="399" t="inlineStr">
        <is>
          <t>C3-C10专属待补</t>
        </is>
      </c>
      <c r="D1189" s="399" t="inlineStr">
        <is>
          <t>王城罗德尔</t>
        </is>
      </c>
      <c r="E1189" s="399" t="n">
        <v>1</v>
      </c>
      <c r="F1189" s="399" t="inlineStr">
        <is>
          <t>男衣服（现行模板的衣服映射）</t>
        </is>
      </c>
      <c r="G1189" s="398" t="n">
        <v>10</v>
      </c>
      <c r="H1189" s="398" t="n"/>
      <c r="I1189" s="398" t="n">
        <v>7208</v>
      </c>
      <c r="J1189" s="398" t="n">
        <v>1</v>
      </c>
      <c r="K1189" s="398" t="n"/>
      <c r="L1189" s="398" t="n"/>
      <c r="M1189" s="398" t="n">
        <v>7208</v>
      </c>
      <c r="N1189" s="398" t="n">
        <v>7208</v>
      </c>
      <c r="O1189" s="398" t="n">
        <v>7208</v>
      </c>
      <c r="P1189" s="292" t="n"/>
      <c r="Q1189" s="292" t="inlineStr">
        <is>
          <t>测试新增资源已回读</t>
        </is>
      </c>
      <c r="R1189" s="292" t="inlineStr">
        <is>
          <t>C10-M024</t>
        </is>
      </c>
      <c r="S1189" s="292" t="inlineStr">
        <is>
          <t>平台装备素材/0177_血月荆棘·血痕_男衣服.bmp</t>
        </is>
      </c>
      <c r="T1189" s="292" t="inlineStr">
        <is>
          <t>仅测试副本；未写正式客户端</t>
        </is>
      </c>
      <c r="U1189">
        <f>IF(COUNTIF($B$2:$B$1198,B1189)&gt;1,"重复","")</f>
        <v/>
      </c>
      <c r="V1189">
        <f>IF(AND(OR(M1189="",M1189=B1189),OR(N1189="",N1189=B1189),OR(O1189="",O1189=B1189)),"通过","不一致")</f>
        <v/>
      </c>
    </row>
    <row r="1190">
      <c r="A1190" s="398" t="n">
        <v>1189</v>
      </c>
      <c r="B1190" s="398" t="n">
        <v>7209</v>
      </c>
      <c r="C1190" s="399" t="inlineStr">
        <is>
          <t>C3-C10专属待补</t>
        </is>
      </c>
      <c r="D1190" s="399" t="inlineStr">
        <is>
          <t>王城罗德尔</t>
        </is>
      </c>
      <c r="E1190" s="399" t="n">
        <v>1</v>
      </c>
      <c r="F1190" s="399" t="inlineStr">
        <is>
          <t>男衣服（现行模板的衣服映射）</t>
        </is>
      </c>
      <c r="G1190" s="398" t="n">
        <v>10</v>
      </c>
      <c r="H1190" s="398" t="n"/>
      <c r="I1190" s="398" t="n">
        <v>7209</v>
      </c>
      <c r="J1190" s="398" t="n">
        <v>1</v>
      </c>
      <c r="K1190" s="398" t="n"/>
      <c r="L1190" s="398" t="n"/>
      <c r="M1190" s="398" t="n">
        <v>7209</v>
      </c>
      <c r="N1190" s="398" t="n">
        <v>7209</v>
      </c>
      <c r="O1190" s="398" t="n">
        <v>7209</v>
      </c>
      <c r="P1190" s="292" t="n"/>
      <c r="Q1190" s="292" t="inlineStr">
        <is>
          <t>测试新增资源已回读</t>
        </is>
      </c>
      <c r="R1190" s="292" t="inlineStr">
        <is>
          <t>C10-M028</t>
        </is>
      </c>
      <c r="S1190" s="292" t="inlineStr">
        <is>
          <t>平台装备素材/0212_血月荆棘·荆冠_男衣服.bmp</t>
        </is>
      </c>
      <c r="T1190" s="292" t="inlineStr">
        <is>
          <t>仅测试副本；未写正式客户端</t>
        </is>
      </c>
      <c r="U1190">
        <f>IF(COUNTIF($B$2:$B$1198,B1190)&gt;1,"重复","")</f>
        <v/>
      </c>
      <c r="V1190">
        <f>IF(AND(OR(M1190="",M1190=B1190),OR(N1190="",N1190=B1190),OR(O1190="",O1190=B1190)),"通过","不一致")</f>
        <v/>
      </c>
    </row>
    <row r="1191">
      <c r="A1191" s="398" t="n">
        <v>1190</v>
      </c>
      <c r="B1191" s="398" t="n">
        <v>7210</v>
      </c>
      <c r="C1191" s="399" t="inlineStr">
        <is>
          <t>C3-C10专属待补</t>
        </is>
      </c>
      <c r="D1191" s="399" t="inlineStr">
        <is>
          <t>王城罗德尔</t>
        </is>
      </c>
      <c r="E1191" s="399" t="n">
        <v>1</v>
      </c>
      <c r="F1191" s="399" t="inlineStr">
        <is>
          <t>武器</t>
        </is>
      </c>
      <c r="G1191" s="398" t="n">
        <v>5</v>
      </c>
      <c r="H1191" s="398" t="n"/>
      <c r="I1191" s="398" t="n">
        <v>7210</v>
      </c>
      <c r="J1191" s="398" t="n">
        <v>14</v>
      </c>
      <c r="K1191" s="398" t="n"/>
      <c r="L1191" s="398" t="n"/>
      <c r="M1191" s="398" t="n">
        <v>7210</v>
      </c>
      <c r="N1191" s="398" t="n">
        <v>7210</v>
      </c>
      <c r="O1191" s="398" t="n">
        <v>7210</v>
      </c>
      <c r="P1191" s="292" t="n"/>
      <c r="Q1191" s="292" t="inlineStr">
        <is>
          <t>测试新增资源已回读</t>
        </is>
      </c>
      <c r="R1191" s="292" t="inlineStr">
        <is>
          <t>C10-M029</t>
        </is>
      </c>
      <c r="S1191" s="292" t="inlineStr">
        <is>
          <t>平台装备素材/0561_翠焰冥契·腐痕_武器.bmp</t>
        </is>
      </c>
      <c r="T1191" s="292" t="inlineStr">
        <is>
          <t>仅测试副本；未写正式客户端</t>
        </is>
      </c>
      <c r="U1191">
        <f>IF(COUNTIF($B$2:$B$1198,B1191)&gt;1,"重复","")</f>
        <v/>
      </c>
      <c r="V1191">
        <f>IF(AND(OR(M1191="",M1191=B1191),OR(N1191="",N1191=B1191),OR(O1191="",O1191=B1191)),"通过","不一致")</f>
        <v/>
      </c>
    </row>
    <row r="1192">
      <c r="A1192" s="398" t="n">
        <v>1191</v>
      </c>
      <c r="B1192" s="398" t="n">
        <v>7211</v>
      </c>
      <c r="C1192" s="399" t="inlineStr">
        <is>
          <t>C3-C10专属待补</t>
        </is>
      </c>
      <c r="D1192" s="399" t="inlineStr">
        <is>
          <t>王城罗德尔</t>
        </is>
      </c>
      <c r="E1192" s="399" t="n">
        <v>1</v>
      </c>
      <c r="F1192" s="399" t="inlineStr">
        <is>
          <t>武器</t>
        </is>
      </c>
      <c r="G1192" s="398" t="n">
        <v>5</v>
      </c>
      <c r="H1192" s="398" t="n"/>
      <c r="I1192" s="398" t="n">
        <v>7211</v>
      </c>
      <c r="J1192" s="398" t="n">
        <v>14</v>
      </c>
      <c r="K1192" s="398" t="n"/>
      <c r="L1192" s="398" t="n"/>
      <c r="M1192" s="398" t="n">
        <v>7211</v>
      </c>
      <c r="N1192" s="398" t="n">
        <v>7211</v>
      </c>
      <c r="O1192" s="398" t="n">
        <v>7211</v>
      </c>
      <c r="P1192" s="292" t="n"/>
      <c r="Q1192" s="292" t="inlineStr">
        <is>
          <t>测试新增资源已回读</t>
        </is>
      </c>
      <c r="R1192" s="292" t="inlineStr">
        <is>
          <t>C10-M036</t>
        </is>
      </c>
      <c r="S1192" s="292" t="inlineStr">
        <is>
          <t>平台装备素材/0596_翠焰冥契·冥契_武器.bmp</t>
        </is>
      </c>
      <c r="T1192" s="292" t="inlineStr">
        <is>
          <t>仅测试副本；未写正式客户端</t>
        </is>
      </c>
      <c r="U1192">
        <f>IF(COUNTIF($B$2:$B$1198,B1192)&gt;1,"重复","")</f>
        <v/>
      </c>
      <c r="V1192">
        <f>IF(AND(OR(M1192="",M1192=B1192),OR(N1192="",N1192=B1192),OR(O1192="",O1192=B1192)),"通过","不一致")</f>
        <v/>
      </c>
    </row>
    <row r="1193">
      <c r="A1193" s="398" t="n">
        <v>1192</v>
      </c>
      <c r="B1193" s="398" t="n">
        <v>7212</v>
      </c>
      <c r="C1193" s="399" t="inlineStr">
        <is>
          <t>C3-C10专属待补</t>
        </is>
      </c>
      <c r="D1193" s="399" t="inlineStr">
        <is>
          <t>王城罗德尔</t>
        </is>
      </c>
      <c r="E1193" s="399" t="n">
        <v>1</v>
      </c>
      <c r="F1193" s="399" t="inlineStr">
        <is>
          <t>武器</t>
        </is>
      </c>
      <c r="G1193" s="398" t="n">
        <v>5</v>
      </c>
      <c r="H1193" s="398" t="n"/>
      <c r="I1193" s="398" t="n">
        <v>7212</v>
      </c>
      <c r="J1193" s="398" t="n">
        <v>14</v>
      </c>
      <c r="K1193" s="398" t="n"/>
      <c r="L1193" s="398" t="n"/>
      <c r="M1193" s="398" t="n">
        <v>7212</v>
      </c>
      <c r="N1193" s="398" t="n">
        <v>7212</v>
      </c>
      <c r="O1193" s="398" t="n">
        <v>7212</v>
      </c>
      <c r="P1193" s="292" t="n"/>
      <c r="Q1193" s="292" t="inlineStr">
        <is>
          <t>测试新增资源已回读</t>
        </is>
      </c>
      <c r="R1193" s="292" t="inlineStr">
        <is>
          <t>C10-M037</t>
        </is>
      </c>
      <c r="S1193" s="292" t="inlineStr">
        <is>
          <t>平台装备素材/0631_翠焰冥契·灾厄_武器.bmp</t>
        </is>
      </c>
      <c r="T1193" s="292" t="inlineStr">
        <is>
          <t>仅测试副本；未写正式客户端</t>
        </is>
      </c>
      <c r="U1193">
        <f>IF(COUNTIF($B$2:$B$1198,B1193)&gt;1,"重复","")</f>
        <v/>
      </c>
      <c r="V1193">
        <f>IF(AND(OR(M1193="",M1193=B1193),OR(N1193="",N1193=B1193),OR(O1193="",O1193=B1193)),"通过","不一致")</f>
        <v/>
      </c>
    </row>
    <row r="1194">
      <c r="A1194" s="398" t="n">
        <v>1193</v>
      </c>
      <c r="B1194" s="398" t="n">
        <v>7213</v>
      </c>
      <c r="C1194" s="399" t="inlineStr">
        <is>
          <t>C3-C10专属待补</t>
        </is>
      </c>
      <c r="D1194" s="399" t="inlineStr">
        <is>
          <t>王城罗德尔</t>
        </is>
      </c>
      <c r="E1194" s="399" t="n">
        <v>1</v>
      </c>
      <c r="F1194" s="399" t="inlineStr">
        <is>
          <t>男衣服（现行模板的衣服映射）</t>
        </is>
      </c>
      <c r="G1194" s="398" t="n">
        <v>10</v>
      </c>
      <c r="H1194" s="398" t="n"/>
      <c r="I1194" s="398" t="n">
        <v>7213</v>
      </c>
      <c r="J1194" s="398" t="n">
        <v>1</v>
      </c>
      <c r="K1194" s="398" t="n"/>
      <c r="L1194" s="398" t="n"/>
      <c r="M1194" s="398" t="n">
        <v>7213</v>
      </c>
      <c r="N1194" s="398" t="n">
        <v>7213</v>
      </c>
      <c r="O1194" s="398" t="n">
        <v>7213</v>
      </c>
      <c r="P1194" s="292" t="n"/>
      <c r="Q1194" s="292" t="inlineStr">
        <is>
          <t>测试新增资源已回读</t>
        </is>
      </c>
      <c r="R1194" s="292" t="inlineStr">
        <is>
          <t>C10-M038</t>
        </is>
      </c>
      <c r="S1194" s="292" t="inlineStr">
        <is>
          <t>平台装备素材/0247_血月荆棘·猩月_男衣服.bmp</t>
        </is>
      </c>
      <c r="T1194" s="292" t="inlineStr">
        <is>
          <t>仅测试副本；未写正式客户端</t>
        </is>
      </c>
      <c r="U1194">
        <f>IF(COUNTIF($B$2:$B$1198,B1194)&gt;1,"重复","")</f>
        <v/>
      </c>
      <c r="V1194">
        <f>IF(AND(OR(M1194="",M1194=B1194),OR(N1194="",N1194=B1194),OR(O1194="",O1194=B1194)),"通过","不一致")</f>
        <v/>
      </c>
    </row>
    <row r="1195">
      <c r="A1195" s="398" t="n">
        <v>1194</v>
      </c>
      <c r="B1195" s="398" t="n">
        <v>7214</v>
      </c>
      <c r="C1195" s="399" t="inlineStr">
        <is>
          <t>C3-C10专属待补</t>
        </is>
      </c>
      <c r="D1195" s="399" t="inlineStr">
        <is>
          <t>王城罗德尔</t>
        </is>
      </c>
      <c r="E1195" s="399" t="n">
        <v>1</v>
      </c>
      <c r="F1195" s="399" t="inlineStr">
        <is>
          <t>男衣服（现行模板的衣服映射）</t>
        </is>
      </c>
      <c r="G1195" s="398" t="n">
        <v>10</v>
      </c>
      <c r="H1195" s="398" t="n"/>
      <c r="I1195" s="398" t="n">
        <v>7214</v>
      </c>
      <c r="J1195" s="398" t="n">
        <v>1</v>
      </c>
      <c r="K1195" s="398" t="n"/>
      <c r="L1195" s="398" t="n"/>
      <c r="M1195" s="398" t="n">
        <v>7214</v>
      </c>
      <c r="N1195" s="398" t="n">
        <v>7214</v>
      </c>
      <c r="O1195" s="398" t="n">
        <v>7214</v>
      </c>
      <c r="P1195" s="292" t="n"/>
      <c r="Q1195" s="292" t="inlineStr">
        <is>
          <t>测试新增资源已回读</t>
        </is>
      </c>
      <c r="R1195" s="292" t="inlineStr">
        <is>
          <t>C10-M048</t>
        </is>
      </c>
      <c r="S1195" s="292" t="inlineStr">
        <is>
          <t>平台装备素材/0282_血月荆棘·弑王_男衣服.bmp</t>
        </is>
      </c>
      <c r="T1195" s="292" t="inlineStr">
        <is>
          <t>仅测试副本；未写正式客户端</t>
        </is>
      </c>
      <c r="U1195">
        <f>IF(COUNTIF($B$2:$B$1198,B1195)&gt;1,"重复","")</f>
        <v/>
      </c>
      <c r="V1195">
        <f>IF(AND(OR(M1195="",M1195=B1195),OR(N1195="",N1195=B1195),OR(O1195="",O1195=B1195)),"通过","不一致")</f>
        <v/>
      </c>
    </row>
    <row r="1196">
      <c r="A1196" s="398" t="n">
        <v>1195</v>
      </c>
      <c r="B1196" s="398" t="n">
        <v>7215</v>
      </c>
      <c r="C1196" s="399" t="inlineStr">
        <is>
          <t>C3-C10专属待补</t>
        </is>
      </c>
      <c r="D1196" s="399" t="inlineStr">
        <is>
          <t>王城罗德尔</t>
        </is>
      </c>
      <c r="E1196" s="399" t="n">
        <v>1</v>
      </c>
      <c r="F1196" s="399" t="inlineStr">
        <is>
          <t>武器</t>
        </is>
      </c>
      <c r="G1196" s="398" t="n">
        <v>5</v>
      </c>
      <c r="H1196" s="398" t="n"/>
      <c r="I1196" s="398" t="n">
        <v>7215</v>
      </c>
      <c r="J1196" s="398" t="n">
        <v>14</v>
      </c>
      <c r="K1196" s="398" t="n"/>
      <c r="L1196" s="398" t="n"/>
      <c r="M1196" s="398" t="n">
        <v>7215</v>
      </c>
      <c r="N1196" s="398" t="n">
        <v>7215</v>
      </c>
      <c r="O1196" s="398" t="n">
        <v>7215</v>
      </c>
      <c r="P1196" s="292" t="n"/>
      <c r="Q1196" s="292" t="inlineStr">
        <is>
          <t>测试新增资源已回读</t>
        </is>
      </c>
      <c r="R1196" s="292" t="inlineStr">
        <is>
          <t>C10-M049</t>
        </is>
      </c>
      <c r="S1196" s="292" t="inlineStr">
        <is>
          <t>平台装备素材/0666_翠焰冥契·永夜_武器.bmp</t>
        </is>
      </c>
      <c r="T1196" s="292" t="inlineStr">
        <is>
          <t>仅测试副本；未写正式客户端</t>
        </is>
      </c>
      <c r="U1196">
        <f>IF(COUNTIF($B$2:$B$1198,B1196)&gt;1,"重复","")</f>
        <v/>
      </c>
      <c r="V1196">
        <f>IF(AND(OR(M1196="",M1196=B1196),OR(N1196="",N1196=B1196),OR(O1196="",O1196=B1196)),"通过","不一致")</f>
        <v/>
      </c>
    </row>
    <row r="1197">
      <c r="A1197" s="398" t="n">
        <v>1196</v>
      </c>
      <c r="B1197" s="398" t="n">
        <v>7216</v>
      </c>
      <c r="C1197" s="399" t="inlineStr">
        <is>
          <t>C3-C10专属待补</t>
        </is>
      </c>
      <c r="D1197" s="399" t="inlineStr">
        <is>
          <t>王城罗德尔</t>
        </is>
      </c>
      <c r="E1197" s="399" t="n">
        <v>1</v>
      </c>
      <c r="F1197" s="399" t="inlineStr">
        <is>
          <t>男衣服（现行模板的衣服映射）</t>
        </is>
      </c>
      <c r="G1197" s="398" t="n">
        <v>10</v>
      </c>
      <c r="H1197" s="398" t="n"/>
      <c r="I1197" s="398" t="n">
        <v>7216</v>
      </c>
      <c r="J1197" s="398" t="n">
        <v>1</v>
      </c>
      <c r="K1197" s="398" t="n"/>
      <c r="L1197" s="398" t="n"/>
      <c r="M1197" s="398" t="n">
        <v>7216</v>
      </c>
      <c r="N1197" s="398" t="n">
        <v>7216</v>
      </c>
      <c r="O1197" s="398" t="n">
        <v>7216</v>
      </c>
      <c r="P1197" s="292" t="n"/>
      <c r="Q1197" s="292" t="inlineStr">
        <is>
          <t>测试新增资源已回读</t>
        </is>
      </c>
      <c r="R1197" s="292" t="inlineStr">
        <is>
          <t>C10-M051</t>
        </is>
      </c>
      <c r="S1197" s="292" t="inlineStr">
        <is>
          <t>平台装备素材/0317_血月荆棘·血月_男衣服.bmp</t>
        </is>
      </c>
      <c r="T1197" s="292" t="inlineStr">
        <is>
          <t>仅测试副本；未写正式客户端</t>
        </is>
      </c>
      <c r="U1197">
        <f>IF(COUNTIF($B$2:$B$1198,B1197)&gt;1,"重复","")</f>
        <v/>
      </c>
      <c r="V1197">
        <f>IF(AND(OR(M1197="",M1197=B1197),OR(N1197="",N1197=B1197),OR(O1197="",O1197=B1197)),"通过","不一致")</f>
        <v/>
      </c>
    </row>
    <row r="1198">
      <c r="A1198" s="398" t="n">
        <v>1197</v>
      </c>
      <c r="B1198" s="398" t="n">
        <v>7217</v>
      </c>
      <c r="C1198" s="399" t="inlineStr">
        <is>
          <t>C3-C10专属待补</t>
        </is>
      </c>
      <c r="D1198" s="399" t="inlineStr">
        <is>
          <t>王城罗德尔</t>
        </is>
      </c>
      <c r="E1198" s="399" t="n">
        <v>1</v>
      </c>
      <c r="F1198" s="399" t="inlineStr">
        <is>
          <t>男衣服（现行模板的衣服映射）</t>
        </is>
      </c>
      <c r="G1198" s="398" t="n">
        <v>10</v>
      </c>
      <c r="H1198" s="398" t="n"/>
      <c r="I1198" s="398" t="n">
        <v>7217</v>
      </c>
      <c r="J1198" s="398" t="n">
        <v>1</v>
      </c>
      <c r="K1198" s="398" t="n"/>
      <c r="L1198" s="398" t="n"/>
      <c r="M1198" s="398" t="n">
        <v>7217</v>
      </c>
      <c r="N1198" s="398" t="n">
        <v>7217</v>
      </c>
      <c r="O1198" s="398" t="n">
        <v>7217</v>
      </c>
      <c r="P1198" s="292" t="n"/>
      <c r="Q1198" s="292" t="inlineStr">
        <is>
          <t>测试新增资源已回读</t>
        </is>
      </c>
      <c r="R1198" s="292" t="inlineStr">
        <is>
          <t>C10-M060</t>
        </is>
      </c>
      <c r="S1198" s="292" t="inlineStr">
        <is>
          <t>平台装备素材/0352_星渊龙息·星痕_男衣服.bmp</t>
        </is>
      </c>
      <c r="T1198" s="292" t="inlineStr">
        <is>
          <t>仅测试副本；未写正式客户端</t>
        </is>
      </c>
      <c r="U1198">
        <f>IF(COUNTIF($B$2:$B$1198,B1198)&gt;1,"重复","")</f>
        <v/>
      </c>
      <c r="V1198">
        <f>IF(AND(OR(M1198="",M1198=B1198),OR(N1198="",N1198=B1198),OR(O1198="",O1198=B1198)),"通过","不一致")</f>
        <v/>
      </c>
    </row>
    <row r="1199">
      <c r="A1199" s="398" t="n">
        <v>1198</v>
      </c>
      <c r="B1199" s="398" t="n">
        <v>7096</v>
      </c>
      <c r="C1199" s="399" t="inlineStr">
        <is>
          <t>C3-C10专属待补</t>
        </is>
      </c>
      <c r="D1199" s="399" t="inlineStr">
        <is>
          <t>宁姆格福西域</t>
        </is>
      </c>
      <c r="E1199" s="399" t="n">
        <v>1</v>
      </c>
      <c r="F1199" s="399" t="inlineStr">
        <is>
          <t>武器</t>
        </is>
      </c>
      <c r="G1199" s="398" t="n">
        <v>5</v>
      </c>
      <c r="H1199" s="398" t="n"/>
      <c r="I1199" s="398" t="n">
        <v>7096</v>
      </c>
      <c r="J1199" s="398" t="n">
        <v>14</v>
      </c>
      <c r="K1199" s="398" t="n"/>
      <c r="L1199" s="398" t="n"/>
      <c r="M1199" s="398" t="n">
        <v>7096</v>
      </c>
      <c r="N1199" s="398" t="n">
        <v>7096</v>
      </c>
      <c r="O1199" s="398" t="n">
        <v>7096</v>
      </c>
      <c r="P1199" s="292" t="n"/>
      <c r="Q1199" s="292" t="inlineStr">
        <is>
          <t>测试新增资源已回读</t>
        </is>
      </c>
      <c r="R1199" s="292" t="inlineStr">
        <is>
          <t>C03-M001</t>
        </is>
      </c>
      <c r="S1199" s="292" t="inlineStr">
        <is>
          <t>平台装备素材/0001_黄金圣树·初誓_武器.bmp</t>
        </is>
      </c>
      <c r="T1199" s="292" t="inlineStr">
        <is>
          <t>仅测试副本；未写正式客户端</t>
        </is>
      </c>
      <c r="U1199">
        <f>IF(COUNTIF($B$2:$B$1320,B1199)&gt;1,"重复","")</f>
        <v/>
      </c>
      <c r="V1199">
        <f>IF(AND(OR(M1199="",M1199=B1199),OR(N1199="",N1199=B1199),OR(O1199="",O1199=B1199)),"通过","不一致")</f>
        <v/>
      </c>
    </row>
    <row r="1200">
      <c r="A1200" s="398" t="n">
        <v>1199</v>
      </c>
      <c r="B1200" s="398" t="n">
        <v>7097</v>
      </c>
      <c r="C1200" s="399" t="inlineStr">
        <is>
          <t>C3-C10专属待补</t>
        </is>
      </c>
      <c r="D1200" s="399" t="inlineStr">
        <is>
          <t>宁姆格福西域</t>
        </is>
      </c>
      <c r="E1200" s="399" t="n">
        <v>1</v>
      </c>
      <c r="F1200" s="399" t="inlineStr">
        <is>
          <t>男衣服（现行模板的衣服映射）</t>
        </is>
      </c>
      <c r="G1200" s="398" t="n">
        <v>10</v>
      </c>
      <c r="H1200" s="398" t="n"/>
      <c r="I1200" s="398" t="n">
        <v>7097</v>
      </c>
      <c r="J1200" s="398" t="n">
        <v>1</v>
      </c>
      <c r="K1200" s="398" t="n"/>
      <c r="L1200" s="398" t="n"/>
      <c r="M1200" s="398" t="n">
        <v>7097</v>
      </c>
      <c r="N1200" s="398" t="n">
        <v>7097</v>
      </c>
      <c r="O1200" s="398" t="n">
        <v>7097</v>
      </c>
      <c r="P1200" s="292" t="n"/>
      <c r="Q1200" s="292" t="inlineStr">
        <is>
          <t>测试新增资源已回读</t>
        </is>
      </c>
      <c r="R1200" s="292" t="inlineStr">
        <is>
          <t>C03-M009</t>
        </is>
      </c>
      <c r="S1200" s="292" t="inlineStr">
        <is>
          <t>平台装备素材/0002_黄金圣树·初誓_男衣服.bmp</t>
        </is>
      </c>
      <c r="T1200" s="292" t="inlineStr">
        <is>
          <t>仅测试副本；未写正式客户端</t>
        </is>
      </c>
      <c r="U1200">
        <f>IF(COUNTIF($B$2:$B$1320,B1200)&gt;1,"重复","")</f>
        <v/>
      </c>
      <c r="V1200">
        <f>IF(AND(OR(M1200="",M1200=B1200),OR(N1200="",N1200=B1200),OR(O1200="",O1200=B1200)),"通过","不一致")</f>
        <v/>
      </c>
    </row>
    <row r="1201">
      <c r="A1201" s="398" t="n">
        <v>1200</v>
      </c>
      <c r="B1201" s="398" t="n">
        <v>7098</v>
      </c>
      <c r="C1201" s="399" t="inlineStr">
        <is>
          <t>C3-C10专属待补</t>
        </is>
      </c>
      <c r="D1201" s="399" t="inlineStr">
        <is>
          <t>宁姆格福西域</t>
        </is>
      </c>
      <c r="E1201" s="399" t="n">
        <v>1</v>
      </c>
      <c r="F1201" s="399" t="inlineStr">
        <is>
          <t>武器</t>
        </is>
      </c>
      <c r="G1201" s="398" t="n">
        <v>5</v>
      </c>
      <c r="H1201" s="398" t="n"/>
      <c r="I1201" s="398" t="n">
        <v>7098</v>
      </c>
      <c r="J1201" s="398" t="n">
        <v>14</v>
      </c>
      <c r="K1201" s="398" t="n"/>
      <c r="L1201" s="398" t="n"/>
      <c r="M1201" s="398" t="n">
        <v>7098</v>
      </c>
      <c r="N1201" s="398" t="n">
        <v>7098</v>
      </c>
      <c r="O1201" s="398" t="n">
        <v>7098</v>
      </c>
      <c r="P1201" s="292" t="n"/>
      <c r="Q1201" s="292" t="inlineStr">
        <is>
          <t>测试新增资源已回读</t>
        </is>
      </c>
      <c r="R1201" s="292" t="inlineStr">
        <is>
          <t>C03-M013</t>
        </is>
      </c>
      <c r="S1201" s="292" t="inlineStr">
        <is>
          <t>平台装备素材/0036_黄金圣树·圣枝_武器.bmp</t>
        </is>
      </c>
      <c r="T1201" s="292" t="inlineStr">
        <is>
          <t>仅测试副本；未写正式客户端</t>
        </is>
      </c>
      <c r="U1201">
        <f>IF(COUNTIF($B$2:$B$1320,B1201)&gt;1,"重复","")</f>
        <v/>
      </c>
      <c r="V1201">
        <f>IF(AND(OR(M1201="",M1201=B1201),OR(N1201="",N1201=B1201),OR(O1201="",O1201=B1201)),"通过","不一致")</f>
        <v/>
      </c>
    </row>
    <row r="1202">
      <c r="A1202" s="398" t="n">
        <v>1201</v>
      </c>
      <c r="B1202" s="398" t="n">
        <v>7099</v>
      </c>
      <c r="C1202" s="399" t="inlineStr">
        <is>
          <t>C3-C10专属待补</t>
        </is>
      </c>
      <c r="D1202" s="399" t="inlineStr">
        <is>
          <t>宁姆格福西域</t>
        </is>
      </c>
      <c r="E1202" s="399" t="n">
        <v>1</v>
      </c>
      <c r="F1202" s="399" t="inlineStr">
        <is>
          <t>武器</t>
        </is>
      </c>
      <c r="G1202" s="398" t="n">
        <v>5</v>
      </c>
      <c r="H1202" s="398" t="n"/>
      <c r="I1202" s="398" t="n">
        <v>7099</v>
      </c>
      <c r="J1202" s="398" t="n">
        <v>14</v>
      </c>
      <c r="K1202" s="398" t="n"/>
      <c r="L1202" s="398" t="n"/>
      <c r="M1202" s="398" t="n">
        <v>7099</v>
      </c>
      <c r="N1202" s="398" t="n">
        <v>7099</v>
      </c>
      <c r="O1202" s="398" t="n">
        <v>7099</v>
      </c>
      <c r="P1202" s="292" t="n"/>
      <c r="Q1202" s="292" t="inlineStr">
        <is>
          <t>测试新增资源已回读</t>
        </is>
      </c>
      <c r="R1202" s="292" t="inlineStr">
        <is>
          <t>C03-M014</t>
        </is>
      </c>
      <c r="S1202" s="292" t="inlineStr">
        <is>
          <t>平台装备素材/0071_黄金圣树·王权_武器.bmp</t>
        </is>
      </c>
      <c r="T1202" s="292" t="inlineStr">
        <is>
          <t>仅测试副本；未写正式客户端</t>
        </is>
      </c>
      <c r="U1202">
        <f>IF(COUNTIF($B$2:$B$1320,B1202)&gt;1,"重复","")</f>
        <v/>
      </c>
      <c r="V1202">
        <f>IF(AND(OR(M1202="",M1202=B1202),OR(N1202="",N1202=B1202),OR(O1202="",O1202=B1202)),"通过","不一致")</f>
        <v/>
      </c>
    </row>
    <row r="1203">
      <c r="A1203" s="398" t="n">
        <v>1202</v>
      </c>
      <c r="B1203" s="398" t="n">
        <v>7100</v>
      </c>
      <c r="C1203" s="399" t="inlineStr">
        <is>
          <t>C3-C10专属待补</t>
        </is>
      </c>
      <c r="D1203" s="399" t="inlineStr">
        <is>
          <t>宁姆格福西域</t>
        </is>
      </c>
      <c r="E1203" s="399" t="n">
        <v>1</v>
      </c>
      <c r="F1203" s="399" t="inlineStr">
        <is>
          <t>男衣服（现行模板的衣服映射）</t>
        </is>
      </c>
      <c r="G1203" s="398" t="n">
        <v>10</v>
      </c>
      <c r="H1203" s="398" t="n"/>
      <c r="I1203" s="398" t="n">
        <v>7100</v>
      </c>
      <c r="J1203" s="398" t="n">
        <v>1</v>
      </c>
      <c r="K1203" s="398" t="n"/>
      <c r="L1203" s="398" t="n"/>
      <c r="M1203" s="398" t="n">
        <v>7100</v>
      </c>
      <c r="N1203" s="398" t="n">
        <v>7100</v>
      </c>
      <c r="O1203" s="398" t="n">
        <v>7100</v>
      </c>
      <c r="P1203" s="292" t="n"/>
      <c r="Q1203" s="292" t="inlineStr">
        <is>
          <t>测试新增资源已回读</t>
        </is>
      </c>
      <c r="R1203" s="292" t="inlineStr">
        <is>
          <t>C03-M020</t>
        </is>
      </c>
      <c r="S1203" s="292" t="inlineStr">
        <is>
          <t>平台装备素材/0037_黄金圣树·圣枝_男衣服.bmp</t>
        </is>
      </c>
      <c r="T1203" s="292" t="inlineStr">
        <is>
          <t>仅测试副本；未写正式客户端</t>
        </is>
      </c>
      <c r="U1203">
        <f>IF(COUNTIF($B$2:$B$1320,B1203)&gt;1,"重复","")</f>
        <v/>
      </c>
      <c r="V1203">
        <f>IF(AND(OR(M1203="",M1203=B1203),OR(N1203="",N1203=B1203),OR(O1203="",O1203=B1203)),"通过","不一致")</f>
        <v/>
      </c>
    </row>
    <row r="1204">
      <c r="A1204" s="398" t="n">
        <v>1203</v>
      </c>
      <c r="B1204" s="398" t="n">
        <v>7101</v>
      </c>
      <c r="C1204" s="399" t="inlineStr">
        <is>
          <t>C3-C10专属待补</t>
        </is>
      </c>
      <c r="D1204" s="399" t="inlineStr">
        <is>
          <t>宁姆格福西域</t>
        </is>
      </c>
      <c r="E1204" s="399" t="n">
        <v>1</v>
      </c>
      <c r="F1204" s="399" t="inlineStr">
        <is>
          <t>武器</t>
        </is>
      </c>
      <c r="G1204" s="398" t="n">
        <v>5</v>
      </c>
      <c r="H1204" s="398" t="n"/>
      <c r="I1204" s="398" t="n">
        <v>7101</v>
      </c>
      <c r="J1204" s="398" t="n">
        <v>14</v>
      </c>
      <c r="K1204" s="398" t="n"/>
      <c r="L1204" s="398" t="n"/>
      <c r="M1204" s="398" t="n">
        <v>7101</v>
      </c>
      <c r="N1204" s="398" t="n">
        <v>7101</v>
      </c>
      <c r="O1204" s="398" t="n">
        <v>7101</v>
      </c>
      <c r="P1204" s="292" t="n"/>
      <c r="Q1204" s="292" t="inlineStr">
        <is>
          <t>测试新增资源已回读</t>
        </is>
      </c>
      <c r="R1204" s="292" t="inlineStr">
        <is>
          <t>C03-M025</t>
        </is>
      </c>
      <c r="S1204" s="292" t="inlineStr">
        <is>
          <t>平台装备素材/0106_黄金圣树·律法_武器.bmp</t>
        </is>
      </c>
      <c r="T1204" s="292" t="inlineStr">
        <is>
          <t>仅测试副本；未写正式客户端</t>
        </is>
      </c>
      <c r="U1204">
        <f>IF(COUNTIF($B$2:$B$1320,B1204)&gt;1,"重复","")</f>
        <v/>
      </c>
      <c r="V1204">
        <f>IF(AND(OR(M1204="",M1204=B1204),OR(N1204="",N1204=B1204),OR(O1204="",O1204=B1204)),"通过","不一致")</f>
        <v/>
      </c>
    </row>
    <row r="1205">
      <c r="A1205" s="398" t="n">
        <v>1204</v>
      </c>
      <c r="B1205" s="398" t="n">
        <v>7102</v>
      </c>
      <c r="C1205" s="399" t="inlineStr">
        <is>
          <t>C3-C10专属待补</t>
        </is>
      </c>
      <c r="D1205" s="399" t="inlineStr">
        <is>
          <t>宁姆格福西域</t>
        </is>
      </c>
      <c r="E1205" s="399" t="n">
        <v>1</v>
      </c>
      <c r="F1205" s="399" t="inlineStr">
        <is>
          <t>男衣服（现行模板的衣服映射）</t>
        </is>
      </c>
      <c r="G1205" s="398" t="n">
        <v>10</v>
      </c>
      <c r="H1205" s="398" t="n"/>
      <c r="I1205" s="398" t="n">
        <v>7102</v>
      </c>
      <c r="J1205" s="398" t="n">
        <v>1</v>
      </c>
      <c r="K1205" s="398" t="n"/>
      <c r="L1205" s="398" t="n"/>
      <c r="M1205" s="398" t="n">
        <v>7102</v>
      </c>
      <c r="N1205" s="398" t="n">
        <v>7102</v>
      </c>
      <c r="O1205" s="398" t="n">
        <v>7102</v>
      </c>
      <c r="P1205" s="292" t="n"/>
      <c r="Q1205" s="292" t="inlineStr">
        <is>
          <t>测试新增资源已回读</t>
        </is>
      </c>
      <c r="R1205" s="292" t="inlineStr">
        <is>
          <t>C03-M028</t>
        </is>
      </c>
      <c r="S1205" s="292" t="inlineStr">
        <is>
          <t>平台装备素材/0072_黄金圣树·王权_男衣服.bmp</t>
        </is>
      </c>
      <c r="T1205" s="292" t="inlineStr">
        <is>
          <t>仅测试副本；未写正式客户端</t>
        </is>
      </c>
      <c r="U1205">
        <f>IF(COUNTIF($B$2:$B$1320,B1205)&gt;1,"重复","")</f>
        <v/>
      </c>
      <c r="V1205">
        <f>IF(AND(OR(M1205="",M1205=B1205),OR(N1205="",N1205=B1205),OR(O1205="",O1205=B1205)),"通过","不一致")</f>
        <v/>
      </c>
    </row>
    <row r="1206">
      <c r="A1206" s="398" t="n">
        <v>1205</v>
      </c>
      <c r="B1206" s="398" t="n">
        <v>7103</v>
      </c>
      <c r="C1206" s="399" t="inlineStr">
        <is>
          <t>C3-C10专属待补</t>
        </is>
      </c>
      <c r="D1206" s="399" t="inlineStr">
        <is>
          <t>宁姆格福西域</t>
        </is>
      </c>
      <c r="E1206" s="399" t="n">
        <v>1</v>
      </c>
      <c r="F1206" s="399" t="inlineStr">
        <is>
          <t>武器</t>
        </is>
      </c>
      <c r="G1206" s="398" t="n">
        <v>5</v>
      </c>
      <c r="H1206" s="398" t="n"/>
      <c r="I1206" s="398" t="n">
        <v>7103</v>
      </c>
      <c r="J1206" s="398" t="n">
        <v>14</v>
      </c>
      <c r="K1206" s="398" t="n"/>
      <c r="L1206" s="398" t="n"/>
      <c r="M1206" s="398" t="n">
        <v>7103</v>
      </c>
      <c r="N1206" s="398" t="n">
        <v>7103</v>
      </c>
      <c r="O1206" s="398" t="n">
        <v>7103</v>
      </c>
      <c r="P1206" s="292" t="n"/>
      <c r="Q1206" s="292" t="inlineStr">
        <is>
          <t>测试新增资源已回读</t>
        </is>
      </c>
      <c r="R1206" s="292" t="inlineStr">
        <is>
          <t>C03-M030</t>
        </is>
      </c>
      <c r="S1206" s="292" t="inlineStr">
        <is>
          <t>平台装备素材/0141_黄金圣树·永恒_武器.bmp</t>
        </is>
      </c>
      <c r="T1206" s="292" t="inlineStr">
        <is>
          <t>仅测试副本；未写正式客户端</t>
        </is>
      </c>
      <c r="U1206">
        <f>IF(COUNTIF($B$2:$B$1320,B1206)&gt;1,"重复","")</f>
        <v/>
      </c>
      <c r="V1206">
        <f>IF(AND(OR(M1206="",M1206=B1206),OR(N1206="",N1206=B1206),OR(O1206="",O1206=B1206)),"通过","不一致")</f>
        <v/>
      </c>
    </row>
    <row r="1207">
      <c r="A1207" s="398" t="n">
        <v>1206</v>
      </c>
      <c r="B1207" s="398" t="n">
        <v>7104</v>
      </c>
      <c r="C1207" s="399" t="inlineStr">
        <is>
          <t>C3-C10专属待补</t>
        </is>
      </c>
      <c r="D1207" s="399" t="inlineStr">
        <is>
          <t>宁姆格福西域</t>
        </is>
      </c>
      <c r="E1207" s="399" t="n">
        <v>1</v>
      </c>
      <c r="F1207" s="399" t="inlineStr">
        <is>
          <t>武器</t>
        </is>
      </c>
      <c r="G1207" s="398" t="n">
        <v>5</v>
      </c>
      <c r="H1207" s="398" t="n"/>
      <c r="I1207" s="398" t="n">
        <v>7104</v>
      </c>
      <c r="J1207" s="398" t="n">
        <v>14</v>
      </c>
      <c r="K1207" s="398" t="n"/>
      <c r="L1207" s="398" t="n"/>
      <c r="M1207" s="398" t="n">
        <v>7104</v>
      </c>
      <c r="N1207" s="398" t="n">
        <v>7104</v>
      </c>
      <c r="O1207" s="398" t="n">
        <v>7104</v>
      </c>
      <c r="P1207" s="292" t="n"/>
      <c r="Q1207" s="292" t="inlineStr">
        <is>
          <t>测试新增资源已回读</t>
        </is>
      </c>
      <c r="R1207" s="292" t="inlineStr">
        <is>
          <t>C03-M033</t>
        </is>
      </c>
      <c r="S1207" s="292" t="inlineStr">
        <is>
          <t>平台装备素材/0176_血月荆棘·血痕_武器.bmp</t>
        </is>
      </c>
      <c r="T1207" s="292" t="inlineStr">
        <is>
          <t>仅测试副本；未写正式客户端</t>
        </is>
      </c>
      <c r="U1207">
        <f>IF(COUNTIF($B$2:$B$1320,B1207)&gt;1,"重复","")</f>
        <v/>
      </c>
      <c r="V1207">
        <f>IF(AND(OR(M1207="",M1207=B1207),OR(N1207="",N1207=B1207),OR(O1207="",O1207=B1207)),"通过","不一致")</f>
        <v/>
      </c>
    </row>
    <row r="1208">
      <c r="A1208" s="398" t="n">
        <v>1207</v>
      </c>
      <c r="B1208" s="398" t="n">
        <v>7105</v>
      </c>
      <c r="C1208" s="399" t="inlineStr">
        <is>
          <t>C3-C10专属待补</t>
        </is>
      </c>
      <c r="D1208" s="399" t="inlineStr">
        <is>
          <t>宁姆格福西域</t>
        </is>
      </c>
      <c r="E1208" s="399" t="n">
        <v>1</v>
      </c>
      <c r="F1208" s="399" t="inlineStr">
        <is>
          <t>武器</t>
        </is>
      </c>
      <c r="G1208" s="398" t="n">
        <v>5</v>
      </c>
      <c r="H1208" s="398" t="n"/>
      <c r="I1208" s="398" t="n">
        <v>7105</v>
      </c>
      <c r="J1208" s="398" t="n">
        <v>14</v>
      </c>
      <c r="K1208" s="398" t="n"/>
      <c r="L1208" s="398" t="n"/>
      <c r="M1208" s="398" t="n">
        <v>7105</v>
      </c>
      <c r="N1208" s="398" t="n">
        <v>7105</v>
      </c>
      <c r="O1208" s="398" t="n">
        <v>7105</v>
      </c>
      <c r="P1208" s="292" t="n"/>
      <c r="Q1208" s="292" t="inlineStr">
        <is>
          <t>测试新增资源已回读</t>
        </is>
      </c>
      <c r="R1208" s="292" t="inlineStr">
        <is>
          <t>C03-M037</t>
        </is>
      </c>
      <c r="S1208" s="292" t="inlineStr">
        <is>
          <t>平台装备素材/0211_血月荆棘·荆冠_武器.bmp</t>
        </is>
      </c>
      <c r="T1208" s="292" t="inlineStr">
        <is>
          <t>仅测试副本；未写正式客户端</t>
        </is>
      </c>
      <c r="U1208">
        <f>IF(COUNTIF($B$2:$B$1320,B1208)&gt;1,"重复","")</f>
        <v/>
      </c>
      <c r="V1208">
        <f>IF(AND(OR(M1208="",M1208=B1208),OR(N1208="",N1208=B1208),OR(O1208="",O1208=B1208)),"通过","不一致")</f>
        <v/>
      </c>
    </row>
    <row r="1209">
      <c r="A1209" s="398" t="n">
        <v>1208</v>
      </c>
      <c r="B1209" s="398" t="n">
        <v>7106</v>
      </c>
      <c r="C1209" s="399" t="inlineStr">
        <is>
          <t>C3-C10专属待补</t>
        </is>
      </c>
      <c r="D1209" s="399" t="inlineStr">
        <is>
          <t>宁姆格福西域</t>
        </is>
      </c>
      <c r="E1209" s="399" t="n">
        <v>1</v>
      </c>
      <c r="F1209" s="399" t="inlineStr">
        <is>
          <t>男衣服（现行模板的衣服映射）</t>
        </is>
      </c>
      <c r="G1209" s="398" t="n">
        <v>10</v>
      </c>
      <c r="H1209" s="398" t="n"/>
      <c r="I1209" s="398" t="n">
        <v>7106</v>
      </c>
      <c r="J1209" s="398" t="n">
        <v>1</v>
      </c>
      <c r="K1209" s="398" t="n"/>
      <c r="L1209" s="398" t="n"/>
      <c r="M1209" s="398" t="n">
        <v>7106</v>
      </c>
      <c r="N1209" s="398" t="n">
        <v>7106</v>
      </c>
      <c r="O1209" s="398" t="n">
        <v>7106</v>
      </c>
      <c r="P1209" s="292" t="n"/>
      <c r="Q1209" s="292" t="inlineStr">
        <is>
          <t>测试新增资源已回读</t>
        </is>
      </c>
      <c r="R1209" s="292" t="inlineStr">
        <is>
          <t>C03-M039</t>
        </is>
      </c>
      <c r="S1209" s="292" t="inlineStr">
        <is>
          <t>平台装备素材/0107_黄金圣树·律法_男衣服.bmp</t>
        </is>
      </c>
      <c r="T1209" s="292" t="inlineStr">
        <is>
          <t>仅测试副本；未写正式客户端</t>
        </is>
      </c>
      <c r="U1209">
        <f>IF(COUNTIF($B$2:$B$1320,B1209)&gt;1,"重复","")</f>
        <v/>
      </c>
      <c r="V1209">
        <f>IF(AND(OR(M1209="",M1209=B1209),OR(N1209="",N1209=B1209),OR(O1209="",O1209=B1209)),"通过","不一致")</f>
        <v/>
      </c>
    </row>
    <row r="1210">
      <c r="A1210" s="398" t="n">
        <v>1209</v>
      </c>
      <c r="B1210" s="398" t="n">
        <v>7107</v>
      </c>
      <c r="C1210" s="399" t="inlineStr">
        <is>
          <t>C3-C10专属待补</t>
        </is>
      </c>
      <c r="D1210" s="399" t="inlineStr">
        <is>
          <t>宁姆格福西域</t>
        </is>
      </c>
      <c r="E1210" s="399" t="n">
        <v>1</v>
      </c>
      <c r="F1210" s="399" t="inlineStr">
        <is>
          <t>武器</t>
        </is>
      </c>
      <c r="G1210" s="398" t="n">
        <v>5</v>
      </c>
      <c r="H1210" s="398" t="n"/>
      <c r="I1210" s="398" t="n">
        <v>7107</v>
      </c>
      <c r="J1210" s="398" t="n">
        <v>14</v>
      </c>
      <c r="K1210" s="398" t="n"/>
      <c r="L1210" s="398" t="n"/>
      <c r="M1210" s="398" t="n">
        <v>7107</v>
      </c>
      <c r="N1210" s="398" t="n">
        <v>7107</v>
      </c>
      <c r="O1210" s="398" t="n">
        <v>7107</v>
      </c>
      <c r="P1210" s="292" t="n"/>
      <c r="Q1210" s="292" t="inlineStr">
        <is>
          <t>测试新增资源已回读</t>
        </is>
      </c>
      <c r="R1210" s="292" t="inlineStr">
        <is>
          <t>C03-M049</t>
        </is>
      </c>
      <c r="S1210" s="292" t="inlineStr">
        <is>
          <t>平台装备素材/0246_血月荆棘·猩月_武器.bmp</t>
        </is>
      </c>
      <c r="T1210" s="292" t="inlineStr">
        <is>
          <t>仅测试副本；未写正式客户端</t>
        </is>
      </c>
      <c r="U1210">
        <f>IF(COUNTIF($B$2:$B$1320,B1210)&gt;1,"重复","")</f>
        <v/>
      </c>
      <c r="V1210">
        <f>IF(AND(OR(M1210="",M1210=B1210),OR(N1210="",N1210=B1210),OR(O1210="",O1210=B1210)),"通过","不一致")</f>
        <v/>
      </c>
    </row>
    <row r="1211">
      <c r="A1211" s="398" t="n">
        <v>1210</v>
      </c>
      <c r="B1211" s="398" t="n">
        <v>7108</v>
      </c>
      <c r="C1211" s="399" t="inlineStr">
        <is>
          <t>C3-C10专属待补</t>
        </is>
      </c>
      <c r="D1211" s="399" t="inlineStr">
        <is>
          <t>宁姆格福西域</t>
        </is>
      </c>
      <c r="E1211" s="399" t="n">
        <v>1</v>
      </c>
      <c r="F1211" s="399" t="inlineStr">
        <is>
          <t>武器</t>
        </is>
      </c>
      <c r="G1211" s="398" t="n">
        <v>5</v>
      </c>
      <c r="H1211" s="398" t="n"/>
      <c r="I1211" s="398" t="n">
        <v>7108</v>
      </c>
      <c r="J1211" s="398" t="n">
        <v>14</v>
      </c>
      <c r="K1211" s="398" t="n"/>
      <c r="L1211" s="398" t="n"/>
      <c r="M1211" s="398" t="n">
        <v>7108</v>
      </c>
      <c r="N1211" s="398" t="n">
        <v>7108</v>
      </c>
      <c r="O1211" s="398" t="n">
        <v>7108</v>
      </c>
      <c r="P1211" s="292" t="n"/>
      <c r="Q1211" s="292" t="inlineStr">
        <is>
          <t>测试新增资源已回读</t>
        </is>
      </c>
      <c r="R1211" s="292" t="inlineStr">
        <is>
          <t>C03-M056</t>
        </is>
      </c>
      <c r="S1211" s="292" t="inlineStr">
        <is>
          <t>平台装备素材/0281_血月荆棘·弑王_武器.bmp</t>
        </is>
      </c>
      <c r="T1211" s="292" t="inlineStr">
        <is>
          <t>仅测试副本；未写正式客户端</t>
        </is>
      </c>
      <c r="U1211">
        <f>IF(COUNTIF($B$2:$B$1320,B1211)&gt;1,"重复","")</f>
        <v/>
      </c>
      <c r="V1211">
        <f>IF(AND(OR(M1211="",M1211=B1211),OR(N1211="",N1211=B1211),OR(O1211="",O1211=B1211)),"通过","不一致")</f>
        <v/>
      </c>
    </row>
    <row r="1212">
      <c r="A1212" s="398" t="n">
        <v>1211</v>
      </c>
      <c r="B1212" s="398" t="n">
        <v>7109</v>
      </c>
      <c r="C1212" s="399" t="inlineStr">
        <is>
          <t>C3-C10专属待补</t>
        </is>
      </c>
      <c r="D1212" s="399" t="inlineStr">
        <is>
          <t>宁姆格福西域</t>
        </is>
      </c>
      <c r="E1212" s="399" t="n">
        <v>1</v>
      </c>
      <c r="F1212" s="399" t="inlineStr">
        <is>
          <t>武器</t>
        </is>
      </c>
      <c r="G1212" s="398" t="n">
        <v>5</v>
      </c>
      <c r="H1212" s="398" t="n"/>
      <c r="I1212" s="398" t="n">
        <v>7109</v>
      </c>
      <c r="J1212" s="398" t="n">
        <v>14</v>
      </c>
      <c r="K1212" s="398" t="n"/>
      <c r="L1212" s="398" t="n"/>
      <c r="M1212" s="398" t="n">
        <v>7109</v>
      </c>
      <c r="N1212" s="398" t="n">
        <v>7109</v>
      </c>
      <c r="O1212" s="398" t="n">
        <v>7109</v>
      </c>
      <c r="P1212" s="292" t="n"/>
      <c r="Q1212" s="292" t="inlineStr">
        <is>
          <t>测试新增资源已回读</t>
        </is>
      </c>
      <c r="R1212" s="292" t="inlineStr">
        <is>
          <t>C03-M061</t>
        </is>
      </c>
      <c r="S1212" s="292" t="inlineStr">
        <is>
          <t>平台装备素材/0316_血月荆棘·血月_武器.bmp</t>
        </is>
      </c>
      <c r="T1212" s="292" t="inlineStr">
        <is>
          <t>仅测试副本；未写正式客户端</t>
        </is>
      </c>
      <c r="U1212">
        <f>IF(COUNTIF($B$2:$B$1320,B1212)&gt;1,"重复","")</f>
        <v/>
      </c>
      <c r="V1212">
        <f>IF(AND(OR(M1212="",M1212=B1212),OR(N1212="",N1212=B1212),OR(O1212="",O1212=B1212)),"通过","不一致")</f>
        <v/>
      </c>
    </row>
    <row r="1213">
      <c r="A1213" s="398" t="n">
        <v>1212</v>
      </c>
      <c r="B1213" s="398" t="n">
        <v>7110</v>
      </c>
      <c r="C1213" s="399" t="inlineStr">
        <is>
          <t>C3-C10专属待补</t>
        </is>
      </c>
      <c r="D1213" s="399" t="inlineStr">
        <is>
          <t>宁姆格福西域</t>
        </is>
      </c>
      <c r="E1213" s="399" t="n">
        <v>1</v>
      </c>
      <c r="F1213" s="399" t="inlineStr">
        <is>
          <t>男衣服（现行模板的衣服映射）</t>
        </is>
      </c>
      <c r="G1213" s="398" t="n">
        <v>10</v>
      </c>
      <c r="H1213" s="398" t="n"/>
      <c r="I1213" s="398" t="n">
        <v>7110</v>
      </c>
      <c r="J1213" s="398" t="n">
        <v>1</v>
      </c>
      <c r="K1213" s="398" t="n"/>
      <c r="L1213" s="398" t="n"/>
      <c r="M1213" s="398" t="n">
        <v>7110</v>
      </c>
      <c r="N1213" s="398" t="n">
        <v>7110</v>
      </c>
      <c r="O1213" s="398" t="n">
        <v>7110</v>
      </c>
      <c r="P1213" s="292" t="n"/>
      <c r="Q1213" s="292" t="inlineStr">
        <is>
          <t>测试新增资源已回读</t>
        </is>
      </c>
      <c r="R1213" s="292" t="inlineStr">
        <is>
          <t>C03-M067</t>
        </is>
      </c>
      <c r="S1213" s="292" t="inlineStr">
        <is>
          <t>平台装备素材/0142_黄金圣树·永恒_男衣服.bmp</t>
        </is>
      </c>
      <c r="T1213" s="292" t="inlineStr">
        <is>
          <t>仅测试副本；未写正式客户端</t>
        </is>
      </c>
      <c r="U1213">
        <f>IF(COUNTIF($B$2:$B$1320,B1213)&gt;1,"重复","")</f>
        <v/>
      </c>
      <c r="V1213">
        <f>IF(AND(OR(M1213="",M1213=B1213),OR(N1213="",N1213=B1213),OR(O1213="",O1213=B1213)),"通过","不一致")</f>
        <v/>
      </c>
    </row>
    <row r="1214">
      <c r="A1214" s="398" t="n">
        <v>1213</v>
      </c>
      <c r="B1214" s="398" t="n">
        <v>7111</v>
      </c>
      <c r="C1214" s="399" t="inlineStr">
        <is>
          <t>C3-C10专属待补</t>
        </is>
      </c>
      <c r="D1214" s="399" t="inlineStr">
        <is>
          <t>利耶尼亚海域</t>
        </is>
      </c>
      <c r="E1214" s="399" t="n">
        <v>1</v>
      </c>
      <c r="F1214" s="399" t="inlineStr">
        <is>
          <t>武器</t>
        </is>
      </c>
      <c r="G1214" s="398" t="n">
        <v>5</v>
      </c>
      <c r="H1214" s="398" t="n"/>
      <c r="I1214" s="398" t="n">
        <v>7111</v>
      </c>
      <c r="J1214" s="398" t="n">
        <v>14</v>
      </c>
      <c r="K1214" s="398" t="n"/>
      <c r="L1214" s="398" t="n"/>
      <c r="M1214" s="398" t="n">
        <v>7111</v>
      </c>
      <c r="N1214" s="398" t="n">
        <v>7111</v>
      </c>
      <c r="O1214" s="398" t="n">
        <v>7111</v>
      </c>
      <c r="P1214" s="292" t="n"/>
      <c r="Q1214" s="292" t="inlineStr">
        <is>
          <t>测试新增资源已回读</t>
        </is>
      </c>
      <c r="R1214" s="292" t="inlineStr">
        <is>
          <t>C04-M006</t>
        </is>
      </c>
      <c r="S1214" s="292" t="inlineStr">
        <is>
          <t>平台装备素材/0351_星渊龙息·星痕_武器.bmp</t>
        </is>
      </c>
      <c r="T1214" s="292" t="inlineStr">
        <is>
          <t>仅测试副本；未写正式客户端</t>
        </is>
      </c>
      <c r="U1214">
        <f>IF(COUNTIF($B$2:$B$1320,B1214)&gt;1,"重复","")</f>
        <v/>
      </c>
      <c r="V1214">
        <f>IF(AND(OR(M1214="",M1214=B1214),OR(N1214="",N1214=B1214),OR(O1214="",O1214=B1214)),"通过","不一致")</f>
        <v/>
      </c>
    </row>
    <row r="1215">
      <c r="A1215" s="398" t="n">
        <v>1214</v>
      </c>
      <c r="B1215" s="398" t="n">
        <v>7112</v>
      </c>
      <c r="C1215" s="399" t="inlineStr">
        <is>
          <t>C3-C10专属待补</t>
        </is>
      </c>
      <c r="D1215" s="399" t="inlineStr">
        <is>
          <t>利耶尼亚海域</t>
        </is>
      </c>
      <c r="E1215" s="399" t="n">
        <v>1</v>
      </c>
      <c r="F1215" s="399" t="inlineStr">
        <is>
          <t>男衣服（现行模板的衣服映射）</t>
        </is>
      </c>
      <c r="G1215" s="398" t="n">
        <v>10</v>
      </c>
      <c r="H1215" s="398" t="n"/>
      <c r="I1215" s="398" t="n">
        <v>7112</v>
      </c>
      <c r="J1215" s="398" t="n">
        <v>1</v>
      </c>
      <c r="K1215" s="398" t="n"/>
      <c r="L1215" s="398" t="n"/>
      <c r="M1215" s="398" t="n">
        <v>7112</v>
      </c>
      <c r="N1215" s="398" t="n">
        <v>7112</v>
      </c>
      <c r="O1215" s="398" t="n">
        <v>7112</v>
      </c>
      <c r="P1215" s="292" t="n"/>
      <c r="Q1215" s="292" t="inlineStr">
        <is>
          <t>测试新增资源已回读</t>
        </is>
      </c>
      <c r="R1215" s="292" t="inlineStr">
        <is>
          <t>C04-M008</t>
        </is>
      </c>
      <c r="S1215" s="292" t="inlineStr">
        <is>
          <t>平台装备素材/0177_血月荆棘·血痕_男衣服.bmp</t>
        </is>
      </c>
      <c r="T1215" s="292" t="inlineStr">
        <is>
          <t>仅测试副本；未写正式客户端</t>
        </is>
      </c>
      <c r="U1215">
        <f>IF(COUNTIF($B$2:$B$1320,B1215)&gt;1,"重复","")</f>
        <v/>
      </c>
      <c r="V1215">
        <f>IF(AND(OR(M1215="",M1215=B1215),OR(N1215="",N1215=B1215),OR(O1215="",O1215=B1215)),"通过","不一致")</f>
        <v/>
      </c>
    </row>
    <row r="1216">
      <c r="A1216" s="398" t="n">
        <v>1215</v>
      </c>
      <c r="B1216" s="398" t="n">
        <v>7113</v>
      </c>
      <c r="C1216" s="399" t="inlineStr">
        <is>
          <t>C3-C10专属待补</t>
        </is>
      </c>
      <c r="D1216" s="399" t="inlineStr">
        <is>
          <t>利耶尼亚海域</t>
        </is>
      </c>
      <c r="E1216" s="399" t="n">
        <v>1</v>
      </c>
      <c r="F1216" s="399" t="inlineStr">
        <is>
          <t>武器</t>
        </is>
      </c>
      <c r="G1216" s="398" t="n">
        <v>5</v>
      </c>
      <c r="H1216" s="398" t="n"/>
      <c r="I1216" s="398" t="n">
        <v>7113</v>
      </c>
      <c r="J1216" s="398" t="n">
        <v>14</v>
      </c>
      <c r="K1216" s="398" t="n"/>
      <c r="L1216" s="398" t="n"/>
      <c r="M1216" s="398" t="n">
        <v>7113</v>
      </c>
      <c r="N1216" s="398" t="n">
        <v>7113</v>
      </c>
      <c r="O1216" s="398" t="n">
        <v>7113</v>
      </c>
      <c r="P1216" s="292" t="n"/>
      <c r="Q1216" s="292" t="inlineStr">
        <is>
          <t>测试新增资源已回读</t>
        </is>
      </c>
      <c r="R1216" s="292" t="inlineStr">
        <is>
          <t>C04-M013</t>
        </is>
      </c>
      <c r="S1216" s="292" t="inlineStr">
        <is>
          <t>平台装备素材/0386_星渊龙息·龙鳞_武器.bmp</t>
        </is>
      </c>
      <c r="T1216" s="292" t="inlineStr">
        <is>
          <t>仅测试副本；未写正式客户端</t>
        </is>
      </c>
      <c r="U1216">
        <f>IF(COUNTIF($B$2:$B$1320,B1216)&gt;1,"重复","")</f>
        <v/>
      </c>
      <c r="V1216">
        <f>IF(AND(OR(M1216="",M1216=B1216),OR(N1216="",N1216=B1216),OR(O1216="",O1216=B1216)),"通过","不一致")</f>
        <v/>
      </c>
    </row>
    <row r="1217">
      <c r="A1217" s="398" t="n">
        <v>1216</v>
      </c>
      <c r="B1217" s="398" t="n">
        <v>7114</v>
      </c>
      <c r="C1217" s="399" t="inlineStr">
        <is>
          <t>C3-C10专属待补</t>
        </is>
      </c>
      <c r="D1217" s="399" t="inlineStr">
        <is>
          <t>利耶尼亚海域</t>
        </is>
      </c>
      <c r="E1217" s="399" t="n">
        <v>1</v>
      </c>
      <c r="F1217" s="399" t="inlineStr">
        <is>
          <t>武器</t>
        </is>
      </c>
      <c r="G1217" s="398" t="n">
        <v>5</v>
      </c>
      <c r="H1217" s="398" t="n"/>
      <c r="I1217" s="398" t="n">
        <v>7114</v>
      </c>
      <c r="J1217" s="398" t="n">
        <v>14</v>
      </c>
      <c r="K1217" s="398" t="n"/>
      <c r="L1217" s="398" t="n"/>
      <c r="M1217" s="398" t="n">
        <v>7114</v>
      </c>
      <c r="N1217" s="398" t="n">
        <v>7114</v>
      </c>
      <c r="O1217" s="398" t="n">
        <v>7114</v>
      </c>
      <c r="P1217" s="292" t="n"/>
      <c r="Q1217" s="292" t="inlineStr">
        <is>
          <t>测试新增资源已回读</t>
        </is>
      </c>
      <c r="R1217" s="292" t="inlineStr">
        <is>
          <t>C04-M015</t>
        </is>
      </c>
      <c r="S1217" s="292" t="inlineStr">
        <is>
          <t>平台装备素材/0421_星渊龙息·渊辉_武器.bmp</t>
        </is>
      </c>
      <c r="T1217" s="292" t="inlineStr">
        <is>
          <t>仅测试副本；未写正式客户端</t>
        </is>
      </c>
      <c r="U1217">
        <f>IF(COUNTIF($B$2:$B$1320,B1217)&gt;1,"重复","")</f>
        <v/>
      </c>
      <c r="V1217">
        <f>IF(AND(OR(M1217="",M1217=B1217),OR(N1217="",N1217=B1217),OR(O1217="",O1217=B1217)),"通过","不一致")</f>
        <v/>
      </c>
    </row>
    <row r="1218">
      <c r="A1218" s="398" t="n">
        <v>1217</v>
      </c>
      <c r="B1218" s="398" t="n">
        <v>7115</v>
      </c>
      <c r="C1218" s="399" t="inlineStr">
        <is>
          <t>C3-C10专属待补</t>
        </is>
      </c>
      <c r="D1218" s="399" t="inlineStr">
        <is>
          <t>利耶尼亚海域</t>
        </is>
      </c>
      <c r="E1218" s="399" t="n">
        <v>1</v>
      </c>
      <c r="F1218" s="399" t="inlineStr">
        <is>
          <t>男衣服（现行模板的衣服映射）</t>
        </is>
      </c>
      <c r="G1218" s="398" t="n">
        <v>10</v>
      </c>
      <c r="H1218" s="398" t="n"/>
      <c r="I1218" s="398" t="n">
        <v>7115</v>
      </c>
      <c r="J1218" s="398" t="n">
        <v>1</v>
      </c>
      <c r="K1218" s="398" t="n"/>
      <c r="L1218" s="398" t="n"/>
      <c r="M1218" s="398" t="n">
        <v>7115</v>
      </c>
      <c r="N1218" s="398" t="n">
        <v>7115</v>
      </c>
      <c r="O1218" s="398" t="n">
        <v>7115</v>
      </c>
      <c r="P1218" s="292" t="n"/>
      <c r="Q1218" s="292" t="inlineStr">
        <is>
          <t>测试新增资源已回读</t>
        </is>
      </c>
      <c r="R1218" s="292" t="inlineStr">
        <is>
          <t>C04-M016</t>
        </is>
      </c>
      <c r="S1218" s="292" t="inlineStr">
        <is>
          <t>平台装备素材/0212_血月荆棘·荆冠_男衣服.bmp</t>
        </is>
      </c>
      <c r="T1218" s="292" t="inlineStr">
        <is>
          <t>仅测试副本；未写正式客户端</t>
        </is>
      </c>
      <c r="U1218">
        <f>IF(COUNTIF($B$2:$B$1320,B1218)&gt;1,"重复","")</f>
        <v/>
      </c>
      <c r="V1218">
        <f>IF(AND(OR(M1218="",M1218=B1218),OR(N1218="",N1218=B1218),OR(O1218="",O1218=B1218)),"通过","不一致")</f>
        <v/>
      </c>
    </row>
    <row r="1219">
      <c r="A1219" s="398" t="n">
        <v>1218</v>
      </c>
      <c r="B1219" s="398" t="n">
        <v>7116</v>
      </c>
      <c r="C1219" s="399" t="inlineStr">
        <is>
          <t>C3-C10专属待补</t>
        </is>
      </c>
      <c r="D1219" s="399" t="inlineStr">
        <is>
          <t>利耶尼亚海域</t>
        </is>
      </c>
      <c r="E1219" s="399" t="n">
        <v>1</v>
      </c>
      <c r="F1219" s="399" t="inlineStr">
        <is>
          <t>武器</t>
        </is>
      </c>
      <c r="G1219" s="398" t="n">
        <v>5</v>
      </c>
      <c r="H1219" s="398" t="n"/>
      <c r="I1219" s="398" t="n">
        <v>7116</v>
      </c>
      <c r="J1219" s="398" t="n">
        <v>14</v>
      </c>
      <c r="K1219" s="398" t="n"/>
      <c r="L1219" s="398" t="n"/>
      <c r="M1219" s="398" t="n">
        <v>7116</v>
      </c>
      <c r="N1219" s="398" t="n">
        <v>7116</v>
      </c>
      <c r="O1219" s="398" t="n">
        <v>7116</v>
      </c>
      <c r="P1219" s="292" t="n"/>
      <c r="Q1219" s="292" t="inlineStr">
        <is>
          <t>测试新增资源已回读</t>
        </is>
      </c>
      <c r="R1219" s="292" t="inlineStr">
        <is>
          <t>C04-M027</t>
        </is>
      </c>
      <c r="S1219" s="292" t="inlineStr">
        <is>
          <t>平台装备素材/0456_星渊龙息·天穹_武器.bmp</t>
        </is>
      </c>
      <c r="T1219" s="292" t="inlineStr">
        <is>
          <t>仅测试副本；未写正式客户端</t>
        </is>
      </c>
      <c r="U1219">
        <f>IF(COUNTIF($B$2:$B$1320,B1219)&gt;1,"重复","")</f>
        <v/>
      </c>
      <c r="V1219">
        <f>IF(AND(OR(M1219="",M1219=B1219),OR(N1219="",N1219=B1219),OR(O1219="",O1219=B1219)),"通过","不一致")</f>
        <v/>
      </c>
    </row>
    <row r="1220">
      <c r="A1220" s="398" t="n">
        <v>1219</v>
      </c>
      <c r="B1220" s="398" t="n">
        <v>7117</v>
      </c>
      <c r="C1220" s="399" t="inlineStr">
        <is>
          <t>C3-C10专属待补</t>
        </is>
      </c>
      <c r="D1220" s="399" t="inlineStr">
        <is>
          <t>利耶尼亚海域</t>
        </is>
      </c>
      <c r="E1220" s="399" t="n">
        <v>1</v>
      </c>
      <c r="F1220" s="399" t="inlineStr">
        <is>
          <t>男衣服（现行模板的衣服映射）</t>
        </is>
      </c>
      <c r="G1220" s="398" t="n">
        <v>10</v>
      </c>
      <c r="H1220" s="398" t="n"/>
      <c r="I1220" s="398" t="n">
        <v>7117</v>
      </c>
      <c r="J1220" s="398" t="n">
        <v>1</v>
      </c>
      <c r="K1220" s="398" t="n"/>
      <c r="L1220" s="398" t="n"/>
      <c r="M1220" s="398" t="n">
        <v>7117</v>
      </c>
      <c r="N1220" s="398" t="n">
        <v>7117</v>
      </c>
      <c r="O1220" s="398" t="n">
        <v>7117</v>
      </c>
      <c r="P1220" s="292" t="n"/>
      <c r="Q1220" s="292" t="inlineStr">
        <is>
          <t>测试新增资源已回读</t>
        </is>
      </c>
      <c r="R1220" s="292" t="inlineStr">
        <is>
          <t>C04-M030</t>
        </is>
      </c>
      <c r="S1220" s="292" t="inlineStr">
        <is>
          <t>平台装备素材/0247_血月荆棘·猩月_男衣服.bmp</t>
        </is>
      </c>
      <c r="T1220" s="292" t="inlineStr">
        <is>
          <t>仅测试副本；未写正式客户端</t>
        </is>
      </c>
      <c r="U1220">
        <f>IF(COUNTIF($B$2:$B$1320,B1220)&gt;1,"重复","")</f>
        <v/>
      </c>
      <c r="V1220">
        <f>IF(AND(OR(M1220="",M1220=B1220),OR(N1220="",N1220=B1220),OR(O1220="",O1220=B1220)),"通过","不一致")</f>
        <v/>
      </c>
    </row>
    <row r="1221">
      <c r="A1221" s="398" t="n">
        <v>1220</v>
      </c>
      <c r="B1221" s="398" t="n">
        <v>7118</v>
      </c>
      <c r="C1221" s="399" t="inlineStr">
        <is>
          <t>C3-C10专属待补</t>
        </is>
      </c>
      <c r="D1221" s="399" t="inlineStr">
        <is>
          <t>利耶尼亚海域</t>
        </is>
      </c>
      <c r="E1221" s="399" t="n">
        <v>1</v>
      </c>
      <c r="F1221" s="399" t="inlineStr">
        <is>
          <t>武器</t>
        </is>
      </c>
      <c r="G1221" s="398" t="n">
        <v>5</v>
      </c>
      <c r="H1221" s="398" t="n"/>
      <c r="I1221" s="398" t="n">
        <v>7118</v>
      </c>
      <c r="J1221" s="398" t="n">
        <v>14</v>
      </c>
      <c r="K1221" s="398" t="n"/>
      <c r="L1221" s="398" t="n"/>
      <c r="M1221" s="398" t="n">
        <v>7118</v>
      </c>
      <c r="N1221" s="398" t="n">
        <v>7118</v>
      </c>
      <c r="O1221" s="398" t="n">
        <v>7118</v>
      </c>
      <c r="P1221" s="292" t="n"/>
      <c r="Q1221" s="292" t="inlineStr">
        <is>
          <t>测试新增资源已回读</t>
        </is>
      </c>
      <c r="R1221" s="292" t="inlineStr">
        <is>
          <t>C04-M039</t>
        </is>
      </c>
      <c r="S1221" s="292" t="inlineStr">
        <is>
          <t>平台装备素材/0491_星渊龙息·无垠_武器.bmp</t>
        </is>
      </c>
      <c r="T1221" s="292" t="inlineStr">
        <is>
          <t>仅测试副本；未写正式客户端</t>
        </is>
      </c>
      <c r="U1221">
        <f>IF(COUNTIF($B$2:$B$1320,B1221)&gt;1,"重复","")</f>
        <v/>
      </c>
      <c r="V1221">
        <f>IF(AND(OR(M1221="",M1221=B1221),OR(N1221="",N1221=B1221),OR(O1221="",O1221=B1221)),"通过","不一致")</f>
        <v/>
      </c>
    </row>
    <row r="1222">
      <c r="A1222" s="398" t="n">
        <v>1221</v>
      </c>
      <c r="B1222" s="398" t="n">
        <v>7119</v>
      </c>
      <c r="C1222" s="399" t="inlineStr">
        <is>
          <t>C3-C10专属待补</t>
        </is>
      </c>
      <c r="D1222" s="399" t="inlineStr">
        <is>
          <t>利耶尼亚海域</t>
        </is>
      </c>
      <c r="E1222" s="399" t="n">
        <v>1</v>
      </c>
      <c r="F1222" s="399" t="inlineStr">
        <is>
          <t>男衣服（现行模板的衣服映射）</t>
        </is>
      </c>
      <c r="G1222" s="398" t="n">
        <v>10</v>
      </c>
      <c r="H1222" s="398" t="n"/>
      <c r="I1222" s="398" t="n">
        <v>7119</v>
      </c>
      <c r="J1222" s="398" t="n">
        <v>1</v>
      </c>
      <c r="K1222" s="398" t="n"/>
      <c r="L1222" s="398" t="n"/>
      <c r="M1222" s="398" t="n">
        <v>7119</v>
      </c>
      <c r="N1222" s="398" t="n">
        <v>7119</v>
      </c>
      <c r="O1222" s="398" t="n">
        <v>7119</v>
      </c>
      <c r="P1222" s="292" t="n"/>
      <c r="Q1222" s="292" t="inlineStr">
        <is>
          <t>测试新增资源已回读</t>
        </is>
      </c>
      <c r="R1222" s="292" t="inlineStr">
        <is>
          <t>C04-M041</t>
        </is>
      </c>
      <c r="S1222" s="292" t="inlineStr">
        <is>
          <t>平台装备素材/0282_血月荆棘·弑王_男衣服.bmp</t>
        </is>
      </c>
      <c r="T1222" s="292" t="inlineStr">
        <is>
          <t>仅测试副本；未写正式客户端</t>
        </is>
      </c>
      <c r="U1222">
        <f>IF(COUNTIF($B$2:$B$1320,B1222)&gt;1,"重复","")</f>
        <v/>
      </c>
      <c r="V1222">
        <f>IF(AND(OR(M1222="",M1222=B1222),OR(N1222="",N1222=B1222),OR(O1222="",O1222=B1222)),"通过","不一致")</f>
        <v/>
      </c>
    </row>
    <row r="1223">
      <c r="A1223" s="398" t="n">
        <v>1222</v>
      </c>
      <c r="B1223" s="398" t="n">
        <v>7120</v>
      </c>
      <c r="C1223" s="399" t="inlineStr">
        <is>
          <t>C3-C10专属待补</t>
        </is>
      </c>
      <c r="D1223" s="399" t="inlineStr">
        <is>
          <t>利耶尼亚海域</t>
        </is>
      </c>
      <c r="E1223" s="399" t="n">
        <v>1</v>
      </c>
      <c r="F1223" s="399" t="inlineStr">
        <is>
          <t>武器</t>
        </is>
      </c>
      <c r="G1223" s="398" t="n">
        <v>5</v>
      </c>
      <c r="H1223" s="398" t="n"/>
      <c r="I1223" s="398" t="n">
        <v>7120</v>
      </c>
      <c r="J1223" s="398" t="n">
        <v>14</v>
      </c>
      <c r="K1223" s="398" t="n"/>
      <c r="L1223" s="398" t="n"/>
      <c r="M1223" s="398" t="n">
        <v>7120</v>
      </c>
      <c r="N1223" s="398" t="n">
        <v>7120</v>
      </c>
      <c r="O1223" s="398" t="n">
        <v>7120</v>
      </c>
      <c r="P1223" s="292" t="n"/>
      <c r="Q1223" s="292" t="inlineStr">
        <is>
          <t>测试新增资源已回读</t>
        </is>
      </c>
      <c r="R1223" s="292" t="inlineStr">
        <is>
          <t>C04-M051</t>
        </is>
      </c>
      <c r="S1223" s="292" t="inlineStr">
        <is>
          <t>平台装备素材/0526_翠焰冥契·幽焰_武器.bmp</t>
        </is>
      </c>
      <c r="T1223" s="292" t="inlineStr">
        <is>
          <t>仅测试副本；未写正式客户端</t>
        </is>
      </c>
      <c r="U1223">
        <f>IF(COUNTIF($B$2:$B$1320,B1223)&gt;1,"重复","")</f>
        <v/>
      </c>
      <c r="V1223">
        <f>IF(AND(OR(M1223="",M1223=B1223),OR(N1223="",N1223=B1223),OR(O1223="",O1223=B1223)),"通过","不一致")</f>
        <v/>
      </c>
    </row>
    <row r="1224">
      <c r="A1224" s="398" t="n">
        <v>1223</v>
      </c>
      <c r="B1224" s="398" t="n">
        <v>7121</v>
      </c>
      <c r="C1224" s="399" t="inlineStr">
        <is>
          <t>C3-C10专属待补</t>
        </is>
      </c>
      <c r="D1224" s="399" t="inlineStr">
        <is>
          <t>利耶尼亚海域</t>
        </is>
      </c>
      <c r="E1224" s="399" t="n">
        <v>1</v>
      </c>
      <c r="F1224" s="399" t="inlineStr">
        <is>
          <t>面巾（位置13，对应斗笠）</t>
        </is>
      </c>
      <c r="G1224" s="398" t="n">
        <v>16</v>
      </c>
      <c r="H1224" s="398" t="n">
        <v>13</v>
      </c>
      <c r="I1224" s="398" t="n">
        <v>7121</v>
      </c>
      <c r="J1224" s="398" t="n"/>
      <c r="K1224" s="398" t="n"/>
      <c r="L1224" s="398" t="n"/>
      <c r="M1224" s="398" t="n">
        <v>7121</v>
      </c>
      <c r="N1224" s="398" t="n">
        <v>7121</v>
      </c>
      <c r="O1224" s="398" t="n">
        <v>7121</v>
      </c>
      <c r="P1224" s="292" t="n"/>
      <c r="Q1224" s="292" t="inlineStr">
        <is>
          <t>测试新增资源已回读</t>
        </is>
      </c>
      <c r="R1224" s="292" t="inlineStr">
        <is>
          <t>C04-M052</t>
        </is>
      </c>
      <c r="S1224" s="292" t="inlineStr">
        <is>
          <t>平台装备素材/0005_黄金圣树·初誓_面巾.bmp</t>
        </is>
      </c>
      <c r="T1224" s="292" t="inlineStr">
        <is>
          <t>仅测试副本；未写正式客户端</t>
        </is>
      </c>
      <c r="U1224">
        <f>IF(COUNTIF($B$2:$B$1320,B1224)&gt;1,"重复","")</f>
        <v/>
      </c>
      <c r="V1224">
        <f>IF(AND(OR(M1224="",M1224=B1224),OR(N1224="",N1224=B1224),OR(O1224="",O1224=B1224)),"通过","不一致")</f>
        <v/>
      </c>
    </row>
    <row r="1225">
      <c r="A1225" s="398" t="n">
        <v>1224</v>
      </c>
      <c r="B1225" s="398" t="n">
        <v>7122</v>
      </c>
      <c r="C1225" s="399" t="inlineStr">
        <is>
          <t>C3-C10专属待补</t>
        </is>
      </c>
      <c r="D1225" s="399" t="inlineStr">
        <is>
          <t>利耶尼亚海域</t>
        </is>
      </c>
      <c r="E1225" s="399" t="n">
        <v>1</v>
      </c>
      <c r="F1225" s="399" t="inlineStr">
        <is>
          <t>男衣服（现行模板的衣服映射）</t>
        </is>
      </c>
      <c r="G1225" s="398" t="n">
        <v>10</v>
      </c>
      <c r="H1225" s="398" t="n"/>
      <c r="I1225" s="398" t="n">
        <v>7122</v>
      </c>
      <c r="J1225" s="398" t="n">
        <v>1</v>
      </c>
      <c r="K1225" s="398" t="n"/>
      <c r="L1225" s="398" t="n"/>
      <c r="M1225" s="398" t="n">
        <v>7122</v>
      </c>
      <c r="N1225" s="398" t="n">
        <v>7122</v>
      </c>
      <c r="O1225" s="398" t="n">
        <v>7122</v>
      </c>
      <c r="P1225" s="292" t="n"/>
      <c r="Q1225" s="292" t="inlineStr">
        <is>
          <t>测试新增资源已回读</t>
        </is>
      </c>
      <c r="R1225" s="292" t="inlineStr">
        <is>
          <t>C04-M055</t>
        </is>
      </c>
      <c r="S1225" s="292" t="inlineStr">
        <is>
          <t>平台装备素材/0317_血月荆棘·血月_男衣服.bmp</t>
        </is>
      </c>
      <c r="T1225" s="292" t="inlineStr">
        <is>
          <t>仅测试副本；未写正式客户端</t>
        </is>
      </c>
      <c r="U1225">
        <f>IF(COUNTIF($B$2:$B$1320,B1225)&gt;1,"重复","")</f>
        <v/>
      </c>
      <c r="V1225">
        <f>IF(AND(OR(M1225="",M1225=B1225),OR(N1225="",N1225=B1225),OR(O1225="",O1225=B1225)),"通过","不一致")</f>
        <v/>
      </c>
    </row>
    <row r="1226">
      <c r="A1226" s="398" t="n">
        <v>1225</v>
      </c>
      <c r="B1226" s="398" t="n">
        <v>7123</v>
      </c>
      <c r="C1226" s="399" t="inlineStr">
        <is>
          <t>C3-C10专属待补</t>
        </is>
      </c>
      <c r="D1226" s="399" t="inlineStr">
        <is>
          <t>利耶尼亚海域</t>
        </is>
      </c>
      <c r="E1226" s="399" t="n">
        <v>1</v>
      </c>
      <c r="F1226" s="399" t="inlineStr">
        <is>
          <t>武器</t>
        </is>
      </c>
      <c r="G1226" s="398" t="n">
        <v>5</v>
      </c>
      <c r="H1226" s="398" t="n"/>
      <c r="I1226" s="398" t="n">
        <v>7123</v>
      </c>
      <c r="J1226" s="398" t="n">
        <v>14</v>
      </c>
      <c r="K1226" s="398" t="n"/>
      <c r="L1226" s="398" t="n"/>
      <c r="M1226" s="398" t="n">
        <v>7123</v>
      </c>
      <c r="N1226" s="398" t="n">
        <v>7123</v>
      </c>
      <c r="O1226" s="398" t="n">
        <v>7123</v>
      </c>
      <c r="P1226" s="292" t="n"/>
      <c r="Q1226" s="292" t="inlineStr">
        <is>
          <t>测试新增资源已回读</t>
        </is>
      </c>
      <c r="R1226" s="292" t="inlineStr">
        <is>
          <t>C04-M061</t>
        </is>
      </c>
      <c r="S1226" s="292" t="inlineStr">
        <is>
          <t>平台装备素材/0561_翠焰冥契·腐痕_武器.bmp</t>
        </is>
      </c>
      <c r="T1226" s="292" t="inlineStr">
        <is>
          <t>仅测试副本；未写正式客户端</t>
        </is>
      </c>
      <c r="U1226">
        <f>IF(COUNTIF($B$2:$B$1320,B1226)&gt;1,"重复","")</f>
        <v/>
      </c>
      <c r="V1226">
        <f>IF(AND(OR(M1226="",M1226=B1226),OR(N1226="",N1226=B1226),OR(O1226="",O1226=B1226)),"通过","不一致")</f>
        <v/>
      </c>
    </row>
    <row r="1227">
      <c r="A1227" s="398" t="n">
        <v>1226</v>
      </c>
      <c r="B1227" s="398" t="n">
        <v>7124</v>
      </c>
      <c r="C1227" s="399" t="inlineStr">
        <is>
          <t>C3-C10专属待补</t>
        </is>
      </c>
      <c r="D1227" s="399" t="inlineStr">
        <is>
          <t>利耶尼亚海域</t>
        </is>
      </c>
      <c r="E1227" s="399" t="n">
        <v>1</v>
      </c>
      <c r="F1227" s="399" t="inlineStr">
        <is>
          <t>男衣服（现行模板的衣服映射）</t>
        </is>
      </c>
      <c r="G1227" s="398" t="n">
        <v>10</v>
      </c>
      <c r="H1227" s="398" t="n"/>
      <c r="I1227" s="398" t="n">
        <v>7124</v>
      </c>
      <c r="J1227" s="398" t="n">
        <v>1</v>
      </c>
      <c r="K1227" s="398" t="n"/>
      <c r="L1227" s="398" t="n"/>
      <c r="M1227" s="398" t="n">
        <v>7124</v>
      </c>
      <c r="N1227" s="398" t="n">
        <v>7124</v>
      </c>
      <c r="O1227" s="398" t="n">
        <v>7124</v>
      </c>
      <c r="P1227" s="292" t="n"/>
      <c r="Q1227" s="292" t="inlineStr">
        <is>
          <t>测试新增资源已回读</t>
        </is>
      </c>
      <c r="R1227" s="292" t="inlineStr">
        <is>
          <t>C04-M064</t>
        </is>
      </c>
      <c r="S1227" s="292" t="inlineStr">
        <is>
          <t>平台装备素材/0352_星渊龙息·星痕_男衣服.bmp</t>
        </is>
      </c>
      <c r="T1227" s="292" t="inlineStr">
        <is>
          <t>仅测试副本；未写正式客户端</t>
        </is>
      </c>
      <c r="U1227">
        <f>IF(COUNTIF($B$2:$B$1320,B1227)&gt;1,"重复","")</f>
        <v/>
      </c>
      <c r="V1227">
        <f>IF(AND(OR(M1227="",M1227=B1227),OR(N1227="",N1227=B1227),OR(O1227="",O1227=B1227)),"通过","不一致")</f>
        <v/>
      </c>
    </row>
    <row r="1228">
      <c r="A1228" s="398" t="n">
        <v>1227</v>
      </c>
      <c r="B1228" s="398" t="n">
        <v>7125</v>
      </c>
      <c r="C1228" s="399" t="inlineStr">
        <is>
          <t>C3-C10专属待补</t>
        </is>
      </c>
      <c r="D1228" s="399" t="inlineStr">
        <is>
          <t>湖之利耶尼亚</t>
        </is>
      </c>
      <c r="E1228" s="399" t="n">
        <v>1</v>
      </c>
      <c r="F1228" s="399" t="inlineStr">
        <is>
          <t>面巾（位置13，对应斗笠）</t>
        </is>
      </c>
      <c r="G1228" s="398" t="n">
        <v>16</v>
      </c>
      <c r="H1228" s="398" t="n">
        <v>13</v>
      </c>
      <c r="I1228" s="398" t="n">
        <v>7125</v>
      </c>
      <c r="J1228" s="398" t="n"/>
      <c r="K1228" s="398" t="n"/>
      <c r="L1228" s="398" t="n"/>
      <c r="M1228" s="398" t="n">
        <v>7125</v>
      </c>
      <c r="N1228" s="398" t="n">
        <v>7125</v>
      </c>
      <c r="O1228" s="398" t="n">
        <v>7125</v>
      </c>
      <c r="P1228" s="292" t="n"/>
      <c r="Q1228" s="292" t="inlineStr">
        <is>
          <t>测试新增资源已回读</t>
        </is>
      </c>
      <c r="R1228" s="292" t="inlineStr">
        <is>
          <t>C05-M003</t>
        </is>
      </c>
      <c r="S1228" s="292" t="inlineStr">
        <is>
          <t>平台装备素材/0040_黄金圣树·圣枝_面巾.bmp</t>
        </is>
      </c>
      <c r="T1228" s="292" t="inlineStr">
        <is>
          <t>仅测试副本；未写正式客户端</t>
        </is>
      </c>
      <c r="U1228">
        <f>IF(COUNTIF($B$2:$B$1320,B1228)&gt;1,"重复","")</f>
        <v/>
      </c>
      <c r="V1228">
        <f>IF(AND(OR(M1228="",M1228=B1228),OR(N1228="",N1228=B1228),OR(O1228="",O1228=B1228)),"通过","不一致")</f>
        <v/>
      </c>
    </row>
    <row r="1229">
      <c r="A1229" s="398" t="n">
        <v>1228</v>
      </c>
      <c r="B1229" s="398" t="n">
        <v>7126</v>
      </c>
      <c r="C1229" s="399" t="inlineStr">
        <is>
          <t>C3-C10专属待补</t>
        </is>
      </c>
      <c r="D1229" s="399" t="inlineStr">
        <is>
          <t>湖之利耶尼亚</t>
        </is>
      </c>
      <c r="E1229" s="399" t="n">
        <v>1</v>
      </c>
      <c r="F1229" s="399" t="inlineStr">
        <is>
          <t>男衣服（现行模板的衣服映射）</t>
        </is>
      </c>
      <c r="G1229" s="398" t="n">
        <v>10</v>
      </c>
      <c r="H1229" s="398" t="n"/>
      <c r="I1229" s="398" t="n">
        <v>7126</v>
      </c>
      <c r="J1229" s="398" t="n">
        <v>1</v>
      </c>
      <c r="K1229" s="398" t="n"/>
      <c r="L1229" s="398" t="n"/>
      <c r="M1229" s="398" t="n">
        <v>7126</v>
      </c>
      <c r="N1229" s="398" t="n">
        <v>7126</v>
      </c>
      <c r="O1229" s="398" t="n">
        <v>7126</v>
      </c>
      <c r="P1229" s="292" t="n"/>
      <c r="Q1229" s="292" t="inlineStr">
        <is>
          <t>测试新增资源已回读</t>
        </is>
      </c>
      <c r="R1229" s="292" t="inlineStr">
        <is>
          <t>C05-M010</t>
        </is>
      </c>
      <c r="S1229" s="292" t="inlineStr">
        <is>
          <t>平台装备素材/0387_星渊龙息·龙鳞_男衣服.bmp</t>
        </is>
      </c>
      <c r="T1229" s="292" t="inlineStr">
        <is>
          <t>仅测试副本；未写正式客户端</t>
        </is>
      </c>
      <c r="U1229">
        <f>IF(COUNTIF($B$2:$B$1320,B1229)&gt;1,"重复","")</f>
        <v/>
      </c>
      <c r="V1229">
        <f>IF(AND(OR(M1229="",M1229=B1229),OR(N1229="",N1229=B1229),OR(O1229="",O1229=B1229)),"通过","不一致")</f>
        <v/>
      </c>
    </row>
    <row r="1230">
      <c r="A1230" s="398" t="n">
        <v>1229</v>
      </c>
      <c r="B1230" s="398" t="n">
        <v>7127</v>
      </c>
      <c r="C1230" s="399" t="inlineStr">
        <is>
          <t>C3-C10专属待补</t>
        </is>
      </c>
      <c r="D1230" s="399" t="inlineStr">
        <is>
          <t>湖之利耶尼亚</t>
        </is>
      </c>
      <c r="E1230" s="399" t="n">
        <v>1</v>
      </c>
      <c r="F1230" s="399" t="inlineStr">
        <is>
          <t>面巾（位置13，对应斗笠）</t>
        </is>
      </c>
      <c r="G1230" s="398" t="n">
        <v>16</v>
      </c>
      <c r="H1230" s="398" t="n">
        <v>13</v>
      </c>
      <c r="I1230" s="398" t="n">
        <v>7127</v>
      </c>
      <c r="J1230" s="398" t="n"/>
      <c r="K1230" s="398" t="n"/>
      <c r="L1230" s="398" t="n"/>
      <c r="M1230" s="398" t="n">
        <v>7127</v>
      </c>
      <c r="N1230" s="398" t="n">
        <v>7127</v>
      </c>
      <c r="O1230" s="398" t="n">
        <v>7127</v>
      </c>
      <c r="P1230" s="292" t="n"/>
      <c r="Q1230" s="292" t="inlineStr">
        <is>
          <t>测试新增资源已回读</t>
        </is>
      </c>
      <c r="R1230" s="292" t="inlineStr">
        <is>
          <t>C05-M018</t>
        </is>
      </c>
      <c r="S1230" s="292" t="inlineStr">
        <is>
          <t>平台装备素材/0075_黄金圣树·王权_面巾.bmp</t>
        </is>
      </c>
      <c r="T1230" s="292" t="inlineStr">
        <is>
          <t>仅测试副本；未写正式客户端</t>
        </is>
      </c>
      <c r="U1230">
        <f>IF(COUNTIF($B$2:$B$1320,B1230)&gt;1,"重复","")</f>
        <v/>
      </c>
      <c r="V1230">
        <f>IF(AND(OR(M1230="",M1230=B1230),OR(N1230="",N1230=B1230),OR(O1230="",O1230=B1230)),"通过","不一致")</f>
        <v/>
      </c>
    </row>
    <row r="1231">
      <c r="A1231" s="398" t="n">
        <v>1230</v>
      </c>
      <c r="B1231" s="398" t="n">
        <v>7128</v>
      </c>
      <c r="C1231" s="399" t="inlineStr">
        <is>
          <t>C3-C10专属待补</t>
        </is>
      </c>
      <c r="D1231" s="399" t="inlineStr">
        <is>
          <t>湖之利耶尼亚</t>
        </is>
      </c>
      <c r="E1231" s="399" t="n">
        <v>1</v>
      </c>
      <c r="F1231" s="399" t="inlineStr">
        <is>
          <t>男衣服（现行模板的衣服映射）</t>
        </is>
      </c>
      <c r="G1231" s="398" t="n">
        <v>10</v>
      </c>
      <c r="H1231" s="398" t="n"/>
      <c r="I1231" s="398" t="n">
        <v>7128</v>
      </c>
      <c r="J1231" s="398" t="n">
        <v>1</v>
      </c>
      <c r="K1231" s="398" t="n"/>
      <c r="L1231" s="398" t="n"/>
      <c r="M1231" s="398" t="n">
        <v>7128</v>
      </c>
      <c r="N1231" s="398" t="n">
        <v>7128</v>
      </c>
      <c r="O1231" s="398" t="n">
        <v>7128</v>
      </c>
      <c r="P1231" s="292" t="n"/>
      <c r="Q1231" s="292" t="inlineStr">
        <is>
          <t>测试新增资源已回读</t>
        </is>
      </c>
      <c r="R1231" s="292" t="inlineStr">
        <is>
          <t>C05-M022</t>
        </is>
      </c>
      <c r="S1231" s="292" t="inlineStr">
        <is>
          <t>平台装备素材/0422_星渊龙息·渊辉_男衣服.bmp</t>
        </is>
      </c>
      <c r="T1231" s="292" t="inlineStr">
        <is>
          <t>仅测试副本；未写正式客户端</t>
        </is>
      </c>
      <c r="U1231">
        <f>IF(COUNTIF($B$2:$B$1320,B1231)&gt;1,"重复","")</f>
        <v/>
      </c>
      <c r="V1231">
        <f>IF(AND(OR(M1231="",M1231=B1231),OR(N1231="",N1231=B1231),OR(O1231="",O1231=B1231)),"通过","不一致")</f>
        <v/>
      </c>
    </row>
    <row r="1232">
      <c r="A1232" s="398" t="n">
        <v>1231</v>
      </c>
      <c r="B1232" s="398" t="n">
        <v>7129</v>
      </c>
      <c r="C1232" s="399" t="inlineStr">
        <is>
          <t>C3-C10专属待补</t>
        </is>
      </c>
      <c r="D1232" s="399" t="inlineStr">
        <is>
          <t>湖之利耶尼亚</t>
        </is>
      </c>
      <c r="E1232" s="399" t="n">
        <v>1</v>
      </c>
      <c r="F1232" s="399" t="inlineStr">
        <is>
          <t>武器</t>
        </is>
      </c>
      <c r="G1232" s="398" t="n">
        <v>5</v>
      </c>
      <c r="H1232" s="398" t="n"/>
      <c r="I1232" s="398" t="n">
        <v>7129</v>
      </c>
      <c r="J1232" s="398" t="n">
        <v>14</v>
      </c>
      <c r="K1232" s="398" t="n"/>
      <c r="L1232" s="398" t="n"/>
      <c r="M1232" s="398" t="n">
        <v>7129</v>
      </c>
      <c r="N1232" s="398" t="n">
        <v>7129</v>
      </c>
      <c r="O1232" s="398" t="n">
        <v>7129</v>
      </c>
      <c r="P1232" s="292" t="n"/>
      <c r="Q1232" s="292" t="inlineStr">
        <is>
          <t>测试新增资源已回读</t>
        </is>
      </c>
      <c r="R1232" s="292" t="inlineStr">
        <is>
          <t>C05-M023</t>
        </is>
      </c>
      <c r="S1232" s="292" t="inlineStr">
        <is>
          <t>平台装备素材/0596_翠焰冥契·冥契_武器.bmp</t>
        </is>
      </c>
      <c r="T1232" s="292" t="inlineStr">
        <is>
          <t>仅测试副本；未写正式客户端</t>
        </is>
      </c>
      <c r="U1232">
        <f>IF(COUNTIF($B$2:$B$1320,B1232)&gt;1,"重复","")</f>
        <v/>
      </c>
      <c r="V1232">
        <f>IF(AND(OR(M1232="",M1232=B1232),OR(N1232="",N1232=B1232),OR(O1232="",O1232=B1232)),"通过","不一致")</f>
        <v/>
      </c>
    </row>
    <row r="1233">
      <c r="A1233" s="398" t="n">
        <v>1232</v>
      </c>
      <c r="B1233" s="398" t="n">
        <v>7130</v>
      </c>
      <c r="C1233" s="399" t="inlineStr">
        <is>
          <t>C3-C10专属待补</t>
        </is>
      </c>
      <c r="D1233" s="399" t="inlineStr">
        <is>
          <t>湖之利耶尼亚</t>
        </is>
      </c>
      <c r="E1233" s="399" t="n">
        <v>1</v>
      </c>
      <c r="F1233" s="399" t="inlineStr">
        <is>
          <t>面巾（位置13，对应斗笠）</t>
        </is>
      </c>
      <c r="G1233" s="398" t="n">
        <v>16</v>
      </c>
      <c r="H1233" s="398" t="n">
        <v>13</v>
      </c>
      <c r="I1233" s="398" t="n">
        <v>7130</v>
      </c>
      <c r="J1233" s="398" t="n"/>
      <c r="K1233" s="398" t="n"/>
      <c r="L1233" s="398" t="n"/>
      <c r="M1233" s="398" t="n">
        <v>7130</v>
      </c>
      <c r="N1233" s="398" t="n">
        <v>7130</v>
      </c>
      <c r="O1233" s="398" t="n">
        <v>7130</v>
      </c>
      <c r="P1233" s="292" t="n"/>
      <c r="Q1233" s="292" t="inlineStr">
        <is>
          <t>测试新增资源已回读</t>
        </is>
      </c>
      <c r="R1233" s="292" t="inlineStr">
        <is>
          <t>C05-M025</t>
        </is>
      </c>
      <c r="S1233" s="292" t="inlineStr">
        <is>
          <t>平台装备素材/0110_黄金圣树·律法_面巾.bmp</t>
        </is>
      </c>
      <c r="T1233" s="292" t="inlineStr">
        <is>
          <t>仅测试副本；未写正式客户端</t>
        </is>
      </c>
      <c r="U1233">
        <f>IF(COUNTIF($B$2:$B$1320,B1233)&gt;1,"重复","")</f>
        <v/>
      </c>
      <c r="V1233">
        <f>IF(AND(OR(M1233="",M1233=B1233),OR(N1233="",N1233=B1233),OR(O1233="",O1233=B1233)),"通过","不一致")</f>
        <v/>
      </c>
    </row>
    <row r="1234">
      <c r="A1234" s="398" t="n">
        <v>1233</v>
      </c>
      <c r="B1234" s="398" t="n">
        <v>7131</v>
      </c>
      <c r="C1234" s="399" t="inlineStr">
        <is>
          <t>C3-C10专属待补</t>
        </is>
      </c>
      <c r="D1234" s="399" t="inlineStr">
        <is>
          <t>湖之利耶尼亚</t>
        </is>
      </c>
      <c r="E1234" s="399" t="n">
        <v>1</v>
      </c>
      <c r="F1234" s="399" t="inlineStr">
        <is>
          <t>男衣服（现行模板的衣服映射）</t>
        </is>
      </c>
      <c r="G1234" s="398" t="n">
        <v>10</v>
      </c>
      <c r="H1234" s="398" t="n"/>
      <c r="I1234" s="398" t="n">
        <v>7131</v>
      </c>
      <c r="J1234" s="398" t="n">
        <v>1</v>
      </c>
      <c r="K1234" s="398" t="n"/>
      <c r="L1234" s="398" t="n"/>
      <c r="M1234" s="398" t="n">
        <v>7131</v>
      </c>
      <c r="N1234" s="398" t="n">
        <v>7131</v>
      </c>
      <c r="O1234" s="398" t="n">
        <v>7131</v>
      </c>
      <c r="P1234" s="292" t="n"/>
      <c r="Q1234" s="292" t="inlineStr">
        <is>
          <t>测试新增资源已回读</t>
        </is>
      </c>
      <c r="R1234" s="292" t="inlineStr">
        <is>
          <t>C05-M034</t>
        </is>
      </c>
      <c r="S1234" s="292" t="inlineStr">
        <is>
          <t>平台装备素材/0457_星渊龙息·天穹_男衣服.bmp</t>
        </is>
      </c>
      <c r="T1234" s="292" t="inlineStr">
        <is>
          <t>仅测试副本；未写正式客户端</t>
        </is>
      </c>
      <c r="U1234">
        <f>IF(COUNTIF($B$2:$B$1320,B1234)&gt;1,"重复","")</f>
        <v/>
      </c>
      <c r="V1234">
        <f>IF(AND(OR(M1234="",M1234=B1234),OR(N1234="",N1234=B1234),OR(O1234="",O1234=B1234)),"通过","不一致")</f>
        <v/>
      </c>
    </row>
    <row r="1235">
      <c r="A1235" s="398" t="n">
        <v>1234</v>
      </c>
      <c r="B1235" s="398" t="n">
        <v>7132</v>
      </c>
      <c r="C1235" s="399" t="inlineStr">
        <is>
          <t>C3-C10专属待补</t>
        </is>
      </c>
      <c r="D1235" s="399" t="inlineStr">
        <is>
          <t>湖之利耶尼亚</t>
        </is>
      </c>
      <c r="E1235" s="399" t="n">
        <v>1</v>
      </c>
      <c r="F1235" s="399" t="inlineStr">
        <is>
          <t>武器</t>
        </is>
      </c>
      <c r="G1235" s="398" t="n">
        <v>5</v>
      </c>
      <c r="H1235" s="398" t="n"/>
      <c r="I1235" s="398" t="n">
        <v>7132</v>
      </c>
      <c r="J1235" s="398" t="n">
        <v>14</v>
      </c>
      <c r="K1235" s="398" t="n"/>
      <c r="L1235" s="398" t="n"/>
      <c r="M1235" s="398" t="n">
        <v>7132</v>
      </c>
      <c r="N1235" s="398" t="n">
        <v>7132</v>
      </c>
      <c r="O1235" s="398" t="n">
        <v>7132</v>
      </c>
      <c r="P1235" s="292" t="n"/>
      <c r="Q1235" s="292" t="inlineStr">
        <is>
          <t>测试新增资源已回读</t>
        </is>
      </c>
      <c r="R1235" s="292" t="inlineStr">
        <is>
          <t>C05-M035</t>
        </is>
      </c>
      <c r="S1235" s="292" t="inlineStr">
        <is>
          <t>平台装备素材/0631_翠焰冥契·灾厄_武器.bmp</t>
        </is>
      </c>
      <c r="T1235" s="292" t="inlineStr">
        <is>
          <t>仅测试副本；未写正式客户端</t>
        </is>
      </c>
      <c r="U1235">
        <f>IF(COUNTIF($B$2:$B$1320,B1235)&gt;1,"重复","")</f>
        <v/>
      </c>
      <c r="V1235">
        <f>IF(AND(OR(M1235="",M1235=B1235),OR(N1235="",N1235=B1235),OR(O1235="",O1235=B1235)),"通过","不一致")</f>
        <v/>
      </c>
    </row>
    <row r="1236">
      <c r="A1236" s="398" t="n">
        <v>1235</v>
      </c>
      <c r="B1236" s="398" t="n">
        <v>7133</v>
      </c>
      <c r="C1236" s="399" t="inlineStr">
        <is>
          <t>C3-C10专属待补</t>
        </is>
      </c>
      <c r="D1236" s="399" t="inlineStr">
        <is>
          <t>湖之利耶尼亚</t>
        </is>
      </c>
      <c r="E1236" s="399" t="n">
        <v>1</v>
      </c>
      <c r="F1236" s="399" t="inlineStr">
        <is>
          <t>面巾（位置13，对应斗笠）</t>
        </is>
      </c>
      <c r="G1236" s="398" t="n">
        <v>16</v>
      </c>
      <c r="H1236" s="398" t="n">
        <v>13</v>
      </c>
      <c r="I1236" s="398" t="n">
        <v>7133</v>
      </c>
      <c r="J1236" s="398" t="n"/>
      <c r="K1236" s="398" t="n"/>
      <c r="L1236" s="398" t="n"/>
      <c r="M1236" s="398" t="n">
        <v>7133</v>
      </c>
      <c r="N1236" s="398" t="n">
        <v>7133</v>
      </c>
      <c r="O1236" s="398" t="n">
        <v>7133</v>
      </c>
      <c r="P1236" s="292" t="n"/>
      <c r="Q1236" s="292" t="inlineStr">
        <is>
          <t>测试新增资源已回读</t>
        </is>
      </c>
      <c r="R1236" s="292" t="inlineStr">
        <is>
          <t>C05-M038</t>
        </is>
      </c>
      <c r="S1236" s="292" t="inlineStr">
        <is>
          <t>平台装备素材/0145_黄金圣树·永恒_面巾.bmp</t>
        </is>
      </c>
      <c r="T1236" s="292" t="inlineStr">
        <is>
          <t>仅测试副本；未写正式客户端</t>
        </is>
      </c>
      <c r="U1236">
        <f>IF(COUNTIF($B$2:$B$1320,B1236)&gt;1,"重复","")</f>
        <v/>
      </c>
      <c r="V1236">
        <f>IF(AND(OR(M1236="",M1236=B1236),OR(N1236="",N1236=B1236),OR(O1236="",O1236=B1236)),"通过","不一致")</f>
        <v/>
      </c>
    </row>
    <row r="1237">
      <c r="A1237" s="398" t="n">
        <v>1236</v>
      </c>
      <c r="B1237" s="398" t="n">
        <v>7134</v>
      </c>
      <c r="C1237" s="399" t="inlineStr">
        <is>
          <t>C3-C10专属待补</t>
        </is>
      </c>
      <c r="D1237" s="399" t="inlineStr">
        <is>
          <t>湖之利耶尼亚</t>
        </is>
      </c>
      <c r="E1237" s="399" t="n">
        <v>1</v>
      </c>
      <c r="F1237" s="399" t="inlineStr">
        <is>
          <t>男衣服（现行模板的衣服映射）</t>
        </is>
      </c>
      <c r="G1237" s="398" t="n">
        <v>10</v>
      </c>
      <c r="H1237" s="398" t="n"/>
      <c r="I1237" s="398" t="n">
        <v>7134</v>
      </c>
      <c r="J1237" s="398" t="n">
        <v>1</v>
      </c>
      <c r="K1237" s="398" t="n"/>
      <c r="L1237" s="398" t="n"/>
      <c r="M1237" s="398" t="n">
        <v>7134</v>
      </c>
      <c r="N1237" s="398" t="n">
        <v>7134</v>
      </c>
      <c r="O1237" s="398" t="n">
        <v>7134</v>
      </c>
      <c r="P1237" s="292" t="n"/>
      <c r="Q1237" s="292" t="inlineStr">
        <is>
          <t>测试新增资源已回读</t>
        </is>
      </c>
      <c r="R1237" s="292" t="inlineStr">
        <is>
          <t>C05-M046</t>
        </is>
      </c>
      <c r="S1237" s="292" t="inlineStr">
        <is>
          <t>平台装备素材/0492_星渊龙息·无垠_男衣服.bmp</t>
        </is>
      </c>
      <c r="T1237" s="292" t="inlineStr">
        <is>
          <t>仅测试副本；未写正式客户端</t>
        </is>
      </c>
      <c r="U1237">
        <f>IF(COUNTIF($B$2:$B$1320,B1237)&gt;1,"重复","")</f>
        <v/>
      </c>
      <c r="V1237">
        <f>IF(AND(OR(M1237="",M1237=B1237),OR(N1237="",N1237=B1237),OR(O1237="",O1237=B1237)),"通过","不一致")</f>
        <v/>
      </c>
    </row>
    <row r="1238">
      <c r="A1238" s="398" t="n">
        <v>1237</v>
      </c>
      <c r="B1238" s="398" t="n">
        <v>7135</v>
      </c>
      <c r="C1238" s="399" t="inlineStr">
        <is>
          <t>C3-C10专属待补</t>
        </is>
      </c>
      <c r="D1238" s="399" t="inlineStr">
        <is>
          <t>湖之利耶尼亚</t>
        </is>
      </c>
      <c r="E1238" s="399" t="n">
        <v>1</v>
      </c>
      <c r="F1238" s="399" t="inlineStr">
        <is>
          <t>武器</t>
        </is>
      </c>
      <c r="G1238" s="398" t="n">
        <v>5</v>
      </c>
      <c r="H1238" s="398" t="n"/>
      <c r="I1238" s="398" t="n">
        <v>7135</v>
      </c>
      <c r="J1238" s="398" t="n">
        <v>14</v>
      </c>
      <c r="K1238" s="398" t="n"/>
      <c r="L1238" s="398" t="n"/>
      <c r="M1238" s="398" t="n">
        <v>7135</v>
      </c>
      <c r="N1238" s="398" t="n">
        <v>7135</v>
      </c>
      <c r="O1238" s="398" t="n">
        <v>7135</v>
      </c>
      <c r="P1238" s="292" t="n"/>
      <c r="Q1238" s="292" t="inlineStr">
        <is>
          <t>测试新增资源已回读</t>
        </is>
      </c>
      <c r="R1238" s="292" t="inlineStr">
        <is>
          <t>C05-M047</t>
        </is>
      </c>
      <c r="S1238" s="292" t="inlineStr">
        <is>
          <t>平台装备素材/0666_翠焰冥契·永夜_武器.bmp</t>
        </is>
      </c>
      <c r="T1238" s="292" t="inlineStr">
        <is>
          <t>仅测试副本；未写正式客户端</t>
        </is>
      </c>
      <c r="U1238">
        <f>IF(COUNTIF($B$2:$B$1320,B1238)&gt;1,"重复","")</f>
        <v/>
      </c>
      <c r="V1238">
        <f>IF(AND(OR(M1238="",M1238=B1238),OR(N1238="",N1238=B1238),OR(O1238="",O1238=B1238)),"通过","不一致")</f>
        <v/>
      </c>
    </row>
    <row r="1239">
      <c r="A1239" s="398" t="n">
        <v>1238</v>
      </c>
      <c r="B1239" s="398" t="n">
        <v>7136</v>
      </c>
      <c r="C1239" s="399" t="inlineStr">
        <is>
          <t>C3-C10专属待补</t>
        </is>
      </c>
      <c r="D1239" s="399" t="inlineStr">
        <is>
          <t>湖之利耶尼亚</t>
        </is>
      </c>
      <c r="E1239" s="399" t="n">
        <v>1</v>
      </c>
      <c r="F1239" s="399" t="inlineStr">
        <is>
          <t>武器</t>
        </is>
      </c>
      <c r="G1239" s="398" t="n">
        <v>5</v>
      </c>
      <c r="H1239" s="398" t="n"/>
      <c r="I1239" s="398" t="n">
        <v>7136</v>
      </c>
      <c r="J1239" s="398" t="n">
        <v>14</v>
      </c>
      <c r="K1239" s="398" t="n"/>
      <c r="L1239" s="398" t="n"/>
      <c r="M1239" s="398" t="n">
        <v>7136</v>
      </c>
      <c r="N1239" s="398" t="n">
        <v>7136</v>
      </c>
      <c r="O1239" s="398" t="n">
        <v>7136</v>
      </c>
      <c r="P1239" s="292" t="n"/>
      <c r="Q1239" s="292" t="inlineStr">
        <is>
          <t>测试新增资源已回读</t>
        </is>
      </c>
      <c r="R1239" s="292" t="inlineStr">
        <is>
          <t>C05-M049</t>
        </is>
      </c>
      <c r="S1239" s="292" t="inlineStr">
        <is>
          <t>平台装备素材/0001_黄金圣树·初誓_武器.bmp</t>
        </is>
      </c>
      <c r="T1239" s="292" t="inlineStr">
        <is>
          <t>仅测试副本；未写正式客户端</t>
        </is>
      </c>
      <c r="U1239">
        <f>IF(COUNTIF($B$2:$B$1320,B1239)&gt;1,"重复","")</f>
        <v/>
      </c>
      <c r="V1239">
        <f>IF(AND(OR(M1239="",M1239=B1239),OR(N1239="",N1239=B1239),OR(O1239="",O1239=B1239)),"通过","不一致")</f>
        <v/>
      </c>
    </row>
    <row r="1240">
      <c r="A1240" s="398" t="n">
        <v>1239</v>
      </c>
      <c r="B1240" s="398" t="n">
        <v>7137</v>
      </c>
      <c r="C1240" s="399" t="inlineStr">
        <is>
          <t>C3-C10专属待补</t>
        </is>
      </c>
      <c r="D1240" s="399" t="inlineStr">
        <is>
          <t>湖之利耶尼亚</t>
        </is>
      </c>
      <c r="E1240" s="399" t="n">
        <v>1</v>
      </c>
      <c r="F1240" s="399" t="inlineStr">
        <is>
          <t>面巾（位置13，对应斗笠）</t>
        </is>
      </c>
      <c r="G1240" s="398" t="n">
        <v>16</v>
      </c>
      <c r="H1240" s="398" t="n">
        <v>13</v>
      </c>
      <c r="I1240" s="398" t="n">
        <v>7137</v>
      </c>
      <c r="J1240" s="398" t="n"/>
      <c r="K1240" s="398" t="n"/>
      <c r="L1240" s="398" t="n"/>
      <c r="M1240" s="398" t="n">
        <v>7137</v>
      </c>
      <c r="N1240" s="398" t="n">
        <v>7137</v>
      </c>
      <c r="O1240" s="398" t="n">
        <v>7137</v>
      </c>
      <c r="P1240" s="292" t="n"/>
      <c r="Q1240" s="292" t="inlineStr">
        <is>
          <t>测试新增资源已回读</t>
        </is>
      </c>
      <c r="R1240" s="292" t="inlineStr">
        <is>
          <t>C05-M051</t>
        </is>
      </c>
      <c r="S1240" s="292" t="inlineStr">
        <is>
          <t>平台装备素材/0180_血月荆棘·血痕_面巾.bmp</t>
        </is>
      </c>
      <c r="T1240" s="292" t="inlineStr">
        <is>
          <t>仅测试副本；未写正式客户端</t>
        </is>
      </c>
      <c r="U1240">
        <f>IF(COUNTIF($B$2:$B$1320,B1240)&gt;1,"重复","")</f>
        <v/>
      </c>
      <c r="V1240">
        <f>IF(AND(OR(M1240="",M1240=B1240),OR(N1240="",N1240=B1240),OR(O1240="",O1240=B1240)),"通过","不一致")</f>
        <v/>
      </c>
    </row>
    <row r="1241">
      <c r="A1241" s="398" t="n">
        <v>1240</v>
      </c>
      <c r="B1241" s="398" t="n">
        <v>7138</v>
      </c>
      <c r="C1241" s="399" t="inlineStr">
        <is>
          <t>C3-C10专属待补</t>
        </is>
      </c>
      <c r="D1241" s="399" t="inlineStr">
        <is>
          <t>湖之利耶尼亚</t>
        </is>
      </c>
      <c r="E1241" s="399" t="n">
        <v>1</v>
      </c>
      <c r="F1241" s="399" t="inlineStr">
        <is>
          <t>武器</t>
        </is>
      </c>
      <c r="G1241" s="398" t="n">
        <v>5</v>
      </c>
      <c r="H1241" s="398" t="n"/>
      <c r="I1241" s="398" t="n">
        <v>7138</v>
      </c>
      <c r="J1241" s="398" t="n">
        <v>14</v>
      </c>
      <c r="K1241" s="398" t="n"/>
      <c r="L1241" s="398" t="n"/>
      <c r="M1241" s="398" t="n">
        <v>7138</v>
      </c>
      <c r="N1241" s="398" t="n">
        <v>7138</v>
      </c>
      <c r="O1241" s="398" t="n">
        <v>7138</v>
      </c>
      <c r="P1241" s="292" t="n"/>
      <c r="Q1241" s="292" t="inlineStr">
        <is>
          <t>测试新增资源已回读</t>
        </is>
      </c>
      <c r="R1241" s="292" t="inlineStr">
        <is>
          <t>C05-M060</t>
        </is>
      </c>
      <c r="S1241" s="292" t="inlineStr">
        <is>
          <t>平台装备素材/0036_黄金圣树·圣枝_武器.bmp</t>
        </is>
      </c>
      <c r="T1241" s="292" t="inlineStr">
        <is>
          <t>仅测试副本；未写正式客户端</t>
        </is>
      </c>
      <c r="U1241">
        <f>IF(COUNTIF($B$2:$B$1320,B1241)&gt;1,"重复","")</f>
        <v/>
      </c>
      <c r="V1241">
        <f>IF(AND(OR(M1241="",M1241=B1241),OR(N1241="",N1241=B1241),OR(O1241="",O1241=B1241)),"通过","不一致")</f>
        <v/>
      </c>
    </row>
    <row r="1242">
      <c r="A1242" s="398" t="n">
        <v>1241</v>
      </c>
      <c r="B1242" s="398" t="n">
        <v>7139</v>
      </c>
      <c r="C1242" s="399" t="inlineStr">
        <is>
          <t>C3-C10专属待补</t>
        </is>
      </c>
      <c r="D1242" s="399" t="inlineStr">
        <is>
          <t>湖之利耶尼亚</t>
        </is>
      </c>
      <c r="E1242" s="399" t="n">
        <v>1</v>
      </c>
      <c r="F1242" s="399" t="inlineStr">
        <is>
          <t>武器</t>
        </is>
      </c>
      <c r="G1242" s="398" t="n">
        <v>5</v>
      </c>
      <c r="H1242" s="398" t="n"/>
      <c r="I1242" s="398" t="n">
        <v>7139</v>
      </c>
      <c r="J1242" s="398" t="n">
        <v>14</v>
      </c>
      <c r="K1242" s="398" t="n"/>
      <c r="L1242" s="398" t="n"/>
      <c r="M1242" s="398" t="n">
        <v>7139</v>
      </c>
      <c r="N1242" s="398" t="n">
        <v>7139</v>
      </c>
      <c r="O1242" s="398" t="n">
        <v>7139</v>
      </c>
      <c r="P1242" s="292" t="n"/>
      <c r="Q1242" s="292" t="inlineStr">
        <is>
          <t>测试新增资源已回读</t>
        </is>
      </c>
      <c r="R1242" s="292" t="inlineStr">
        <is>
          <t>C05-M062</t>
        </is>
      </c>
      <c r="S1242" s="292" t="inlineStr">
        <is>
          <t>平台装备素材/0071_黄金圣树·王权_武器.bmp</t>
        </is>
      </c>
      <c r="T1242" s="292" t="inlineStr">
        <is>
          <t>仅测试副本；未写正式客户端</t>
        </is>
      </c>
      <c r="U1242">
        <f>IF(COUNTIF($B$2:$B$1320,B1242)&gt;1,"重复","")</f>
        <v/>
      </c>
      <c r="V1242">
        <f>IF(AND(OR(M1242="",M1242=B1242),OR(N1242="",N1242=B1242),OR(O1242="",O1242=B1242)),"通过","不一致")</f>
        <v/>
      </c>
    </row>
    <row r="1243">
      <c r="A1243" s="398" t="n">
        <v>1242</v>
      </c>
      <c r="B1243" s="398" t="n">
        <v>7140</v>
      </c>
      <c r="C1243" s="399" t="inlineStr">
        <is>
          <t>C3-C10专属待补</t>
        </is>
      </c>
      <c r="D1243" s="399" t="inlineStr">
        <is>
          <t>湖之利耶尼亚</t>
        </is>
      </c>
      <c r="E1243" s="399" t="n">
        <v>1</v>
      </c>
      <c r="F1243" s="399" t="inlineStr">
        <is>
          <t>面巾（位置13，对应斗笠）</t>
        </is>
      </c>
      <c r="G1243" s="398" t="n">
        <v>16</v>
      </c>
      <c r="H1243" s="398" t="n">
        <v>13</v>
      </c>
      <c r="I1243" s="398" t="n">
        <v>7140</v>
      </c>
      <c r="J1243" s="398" t="n"/>
      <c r="K1243" s="398" t="n"/>
      <c r="L1243" s="398" t="n"/>
      <c r="M1243" s="398" t="n">
        <v>7140</v>
      </c>
      <c r="N1243" s="398" t="n">
        <v>7140</v>
      </c>
      <c r="O1243" s="398" t="n">
        <v>7140</v>
      </c>
      <c r="P1243" s="292" t="n"/>
      <c r="Q1243" s="292" t="inlineStr">
        <is>
          <t>测试新增资源已回读</t>
        </is>
      </c>
      <c r="R1243" s="292" t="inlineStr">
        <is>
          <t>C05-M065</t>
        </is>
      </c>
      <c r="S1243" s="292" t="inlineStr">
        <is>
          <t>平台装备素材/0215_血月荆棘·荆冠_面巾.bmp</t>
        </is>
      </c>
      <c r="T1243" s="292" t="inlineStr">
        <is>
          <t>仅测试副本；未写正式客户端</t>
        </is>
      </c>
      <c r="U1243">
        <f>IF(COUNTIF($B$2:$B$1320,B1243)&gt;1,"重复","")</f>
        <v/>
      </c>
      <c r="V1243">
        <f>IF(AND(OR(M1243="",M1243=B1243),OR(N1243="",N1243=B1243),OR(O1243="",O1243=B1243)),"通过","不一致")</f>
        <v/>
      </c>
    </row>
    <row r="1244">
      <c r="A1244" s="398" t="n">
        <v>1243</v>
      </c>
      <c r="B1244" s="398" t="n">
        <v>7141</v>
      </c>
      <c r="C1244" s="399" t="inlineStr">
        <is>
          <t>C3-C10专属待补</t>
        </is>
      </c>
      <c r="D1244" s="399" t="inlineStr">
        <is>
          <t>湖之利耶尼亚</t>
        </is>
      </c>
      <c r="E1244" s="399" t="n">
        <v>1</v>
      </c>
      <c r="F1244" s="399" t="inlineStr">
        <is>
          <t>武器</t>
        </is>
      </c>
      <c r="G1244" s="398" t="n">
        <v>5</v>
      </c>
      <c r="H1244" s="398" t="n"/>
      <c r="I1244" s="398" t="n">
        <v>7141</v>
      </c>
      <c r="J1244" s="398" t="n">
        <v>14</v>
      </c>
      <c r="K1244" s="398" t="n"/>
      <c r="L1244" s="398" t="n"/>
      <c r="M1244" s="398" t="n">
        <v>7141</v>
      </c>
      <c r="N1244" s="398" t="n">
        <v>7141</v>
      </c>
      <c r="O1244" s="398" t="n">
        <v>7141</v>
      </c>
      <c r="P1244" s="292" t="n"/>
      <c r="Q1244" s="292" t="inlineStr">
        <is>
          <t>测试新增资源已回读</t>
        </is>
      </c>
      <c r="R1244" s="292" t="inlineStr">
        <is>
          <t>C05-M072</t>
        </is>
      </c>
      <c r="S1244" s="292" t="inlineStr">
        <is>
          <t>平台装备素材/0106_黄金圣树·律法_武器.bmp</t>
        </is>
      </c>
      <c r="T1244" s="292" t="inlineStr">
        <is>
          <t>仅测试副本；未写正式客户端</t>
        </is>
      </c>
      <c r="U1244">
        <f>IF(COUNTIF($B$2:$B$1320,B1244)&gt;1,"重复","")</f>
        <v/>
      </c>
      <c r="V1244">
        <f>IF(AND(OR(M1244="",M1244=B1244),OR(N1244="",N1244=B1244),OR(O1244="",O1244=B1244)),"通过","不一致")</f>
        <v/>
      </c>
    </row>
    <row r="1245">
      <c r="A1245" s="398" t="n">
        <v>1244</v>
      </c>
      <c r="B1245" s="398" t="n">
        <v>7142</v>
      </c>
      <c r="C1245" s="399" t="inlineStr">
        <is>
          <t>C3-C10专属待补</t>
        </is>
      </c>
      <c r="D1245" s="399" t="inlineStr">
        <is>
          <t>盖利德</t>
        </is>
      </c>
      <c r="E1245" s="399" t="n">
        <v>1</v>
      </c>
      <c r="F1245" s="399" t="inlineStr">
        <is>
          <t>武器</t>
        </is>
      </c>
      <c r="G1245" s="398" t="n">
        <v>5</v>
      </c>
      <c r="H1245" s="398" t="n"/>
      <c r="I1245" s="398" t="n">
        <v>7142</v>
      </c>
      <c r="J1245" s="398" t="n">
        <v>14</v>
      </c>
      <c r="K1245" s="398" t="n"/>
      <c r="L1245" s="398" t="n"/>
      <c r="M1245" s="398" t="n">
        <v>7142</v>
      </c>
      <c r="N1245" s="398" t="n">
        <v>7142</v>
      </c>
      <c r="O1245" s="398" t="n">
        <v>7142</v>
      </c>
      <c r="P1245" s="292" t="n"/>
      <c r="Q1245" s="292" t="inlineStr">
        <is>
          <t>测试新增资源已回读</t>
        </is>
      </c>
      <c r="R1245" s="292" t="inlineStr">
        <is>
          <t>C06-M001</t>
        </is>
      </c>
      <c r="S1245" s="292" t="inlineStr">
        <is>
          <t>平台装备素材/0141_黄金圣树·永恒_武器.bmp</t>
        </is>
      </c>
      <c r="T1245" s="292" t="inlineStr">
        <is>
          <t>仅测试副本；未写正式客户端</t>
        </is>
      </c>
      <c r="U1245">
        <f>IF(COUNTIF($B$2:$B$1320,B1245)&gt;1,"重复","")</f>
        <v/>
      </c>
      <c r="V1245">
        <f>IF(AND(OR(M1245="",M1245=B1245),OR(N1245="",N1245=B1245),OR(O1245="",O1245=B1245)),"通过","不一致")</f>
        <v/>
      </c>
    </row>
    <row r="1246">
      <c r="A1246" s="398" t="n">
        <v>1245</v>
      </c>
      <c r="B1246" s="398" t="n">
        <v>7143</v>
      </c>
      <c r="C1246" s="399" t="inlineStr">
        <is>
          <t>C3-C10专属待补</t>
        </is>
      </c>
      <c r="D1246" s="399" t="inlineStr">
        <is>
          <t>盖利德</t>
        </is>
      </c>
      <c r="E1246" s="399" t="n">
        <v>1</v>
      </c>
      <c r="F1246" s="399" t="inlineStr">
        <is>
          <t>男衣服（现行模板的衣服映射）</t>
        </is>
      </c>
      <c r="G1246" s="398" t="n">
        <v>10</v>
      </c>
      <c r="H1246" s="398" t="n"/>
      <c r="I1246" s="398" t="n">
        <v>7143</v>
      </c>
      <c r="J1246" s="398" t="n">
        <v>1</v>
      </c>
      <c r="K1246" s="398" t="n"/>
      <c r="L1246" s="398" t="n"/>
      <c r="M1246" s="398" t="n">
        <v>7143</v>
      </c>
      <c r="N1246" s="398" t="n">
        <v>7143</v>
      </c>
      <c r="O1246" s="398" t="n">
        <v>7143</v>
      </c>
      <c r="P1246" s="292" t="n"/>
      <c r="Q1246" s="292" t="inlineStr">
        <is>
          <t>测试新增资源已回读</t>
        </is>
      </c>
      <c r="R1246" s="292" t="inlineStr">
        <is>
          <t>C06-M003</t>
        </is>
      </c>
      <c r="S1246" s="292" t="inlineStr">
        <is>
          <t>平台装备素材/0527_翠焰冥契·幽焰_男衣服.bmp</t>
        </is>
      </c>
      <c r="T1246" s="292" t="inlineStr">
        <is>
          <t>仅测试副本；未写正式客户端</t>
        </is>
      </c>
      <c r="U1246">
        <f>IF(COUNTIF($B$2:$B$1320,B1246)&gt;1,"重复","")</f>
        <v/>
      </c>
      <c r="V1246">
        <f>IF(AND(OR(M1246="",M1246=B1246),OR(N1246="",N1246=B1246),OR(O1246="",O1246=B1246)),"通过","不一致")</f>
        <v/>
      </c>
    </row>
    <row r="1247">
      <c r="A1247" s="398" t="n">
        <v>1246</v>
      </c>
      <c r="B1247" s="398" t="n">
        <v>7144</v>
      </c>
      <c r="C1247" s="399" t="inlineStr">
        <is>
          <t>C3-C10专属待补</t>
        </is>
      </c>
      <c r="D1247" s="399" t="inlineStr">
        <is>
          <t>盖利德</t>
        </is>
      </c>
      <c r="E1247" s="399" t="n">
        <v>1</v>
      </c>
      <c r="F1247" s="399" t="inlineStr">
        <is>
          <t>武器</t>
        </is>
      </c>
      <c r="G1247" s="398" t="n">
        <v>5</v>
      </c>
      <c r="H1247" s="398" t="n"/>
      <c r="I1247" s="398" t="n">
        <v>7144</v>
      </c>
      <c r="J1247" s="398" t="n">
        <v>14</v>
      </c>
      <c r="K1247" s="398" t="n"/>
      <c r="L1247" s="398" t="n"/>
      <c r="M1247" s="398" t="n">
        <v>7144</v>
      </c>
      <c r="N1247" s="398" t="n">
        <v>7144</v>
      </c>
      <c r="O1247" s="398" t="n">
        <v>7144</v>
      </c>
      <c r="P1247" s="292" t="n"/>
      <c r="Q1247" s="292" t="inlineStr">
        <is>
          <t>测试新增资源已回读</t>
        </is>
      </c>
      <c r="R1247" s="292" t="inlineStr">
        <is>
          <t>C06-M011</t>
        </is>
      </c>
      <c r="S1247" s="292" t="inlineStr">
        <is>
          <t>平台装备素材/0176_血月荆棘·血痕_武器.bmp</t>
        </is>
      </c>
      <c r="T1247" s="292" t="inlineStr">
        <is>
          <t>仅测试副本；未写正式客户端</t>
        </is>
      </c>
      <c r="U1247">
        <f>IF(COUNTIF($B$2:$B$1320,B1247)&gt;1,"重复","")</f>
        <v/>
      </c>
      <c r="V1247">
        <f>IF(AND(OR(M1247="",M1247=B1247),OR(N1247="",N1247=B1247),OR(O1247="",O1247=B1247)),"通过","不一致")</f>
        <v/>
      </c>
    </row>
    <row r="1248">
      <c r="A1248" s="398" t="n">
        <v>1247</v>
      </c>
      <c r="B1248" s="398" t="n">
        <v>7145</v>
      </c>
      <c r="C1248" s="399" t="inlineStr">
        <is>
          <t>C3-C10专属待补</t>
        </is>
      </c>
      <c r="D1248" s="399" t="inlineStr">
        <is>
          <t>盖利德</t>
        </is>
      </c>
      <c r="E1248" s="399" t="n">
        <v>1</v>
      </c>
      <c r="F1248" s="399" t="inlineStr">
        <is>
          <t>男衣服（现行模板的衣服映射）</t>
        </is>
      </c>
      <c r="G1248" s="398" t="n">
        <v>10</v>
      </c>
      <c r="H1248" s="398" t="n"/>
      <c r="I1248" s="398" t="n">
        <v>7145</v>
      </c>
      <c r="J1248" s="398" t="n">
        <v>1</v>
      </c>
      <c r="K1248" s="398" t="n"/>
      <c r="L1248" s="398" t="n"/>
      <c r="M1248" s="398" t="n">
        <v>7145</v>
      </c>
      <c r="N1248" s="398" t="n">
        <v>7145</v>
      </c>
      <c r="O1248" s="398" t="n">
        <v>7145</v>
      </c>
      <c r="P1248" s="292" t="n"/>
      <c r="Q1248" s="292" t="inlineStr">
        <is>
          <t>测试新增资源已回读</t>
        </is>
      </c>
      <c r="R1248" s="292" t="inlineStr">
        <is>
          <t>C06-M012</t>
        </is>
      </c>
      <c r="S1248" s="292" t="inlineStr">
        <is>
          <t>平台装备素材/0562_翠焰冥契·腐痕_男衣服.bmp</t>
        </is>
      </c>
      <c r="T1248" s="292" t="inlineStr">
        <is>
          <t>仅测试副本；未写正式客户端</t>
        </is>
      </c>
      <c r="U1248">
        <f>IF(COUNTIF($B$2:$B$1320,B1248)&gt;1,"重复","")</f>
        <v/>
      </c>
      <c r="V1248">
        <f>IF(AND(OR(M1248="",M1248=B1248),OR(N1248="",N1248=B1248),OR(O1248="",O1248=B1248)),"通过","不一致")</f>
        <v/>
      </c>
    </row>
    <row r="1249">
      <c r="A1249" s="398" t="n">
        <v>1248</v>
      </c>
      <c r="B1249" s="398" t="n">
        <v>7146</v>
      </c>
      <c r="C1249" s="399" t="inlineStr">
        <is>
          <t>C3-C10专属待补</t>
        </is>
      </c>
      <c r="D1249" s="399" t="inlineStr">
        <is>
          <t>盖利德</t>
        </is>
      </c>
      <c r="E1249" s="399" t="n">
        <v>1</v>
      </c>
      <c r="F1249" s="399" t="inlineStr">
        <is>
          <t>武器</t>
        </is>
      </c>
      <c r="G1249" s="398" t="n">
        <v>5</v>
      </c>
      <c r="H1249" s="398" t="n"/>
      <c r="I1249" s="398" t="n">
        <v>7146</v>
      </c>
      <c r="J1249" s="398" t="n">
        <v>14</v>
      </c>
      <c r="K1249" s="398" t="n"/>
      <c r="L1249" s="398" t="n"/>
      <c r="M1249" s="398" t="n">
        <v>7146</v>
      </c>
      <c r="N1249" s="398" t="n">
        <v>7146</v>
      </c>
      <c r="O1249" s="398" t="n">
        <v>7146</v>
      </c>
      <c r="P1249" s="292" t="n"/>
      <c r="Q1249" s="292" t="inlineStr">
        <is>
          <t>测试新增资源已回读</t>
        </is>
      </c>
      <c r="R1249" s="292" t="inlineStr">
        <is>
          <t>C06-M014</t>
        </is>
      </c>
      <c r="S1249" s="292" t="inlineStr">
        <is>
          <t>平台装备素材/0211_血月荆棘·荆冠_武器.bmp</t>
        </is>
      </c>
      <c r="T1249" s="292" t="inlineStr">
        <is>
          <t>仅测试副本；未写正式客户端</t>
        </is>
      </c>
      <c r="U1249">
        <f>IF(COUNTIF($B$2:$B$1320,B1249)&gt;1,"重复","")</f>
        <v/>
      </c>
      <c r="V1249">
        <f>IF(AND(OR(M1249="",M1249=B1249),OR(N1249="",N1249=B1249),OR(O1249="",O1249=B1249)),"通过","不一致")</f>
        <v/>
      </c>
    </row>
    <row r="1250">
      <c r="A1250" s="398" t="n">
        <v>1249</v>
      </c>
      <c r="B1250" s="398" t="n">
        <v>7147</v>
      </c>
      <c r="C1250" s="399" t="inlineStr">
        <is>
          <t>C3-C10专属待补</t>
        </is>
      </c>
      <c r="D1250" s="399" t="inlineStr">
        <is>
          <t>盖利德</t>
        </is>
      </c>
      <c r="E1250" s="399" t="n">
        <v>1</v>
      </c>
      <c r="F1250" s="399" t="inlineStr">
        <is>
          <t>男衣服（现行模板的衣服映射）</t>
        </is>
      </c>
      <c r="G1250" s="398" t="n">
        <v>10</v>
      </c>
      <c r="H1250" s="398" t="n"/>
      <c r="I1250" s="398" t="n">
        <v>7147</v>
      </c>
      <c r="J1250" s="398" t="n">
        <v>1</v>
      </c>
      <c r="K1250" s="398" t="n"/>
      <c r="L1250" s="398" t="n"/>
      <c r="M1250" s="398" t="n">
        <v>7147</v>
      </c>
      <c r="N1250" s="398" t="n">
        <v>7147</v>
      </c>
      <c r="O1250" s="398" t="n">
        <v>7147</v>
      </c>
      <c r="P1250" s="292" t="n"/>
      <c r="Q1250" s="292" t="inlineStr">
        <is>
          <t>测试新增资源已回读</t>
        </is>
      </c>
      <c r="R1250" s="292" t="inlineStr">
        <is>
          <t>C06-M015</t>
        </is>
      </c>
      <c r="S1250" s="292" t="inlineStr">
        <is>
          <t>平台装备素材/0597_翠焰冥契·冥契_男衣服.bmp</t>
        </is>
      </c>
      <c r="T1250" s="292" t="inlineStr">
        <is>
          <t>仅测试副本；未写正式客户端</t>
        </is>
      </c>
      <c r="U1250">
        <f>IF(COUNTIF($B$2:$B$1320,B1250)&gt;1,"重复","")</f>
        <v/>
      </c>
      <c r="V1250">
        <f>IF(AND(OR(M1250="",M1250=B1250),OR(N1250="",N1250=B1250),OR(O1250="",O1250=B1250)),"通过","不一致")</f>
        <v/>
      </c>
    </row>
    <row r="1251">
      <c r="A1251" s="398" t="n">
        <v>1250</v>
      </c>
      <c r="B1251" s="398" t="n">
        <v>7148</v>
      </c>
      <c r="C1251" s="399" t="inlineStr">
        <is>
          <t>C3-C10专属待补</t>
        </is>
      </c>
      <c r="D1251" s="399" t="inlineStr">
        <is>
          <t>盖利德</t>
        </is>
      </c>
      <c r="E1251" s="399" t="n">
        <v>1</v>
      </c>
      <c r="F1251" s="399" t="inlineStr">
        <is>
          <t>面巾（位置13，对应斗笠）</t>
        </is>
      </c>
      <c r="G1251" s="398" t="n">
        <v>16</v>
      </c>
      <c r="H1251" s="398" t="n">
        <v>13</v>
      </c>
      <c r="I1251" s="398" t="n">
        <v>7148</v>
      </c>
      <c r="J1251" s="398" t="n"/>
      <c r="K1251" s="398" t="n"/>
      <c r="L1251" s="398" t="n"/>
      <c r="M1251" s="398" t="n">
        <v>7148</v>
      </c>
      <c r="N1251" s="398" t="n">
        <v>7148</v>
      </c>
      <c r="O1251" s="398" t="n">
        <v>7148</v>
      </c>
      <c r="P1251" s="292" t="n"/>
      <c r="Q1251" s="292" t="inlineStr">
        <is>
          <t>测试新增资源已回读</t>
        </is>
      </c>
      <c r="R1251" s="292" t="inlineStr">
        <is>
          <t>C06-M017</t>
        </is>
      </c>
      <c r="S1251" s="292" t="inlineStr">
        <is>
          <t>平台装备素材/0250_血月荆棘·猩月_面巾.bmp</t>
        </is>
      </c>
      <c r="T1251" s="292" t="inlineStr">
        <is>
          <t>仅测试副本；未写正式客户端</t>
        </is>
      </c>
      <c r="U1251">
        <f>IF(COUNTIF($B$2:$B$1320,B1251)&gt;1,"重复","")</f>
        <v/>
      </c>
      <c r="V1251">
        <f>IF(AND(OR(M1251="",M1251=B1251),OR(N1251="",N1251=B1251),OR(O1251="",O1251=B1251)),"通过","不一致")</f>
        <v/>
      </c>
    </row>
    <row r="1252">
      <c r="A1252" s="398" t="n">
        <v>1251</v>
      </c>
      <c r="B1252" s="398" t="n">
        <v>7149</v>
      </c>
      <c r="C1252" s="399" t="inlineStr">
        <is>
          <t>C3-C10专属待补</t>
        </is>
      </c>
      <c r="D1252" s="399" t="inlineStr">
        <is>
          <t>盖利德</t>
        </is>
      </c>
      <c r="E1252" s="399" t="n">
        <v>1</v>
      </c>
      <c r="F1252" s="399" t="inlineStr">
        <is>
          <t>武器</t>
        </is>
      </c>
      <c r="G1252" s="398" t="n">
        <v>5</v>
      </c>
      <c r="H1252" s="398" t="n"/>
      <c r="I1252" s="398" t="n">
        <v>7149</v>
      </c>
      <c r="J1252" s="398" t="n">
        <v>14</v>
      </c>
      <c r="K1252" s="398" t="n"/>
      <c r="L1252" s="398" t="n"/>
      <c r="M1252" s="398" t="n">
        <v>7149</v>
      </c>
      <c r="N1252" s="398" t="n">
        <v>7149</v>
      </c>
      <c r="O1252" s="398" t="n">
        <v>7149</v>
      </c>
      <c r="P1252" s="292" t="n"/>
      <c r="Q1252" s="292" t="inlineStr">
        <is>
          <t>测试新增资源已回读</t>
        </is>
      </c>
      <c r="R1252" s="292" t="inlineStr">
        <is>
          <t>C06-M019</t>
        </is>
      </c>
      <c r="S1252" s="292" t="inlineStr">
        <is>
          <t>平台装备素材/0246_血月荆棘·猩月_武器.bmp</t>
        </is>
      </c>
      <c r="T1252" s="292" t="inlineStr">
        <is>
          <t>仅测试副本；未写正式客户端</t>
        </is>
      </c>
      <c r="U1252">
        <f>IF(COUNTIF($B$2:$B$1320,B1252)&gt;1,"重复","")</f>
        <v/>
      </c>
      <c r="V1252">
        <f>IF(AND(OR(M1252="",M1252=B1252),OR(N1252="",N1252=B1252),OR(O1252="",O1252=B1252)),"通过","不一致")</f>
        <v/>
      </c>
    </row>
    <row r="1253">
      <c r="A1253" s="398" t="n">
        <v>1252</v>
      </c>
      <c r="B1253" s="398" t="n">
        <v>7150</v>
      </c>
      <c r="C1253" s="399" t="inlineStr">
        <is>
          <t>C3-C10专属待补</t>
        </is>
      </c>
      <c r="D1253" s="399" t="inlineStr">
        <is>
          <t>盖利德</t>
        </is>
      </c>
      <c r="E1253" s="399" t="n">
        <v>1</v>
      </c>
      <c r="F1253" s="399" t="inlineStr">
        <is>
          <t>男衣服（现行模板的衣服映射）</t>
        </is>
      </c>
      <c r="G1253" s="398" t="n">
        <v>10</v>
      </c>
      <c r="H1253" s="398" t="n"/>
      <c r="I1253" s="398" t="n">
        <v>7150</v>
      </c>
      <c r="J1253" s="398" t="n">
        <v>1</v>
      </c>
      <c r="K1253" s="398" t="n"/>
      <c r="L1253" s="398" t="n"/>
      <c r="M1253" s="398" t="n">
        <v>7150</v>
      </c>
      <c r="N1253" s="398" t="n">
        <v>7150</v>
      </c>
      <c r="O1253" s="398" t="n">
        <v>7150</v>
      </c>
      <c r="P1253" s="292" t="n"/>
      <c r="Q1253" s="292" t="inlineStr">
        <is>
          <t>测试新增资源已回读</t>
        </is>
      </c>
      <c r="R1253" s="292" t="inlineStr">
        <is>
          <t>C06-M024</t>
        </is>
      </c>
      <c r="S1253" s="292" t="inlineStr">
        <is>
          <t>平台装备素材/0632_翠焰冥契·灾厄_男衣服.bmp</t>
        </is>
      </c>
      <c r="T1253" s="292" t="inlineStr">
        <is>
          <t>仅测试副本；未写正式客户端</t>
        </is>
      </c>
      <c r="U1253">
        <f>IF(COUNTIF($B$2:$B$1320,B1253)&gt;1,"重复","")</f>
        <v/>
      </c>
      <c r="V1253">
        <f>IF(AND(OR(M1253="",M1253=B1253),OR(N1253="",N1253=B1253),OR(O1253="",O1253=B1253)),"通过","不一致")</f>
        <v/>
      </c>
    </row>
    <row r="1254">
      <c r="A1254" s="398" t="n">
        <v>1253</v>
      </c>
      <c r="B1254" s="398" t="n">
        <v>7151</v>
      </c>
      <c r="C1254" s="399" t="inlineStr">
        <is>
          <t>C3-C10专属待补</t>
        </is>
      </c>
      <c r="D1254" s="399" t="inlineStr">
        <is>
          <t>盖利德</t>
        </is>
      </c>
      <c r="E1254" s="399" t="n">
        <v>1</v>
      </c>
      <c r="F1254" s="399" t="inlineStr">
        <is>
          <t>男衣服（现行模板的衣服映射）</t>
        </is>
      </c>
      <c r="G1254" s="398" t="n">
        <v>10</v>
      </c>
      <c r="H1254" s="398" t="n"/>
      <c r="I1254" s="398" t="n">
        <v>7151</v>
      </c>
      <c r="J1254" s="398" t="n">
        <v>1</v>
      </c>
      <c r="K1254" s="398" t="n"/>
      <c r="L1254" s="398" t="n"/>
      <c r="M1254" s="398" t="n">
        <v>7151</v>
      </c>
      <c r="N1254" s="398" t="n">
        <v>7151</v>
      </c>
      <c r="O1254" s="398" t="n">
        <v>7151</v>
      </c>
      <c r="P1254" s="292" t="n"/>
      <c r="Q1254" s="292" t="inlineStr">
        <is>
          <t>测试新增资源已回读</t>
        </is>
      </c>
      <c r="R1254" s="292" t="inlineStr">
        <is>
          <t>C06-M028</t>
        </is>
      </c>
      <c r="S1254" s="292" t="inlineStr">
        <is>
          <t>平台装备素材/0667_翠焰冥契·永夜_男衣服.bmp</t>
        </is>
      </c>
      <c r="T1254" s="292" t="inlineStr">
        <is>
          <t>仅测试副本；未写正式客户端</t>
        </is>
      </c>
      <c r="U1254">
        <f>IF(COUNTIF($B$2:$B$1320,B1254)&gt;1,"重复","")</f>
        <v/>
      </c>
      <c r="V1254">
        <f>IF(AND(OR(M1254="",M1254=B1254),OR(N1254="",N1254=B1254),OR(O1254="",O1254=B1254)),"通过","不一致")</f>
        <v/>
      </c>
    </row>
    <row r="1255">
      <c r="A1255" s="398" t="n">
        <v>1254</v>
      </c>
      <c r="B1255" s="398" t="n">
        <v>7152</v>
      </c>
      <c r="C1255" s="399" t="inlineStr">
        <is>
          <t>C3-C10专属待补</t>
        </is>
      </c>
      <c r="D1255" s="399" t="inlineStr">
        <is>
          <t>盖利德</t>
        </is>
      </c>
      <c r="E1255" s="399" t="n">
        <v>1</v>
      </c>
      <c r="F1255" s="399" t="inlineStr">
        <is>
          <t>武器</t>
        </is>
      </c>
      <c r="G1255" s="398" t="n">
        <v>5</v>
      </c>
      <c r="H1255" s="398" t="n"/>
      <c r="I1255" s="398" t="n">
        <v>7152</v>
      </c>
      <c r="J1255" s="398" t="n">
        <v>14</v>
      </c>
      <c r="K1255" s="398" t="n"/>
      <c r="L1255" s="398" t="n"/>
      <c r="M1255" s="398" t="n">
        <v>7152</v>
      </c>
      <c r="N1255" s="398" t="n">
        <v>7152</v>
      </c>
      <c r="O1255" s="398" t="n">
        <v>7152</v>
      </c>
      <c r="P1255" s="292" t="n"/>
      <c r="Q1255" s="292" t="inlineStr">
        <is>
          <t>测试新增资源已回读</t>
        </is>
      </c>
      <c r="R1255" s="292" t="inlineStr">
        <is>
          <t>C06-M029</t>
        </is>
      </c>
      <c r="S1255" s="292" t="inlineStr">
        <is>
          <t>平台装备素材/0281_血月荆棘·弑王_武器.bmp</t>
        </is>
      </c>
      <c r="T1255" s="292" t="inlineStr">
        <is>
          <t>仅测试副本；未写正式客户端</t>
        </is>
      </c>
      <c r="U1255">
        <f>IF(COUNTIF($B$2:$B$1320,B1255)&gt;1,"重复","")</f>
        <v/>
      </c>
      <c r="V1255">
        <f>IF(AND(OR(M1255="",M1255=B1255),OR(N1255="",N1255=B1255),OR(O1255="",O1255=B1255)),"通过","不一致")</f>
        <v/>
      </c>
    </row>
    <row r="1256">
      <c r="A1256" s="398" t="n">
        <v>1255</v>
      </c>
      <c r="B1256" s="398" t="n">
        <v>7153</v>
      </c>
      <c r="C1256" s="399" t="inlineStr">
        <is>
          <t>C3-C10专属待补</t>
        </is>
      </c>
      <c r="D1256" s="399" t="inlineStr">
        <is>
          <t>盖利德</t>
        </is>
      </c>
      <c r="E1256" s="399" t="n">
        <v>1</v>
      </c>
      <c r="F1256" s="399" t="inlineStr">
        <is>
          <t>武器</t>
        </is>
      </c>
      <c r="G1256" s="398" t="n">
        <v>5</v>
      </c>
      <c r="H1256" s="398" t="n"/>
      <c r="I1256" s="398" t="n">
        <v>7153</v>
      </c>
      <c r="J1256" s="398" t="n">
        <v>14</v>
      </c>
      <c r="K1256" s="398" t="n"/>
      <c r="L1256" s="398" t="n"/>
      <c r="M1256" s="398" t="n">
        <v>7153</v>
      </c>
      <c r="N1256" s="398" t="n">
        <v>7153</v>
      </c>
      <c r="O1256" s="398" t="n">
        <v>7153</v>
      </c>
      <c r="P1256" s="292" t="n"/>
      <c r="Q1256" s="292" t="inlineStr">
        <is>
          <t>测试新增资源已回读</t>
        </is>
      </c>
      <c r="R1256" s="292" t="inlineStr">
        <is>
          <t>C06-M035</t>
        </is>
      </c>
      <c r="S1256" s="292" t="inlineStr">
        <is>
          <t>平台装备素材/0316_血月荆棘·血月_武器.bmp</t>
        </is>
      </c>
      <c r="T1256" s="292" t="inlineStr">
        <is>
          <t>仅测试副本；未写正式客户端</t>
        </is>
      </c>
      <c r="U1256">
        <f>IF(COUNTIF($B$2:$B$1320,B1256)&gt;1,"重复","")</f>
        <v/>
      </c>
      <c r="V1256">
        <f>IF(AND(OR(M1256="",M1256=B1256),OR(N1256="",N1256=B1256),OR(O1256="",O1256=B1256)),"通过","不一致")</f>
        <v/>
      </c>
    </row>
    <row r="1257">
      <c r="A1257" s="398" t="n">
        <v>1256</v>
      </c>
      <c r="B1257" s="398" t="n">
        <v>7154</v>
      </c>
      <c r="C1257" s="399" t="inlineStr">
        <is>
          <t>C3-C10专属待补</t>
        </is>
      </c>
      <c r="D1257" s="399" t="inlineStr">
        <is>
          <t>盖利德</t>
        </is>
      </c>
      <c r="E1257" s="399" t="n">
        <v>1</v>
      </c>
      <c r="F1257" s="399" t="inlineStr">
        <is>
          <t>男衣服（现行模板的衣服映射）</t>
        </is>
      </c>
      <c r="G1257" s="398" t="n">
        <v>10</v>
      </c>
      <c r="H1257" s="398" t="n"/>
      <c r="I1257" s="398" t="n">
        <v>7154</v>
      </c>
      <c r="J1257" s="398" t="n">
        <v>1</v>
      </c>
      <c r="K1257" s="398" t="n"/>
      <c r="L1257" s="398" t="n"/>
      <c r="M1257" s="398" t="n">
        <v>7154</v>
      </c>
      <c r="N1257" s="398" t="n">
        <v>7154</v>
      </c>
      <c r="O1257" s="398" t="n">
        <v>7154</v>
      </c>
      <c r="P1257" s="292" t="n"/>
      <c r="Q1257" s="292" t="inlineStr">
        <is>
          <t>测试新增资源已回读</t>
        </is>
      </c>
      <c r="R1257" s="292" t="inlineStr">
        <is>
          <t>C06-M036</t>
        </is>
      </c>
      <c r="S1257" s="292" t="inlineStr">
        <is>
          <t>平台装备素材/0002_黄金圣树·初誓_男衣服.bmp</t>
        </is>
      </c>
      <c r="T1257" s="292" t="inlineStr">
        <is>
          <t>仅测试副本；未写正式客户端</t>
        </is>
      </c>
      <c r="U1257">
        <f>IF(COUNTIF($B$2:$B$1320,B1257)&gt;1,"重复","")</f>
        <v/>
      </c>
      <c r="V1257">
        <f>IF(AND(OR(M1257="",M1257=B1257),OR(N1257="",N1257=B1257),OR(O1257="",O1257=B1257)),"通过","不一致")</f>
        <v/>
      </c>
    </row>
    <row r="1258">
      <c r="A1258" s="398" t="n">
        <v>1257</v>
      </c>
      <c r="B1258" s="398" t="n">
        <v>7155</v>
      </c>
      <c r="C1258" s="399" t="inlineStr">
        <is>
          <t>C3-C10专属待补</t>
        </is>
      </c>
      <c r="D1258" s="399" t="inlineStr">
        <is>
          <t>化圣雪原</t>
        </is>
      </c>
      <c r="E1258" s="399" t="n">
        <v>1</v>
      </c>
      <c r="F1258" s="399" t="inlineStr">
        <is>
          <t>武器</t>
        </is>
      </c>
      <c r="G1258" s="398" t="n">
        <v>5</v>
      </c>
      <c r="H1258" s="398" t="n"/>
      <c r="I1258" s="398" t="n">
        <v>7155</v>
      </c>
      <c r="J1258" s="398" t="n">
        <v>14</v>
      </c>
      <c r="K1258" s="398" t="n"/>
      <c r="L1258" s="398" t="n"/>
      <c r="M1258" s="398" t="n">
        <v>7155</v>
      </c>
      <c r="N1258" s="398" t="n">
        <v>7155</v>
      </c>
      <c r="O1258" s="398" t="n">
        <v>7155</v>
      </c>
      <c r="P1258" s="292" t="n"/>
      <c r="Q1258" s="292" t="inlineStr">
        <is>
          <t>测试新增资源已回读</t>
        </is>
      </c>
      <c r="R1258" s="292" t="inlineStr">
        <is>
          <t>C07-M002</t>
        </is>
      </c>
      <c r="S1258" s="292" t="inlineStr">
        <is>
          <t>平台装备素材/0351_星渊龙息·星痕_武器.bmp</t>
        </is>
      </c>
      <c r="T1258" s="292" t="inlineStr">
        <is>
          <t>仅测试副本；未写正式客户端</t>
        </is>
      </c>
      <c r="U1258">
        <f>IF(COUNTIF($B$2:$B$1320,B1258)&gt;1,"重复","")</f>
        <v/>
      </c>
      <c r="V1258">
        <f>IF(AND(OR(M1258="",M1258=B1258),OR(N1258="",N1258=B1258),OR(O1258="",O1258=B1258)),"通过","不一致")</f>
        <v/>
      </c>
    </row>
    <row r="1259">
      <c r="A1259" s="398" t="n">
        <v>1258</v>
      </c>
      <c r="B1259" s="398" t="n">
        <v>7156</v>
      </c>
      <c r="C1259" s="399" t="inlineStr">
        <is>
          <t>C3-C10专属待补</t>
        </is>
      </c>
      <c r="D1259" s="399" t="inlineStr">
        <is>
          <t>化圣雪原</t>
        </is>
      </c>
      <c r="E1259" s="399" t="n">
        <v>1</v>
      </c>
      <c r="F1259" s="399" t="inlineStr">
        <is>
          <t>男衣服（现行模板的衣服映射）</t>
        </is>
      </c>
      <c r="G1259" s="398" t="n">
        <v>10</v>
      </c>
      <c r="H1259" s="398" t="n"/>
      <c r="I1259" s="398" t="n">
        <v>7156</v>
      </c>
      <c r="J1259" s="398" t="n">
        <v>1</v>
      </c>
      <c r="K1259" s="398" t="n"/>
      <c r="L1259" s="398" t="n"/>
      <c r="M1259" s="398" t="n">
        <v>7156</v>
      </c>
      <c r="N1259" s="398" t="n">
        <v>7156</v>
      </c>
      <c r="O1259" s="398" t="n">
        <v>7156</v>
      </c>
      <c r="P1259" s="292" t="n"/>
      <c r="Q1259" s="292" t="inlineStr">
        <is>
          <t>测试新增资源已回读</t>
        </is>
      </c>
      <c r="R1259" s="292" t="inlineStr">
        <is>
          <t>C07-M007</t>
        </is>
      </c>
      <c r="S1259" s="292" t="inlineStr">
        <is>
          <t>平台装备素材/0037_黄金圣树·圣枝_男衣服.bmp</t>
        </is>
      </c>
      <c r="T1259" s="292" t="inlineStr">
        <is>
          <t>仅测试副本；未写正式客户端</t>
        </is>
      </c>
      <c r="U1259">
        <f>IF(COUNTIF($B$2:$B$1320,B1259)&gt;1,"重复","")</f>
        <v/>
      </c>
      <c r="V1259">
        <f>IF(AND(OR(M1259="",M1259=B1259),OR(N1259="",N1259=B1259),OR(O1259="",O1259=B1259)),"通过","不一致")</f>
        <v/>
      </c>
    </row>
    <row r="1260">
      <c r="A1260" s="398" t="n">
        <v>1259</v>
      </c>
      <c r="B1260" s="398" t="n">
        <v>7157</v>
      </c>
      <c r="C1260" s="399" t="inlineStr">
        <is>
          <t>C3-C10专属待补</t>
        </is>
      </c>
      <c r="D1260" s="399" t="inlineStr">
        <is>
          <t>化圣雪原</t>
        </is>
      </c>
      <c r="E1260" s="399" t="n">
        <v>1</v>
      </c>
      <c r="F1260" s="399" t="inlineStr">
        <is>
          <t>武器</t>
        </is>
      </c>
      <c r="G1260" s="398" t="n">
        <v>5</v>
      </c>
      <c r="H1260" s="398" t="n"/>
      <c r="I1260" s="398" t="n">
        <v>7157</v>
      </c>
      <c r="J1260" s="398" t="n">
        <v>14</v>
      </c>
      <c r="K1260" s="398" t="n"/>
      <c r="L1260" s="398" t="n"/>
      <c r="M1260" s="398" t="n">
        <v>7157</v>
      </c>
      <c r="N1260" s="398" t="n">
        <v>7157</v>
      </c>
      <c r="O1260" s="398" t="n">
        <v>7157</v>
      </c>
      <c r="P1260" s="292" t="n"/>
      <c r="Q1260" s="292" t="inlineStr">
        <is>
          <t>测试新增资源已回读</t>
        </is>
      </c>
      <c r="R1260" s="292" t="inlineStr">
        <is>
          <t>C07-M011</t>
        </is>
      </c>
      <c r="S1260" s="292" t="inlineStr">
        <is>
          <t>平台装备素材/0386_星渊龙息·龙鳞_武器.bmp</t>
        </is>
      </c>
      <c r="T1260" s="292" t="inlineStr">
        <is>
          <t>仅测试副本；未写正式客户端</t>
        </is>
      </c>
      <c r="U1260">
        <f>IF(COUNTIF($B$2:$B$1320,B1260)&gt;1,"重复","")</f>
        <v/>
      </c>
      <c r="V1260">
        <f>IF(AND(OR(M1260="",M1260=B1260),OR(N1260="",N1260=B1260),OR(O1260="",O1260=B1260)),"通过","不一致")</f>
        <v/>
      </c>
    </row>
    <row r="1261">
      <c r="A1261" s="398" t="n">
        <v>1260</v>
      </c>
      <c r="B1261" s="398" t="n">
        <v>7158</v>
      </c>
      <c r="C1261" s="399" t="inlineStr">
        <is>
          <t>C3-C10专属待补</t>
        </is>
      </c>
      <c r="D1261" s="399" t="inlineStr">
        <is>
          <t>化圣雪原</t>
        </is>
      </c>
      <c r="E1261" s="399" t="n">
        <v>1</v>
      </c>
      <c r="F1261" s="399" t="inlineStr">
        <is>
          <t>武器</t>
        </is>
      </c>
      <c r="G1261" s="398" t="n">
        <v>5</v>
      </c>
      <c r="H1261" s="398" t="n"/>
      <c r="I1261" s="398" t="n">
        <v>7158</v>
      </c>
      <c r="J1261" s="398" t="n">
        <v>14</v>
      </c>
      <c r="K1261" s="398" t="n"/>
      <c r="L1261" s="398" t="n"/>
      <c r="M1261" s="398" t="n">
        <v>7158</v>
      </c>
      <c r="N1261" s="398" t="n">
        <v>7158</v>
      </c>
      <c r="O1261" s="398" t="n">
        <v>7158</v>
      </c>
      <c r="P1261" s="292" t="n"/>
      <c r="Q1261" s="292" t="inlineStr">
        <is>
          <t>测试新增资源已回读</t>
        </is>
      </c>
      <c r="R1261" s="292" t="inlineStr">
        <is>
          <t>C07-M014</t>
        </is>
      </c>
      <c r="S1261" s="292" t="inlineStr">
        <is>
          <t>平台装备素材/0421_星渊龙息·渊辉_武器.bmp</t>
        </is>
      </c>
      <c r="T1261" s="292" t="inlineStr">
        <is>
          <t>仅测试副本；未写正式客户端</t>
        </is>
      </c>
      <c r="U1261">
        <f>IF(COUNTIF($B$2:$B$1320,B1261)&gt;1,"重复","")</f>
        <v/>
      </c>
      <c r="V1261">
        <f>IF(AND(OR(M1261="",M1261=B1261),OR(N1261="",N1261=B1261),OR(O1261="",O1261=B1261)),"通过","不一致")</f>
        <v/>
      </c>
    </row>
    <row r="1262">
      <c r="A1262" s="398" t="n">
        <v>1261</v>
      </c>
      <c r="B1262" s="398" t="n">
        <v>7159</v>
      </c>
      <c r="C1262" s="399" t="inlineStr">
        <is>
          <t>C3-C10专属待补</t>
        </is>
      </c>
      <c r="D1262" s="399" t="inlineStr">
        <is>
          <t>化圣雪原</t>
        </is>
      </c>
      <c r="E1262" s="399" t="n">
        <v>1</v>
      </c>
      <c r="F1262" s="399" t="inlineStr">
        <is>
          <t>男衣服（现行模板的衣服映射）</t>
        </is>
      </c>
      <c r="G1262" s="398" t="n">
        <v>10</v>
      </c>
      <c r="H1262" s="398" t="n"/>
      <c r="I1262" s="398" t="n">
        <v>7159</v>
      </c>
      <c r="J1262" s="398" t="n">
        <v>1</v>
      </c>
      <c r="K1262" s="398" t="n"/>
      <c r="L1262" s="398" t="n"/>
      <c r="M1262" s="398" t="n">
        <v>7159</v>
      </c>
      <c r="N1262" s="398" t="n">
        <v>7159</v>
      </c>
      <c r="O1262" s="398" t="n">
        <v>7159</v>
      </c>
      <c r="P1262" s="292" t="n"/>
      <c r="Q1262" s="292" t="inlineStr">
        <is>
          <t>测试新增资源已回读</t>
        </is>
      </c>
      <c r="R1262" s="292" t="inlineStr">
        <is>
          <t>C07-M015</t>
        </is>
      </c>
      <c r="S1262" s="292" t="inlineStr">
        <is>
          <t>平台装备素材/0072_黄金圣树·王权_男衣服.bmp</t>
        </is>
      </c>
      <c r="T1262" s="292" t="inlineStr">
        <is>
          <t>仅测试副本；未写正式客户端</t>
        </is>
      </c>
      <c r="U1262">
        <f>IF(COUNTIF($B$2:$B$1320,B1262)&gt;1,"重复","")</f>
        <v/>
      </c>
      <c r="V1262">
        <f>IF(AND(OR(M1262="",M1262=B1262),OR(N1262="",N1262=B1262),OR(O1262="",O1262=B1262)),"通过","不一致")</f>
        <v/>
      </c>
    </row>
    <row r="1263">
      <c r="A1263" s="398" t="n">
        <v>1262</v>
      </c>
      <c r="B1263" s="398" t="n">
        <v>7160</v>
      </c>
      <c r="C1263" s="399" t="inlineStr">
        <is>
          <t>C3-C10专属待补</t>
        </is>
      </c>
      <c r="D1263" s="399" t="inlineStr">
        <is>
          <t>化圣雪原</t>
        </is>
      </c>
      <c r="E1263" s="399" t="n">
        <v>1</v>
      </c>
      <c r="F1263" s="399" t="inlineStr">
        <is>
          <t>面巾（位置13，对应斗笠）</t>
        </is>
      </c>
      <c r="G1263" s="398" t="n">
        <v>16</v>
      </c>
      <c r="H1263" s="398" t="n">
        <v>13</v>
      </c>
      <c r="I1263" s="398" t="n">
        <v>7160</v>
      </c>
      <c r="J1263" s="398" t="n"/>
      <c r="K1263" s="398" t="n"/>
      <c r="L1263" s="398" t="n"/>
      <c r="M1263" s="398" t="n">
        <v>7160</v>
      </c>
      <c r="N1263" s="398" t="n">
        <v>7160</v>
      </c>
      <c r="O1263" s="398" t="n">
        <v>7160</v>
      </c>
      <c r="P1263" s="292" t="n"/>
      <c r="Q1263" s="292" t="inlineStr">
        <is>
          <t>测试新增资源已回读</t>
        </is>
      </c>
      <c r="R1263" s="292" t="inlineStr">
        <is>
          <t>C07-M016</t>
        </is>
      </c>
      <c r="S1263" s="292" t="inlineStr">
        <is>
          <t>平台装备素材/0285_血月荆棘·弑王_面巾.bmp</t>
        </is>
      </c>
      <c r="T1263" s="292" t="inlineStr">
        <is>
          <t>仅测试副本；未写正式客户端</t>
        </is>
      </c>
      <c r="U1263">
        <f>IF(COUNTIF($B$2:$B$1320,B1263)&gt;1,"重复","")</f>
        <v/>
      </c>
      <c r="V1263">
        <f>IF(AND(OR(M1263="",M1263=B1263),OR(N1263="",N1263=B1263),OR(O1263="",O1263=B1263)),"通过","不一致")</f>
        <v/>
      </c>
    </row>
    <row r="1264">
      <c r="A1264" s="398" t="n">
        <v>1263</v>
      </c>
      <c r="B1264" s="398" t="n">
        <v>7161</v>
      </c>
      <c r="C1264" s="399" t="inlineStr">
        <is>
          <t>C3-C10专属待补</t>
        </is>
      </c>
      <c r="D1264" s="399" t="inlineStr">
        <is>
          <t>化圣雪原</t>
        </is>
      </c>
      <c r="E1264" s="399" t="n">
        <v>1</v>
      </c>
      <c r="F1264" s="399" t="inlineStr">
        <is>
          <t>男衣服（现行模板的衣服映射）</t>
        </is>
      </c>
      <c r="G1264" s="398" t="n">
        <v>10</v>
      </c>
      <c r="H1264" s="398" t="n"/>
      <c r="I1264" s="398" t="n">
        <v>7161</v>
      </c>
      <c r="J1264" s="398" t="n">
        <v>1</v>
      </c>
      <c r="K1264" s="398" t="n"/>
      <c r="L1264" s="398" t="n"/>
      <c r="M1264" s="398" t="n">
        <v>7161</v>
      </c>
      <c r="N1264" s="398" t="n">
        <v>7161</v>
      </c>
      <c r="O1264" s="398" t="n">
        <v>7161</v>
      </c>
      <c r="P1264" s="292" t="n"/>
      <c r="Q1264" s="292" t="inlineStr">
        <is>
          <t>测试新增资源已回读</t>
        </is>
      </c>
      <c r="R1264" s="292" t="inlineStr">
        <is>
          <t>C07-M024</t>
        </is>
      </c>
      <c r="S1264" s="292" t="inlineStr">
        <is>
          <t>平台装备素材/0107_黄金圣树·律法_男衣服.bmp</t>
        </is>
      </c>
      <c r="T1264" s="292" t="inlineStr">
        <is>
          <t>仅测试副本；未写正式客户端</t>
        </is>
      </c>
      <c r="U1264">
        <f>IF(COUNTIF($B$2:$B$1320,B1264)&gt;1,"重复","")</f>
        <v/>
      </c>
      <c r="V1264">
        <f>IF(AND(OR(M1264="",M1264=B1264),OR(N1264="",N1264=B1264),OR(O1264="",O1264=B1264)),"通过","不一致")</f>
        <v/>
      </c>
    </row>
    <row r="1265">
      <c r="A1265" s="398" t="n">
        <v>1264</v>
      </c>
      <c r="B1265" s="398" t="n">
        <v>7162</v>
      </c>
      <c r="C1265" s="399" t="inlineStr">
        <is>
          <t>C3-C10专属待补</t>
        </is>
      </c>
      <c r="D1265" s="399" t="inlineStr">
        <is>
          <t>化圣雪原</t>
        </is>
      </c>
      <c r="E1265" s="399" t="n">
        <v>1</v>
      </c>
      <c r="F1265" s="399" t="inlineStr">
        <is>
          <t>武器</t>
        </is>
      </c>
      <c r="G1265" s="398" t="n">
        <v>5</v>
      </c>
      <c r="H1265" s="398" t="n"/>
      <c r="I1265" s="398" t="n">
        <v>7162</v>
      </c>
      <c r="J1265" s="398" t="n">
        <v>14</v>
      </c>
      <c r="K1265" s="398" t="n"/>
      <c r="L1265" s="398" t="n"/>
      <c r="M1265" s="398" t="n">
        <v>7162</v>
      </c>
      <c r="N1265" s="398" t="n">
        <v>7162</v>
      </c>
      <c r="O1265" s="398" t="n">
        <v>7162</v>
      </c>
      <c r="P1265" s="292" t="n"/>
      <c r="Q1265" s="292" t="inlineStr">
        <is>
          <t>测试新增资源已回读</t>
        </is>
      </c>
      <c r="R1265" s="292" t="inlineStr">
        <is>
          <t>C07-M025</t>
        </is>
      </c>
      <c r="S1265" s="292" t="inlineStr">
        <is>
          <t>平台装备素材/0456_星渊龙息·天穹_武器.bmp</t>
        </is>
      </c>
      <c r="T1265" s="292" t="inlineStr">
        <is>
          <t>仅测试副本；未写正式客户端</t>
        </is>
      </c>
      <c r="U1265">
        <f>IF(COUNTIF($B$2:$B$1320,B1265)&gt;1,"重复","")</f>
        <v/>
      </c>
      <c r="V1265">
        <f>IF(AND(OR(M1265="",M1265=B1265),OR(N1265="",N1265=B1265),OR(O1265="",O1265=B1265)),"通过","不一致")</f>
        <v/>
      </c>
    </row>
    <row r="1266">
      <c r="A1266" s="398" t="n">
        <v>1265</v>
      </c>
      <c r="B1266" s="398" t="n">
        <v>7163</v>
      </c>
      <c r="C1266" s="399" t="inlineStr">
        <is>
          <t>C3-C10专属待补</t>
        </is>
      </c>
      <c r="D1266" s="399" t="inlineStr">
        <is>
          <t>化圣雪原</t>
        </is>
      </c>
      <c r="E1266" s="399" t="n">
        <v>1</v>
      </c>
      <c r="F1266" s="399" t="inlineStr">
        <is>
          <t>面巾（位置13，对应斗笠）</t>
        </is>
      </c>
      <c r="G1266" s="398" t="n">
        <v>16</v>
      </c>
      <c r="H1266" s="398" t="n">
        <v>13</v>
      </c>
      <c r="I1266" s="398" t="n">
        <v>7163</v>
      </c>
      <c r="J1266" s="398" t="n"/>
      <c r="K1266" s="398" t="n"/>
      <c r="L1266" s="398" t="n"/>
      <c r="M1266" s="398" t="n">
        <v>7163</v>
      </c>
      <c r="N1266" s="398" t="n">
        <v>7163</v>
      </c>
      <c r="O1266" s="398" t="n">
        <v>7163</v>
      </c>
      <c r="P1266" s="292" t="n"/>
      <c r="Q1266" s="292" t="inlineStr">
        <is>
          <t>测试新增资源已回读</t>
        </is>
      </c>
      <c r="R1266" s="292" t="inlineStr">
        <is>
          <t>C07-M026</t>
        </is>
      </c>
      <c r="S1266" s="292" t="inlineStr">
        <is>
          <t>平台装备素材/0320_血月荆棘·血月_面巾.bmp</t>
        </is>
      </c>
      <c r="T1266" s="292" t="inlineStr">
        <is>
          <t>仅测试副本；未写正式客户端</t>
        </is>
      </c>
      <c r="U1266">
        <f>IF(COUNTIF($B$2:$B$1320,B1266)&gt;1,"重复","")</f>
        <v/>
      </c>
      <c r="V1266">
        <f>IF(AND(OR(M1266="",M1266=B1266),OR(N1266="",N1266=B1266),OR(O1266="",O1266=B1266)),"通过","不一致")</f>
        <v/>
      </c>
    </row>
    <row r="1267">
      <c r="A1267" s="398" t="n">
        <v>1266</v>
      </c>
      <c r="B1267" s="398" t="n">
        <v>7164</v>
      </c>
      <c r="C1267" s="399" t="inlineStr">
        <is>
          <t>C3-C10专属待补</t>
        </is>
      </c>
      <c r="D1267" s="399" t="inlineStr">
        <is>
          <t>化圣雪原</t>
        </is>
      </c>
      <c r="E1267" s="399" t="n">
        <v>1</v>
      </c>
      <c r="F1267" s="399" t="inlineStr">
        <is>
          <t>男衣服（现行模板的衣服映射）</t>
        </is>
      </c>
      <c r="G1267" s="398" t="n">
        <v>10</v>
      </c>
      <c r="H1267" s="398" t="n"/>
      <c r="I1267" s="398" t="n">
        <v>7164</v>
      </c>
      <c r="J1267" s="398" t="n">
        <v>1</v>
      </c>
      <c r="K1267" s="398" t="n"/>
      <c r="L1267" s="398" t="n"/>
      <c r="M1267" s="398" t="n">
        <v>7164</v>
      </c>
      <c r="N1267" s="398" t="n">
        <v>7164</v>
      </c>
      <c r="O1267" s="398" t="n">
        <v>7164</v>
      </c>
      <c r="P1267" s="292" t="n"/>
      <c r="Q1267" s="292" t="inlineStr">
        <is>
          <t>测试新增资源已回读</t>
        </is>
      </c>
      <c r="R1267" s="292" t="inlineStr">
        <is>
          <t>C07-M029</t>
        </is>
      </c>
      <c r="S1267" s="292" t="inlineStr">
        <is>
          <t>平台装备素材/0142_黄金圣树·永恒_男衣服.bmp</t>
        </is>
      </c>
      <c r="T1267" s="292" t="inlineStr">
        <is>
          <t>仅测试副本；未写正式客户端</t>
        </is>
      </c>
      <c r="U1267">
        <f>IF(COUNTIF($B$2:$B$1320,B1267)&gt;1,"重复","")</f>
        <v/>
      </c>
      <c r="V1267">
        <f>IF(AND(OR(M1267="",M1267=B1267),OR(N1267="",N1267=B1267),OR(O1267="",O1267=B1267)),"通过","不一致")</f>
        <v/>
      </c>
    </row>
    <row r="1268">
      <c r="A1268" s="398" t="n">
        <v>1267</v>
      </c>
      <c r="B1268" s="398" t="n">
        <v>7165</v>
      </c>
      <c r="C1268" s="399" t="inlineStr">
        <is>
          <t>C3-C10专属待补</t>
        </is>
      </c>
      <c r="D1268" s="399" t="inlineStr">
        <is>
          <t>化圣雪原</t>
        </is>
      </c>
      <c r="E1268" s="399" t="n">
        <v>1</v>
      </c>
      <c r="F1268" s="399" t="inlineStr">
        <is>
          <t>武器</t>
        </is>
      </c>
      <c r="G1268" s="398" t="n">
        <v>5</v>
      </c>
      <c r="H1268" s="398" t="n"/>
      <c r="I1268" s="398" t="n">
        <v>7165</v>
      </c>
      <c r="J1268" s="398" t="n">
        <v>14</v>
      </c>
      <c r="K1268" s="398" t="n"/>
      <c r="L1268" s="398" t="n"/>
      <c r="M1268" s="398" t="n">
        <v>7165</v>
      </c>
      <c r="N1268" s="398" t="n">
        <v>7165</v>
      </c>
      <c r="O1268" s="398" t="n">
        <v>7165</v>
      </c>
      <c r="P1268" s="292" t="n"/>
      <c r="Q1268" s="292" t="inlineStr">
        <is>
          <t>测试新增资源已回读</t>
        </is>
      </c>
      <c r="R1268" s="292" t="inlineStr">
        <is>
          <t>C07-M035</t>
        </is>
      </c>
      <c r="S1268" s="292" t="inlineStr">
        <is>
          <t>平台装备素材/0491_星渊龙息·无垠_武器.bmp</t>
        </is>
      </c>
      <c r="T1268" s="292" t="inlineStr">
        <is>
          <t>仅测试副本；未写正式客户端</t>
        </is>
      </c>
      <c r="U1268">
        <f>IF(COUNTIF($B$2:$B$1320,B1268)&gt;1,"重复","")</f>
        <v/>
      </c>
      <c r="V1268">
        <f>IF(AND(OR(M1268="",M1268=B1268),OR(N1268="",N1268=B1268),OR(O1268="",O1268=B1268)),"通过","不一致")</f>
        <v/>
      </c>
    </row>
    <row r="1269">
      <c r="A1269" s="398" t="n">
        <v>1268</v>
      </c>
      <c r="B1269" s="398" t="n">
        <v>7166</v>
      </c>
      <c r="C1269" s="399" t="inlineStr">
        <is>
          <t>C3-C10专属待补</t>
        </is>
      </c>
      <c r="D1269" s="399" t="inlineStr">
        <is>
          <t>巨人山顶</t>
        </is>
      </c>
      <c r="E1269" s="399" t="n">
        <v>1</v>
      </c>
      <c r="F1269" s="399" t="inlineStr">
        <is>
          <t>武器</t>
        </is>
      </c>
      <c r="G1269" s="398" t="n">
        <v>5</v>
      </c>
      <c r="H1269" s="398" t="n"/>
      <c r="I1269" s="398" t="n">
        <v>7166</v>
      </c>
      <c r="J1269" s="398" t="n">
        <v>14</v>
      </c>
      <c r="K1269" s="398" t="n"/>
      <c r="L1269" s="398" t="n"/>
      <c r="M1269" s="398" t="n">
        <v>7166</v>
      </c>
      <c r="N1269" s="398" t="n">
        <v>7166</v>
      </c>
      <c r="O1269" s="398" t="n">
        <v>7166</v>
      </c>
      <c r="P1269" s="292" t="n"/>
      <c r="Q1269" s="292" t="inlineStr">
        <is>
          <t>测试新增资源已回读</t>
        </is>
      </c>
      <c r="R1269" s="292" t="inlineStr">
        <is>
          <t>C08-M002</t>
        </is>
      </c>
      <c r="S1269" s="292" t="inlineStr">
        <is>
          <t>平台装备素材/0526_翠焰冥契·幽焰_武器.bmp</t>
        </is>
      </c>
      <c r="T1269" s="292" t="inlineStr">
        <is>
          <t>仅测试副本；未写正式客户端</t>
        </is>
      </c>
      <c r="U1269">
        <f>IF(COUNTIF($B$2:$B$1320,B1269)&gt;1,"重复","")</f>
        <v/>
      </c>
      <c r="V1269">
        <f>IF(AND(OR(M1269="",M1269=B1269),OR(N1269="",N1269=B1269),OR(O1269="",O1269=B1269)),"通过","不一致")</f>
        <v/>
      </c>
    </row>
    <row r="1270">
      <c r="A1270" s="398" t="n">
        <v>1269</v>
      </c>
      <c r="B1270" s="398" t="n">
        <v>7167</v>
      </c>
      <c r="C1270" s="399" t="inlineStr">
        <is>
          <t>C3-C10专属待补</t>
        </is>
      </c>
      <c r="D1270" s="399" t="inlineStr">
        <is>
          <t>巨人山顶</t>
        </is>
      </c>
      <c r="E1270" s="399" t="n">
        <v>1</v>
      </c>
      <c r="F1270" s="399" t="inlineStr">
        <is>
          <t>男衣服（现行模板的衣服映射）</t>
        </is>
      </c>
      <c r="G1270" s="398" t="n">
        <v>10</v>
      </c>
      <c r="H1270" s="398" t="n"/>
      <c r="I1270" s="398" t="n">
        <v>7167</v>
      </c>
      <c r="J1270" s="398" t="n">
        <v>1</v>
      </c>
      <c r="K1270" s="398" t="n"/>
      <c r="L1270" s="398" t="n"/>
      <c r="M1270" s="398" t="n">
        <v>7167</v>
      </c>
      <c r="N1270" s="398" t="n">
        <v>7167</v>
      </c>
      <c r="O1270" s="398" t="n">
        <v>7167</v>
      </c>
      <c r="P1270" s="292" t="n"/>
      <c r="Q1270" s="292" t="inlineStr">
        <is>
          <t>测试新增资源已回读</t>
        </is>
      </c>
      <c r="R1270" s="292" t="inlineStr">
        <is>
          <t>C08-M003</t>
        </is>
      </c>
      <c r="S1270" s="292" t="inlineStr">
        <is>
          <t>平台装备素材/0177_血月荆棘·血痕_男衣服.bmp</t>
        </is>
      </c>
      <c r="T1270" s="292" t="inlineStr">
        <is>
          <t>仅测试副本；未写正式客户端</t>
        </is>
      </c>
      <c r="U1270">
        <f>IF(COUNTIF($B$2:$B$1320,B1270)&gt;1,"重复","")</f>
        <v/>
      </c>
      <c r="V1270">
        <f>IF(AND(OR(M1270="",M1270=B1270),OR(N1270="",N1270=B1270),OR(O1270="",O1270=B1270)),"通过","不一致")</f>
        <v/>
      </c>
    </row>
    <row r="1271">
      <c r="A1271" s="398" t="n">
        <v>1270</v>
      </c>
      <c r="B1271" s="398" t="n">
        <v>7168</v>
      </c>
      <c r="C1271" s="399" t="inlineStr">
        <is>
          <t>C3-C10专属待补</t>
        </is>
      </c>
      <c r="D1271" s="399" t="inlineStr">
        <is>
          <t>巨人山顶</t>
        </is>
      </c>
      <c r="E1271" s="399" t="n">
        <v>1</v>
      </c>
      <c r="F1271" s="399" t="inlineStr">
        <is>
          <t>武器</t>
        </is>
      </c>
      <c r="G1271" s="398" t="n">
        <v>5</v>
      </c>
      <c r="H1271" s="398" t="n"/>
      <c r="I1271" s="398" t="n">
        <v>7168</v>
      </c>
      <c r="J1271" s="398" t="n">
        <v>14</v>
      </c>
      <c r="K1271" s="398" t="n"/>
      <c r="L1271" s="398" t="n"/>
      <c r="M1271" s="398" t="n">
        <v>7168</v>
      </c>
      <c r="N1271" s="398" t="n">
        <v>7168</v>
      </c>
      <c r="O1271" s="398" t="n">
        <v>7168</v>
      </c>
      <c r="P1271" s="292" t="n"/>
      <c r="Q1271" s="292" t="inlineStr">
        <is>
          <t>测试新增资源已回读</t>
        </is>
      </c>
      <c r="R1271" s="292" t="inlineStr">
        <is>
          <t>C08-M011</t>
        </is>
      </c>
      <c r="S1271" s="292" t="inlineStr">
        <is>
          <t>平台装备素材/0561_翠焰冥契·腐痕_武器.bmp</t>
        </is>
      </c>
      <c r="T1271" s="292" t="inlineStr">
        <is>
          <t>仅测试副本；未写正式客户端</t>
        </is>
      </c>
      <c r="U1271">
        <f>IF(COUNTIF($B$2:$B$1320,B1271)&gt;1,"重复","")</f>
        <v/>
      </c>
      <c r="V1271">
        <f>IF(AND(OR(M1271="",M1271=B1271),OR(N1271="",N1271=B1271),OR(O1271="",O1271=B1271)),"通过","不一致")</f>
        <v/>
      </c>
    </row>
    <row r="1272">
      <c r="A1272" s="398" t="n">
        <v>1271</v>
      </c>
      <c r="B1272" s="398" t="n">
        <v>7169</v>
      </c>
      <c r="C1272" s="399" t="inlineStr">
        <is>
          <t>C3-C10专属待补</t>
        </is>
      </c>
      <c r="D1272" s="399" t="inlineStr">
        <is>
          <t>巨人山顶</t>
        </is>
      </c>
      <c r="E1272" s="399" t="n">
        <v>1</v>
      </c>
      <c r="F1272" s="399" t="inlineStr">
        <is>
          <t>男衣服（现行模板的衣服映射）</t>
        </is>
      </c>
      <c r="G1272" s="398" t="n">
        <v>10</v>
      </c>
      <c r="H1272" s="398" t="n"/>
      <c r="I1272" s="398" t="n">
        <v>7169</v>
      </c>
      <c r="J1272" s="398" t="n">
        <v>1</v>
      </c>
      <c r="K1272" s="398" t="n"/>
      <c r="L1272" s="398" t="n"/>
      <c r="M1272" s="398" t="n">
        <v>7169</v>
      </c>
      <c r="N1272" s="398" t="n">
        <v>7169</v>
      </c>
      <c r="O1272" s="398" t="n">
        <v>7169</v>
      </c>
      <c r="P1272" s="292" t="n"/>
      <c r="Q1272" s="292" t="inlineStr">
        <is>
          <t>测试新增资源已回读</t>
        </is>
      </c>
      <c r="R1272" s="292" t="inlineStr">
        <is>
          <t>C08-M012</t>
        </is>
      </c>
      <c r="S1272" s="292" t="inlineStr">
        <is>
          <t>平台装备素材/0212_血月荆棘·荆冠_男衣服.bmp</t>
        </is>
      </c>
      <c r="T1272" s="292" t="inlineStr">
        <is>
          <t>仅测试副本；未写正式客户端</t>
        </is>
      </c>
      <c r="U1272">
        <f>IF(COUNTIF($B$2:$B$1320,B1272)&gt;1,"重复","")</f>
        <v/>
      </c>
      <c r="V1272">
        <f>IF(AND(OR(M1272="",M1272=B1272),OR(N1272="",N1272=B1272),OR(O1272="",O1272=B1272)),"通过","不一致")</f>
        <v/>
      </c>
    </row>
    <row r="1273">
      <c r="A1273" s="398" t="n">
        <v>1272</v>
      </c>
      <c r="B1273" s="398" t="n">
        <v>7170</v>
      </c>
      <c r="C1273" s="399" t="inlineStr">
        <is>
          <t>C3-C10专属待补</t>
        </is>
      </c>
      <c r="D1273" s="399" t="inlineStr">
        <is>
          <t>巨人山顶</t>
        </is>
      </c>
      <c r="E1273" s="399" t="n">
        <v>1</v>
      </c>
      <c r="F1273" s="399" t="inlineStr">
        <is>
          <t>武器</t>
        </is>
      </c>
      <c r="G1273" s="398" t="n">
        <v>5</v>
      </c>
      <c r="H1273" s="398" t="n"/>
      <c r="I1273" s="398" t="n">
        <v>7170</v>
      </c>
      <c r="J1273" s="398" t="n">
        <v>14</v>
      </c>
      <c r="K1273" s="398" t="n"/>
      <c r="L1273" s="398" t="n"/>
      <c r="M1273" s="398" t="n">
        <v>7170</v>
      </c>
      <c r="N1273" s="398" t="n">
        <v>7170</v>
      </c>
      <c r="O1273" s="398" t="n">
        <v>7170</v>
      </c>
      <c r="P1273" s="292" t="n"/>
      <c r="Q1273" s="292" t="inlineStr">
        <is>
          <t>测试新增资源已回读</t>
        </is>
      </c>
      <c r="R1273" s="292" t="inlineStr">
        <is>
          <t>C08-M015</t>
        </is>
      </c>
      <c r="S1273" s="292" t="inlineStr">
        <is>
          <t>平台装备素材/0596_翠焰冥契·冥契_武器.bmp</t>
        </is>
      </c>
      <c r="T1273" s="292" t="inlineStr">
        <is>
          <t>仅测试副本；未写正式客户端</t>
        </is>
      </c>
      <c r="U1273">
        <f>IF(COUNTIF($B$2:$B$1320,B1273)&gt;1,"重复","")</f>
        <v/>
      </c>
      <c r="V1273">
        <f>IF(AND(OR(M1273="",M1273=B1273),OR(N1273="",N1273=B1273),OR(O1273="",O1273=B1273)),"通过","不一致")</f>
        <v/>
      </c>
    </row>
    <row r="1274">
      <c r="A1274" s="398" t="n">
        <v>1273</v>
      </c>
      <c r="B1274" s="398" t="n">
        <v>7171</v>
      </c>
      <c r="C1274" s="399" t="inlineStr">
        <is>
          <t>C3-C10专属待补</t>
        </is>
      </c>
      <c r="D1274" s="399" t="inlineStr">
        <is>
          <t>巨人山顶</t>
        </is>
      </c>
      <c r="E1274" s="399" t="n">
        <v>1</v>
      </c>
      <c r="F1274" s="399" t="inlineStr">
        <is>
          <t>男衣服（现行模板的衣服映射）</t>
        </is>
      </c>
      <c r="G1274" s="398" t="n">
        <v>10</v>
      </c>
      <c r="H1274" s="398" t="n"/>
      <c r="I1274" s="398" t="n">
        <v>7171</v>
      </c>
      <c r="J1274" s="398" t="n">
        <v>1</v>
      </c>
      <c r="K1274" s="398" t="n"/>
      <c r="L1274" s="398" t="n"/>
      <c r="M1274" s="398" t="n">
        <v>7171</v>
      </c>
      <c r="N1274" s="398" t="n">
        <v>7171</v>
      </c>
      <c r="O1274" s="398" t="n">
        <v>7171</v>
      </c>
      <c r="P1274" s="292" t="n"/>
      <c r="Q1274" s="292" t="inlineStr">
        <is>
          <t>测试新增资源已回读</t>
        </is>
      </c>
      <c r="R1274" s="292" t="inlineStr">
        <is>
          <t>C08-M019</t>
        </is>
      </c>
      <c r="S1274" s="292" t="inlineStr">
        <is>
          <t>平台装备素材/0247_血月荆棘·猩月_男衣服.bmp</t>
        </is>
      </c>
      <c r="T1274" s="292" t="inlineStr">
        <is>
          <t>仅测试副本；未写正式客户端</t>
        </is>
      </c>
      <c r="U1274">
        <f>IF(COUNTIF($B$2:$B$1320,B1274)&gt;1,"重复","")</f>
        <v/>
      </c>
      <c r="V1274">
        <f>IF(AND(OR(M1274="",M1274=B1274),OR(N1274="",N1274=B1274),OR(O1274="",O1274=B1274)),"通过","不一致")</f>
        <v/>
      </c>
    </row>
    <row r="1275">
      <c r="A1275" s="398" t="n">
        <v>1274</v>
      </c>
      <c r="B1275" s="398" t="n">
        <v>7172</v>
      </c>
      <c r="C1275" s="399" t="inlineStr">
        <is>
          <t>C3-C10专属待补</t>
        </is>
      </c>
      <c r="D1275" s="399" t="inlineStr">
        <is>
          <t>巨人山顶</t>
        </is>
      </c>
      <c r="E1275" s="399" t="n">
        <v>1</v>
      </c>
      <c r="F1275" s="399" t="inlineStr">
        <is>
          <t>武器</t>
        </is>
      </c>
      <c r="G1275" s="398" t="n">
        <v>5</v>
      </c>
      <c r="H1275" s="398" t="n"/>
      <c r="I1275" s="398" t="n">
        <v>7172</v>
      </c>
      <c r="J1275" s="398" t="n">
        <v>14</v>
      </c>
      <c r="K1275" s="398" t="n"/>
      <c r="L1275" s="398" t="n"/>
      <c r="M1275" s="398" t="n">
        <v>7172</v>
      </c>
      <c r="N1275" s="398" t="n">
        <v>7172</v>
      </c>
      <c r="O1275" s="398" t="n">
        <v>7172</v>
      </c>
      <c r="P1275" s="292" t="n"/>
      <c r="Q1275" s="292" t="inlineStr">
        <is>
          <t>测试新增资源已回读</t>
        </is>
      </c>
      <c r="R1275" s="292" t="inlineStr">
        <is>
          <t>C08-M023</t>
        </is>
      </c>
      <c r="S1275" s="292" t="inlineStr">
        <is>
          <t>平台装备素材/0631_翠焰冥契·灾厄_武器.bmp</t>
        </is>
      </c>
      <c r="T1275" s="292" t="inlineStr">
        <is>
          <t>仅测试副本；未写正式客户端</t>
        </is>
      </c>
      <c r="U1275">
        <f>IF(COUNTIF($B$2:$B$1320,B1275)&gt;1,"重复","")</f>
        <v/>
      </c>
      <c r="V1275">
        <f>IF(AND(OR(M1275="",M1275=B1275),OR(N1275="",N1275=B1275),OR(O1275="",O1275=B1275)),"通过","不一致")</f>
        <v/>
      </c>
    </row>
    <row r="1276">
      <c r="A1276" s="398" t="n">
        <v>1275</v>
      </c>
      <c r="B1276" s="398" t="n">
        <v>7173</v>
      </c>
      <c r="C1276" s="399" t="inlineStr">
        <is>
          <t>C3-C10专属待补</t>
        </is>
      </c>
      <c r="D1276" s="399" t="inlineStr">
        <is>
          <t>巨人山顶</t>
        </is>
      </c>
      <c r="E1276" s="399" t="n">
        <v>1</v>
      </c>
      <c r="F1276" s="399" t="inlineStr">
        <is>
          <t>男衣服（现行模板的衣服映射）</t>
        </is>
      </c>
      <c r="G1276" s="398" t="n">
        <v>10</v>
      </c>
      <c r="H1276" s="398" t="n"/>
      <c r="I1276" s="398" t="n">
        <v>7173</v>
      </c>
      <c r="J1276" s="398" t="n">
        <v>1</v>
      </c>
      <c r="K1276" s="398" t="n"/>
      <c r="L1276" s="398" t="n"/>
      <c r="M1276" s="398" t="n">
        <v>7173</v>
      </c>
      <c r="N1276" s="398" t="n">
        <v>7173</v>
      </c>
      <c r="O1276" s="398" t="n">
        <v>7173</v>
      </c>
      <c r="P1276" s="292" t="n"/>
      <c r="Q1276" s="292" t="inlineStr">
        <is>
          <t>测试新增资源已回读</t>
        </is>
      </c>
      <c r="R1276" s="292" t="inlineStr">
        <is>
          <t>C08-M024</t>
        </is>
      </c>
      <c r="S1276" s="292" t="inlineStr">
        <is>
          <t>平台装备素材/0282_血月荆棘·弑王_男衣服.bmp</t>
        </is>
      </c>
      <c r="T1276" s="292" t="inlineStr">
        <is>
          <t>仅测试副本；未写正式客户端</t>
        </is>
      </c>
      <c r="U1276">
        <f>IF(COUNTIF($B$2:$B$1320,B1276)&gt;1,"重复","")</f>
        <v/>
      </c>
      <c r="V1276">
        <f>IF(AND(OR(M1276="",M1276=B1276),OR(N1276="",N1276=B1276),OR(O1276="",O1276=B1276)),"通过","不一致")</f>
        <v/>
      </c>
    </row>
    <row r="1277">
      <c r="A1277" s="398" t="n">
        <v>1276</v>
      </c>
      <c r="B1277" s="398" t="n">
        <v>7174</v>
      </c>
      <c r="C1277" s="399" t="inlineStr">
        <is>
          <t>C3-C10专属待补</t>
        </is>
      </c>
      <c r="D1277" s="399" t="inlineStr">
        <is>
          <t>巨人山顶</t>
        </is>
      </c>
      <c r="E1277" s="399" t="n">
        <v>1</v>
      </c>
      <c r="F1277" s="399" t="inlineStr">
        <is>
          <t>武器</t>
        </is>
      </c>
      <c r="G1277" s="398" t="n">
        <v>5</v>
      </c>
      <c r="H1277" s="398" t="n"/>
      <c r="I1277" s="398" t="n">
        <v>7174</v>
      </c>
      <c r="J1277" s="398" t="n">
        <v>14</v>
      </c>
      <c r="K1277" s="398" t="n"/>
      <c r="L1277" s="398" t="n"/>
      <c r="M1277" s="398" t="n">
        <v>7174</v>
      </c>
      <c r="N1277" s="398" t="n">
        <v>7174</v>
      </c>
      <c r="O1277" s="398" t="n">
        <v>7174</v>
      </c>
      <c r="P1277" s="292" t="n"/>
      <c r="Q1277" s="292" t="inlineStr">
        <is>
          <t>测试新增资源已回读</t>
        </is>
      </c>
      <c r="R1277" s="292" t="inlineStr">
        <is>
          <t>C08-M026</t>
        </is>
      </c>
      <c r="S1277" s="292" t="inlineStr">
        <is>
          <t>平台装备素材/0666_翠焰冥契·永夜_武器.bmp</t>
        </is>
      </c>
      <c r="T1277" s="292" t="inlineStr">
        <is>
          <t>仅测试副本；未写正式客户端</t>
        </is>
      </c>
      <c r="U1277">
        <f>IF(COUNTIF($B$2:$B$1320,B1277)&gt;1,"重复","")</f>
        <v/>
      </c>
      <c r="V1277">
        <f>IF(AND(OR(M1277="",M1277=B1277),OR(N1277="",N1277=B1277),OR(O1277="",O1277=B1277)),"通过","不一致")</f>
        <v/>
      </c>
    </row>
    <row r="1278">
      <c r="A1278" s="398" t="n">
        <v>1277</v>
      </c>
      <c r="B1278" s="398" t="n">
        <v>7175</v>
      </c>
      <c r="C1278" s="399" t="inlineStr">
        <is>
          <t>C3-C10专属待补</t>
        </is>
      </c>
      <c r="D1278" s="399" t="inlineStr">
        <is>
          <t>巨人山顶</t>
        </is>
      </c>
      <c r="E1278" s="399" t="n">
        <v>1</v>
      </c>
      <c r="F1278" s="399" t="inlineStr">
        <is>
          <t>男衣服（现行模板的衣服映射）</t>
        </is>
      </c>
      <c r="G1278" s="398" t="n">
        <v>10</v>
      </c>
      <c r="H1278" s="398" t="n"/>
      <c r="I1278" s="398" t="n">
        <v>7175</v>
      </c>
      <c r="J1278" s="398" t="n">
        <v>1</v>
      </c>
      <c r="K1278" s="398" t="n"/>
      <c r="L1278" s="398" t="n"/>
      <c r="M1278" s="398" t="n">
        <v>7175</v>
      </c>
      <c r="N1278" s="398" t="n">
        <v>7175</v>
      </c>
      <c r="O1278" s="398" t="n">
        <v>7175</v>
      </c>
      <c r="P1278" s="292" t="n"/>
      <c r="Q1278" s="292" t="inlineStr">
        <is>
          <t>测试新增资源已回读</t>
        </is>
      </c>
      <c r="R1278" s="292" t="inlineStr">
        <is>
          <t>C08-M028</t>
        </is>
      </c>
      <c r="S1278" s="292" t="inlineStr">
        <is>
          <t>平台装备素材/0317_血月荆棘·血月_男衣服.bmp</t>
        </is>
      </c>
      <c r="T1278" s="292" t="inlineStr">
        <is>
          <t>仅测试副本；未写正式客户端</t>
        </is>
      </c>
      <c r="U1278">
        <f>IF(COUNTIF($B$2:$B$1320,B1278)&gt;1,"重复","")</f>
        <v/>
      </c>
      <c r="V1278">
        <f>IF(AND(OR(M1278="",M1278=B1278),OR(N1278="",N1278=B1278),OR(O1278="",O1278=B1278)),"通过","不一致")</f>
        <v/>
      </c>
    </row>
    <row r="1279">
      <c r="A1279" s="398" t="n">
        <v>1278</v>
      </c>
      <c r="B1279" s="398" t="n">
        <v>7176</v>
      </c>
      <c r="C1279" s="399" t="inlineStr">
        <is>
          <t>C3-C10专属待补</t>
        </is>
      </c>
      <c r="D1279" s="399" t="inlineStr">
        <is>
          <t>巨人山顶</t>
        </is>
      </c>
      <c r="E1279" s="399" t="n">
        <v>1</v>
      </c>
      <c r="F1279" s="399" t="inlineStr">
        <is>
          <t>武器</t>
        </is>
      </c>
      <c r="G1279" s="398" t="n">
        <v>5</v>
      </c>
      <c r="H1279" s="398" t="n"/>
      <c r="I1279" s="398" t="n">
        <v>7176</v>
      </c>
      <c r="J1279" s="398" t="n">
        <v>14</v>
      </c>
      <c r="K1279" s="398" t="n"/>
      <c r="L1279" s="398" t="n"/>
      <c r="M1279" s="398" t="n">
        <v>7176</v>
      </c>
      <c r="N1279" s="398" t="n">
        <v>7176</v>
      </c>
      <c r="O1279" s="398" t="n">
        <v>7176</v>
      </c>
      <c r="P1279" s="292" t="n"/>
      <c r="Q1279" s="292" t="inlineStr">
        <is>
          <t>测试新增资源已回读</t>
        </is>
      </c>
      <c r="R1279" s="292" t="inlineStr">
        <is>
          <t>C08-M035</t>
        </is>
      </c>
      <c r="S1279" s="292" t="inlineStr">
        <is>
          <t>平台装备素材/0001_黄金圣树·初誓_武器.bmp</t>
        </is>
      </c>
      <c r="T1279" s="292" t="inlineStr">
        <is>
          <t>仅测试副本；未写正式客户端</t>
        </is>
      </c>
      <c r="U1279">
        <f>IF(COUNTIF($B$2:$B$1320,B1279)&gt;1,"重复","")</f>
        <v/>
      </c>
      <c r="V1279">
        <f>IF(AND(OR(M1279="",M1279=B1279),OR(N1279="",N1279=B1279),OR(O1279="",O1279=B1279)),"通过","不一致")</f>
        <v/>
      </c>
    </row>
    <row r="1280">
      <c r="A1280" s="398" t="n">
        <v>1279</v>
      </c>
      <c r="B1280" s="398" t="n">
        <v>7177</v>
      </c>
      <c r="C1280" s="399" t="inlineStr">
        <is>
          <t>C3-C10专属待补</t>
        </is>
      </c>
      <c r="D1280" s="399" t="inlineStr">
        <is>
          <t>巨人山顶</t>
        </is>
      </c>
      <c r="E1280" s="399" t="n">
        <v>1</v>
      </c>
      <c r="F1280" s="399" t="inlineStr">
        <is>
          <t>男衣服（现行模板的衣服映射）</t>
        </is>
      </c>
      <c r="G1280" s="398" t="n">
        <v>10</v>
      </c>
      <c r="H1280" s="398" t="n"/>
      <c r="I1280" s="398" t="n">
        <v>7177</v>
      </c>
      <c r="J1280" s="398" t="n">
        <v>1</v>
      </c>
      <c r="K1280" s="398" t="n"/>
      <c r="L1280" s="398" t="n"/>
      <c r="M1280" s="398" t="n">
        <v>7177</v>
      </c>
      <c r="N1280" s="398" t="n">
        <v>7177</v>
      </c>
      <c r="O1280" s="398" t="n">
        <v>7177</v>
      </c>
      <c r="P1280" s="292" t="n"/>
      <c r="Q1280" s="292" t="inlineStr">
        <is>
          <t>测试新增资源已回读</t>
        </is>
      </c>
      <c r="R1280" s="292" t="inlineStr">
        <is>
          <t>C08-M036</t>
        </is>
      </c>
      <c r="S1280" s="292" t="inlineStr">
        <is>
          <t>平台装备素材/0352_星渊龙息·星痕_男衣服.bmp</t>
        </is>
      </c>
      <c r="T1280" s="292" t="inlineStr">
        <is>
          <t>仅测试副本；未写正式客户端</t>
        </is>
      </c>
      <c r="U1280">
        <f>IF(COUNTIF($B$2:$B$1320,B1280)&gt;1,"重复","")</f>
        <v/>
      </c>
      <c r="V1280">
        <f>IF(AND(OR(M1280="",M1280=B1280),OR(N1280="",N1280=B1280),OR(O1280="",O1280=B1280)),"通过","不一致")</f>
        <v/>
      </c>
    </row>
    <row r="1281">
      <c r="A1281" s="398" t="n">
        <v>1280</v>
      </c>
      <c r="B1281" s="398" t="n">
        <v>7178</v>
      </c>
      <c r="C1281" s="399" t="inlineStr">
        <is>
          <t>C3-C10专属待补</t>
        </is>
      </c>
      <c r="D1281" s="399" t="inlineStr">
        <is>
          <t>巨人山顶</t>
        </is>
      </c>
      <c r="E1281" s="399" t="n">
        <v>1</v>
      </c>
      <c r="F1281" s="399" t="inlineStr">
        <is>
          <t>武器</t>
        </is>
      </c>
      <c r="G1281" s="398" t="n">
        <v>5</v>
      </c>
      <c r="H1281" s="398" t="n"/>
      <c r="I1281" s="398" t="n">
        <v>7178</v>
      </c>
      <c r="J1281" s="398" t="n">
        <v>14</v>
      </c>
      <c r="K1281" s="398" t="n"/>
      <c r="L1281" s="398" t="n"/>
      <c r="M1281" s="398" t="n">
        <v>7178</v>
      </c>
      <c r="N1281" s="398" t="n">
        <v>7178</v>
      </c>
      <c r="O1281" s="398" t="n">
        <v>7178</v>
      </c>
      <c r="P1281" s="292" t="n"/>
      <c r="Q1281" s="292" t="inlineStr">
        <is>
          <t>测试新增资源已回读</t>
        </is>
      </c>
      <c r="R1281" s="292" t="inlineStr">
        <is>
          <t>C08-M037</t>
        </is>
      </c>
      <c r="S1281" s="292" t="inlineStr">
        <is>
          <t>平台装备素材/0036_黄金圣树·圣枝_武器.bmp</t>
        </is>
      </c>
      <c r="T1281" s="292" t="inlineStr">
        <is>
          <t>仅测试副本；未写正式客户端</t>
        </is>
      </c>
      <c r="U1281">
        <f>IF(COUNTIF($B$2:$B$1320,B1281)&gt;1,"重复","")</f>
        <v/>
      </c>
      <c r="V1281">
        <f>IF(AND(OR(M1281="",M1281=B1281),OR(N1281="",N1281=B1281),OR(O1281="",O1281=B1281)),"通过","不一致")</f>
        <v/>
      </c>
    </row>
    <row r="1282">
      <c r="A1282" s="398" t="n">
        <v>1281</v>
      </c>
      <c r="B1282" s="398" t="n">
        <v>7179</v>
      </c>
      <c r="C1282" s="399" t="inlineStr">
        <is>
          <t>C3-C10专属待补</t>
        </is>
      </c>
      <c r="D1282" s="399" t="inlineStr">
        <is>
          <t>巨人山顶</t>
        </is>
      </c>
      <c r="E1282" s="399" t="n">
        <v>1</v>
      </c>
      <c r="F1282" s="399" t="inlineStr">
        <is>
          <t>男衣服（现行模板的衣服映射）</t>
        </is>
      </c>
      <c r="G1282" s="398" t="n">
        <v>10</v>
      </c>
      <c r="H1282" s="398" t="n"/>
      <c r="I1282" s="398" t="n">
        <v>7179</v>
      </c>
      <c r="J1282" s="398" t="n">
        <v>1</v>
      </c>
      <c r="K1282" s="398" t="n"/>
      <c r="L1282" s="398" t="n"/>
      <c r="M1282" s="398" t="n">
        <v>7179</v>
      </c>
      <c r="N1282" s="398" t="n">
        <v>7179</v>
      </c>
      <c r="O1282" s="398" t="n">
        <v>7179</v>
      </c>
      <c r="P1282" s="292" t="n"/>
      <c r="Q1282" s="292" t="inlineStr">
        <is>
          <t>测试新增资源已回读</t>
        </is>
      </c>
      <c r="R1282" s="292" t="inlineStr">
        <is>
          <t>C08-M039</t>
        </is>
      </c>
      <c r="S1282" s="292" t="inlineStr">
        <is>
          <t>平台装备素材/0387_星渊龙息·龙鳞_男衣服.bmp</t>
        </is>
      </c>
      <c r="T1282" s="292" t="inlineStr">
        <is>
          <t>仅测试副本；未写正式客户端</t>
        </is>
      </c>
      <c r="U1282">
        <f>IF(COUNTIF($B$2:$B$1320,B1282)&gt;1,"重复","")</f>
        <v/>
      </c>
      <c r="V1282">
        <f>IF(AND(OR(M1282="",M1282=B1282),OR(N1282="",N1282=B1282),OR(O1282="",O1282=B1282)),"通过","不一致")</f>
        <v/>
      </c>
    </row>
    <row r="1283">
      <c r="A1283" s="398" t="n">
        <v>1282</v>
      </c>
      <c r="B1283" s="398" t="n">
        <v>7180</v>
      </c>
      <c r="C1283" s="399" t="inlineStr">
        <is>
          <t>C3-C10专属待补</t>
        </is>
      </c>
      <c r="D1283" s="399" t="inlineStr">
        <is>
          <t>巨人山顶</t>
        </is>
      </c>
      <c r="E1283" s="399" t="n">
        <v>1</v>
      </c>
      <c r="F1283" s="399" t="inlineStr">
        <is>
          <t>武器</t>
        </is>
      </c>
      <c r="G1283" s="398" t="n">
        <v>5</v>
      </c>
      <c r="H1283" s="398" t="n"/>
      <c r="I1283" s="398" t="n">
        <v>7180</v>
      </c>
      <c r="J1283" s="398" t="n">
        <v>14</v>
      </c>
      <c r="K1283" s="398" t="n"/>
      <c r="L1283" s="398" t="n"/>
      <c r="M1283" s="398" t="n">
        <v>7180</v>
      </c>
      <c r="N1283" s="398" t="n">
        <v>7180</v>
      </c>
      <c r="O1283" s="398" t="n">
        <v>7180</v>
      </c>
      <c r="P1283" s="292" t="n"/>
      <c r="Q1283" s="292" t="inlineStr">
        <is>
          <t>测试新增资源已回读</t>
        </is>
      </c>
      <c r="R1283" s="292" t="inlineStr">
        <is>
          <t>C08-M047</t>
        </is>
      </c>
      <c r="S1283" s="292" t="inlineStr">
        <is>
          <t>平台装备素材/0071_黄金圣树·王权_武器.bmp</t>
        </is>
      </c>
      <c r="T1283" s="292" t="inlineStr">
        <is>
          <t>仅测试副本；未写正式客户端</t>
        </is>
      </c>
      <c r="U1283">
        <f>IF(COUNTIF($B$2:$B$1320,B1283)&gt;1,"重复","")</f>
        <v/>
      </c>
      <c r="V1283">
        <f>IF(AND(OR(M1283="",M1283=B1283),OR(N1283="",N1283=B1283),OR(O1283="",O1283=B1283)),"通过","不一致")</f>
        <v/>
      </c>
    </row>
    <row r="1284">
      <c r="A1284" s="398" t="n">
        <v>1283</v>
      </c>
      <c r="B1284" s="398" t="n">
        <v>7181</v>
      </c>
      <c r="C1284" s="399" t="inlineStr">
        <is>
          <t>C3-C10专属待补</t>
        </is>
      </c>
      <c r="D1284" s="399" t="inlineStr">
        <is>
          <t>巨人山顶</t>
        </is>
      </c>
      <c r="E1284" s="399" t="n">
        <v>1</v>
      </c>
      <c r="F1284" s="399" t="inlineStr">
        <is>
          <t>男衣服（现行模板的衣服映射）</t>
        </is>
      </c>
      <c r="G1284" s="398" t="n">
        <v>10</v>
      </c>
      <c r="H1284" s="398" t="n"/>
      <c r="I1284" s="398" t="n">
        <v>7181</v>
      </c>
      <c r="J1284" s="398" t="n">
        <v>1</v>
      </c>
      <c r="K1284" s="398" t="n"/>
      <c r="L1284" s="398" t="n"/>
      <c r="M1284" s="398" t="n">
        <v>7181</v>
      </c>
      <c r="N1284" s="398" t="n">
        <v>7181</v>
      </c>
      <c r="O1284" s="398" t="n">
        <v>7181</v>
      </c>
      <c r="P1284" s="292" t="n"/>
      <c r="Q1284" s="292" t="inlineStr">
        <is>
          <t>测试新增资源已回读</t>
        </is>
      </c>
      <c r="R1284" s="292" t="inlineStr">
        <is>
          <t>C08-M048</t>
        </is>
      </c>
      <c r="S1284" s="292" t="inlineStr">
        <is>
          <t>平台装备素材/0422_星渊龙息·渊辉_男衣服.bmp</t>
        </is>
      </c>
      <c r="T1284" s="292" t="inlineStr">
        <is>
          <t>仅测试副本；未写正式客户端</t>
        </is>
      </c>
      <c r="U1284">
        <f>IF(COUNTIF($B$2:$B$1320,B1284)&gt;1,"重复","")</f>
        <v/>
      </c>
      <c r="V1284">
        <f>IF(AND(OR(M1284="",M1284=B1284),OR(N1284="",N1284=B1284),OR(O1284="",O1284=B1284)),"通过","不一致")</f>
        <v/>
      </c>
    </row>
    <row r="1285">
      <c r="A1285" s="398" t="n">
        <v>1284</v>
      </c>
      <c r="B1285" s="398" t="n">
        <v>7182</v>
      </c>
      <c r="C1285" s="399" t="inlineStr">
        <is>
          <t>C3-C10专属待补</t>
        </is>
      </c>
      <c r="D1285" s="399" t="inlineStr">
        <is>
          <t>亚坛高原</t>
        </is>
      </c>
      <c r="E1285" s="399" t="n">
        <v>1</v>
      </c>
      <c r="F1285" s="399" t="inlineStr">
        <is>
          <t>武器</t>
        </is>
      </c>
      <c r="G1285" s="398" t="n">
        <v>5</v>
      </c>
      <c r="H1285" s="398" t="n"/>
      <c r="I1285" s="398" t="n">
        <v>7182</v>
      </c>
      <c r="J1285" s="398" t="n">
        <v>14</v>
      </c>
      <c r="K1285" s="398" t="n"/>
      <c r="L1285" s="398" t="n"/>
      <c r="M1285" s="398" t="n">
        <v>7182</v>
      </c>
      <c r="N1285" s="398" t="n">
        <v>7182</v>
      </c>
      <c r="O1285" s="398" t="n">
        <v>7182</v>
      </c>
      <c r="P1285" s="292" t="n"/>
      <c r="Q1285" s="292" t="inlineStr">
        <is>
          <t>测试新增资源已回读</t>
        </is>
      </c>
      <c r="R1285" s="292" t="inlineStr">
        <is>
          <t>C09-M002</t>
        </is>
      </c>
      <c r="S1285" s="292" t="inlineStr">
        <is>
          <t>平台装备素材/0106_黄金圣树·律法_武器.bmp</t>
        </is>
      </c>
      <c r="T1285" s="292" t="inlineStr">
        <is>
          <t>仅测试副本；未写正式客户端</t>
        </is>
      </c>
      <c r="U1285">
        <f>IF(COUNTIF($B$2:$B$1320,B1285)&gt;1,"重复","")</f>
        <v/>
      </c>
      <c r="V1285">
        <f>IF(AND(OR(M1285="",M1285=B1285),OR(N1285="",N1285=B1285),OR(O1285="",O1285=B1285)),"通过","不一致")</f>
        <v/>
      </c>
    </row>
    <row r="1286">
      <c r="A1286" s="398" t="n">
        <v>1285</v>
      </c>
      <c r="B1286" s="398" t="n">
        <v>7183</v>
      </c>
      <c r="C1286" s="399" t="inlineStr">
        <is>
          <t>C3-C10专属待补</t>
        </is>
      </c>
      <c r="D1286" s="399" t="inlineStr">
        <is>
          <t>亚坛高原</t>
        </is>
      </c>
      <c r="E1286" s="399" t="n">
        <v>1</v>
      </c>
      <c r="F1286" s="399" t="inlineStr">
        <is>
          <t>男衣服（现行模板的衣服映射）</t>
        </is>
      </c>
      <c r="G1286" s="398" t="n">
        <v>10</v>
      </c>
      <c r="H1286" s="398" t="n"/>
      <c r="I1286" s="398" t="n">
        <v>7183</v>
      </c>
      <c r="J1286" s="398" t="n">
        <v>1</v>
      </c>
      <c r="K1286" s="398" t="n"/>
      <c r="L1286" s="398" t="n"/>
      <c r="M1286" s="398" t="n">
        <v>7183</v>
      </c>
      <c r="N1286" s="398" t="n">
        <v>7183</v>
      </c>
      <c r="O1286" s="398" t="n">
        <v>7183</v>
      </c>
      <c r="P1286" s="292" t="n"/>
      <c r="Q1286" s="292" t="inlineStr">
        <is>
          <t>测试新增资源已回读</t>
        </is>
      </c>
      <c r="R1286" s="292" t="inlineStr">
        <is>
          <t>C09-M005</t>
        </is>
      </c>
      <c r="S1286" s="292" t="inlineStr">
        <is>
          <t>平台装备素材/0457_星渊龙息·天穹_男衣服.bmp</t>
        </is>
      </c>
      <c r="T1286" s="292" t="inlineStr">
        <is>
          <t>仅测试副本；未写正式客户端</t>
        </is>
      </c>
      <c r="U1286">
        <f>IF(COUNTIF($B$2:$B$1320,B1286)&gt;1,"重复","")</f>
        <v/>
      </c>
      <c r="V1286">
        <f>IF(AND(OR(M1286="",M1286=B1286),OR(N1286="",N1286=B1286),OR(O1286="",O1286=B1286)),"通过","不一致")</f>
        <v/>
      </c>
    </row>
    <row r="1287">
      <c r="A1287" s="398" t="n">
        <v>1286</v>
      </c>
      <c r="B1287" s="398" t="n">
        <v>7184</v>
      </c>
      <c r="C1287" s="399" t="inlineStr">
        <is>
          <t>C3-C10专属待补</t>
        </is>
      </c>
      <c r="D1287" s="399" t="inlineStr">
        <is>
          <t>亚坛高原</t>
        </is>
      </c>
      <c r="E1287" s="399" t="n">
        <v>1</v>
      </c>
      <c r="F1287" s="399" t="inlineStr">
        <is>
          <t>武器</t>
        </is>
      </c>
      <c r="G1287" s="398" t="n">
        <v>5</v>
      </c>
      <c r="H1287" s="398" t="n"/>
      <c r="I1287" s="398" t="n">
        <v>7184</v>
      </c>
      <c r="J1287" s="398" t="n">
        <v>14</v>
      </c>
      <c r="K1287" s="398" t="n"/>
      <c r="L1287" s="398" t="n"/>
      <c r="M1287" s="398" t="n">
        <v>7184</v>
      </c>
      <c r="N1287" s="398" t="n">
        <v>7184</v>
      </c>
      <c r="O1287" s="398" t="n">
        <v>7184</v>
      </c>
      <c r="P1287" s="292" t="n"/>
      <c r="Q1287" s="292" t="inlineStr">
        <is>
          <t>测试新增资源已回读</t>
        </is>
      </c>
      <c r="R1287" s="292" t="inlineStr">
        <is>
          <t>C09-M011</t>
        </is>
      </c>
      <c r="S1287" s="292" t="inlineStr">
        <is>
          <t>平台装备素材/0141_黄金圣树·永恒_武器.bmp</t>
        </is>
      </c>
      <c r="T1287" s="292" t="inlineStr">
        <is>
          <t>仅测试副本；未写正式客户端</t>
        </is>
      </c>
      <c r="U1287">
        <f>IF(COUNTIF($B$2:$B$1320,B1287)&gt;1,"重复","")</f>
        <v/>
      </c>
      <c r="V1287">
        <f>IF(AND(OR(M1287="",M1287=B1287),OR(N1287="",N1287=B1287),OR(O1287="",O1287=B1287)),"通过","不一致")</f>
        <v/>
      </c>
    </row>
    <row r="1288">
      <c r="A1288" s="398" t="n">
        <v>1287</v>
      </c>
      <c r="B1288" s="398" t="n">
        <v>7185</v>
      </c>
      <c r="C1288" s="399" t="inlineStr">
        <is>
          <t>C3-C10专属待补</t>
        </is>
      </c>
      <c r="D1288" s="399" t="inlineStr">
        <is>
          <t>亚坛高原</t>
        </is>
      </c>
      <c r="E1288" s="399" t="n">
        <v>1</v>
      </c>
      <c r="F1288" s="399" t="inlineStr">
        <is>
          <t>男衣服（现行模板的衣服映射）</t>
        </is>
      </c>
      <c r="G1288" s="398" t="n">
        <v>10</v>
      </c>
      <c r="H1288" s="398" t="n"/>
      <c r="I1288" s="398" t="n">
        <v>7185</v>
      </c>
      <c r="J1288" s="398" t="n">
        <v>1</v>
      </c>
      <c r="K1288" s="398" t="n"/>
      <c r="L1288" s="398" t="n"/>
      <c r="M1288" s="398" t="n">
        <v>7185</v>
      </c>
      <c r="N1288" s="398" t="n">
        <v>7185</v>
      </c>
      <c r="O1288" s="398" t="n">
        <v>7185</v>
      </c>
      <c r="P1288" s="292" t="n"/>
      <c r="Q1288" s="292" t="inlineStr">
        <is>
          <t>测试新增资源已回读</t>
        </is>
      </c>
      <c r="R1288" s="292" t="inlineStr">
        <is>
          <t>C09-M012</t>
        </is>
      </c>
      <c r="S1288" s="292" t="inlineStr">
        <is>
          <t>平台装备素材/0492_星渊龙息·无垠_男衣服.bmp</t>
        </is>
      </c>
      <c r="T1288" s="292" t="inlineStr">
        <is>
          <t>仅测试副本；未写正式客户端</t>
        </is>
      </c>
      <c r="U1288">
        <f>IF(COUNTIF($B$2:$B$1320,B1288)&gt;1,"重复","")</f>
        <v/>
      </c>
      <c r="V1288">
        <f>IF(AND(OR(M1288="",M1288=B1288),OR(N1288="",N1288=B1288),OR(O1288="",O1288=B1288)),"通过","不一致")</f>
        <v/>
      </c>
    </row>
    <row r="1289">
      <c r="A1289" s="398" t="n">
        <v>1288</v>
      </c>
      <c r="B1289" s="398" t="n">
        <v>7186</v>
      </c>
      <c r="C1289" s="399" t="inlineStr">
        <is>
          <t>C3-C10专属待补</t>
        </is>
      </c>
      <c r="D1289" s="399" t="inlineStr">
        <is>
          <t>亚坛高原</t>
        </is>
      </c>
      <c r="E1289" s="399" t="n">
        <v>1</v>
      </c>
      <c r="F1289" s="399" t="inlineStr">
        <is>
          <t>武器</t>
        </is>
      </c>
      <c r="G1289" s="398" t="n">
        <v>5</v>
      </c>
      <c r="H1289" s="398" t="n"/>
      <c r="I1289" s="398" t="n">
        <v>7186</v>
      </c>
      <c r="J1289" s="398" t="n">
        <v>14</v>
      </c>
      <c r="K1289" s="398" t="n"/>
      <c r="L1289" s="398" t="n"/>
      <c r="M1289" s="398" t="n">
        <v>7186</v>
      </c>
      <c r="N1289" s="398" t="n">
        <v>7186</v>
      </c>
      <c r="O1289" s="398" t="n">
        <v>7186</v>
      </c>
      <c r="P1289" s="292" t="n"/>
      <c r="Q1289" s="292" t="inlineStr">
        <is>
          <t>测试新增资源已回读</t>
        </is>
      </c>
      <c r="R1289" s="292" t="inlineStr">
        <is>
          <t>C09-M015</t>
        </is>
      </c>
      <c r="S1289" s="292" t="inlineStr">
        <is>
          <t>平台装备素材/0176_血月荆棘·血痕_武器.bmp</t>
        </is>
      </c>
      <c r="T1289" s="292" t="inlineStr">
        <is>
          <t>仅测试副本；未写正式客户端</t>
        </is>
      </c>
      <c r="U1289">
        <f>IF(COUNTIF($B$2:$B$1320,B1289)&gt;1,"重复","")</f>
        <v/>
      </c>
      <c r="V1289">
        <f>IF(AND(OR(M1289="",M1289=B1289),OR(N1289="",N1289=B1289),OR(O1289="",O1289=B1289)),"通过","不一致")</f>
        <v/>
      </c>
    </row>
    <row r="1290">
      <c r="A1290" s="398" t="n">
        <v>1289</v>
      </c>
      <c r="B1290" s="398" t="n">
        <v>7187</v>
      </c>
      <c r="C1290" s="399" t="inlineStr">
        <is>
          <t>C3-C10专属待补</t>
        </is>
      </c>
      <c r="D1290" s="399" t="inlineStr">
        <is>
          <t>亚坛高原</t>
        </is>
      </c>
      <c r="E1290" s="399" t="n">
        <v>1</v>
      </c>
      <c r="F1290" s="399" t="inlineStr">
        <is>
          <t>面巾（位置13，对应斗笠）</t>
        </is>
      </c>
      <c r="G1290" s="398" t="n">
        <v>16</v>
      </c>
      <c r="H1290" s="398" t="n">
        <v>13</v>
      </c>
      <c r="I1290" s="398" t="n">
        <v>7187</v>
      </c>
      <c r="J1290" s="398" t="n"/>
      <c r="K1290" s="398" t="n"/>
      <c r="L1290" s="398" t="n"/>
      <c r="M1290" s="398" t="n">
        <v>7187</v>
      </c>
      <c r="N1290" s="398" t="n">
        <v>7187</v>
      </c>
      <c r="O1290" s="398" t="n">
        <v>7187</v>
      </c>
      <c r="P1290" s="292" t="n"/>
      <c r="Q1290" s="292" t="inlineStr">
        <is>
          <t>测试新增资源已回读</t>
        </is>
      </c>
      <c r="R1290" s="292" t="inlineStr">
        <is>
          <t>C09-M016</t>
        </is>
      </c>
      <c r="S1290" s="292" t="inlineStr">
        <is>
          <t>平台装备素材/0355_星渊龙息·星痕_面巾.bmp</t>
        </is>
      </c>
      <c r="T1290" s="292" t="inlineStr">
        <is>
          <t>仅测试副本；未写正式客户端</t>
        </is>
      </c>
      <c r="U1290">
        <f>IF(COUNTIF($B$2:$B$1320,B1290)&gt;1,"重复","")</f>
        <v/>
      </c>
      <c r="V1290">
        <f>IF(AND(OR(M1290="",M1290=B1290),OR(N1290="",N1290=B1290),OR(O1290="",O1290=B1290)),"通过","不一致")</f>
        <v/>
      </c>
    </row>
    <row r="1291">
      <c r="A1291" s="398" t="n">
        <v>1290</v>
      </c>
      <c r="B1291" s="398" t="n">
        <v>7188</v>
      </c>
      <c r="C1291" s="399" t="inlineStr">
        <is>
          <t>C3-C10专属待补</t>
        </is>
      </c>
      <c r="D1291" s="399" t="inlineStr">
        <is>
          <t>亚坛高原</t>
        </is>
      </c>
      <c r="E1291" s="399" t="n">
        <v>1</v>
      </c>
      <c r="F1291" s="399" t="inlineStr">
        <is>
          <t>男衣服（现行模板的衣服映射）</t>
        </is>
      </c>
      <c r="G1291" s="398" t="n">
        <v>10</v>
      </c>
      <c r="H1291" s="398" t="n"/>
      <c r="I1291" s="398" t="n">
        <v>7188</v>
      </c>
      <c r="J1291" s="398" t="n">
        <v>1</v>
      </c>
      <c r="K1291" s="398" t="n"/>
      <c r="L1291" s="398" t="n"/>
      <c r="M1291" s="398" t="n">
        <v>7188</v>
      </c>
      <c r="N1291" s="398" t="n">
        <v>7188</v>
      </c>
      <c r="O1291" s="398" t="n">
        <v>7188</v>
      </c>
      <c r="P1291" s="292" t="n"/>
      <c r="Q1291" s="292" t="inlineStr">
        <is>
          <t>测试新增资源已回读</t>
        </is>
      </c>
      <c r="R1291" s="292" t="inlineStr">
        <is>
          <t>C09-M017</t>
        </is>
      </c>
      <c r="S1291" s="292" t="inlineStr">
        <is>
          <t>平台装备素材/0527_翠焰冥契·幽焰_男衣服.bmp</t>
        </is>
      </c>
      <c r="T1291" s="292" t="inlineStr">
        <is>
          <t>仅测试副本；未写正式客户端</t>
        </is>
      </c>
      <c r="U1291">
        <f>IF(COUNTIF($B$2:$B$1320,B1291)&gt;1,"重复","")</f>
        <v/>
      </c>
      <c r="V1291">
        <f>IF(AND(OR(M1291="",M1291=B1291),OR(N1291="",N1291=B1291),OR(O1291="",O1291=B1291)),"通过","不一致")</f>
        <v/>
      </c>
    </row>
    <row r="1292">
      <c r="A1292" s="398" t="n">
        <v>1291</v>
      </c>
      <c r="B1292" s="398" t="n">
        <v>7189</v>
      </c>
      <c r="C1292" s="399" t="inlineStr">
        <is>
          <t>C3-C10专属待补</t>
        </is>
      </c>
      <c r="D1292" s="399" t="inlineStr">
        <is>
          <t>亚坛高原</t>
        </is>
      </c>
      <c r="E1292" s="399" t="n">
        <v>1</v>
      </c>
      <c r="F1292" s="399" t="inlineStr">
        <is>
          <t>武器</t>
        </is>
      </c>
      <c r="G1292" s="398" t="n">
        <v>5</v>
      </c>
      <c r="H1292" s="398" t="n"/>
      <c r="I1292" s="398" t="n">
        <v>7189</v>
      </c>
      <c r="J1292" s="398" t="n">
        <v>14</v>
      </c>
      <c r="K1292" s="398" t="n"/>
      <c r="L1292" s="398" t="n"/>
      <c r="M1292" s="398" t="n">
        <v>7189</v>
      </c>
      <c r="N1292" s="398" t="n">
        <v>7189</v>
      </c>
      <c r="O1292" s="398" t="n">
        <v>7189</v>
      </c>
      <c r="P1292" s="292" t="n"/>
      <c r="Q1292" s="292" t="inlineStr">
        <is>
          <t>测试新增资源已回读</t>
        </is>
      </c>
      <c r="R1292" s="292" t="inlineStr">
        <is>
          <t>C09-M023</t>
        </is>
      </c>
      <c r="S1292" s="292" t="inlineStr">
        <is>
          <t>平台装备素材/0211_血月荆棘·荆冠_武器.bmp</t>
        </is>
      </c>
      <c r="T1292" s="292" t="inlineStr">
        <is>
          <t>仅测试副本；未写正式客户端</t>
        </is>
      </c>
      <c r="U1292">
        <f>IF(COUNTIF($B$2:$B$1320,B1292)&gt;1,"重复","")</f>
        <v/>
      </c>
      <c r="V1292">
        <f>IF(AND(OR(M1292="",M1292=B1292),OR(N1292="",N1292=B1292),OR(O1292="",O1292=B1292)),"通过","不一致")</f>
        <v/>
      </c>
    </row>
    <row r="1293">
      <c r="A1293" s="398" t="n">
        <v>1292</v>
      </c>
      <c r="B1293" s="398" t="n">
        <v>7190</v>
      </c>
      <c r="C1293" s="399" t="inlineStr">
        <is>
          <t>C3-C10专属待补</t>
        </is>
      </c>
      <c r="D1293" s="399" t="inlineStr">
        <is>
          <t>亚坛高原</t>
        </is>
      </c>
      <c r="E1293" s="399" t="n">
        <v>1</v>
      </c>
      <c r="F1293" s="399" t="inlineStr">
        <is>
          <t>男衣服（现行模板的衣服映射）</t>
        </is>
      </c>
      <c r="G1293" s="398" t="n">
        <v>10</v>
      </c>
      <c r="H1293" s="398" t="n"/>
      <c r="I1293" s="398" t="n">
        <v>7190</v>
      </c>
      <c r="J1293" s="398" t="n">
        <v>1</v>
      </c>
      <c r="K1293" s="398" t="n"/>
      <c r="L1293" s="398" t="n"/>
      <c r="M1293" s="398" t="n">
        <v>7190</v>
      </c>
      <c r="N1293" s="398" t="n">
        <v>7190</v>
      </c>
      <c r="O1293" s="398" t="n">
        <v>7190</v>
      </c>
      <c r="P1293" s="292" t="n"/>
      <c r="Q1293" s="292" t="inlineStr">
        <is>
          <t>测试新增资源已回读</t>
        </is>
      </c>
      <c r="R1293" s="292" t="inlineStr">
        <is>
          <t>C09-M024</t>
        </is>
      </c>
      <c r="S1293" s="292" t="inlineStr">
        <is>
          <t>平台装备素材/0562_翠焰冥契·腐痕_男衣服.bmp</t>
        </is>
      </c>
      <c r="T1293" s="292" t="inlineStr">
        <is>
          <t>仅测试副本；未写正式客户端</t>
        </is>
      </c>
      <c r="U1293">
        <f>IF(COUNTIF($B$2:$B$1320,B1293)&gt;1,"重复","")</f>
        <v/>
      </c>
      <c r="V1293">
        <f>IF(AND(OR(M1293="",M1293=B1293),OR(N1293="",N1293=B1293),OR(O1293="",O1293=B1293)),"通过","不一致")</f>
        <v/>
      </c>
    </row>
    <row r="1294">
      <c r="A1294" s="398" t="n">
        <v>1293</v>
      </c>
      <c r="B1294" s="398" t="n">
        <v>7191</v>
      </c>
      <c r="C1294" s="399" t="inlineStr">
        <is>
          <t>C3-C10专属待补</t>
        </is>
      </c>
      <c r="D1294" s="399" t="inlineStr">
        <is>
          <t>亚坛高原</t>
        </is>
      </c>
      <c r="E1294" s="399" t="n">
        <v>1</v>
      </c>
      <c r="F1294" s="399" t="inlineStr">
        <is>
          <t>武器</t>
        </is>
      </c>
      <c r="G1294" s="398" t="n">
        <v>5</v>
      </c>
      <c r="H1294" s="398" t="n"/>
      <c r="I1294" s="398" t="n">
        <v>7191</v>
      </c>
      <c r="J1294" s="398" t="n">
        <v>14</v>
      </c>
      <c r="K1294" s="398" t="n"/>
      <c r="L1294" s="398" t="n"/>
      <c r="M1294" s="398" t="n">
        <v>7191</v>
      </c>
      <c r="N1294" s="398" t="n">
        <v>7191</v>
      </c>
      <c r="O1294" s="398" t="n">
        <v>7191</v>
      </c>
      <c r="P1294" s="292" t="n"/>
      <c r="Q1294" s="292" t="inlineStr">
        <is>
          <t>测试新增资源已回读</t>
        </is>
      </c>
      <c r="R1294" s="292" t="inlineStr">
        <is>
          <t>C09-M025</t>
        </is>
      </c>
      <c r="S1294" s="292" t="inlineStr">
        <is>
          <t>平台装备素材/0246_血月荆棘·猩月_武器.bmp</t>
        </is>
      </c>
      <c r="T1294" s="292" t="inlineStr">
        <is>
          <t>仅测试副本；未写正式客户端</t>
        </is>
      </c>
      <c r="U1294">
        <f>IF(COUNTIF($B$2:$B$1320,B1294)&gt;1,"重复","")</f>
        <v/>
      </c>
      <c r="V1294">
        <f>IF(AND(OR(M1294="",M1294=B1294),OR(N1294="",N1294=B1294),OR(O1294="",O1294=B1294)),"通过","不一致")</f>
        <v/>
      </c>
    </row>
    <row r="1295">
      <c r="A1295" s="398" t="n">
        <v>1294</v>
      </c>
      <c r="B1295" s="398" t="n">
        <v>7192</v>
      </c>
      <c r="C1295" s="399" t="inlineStr">
        <is>
          <t>C3-C10专属待补</t>
        </is>
      </c>
      <c r="D1295" s="399" t="inlineStr">
        <is>
          <t>亚坛高原</t>
        </is>
      </c>
      <c r="E1295" s="399" t="n">
        <v>1</v>
      </c>
      <c r="F1295" s="399" t="inlineStr">
        <is>
          <t>男衣服（现行模板的衣服映射）</t>
        </is>
      </c>
      <c r="G1295" s="398" t="n">
        <v>10</v>
      </c>
      <c r="H1295" s="398" t="n"/>
      <c r="I1295" s="398" t="n">
        <v>7192</v>
      </c>
      <c r="J1295" s="398" t="n">
        <v>1</v>
      </c>
      <c r="K1295" s="398" t="n"/>
      <c r="L1295" s="398" t="n"/>
      <c r="M1295" s="398" t="n">
        <v>7192</v>
      </c>
      <c r="N1295" s="398" t="n">
        <v>7192</v>
      </c>
      <c r="O1295" s="398" t="n">
        <v>7192</v>
      </c>
      <c r="P1295" s="292" t="n"/>
      <c r="Q1295" s="292" t="inlineStr">
        <is>
          <t>测试新增资源已回读</t>
        </is>
      </c>
      <c r="R1295" s="292" t="inlineStr">
        <is>
          <t>C09-M029</t>
        </is>
      </c>
      <c r="S1295" s="292" t="inlineStr">
        <is>
          <t>平台装备素材/0597_翠焰冥契·冥契_男衣服.bmp</t>
        </is>
      </c>
      <c r="T1295" s="292" t="inlineStr">
        <is>
          <t>仅测试副本；未写正式客户端</t>
        </is>
      </c>
      <c r="U1295">
        <f>IF(COUNTIF($B$2:$B$1320,B1295)&gt;1,"重复","")</f>
        <v/>
      </c>
      <c r="V1295">
        <f>IF(AND(OR(M1295="",M1295=B1295),OR(N1295="",N1295=B1295),OR(O1295="",O1295=B1295)),"通过","不一致")</f>
        <v/>
      </c>
    </row>
    <row r="1296">
      <c r="A1296" s="398" t="n">
        <v>1295</v>
      </c>
      <c r="B1296" s="398" t="n">
        <v>7193</v>
      </c>
      <c r="C1296" s="399" t="inlineStr">
        <is>
          <t>C3-C10专属待补</t>
        </is>
      </c>
      <c r="D1296" s="399" t="inlineStr">
        <is>
          <t>亚坛高原</t>
        </is>
      </c>
      <c r="E1296" s="399" t="n">
        <v>1</v>
      </c>
      <c r="F1296" s="399" t="inlineStr">
        <is>
          <t>武器</t>
        </is>
      </c>
      <c r="G1296" s="398" t="n">
        <v>5</v>
      </c>
      <c r="H1296" s="398" t="n"/>
      <c r="I1296" s="398" t="n">
        <v>7193</v>
      </c>
      <c r="J1296" s="398" t="n">
        <v>14</v>
      </c>
      <c r="K1296" s="398" t="n"/>
      <c r="L1296" s="398" t="n"/>
      <c r="M1296" s="398" t="n">
        <v>7193</v>
      </c>
      <c r="N1296" s="398" t="n">
        <v>7193</v>
      </c>
      <c r="O1296" s="398" t="n">
        <v>7193</v>
      </c>
      <c r="P1296" s="292" t="n"/>
      <c r="Q1296" s="292" t="inlineStr">
        <is>
          <t>测试新增资源已回读</t>
        </is>
      </c>
      <c r="R1296" s="292" t="inlineStr">
        <is>
          <t>C09-M035</t>
        </is>
      </c>
      <c r="S1296" s="292" t="inlineStr">
        <is>
          <t>平台装备素材/0281_血月荆棘·弑王_武器.bmp</t>
        </is>
      </c>
      <c r="T1296" s="292" t="inlineStr">
        <is>
          <t>仅测试副本；未写正式客户端</t>
        </is>
      </c>
      <c r="U1296">
        <f>IF(COUNTIF($B$2:$B$1320,B1296)&gt;1,"重复","")</f>
        <v/>
      </c>
      <c r="V1296">
        <f>IF(AND(OR(M1296="",M1296=B1296),OR(N1296="",N1296=B1296),OR(O1296="",O1296=B1296)),"通过","不一致")</f>
        <v/>
      </c>
    </row>
    <row r="1297">
      <c r="A1297" s="398" t="n">
        <v>1296</v>
      </c>
      <c r="B1297" s="398" t="n">
        <v>7194</v>
      </c>
      <c r="C1297" s="399" t="inlineStr">
        <is>
          <t>C3-C10专属待补</t>
        </is>
      </c>
      <c r="D1297" s="399" t="inlineStr">
        <is>
          <t>亚坛高原</t>
        </is>
      </c>
      <c r="E1297" s="399" t="n">
        <v>1</v>
      </c>
      <c r="F1297" s="399" t="inlineStr">
        <is>
          <t>男衣服（现行模板的衣服映射）</t>
        </is>
      </c>
      <c r="G1297" s="398" t="n">
        <v>10</v>
      </c>
      <c r="H1297" s="398" t="n"/>
      <c r="I1297" s="398" t="n">
        <v>7194</v>
      </c>
      <c r="J1297" s="398" t="n">
        <v>1</v>
      </c>
      <c r="K1297" s="398" t="n"/>
      <c r="L1297" s="398" t="n"/>
      <c r="M1297" s="398" t="n">
        <v>7194</v>
      </c>
      <c r="N1297" s="398" t="n">
        <v>7194</v>
      </c>
      <c r="O1297" s="398" t="n">
        <v>7194</v>
      </c>
      <c r="P1297" s="292" t="n"/>
      <c r="Q1297" s="292" t="inlineStr">
        <is>
          <t>测试新增资源已回读</t>
        </is>
      </c>
      <c r="R1297" s="292" t="inlineStr">
        <is>
          <t>C09-M036</t>
        </is>
      </c>
      <c r="S1297" s="292" t="inlineStr">
        <is>
          <t>平台装备素材/0632_翠焰冥契·灾厄_男衣服.bmp</t>
        </is>
      </c>
      <c r="T1297" s="292" t="inlineStr">
        <is>
          <t>仅测试副本；未写正式客户端</t>
        </is>
      </c>
      <c r="U1297">
        <f>IF(COUNTIF($B$2:$B$1320,B1297)&gt;1,"重复","")</f>
        <v/>
      </c>
      <c r="V1297">
        <f>IF(AND(OR(M1297="",M1297=B1297),OR(N1297="",N1297=B1297),OR(O1297="",O1297=B1297)),"通过","不一致")</f>
        <v/>
      </c>
    </row>
    <row r="1298">
      <c r="A1298" s="398" t="n">
        <v>1297</v>
      </c>
      <c r="B1298" s="398" t="n">
        <v>7195</v>
      </c>
      <c r="C1298" s="399" t="inlineStr">
        <is>
          <t>C3-C10专属待补</t>
        </is>
      </c>
      <c r="D1298" s="399" t="inlineStr">
        <is>
          <t>亚坛高原</t>
        </is>
      </c>
      <c r="E1298" s="399" t="n">
        <v>1</v>
      </c>
      <c r="F1298" s="399" t="inlineStr">
        <is>
          <t>男衣服（现行模板的衣服映射）</t>
        </is>
      </c>
      <c r="G1298" s="398" t="n">
        <v>10</v>
      </c>
      <c r="H1298" s="398" t="n"/>
      <c r="I1298" s="398" t="n">
        <v>7195</v>
      </c>
      <c r="J1298" s="398" t="n">
        <v>1</v>
      </c>
      <c r="K1298" s="398" t="n"/>
      <c r="L1298" s="398" t="n"/>
      <c r="M1298" s="398" t="n">
        <v>7195</v>
      </c>
      <c r="N1298" s="398" t="n">
        <v>7195</v>
      </c>
      <c r="O1298" s="398" t="n">
        <v>7195</v>
      </c>
      <c r="P1298" s="292" t="n"/>
      <c r="Q1298" s="292" t="inlineStr">
        <is>
          <t>测试新增资源已回读</t>
        </is>
      </c>
      <c r="R1298" s="292" t="inlineStr">
        <is>
          <t>C09-M039</t>
        </is>
      </c>
      <c r="S1298" s="292" t="inlineStr">
        <is>
          <t>平台装备素材/0667_翠焰冥契·永夜_男衣服.bmp</t>
        </is>
      </c>
      <c r="T1298" s="292" t="inlineStr">
        <is>
          <t>仅测试副本；未写正式客户端</t>
        </is>
      </c>
      <c r="U1298">
        <f>IF(COUNTIF($B$2:$B$1320,B1298)&gt;1,"重复","")</f>
        <v/>
      </c>
      <c r="V1298">
        <f>IF(AND(OR(M1298="",M1298=B1298),OR(N1298="",N1298=B1298),OR(O1298="",O1298=B1298)),"通过","不一致")</f>
        <v/>
      </c>
    </row>
    <row r="1299">
      <c r="A1299" s="398" t="n">
        <v>1298</v>
      </c>
      <c r="B1299" s="398" t="n">
        <v>7196</v>
      </c>
      <c r="C1299" s="399" t="inlineStr">
        <is>
          <t>C3-C10专属待补</t>
        </is>
      </c>
      <c r="D1299" s="399" t="inlineStr">
        <is>
          <t>亚坛高原</t>
        </is>
      </c>
      <c r="E1299" s="399" t="n">
        <v>1</v>
      </c>
      <c r="F1299" s="399" t="inlineStr">
        <is>
          <t>武器</t>
        </is>
      </c>
      <c r="G1299" s="398" t="n">
        <v>5</v>
      </c>
      <c r="H1299" s="398" t="n"/>
      <c r="I1299" s="398" t="n">
        <v>7196</v>
      </c>
      <c r="J1299" s="398" t="n">
        <v>14</v>
      </c>
      <c r="K1299" s="398" t="n"/>
      <c r="L1299" s="398" t="n"/>
      <c r="M1299" s="398" t="n">
        <v>7196</v>
      </c>
      <c r="N1299" s="398" t="n">
        <v>7196</v>
      </c>
      <c r="O1299" s="398" t="n">
        <v>7196</v>
      </c>
      <c r="P1299" s="292" t="n"/>
      <c r="Q1299" s="292" t="inlineStr">
        <is>
          <t>测试新增资源已回读</t>
        </is>
      </c>
      <c r="R1299" s="292" t="inlineStr">
        <is>
          <t>C09-M042</t>
        </is>
      </c>
      <c r="S1299" s="292" t="inlineStr">
        <is>
          <t>平台装备素材/0316_血月荆棘·血月_武器.bmp</t>
        </is>
      </c>
      <c r="T1299" s="292" t="inlineStr">
        <is>
          <t>仅测试副本；未写正式客户端</t>
        </is>
      </c>
      <c r="U1299">
        <f>IF(COUNTIF($B$2:$B$1320,B1299)&gt;1,"重复","")</f>
        <v/>
      </c>
      <c r="V1299">
        <f>IF(AND(OR(M1299="",M1299=B1299),OR(N1299="",N1299=B1299),OR(O1299="",O1299=B1299)),"通过","不一致")</f>
        <v/>
      </c>
    </row>
    <row r="1300">
      <c r="A1300" s="398" t="n">
        <v>1299</v>
      </c>
      <c r="B1300" s="398" t="n">
        <v>7197</v>
      </c>
      <c r="C1300" s="399" t="inlineStr">
        <is>
          <t>C3-C10专属待补</t>
        </is>
      </c>
      <c r="D1300" s="399" t="inlineStr">
        <is>
          <t>亚坛高原</t>
        </is>
      </c>
      <c r="E1300" s="399" t="n">
        <v>1</v>
      </c>
      <c r="F1300" s="399" t="inlineStr">
        <is>
          <t>武器</t>
        </is>
      </c>
      <c r="G1300" s="398" t="n">
        <v>5</v>
      </c>
      <c r="H1300" s="398" t="n"/>
      <c r="I1300" s="398" t="n">
        <v>7197</v>
      </c>
      <c r="J1300" s="398" t="n">
        <v>14</v>
      </c>
      <c r="K1300" s="398" t="n"/>
      <c r="L1300" s="398" t="n"/>
      <c r="M1300" s="398" t="n">
        <v>7197</v>
      </c>
      <c r="N1300" s="398" t="n">
        <v>7197</v>
      </c>
      <c r="O1300" s="398" t="n">
        <v>7197</v>
      </c>
      <c r="P1300" s="292" t="n"/>
      <c r="Q1300" s="292" t="inlineStr">
        <is>
          <t>测试新增资源已回读</t>
        </is>
      </c>
      <c r="R1300" s="292" t="inlineStr">
        <is>
          <t>C09-M047</t>
        </is>
      </c>
      <c r="S1300" s="292" t="inlineStr">
        <is>
          <t>平台装备素材/0351_星渊龙息·星痕_武器.bmp</t>
        </is>
      </c>
      <c r="T1300" s="292" t="inlineStr">
        <is>
          <t>仅测试副本；未写正式客户端</t>
        </is>
      </c>
      <c r="U1300">
        <f>IF(COUNTIF($B$2:$B$1320,B1300)&gt;1,"重复","")</f>
        <v/>
      </c>
      <c r="V1300">
        <f>IF(AND(OR(M1300="",M1300=B1300),OR(N1300="",N1300=B1300),OR(O1300="",O1300=B1300)),"通过","不一致")</f>
        <v/>
      </c>
    </row>
    <row r="1301">
      <c r="A1301" s="398" t="n">
        <v>1300</v>
      </c>
      <c r="B1301" s="398" t="n">
        <v>7198</v>
      </c>
      <c r="C1301" s="399" t="inlineStr">
        <is>
          <t>C3-C10专属待补</t>
        </is>
      </c>
      <c r="D1301" s="399" t="inlineStr">
        <is>
          <t>亚坛高原</t>
        </is>
      </c>
      <c r="E1301" s="399" t="n">
        <v>1</v>
      </c>
      <c r="F1301" s="399" t="inlineStr">
        <is>
          <t>男衣服（现行模板的衣服映射）</t>
        </is>
      </c>
      <c r="G1301" s="398" t="n">
        <v>10</v>
      </c>
      <c r="H1301" s="398" t="n"/>
      <c r="I1301" s="398" t="n">
        <v>7198</v>
      </c>
      <c r="J1301" s="398" t="n">
        <v>1</v>
      </c>
      <c r="K1301" s="398" t="n"/>
      <c r="L1301" s="398" t="n"/>
      <c r="M1301" s="398" t="n">
        <v>7198</v>
      </c>
      <c r="N1301" s="398" t="n">
        <v>7198</v>
      </c>
      <c r="O1301" s="398" t="n">
        <v>7198</v>
      </c>
      <c r="P1301" s="292" t="n"/>
      <c r="Q1301" s="292" t="inlineStr">
        <is>
          <t>测试新增资源已回读</t>
        </is>
      </c>
      <c r="R1301" s="292" t="inlineStr">
        <is>
          <t>C09-M048</t>
        </is>
      </c>
      <c r="S1301" s="292" t="inlineStr">
        <is>
          <t>平台装备素材/0002_黄金圣树·初誓_男衣服.bmp</t>
        </is>
      </c>
      <c r="T1301" s="292" t="inlineStr">
        <is>
          <t>仅测试副本；未写正式客户端</t>
        </is>
      </c>
      <c r="U1301">
        <f>IF(COUNTIF($B$2:$B$1320,B1301)&gt;1,"重复","")</f>
        <v/>
      </c>
      <c r="V1301">
        <f>IF(AND(OR(M1301="",M1301=B1301),OR(N1301="",N1301=B1301),OR(O1301="",O1301=B1301)),"通过","不一致")</f>
        <v/>
      </c>
    </row>
    <row r="1302">
      <c r="A1302" s="398" t="n">
        <v>1301</v>
      </c>
      <c r="B1302" s="398" t="n">
        <v>7199</v>
      </c>
      <c r="C1302" s="399" t="inlineStr">
        <is>
          <t>C3-C10专属待补</t>
        </is>
      </c>
      <c r="D1302" s="399" t="inlineStr">
        <is>
          <t>亚坛高原</t>
        </is>
      </c>
      <c r="E1302" s="399" t="n">
        <v>1</v>
      </c>
      <c r="F1302" s="399" t="inlineStr">
        <is>
          <t>武器</t>
        </is>
      </c>
      <c r="G1302" s="398" t="n">
        <v>5</v>
      </c>
      <c r="H1302" s="398" t="n"/>
      <c r="I1302" s="398" t="n">
        <v>7199</v>
      </c>
      <c r="J1302" s="398" t="n">
        <v>14</v>
      </c>
      <c r="K1302" s="398" t="n"/>
      <c r="L1302" s="398" t="n"/>
      <c r="M1302" s="398" t="n">
        <v>7199</v>
      </c>
      <c r="N1302" s="398" t="n">
        <v>7199</v>
      </c>
      <c r="O1302" s="398" t="n">
        <v>7199</v>
      </c>
      <c r="P1302" s="292" t="n"/>
      <c r="Q1302" s="292" t="inlineStr">
        <is>
          <t>测试新增资源已回读</t>
        </is>
      </c>
      <c r="R1302" s="292" t="inlineStr">
        <is>
          <t>C09-M051</t>
        </is>
      </c>
      <c r="S1302" s="292" t="inlineStr">
        <is>
          <t>平台装备素材/0386_星渊龙息·龙鳞_武器.bmp</t>
        </is>
      </c>
      <c r="T1302" s="292" t="inlineStr">
        <is>
          <t>仅测试副本；未写正式客户端</t>
        </is>
      </c>
      <c r="U1302">
        <f>IF(COUNTIF($B$2:$B$1320,B1302)&gt;1,"重复","")</f>
        <v/>
      </c>
      <c r="V1302">
        <f>IF(AND(OR(M1302="",M1302=B1302),OR(N1302="",N1302=B1302),OR(O1302="",O1302=B1302)),"通过","不一致")</f>
        <v/>
      </c>
    </row>
    <row r="1303">
      <c r="A1303" s="398" t="n">
        <v>1302</v>
      </c>
      <c r="B1303" s="398" t="n">
        <v>7200</v>
      </c>
      <c r="C1303" s="399" t="inlineStr">
        <is>
          <t>C3-C10专属待补</t>
        </is>
      </c>
      <c r="D1303" s="399" t="inlineStr">
        <is>
          <t>亚坛高原</t>
        </is>
      </c>
      <c r="E1303" s="399" t="n">
        <v>1</v>
      </c>
      <c r="F1303" s="399" t="inlineStr">
        <is>
          <t>男衣服（现行模板的衣服映射）</t>
        </is>
      </c>
      <c r="G1303" s="398" t="n">
        <v>10</v>
      </c>
      <c r="H1303" s="398" t="n"/>
      <c r="I1303" s="398" t="n">
        <v>7200</v>
      </c>
      <c r="J1303" s="398" t="n">
        <v>1</v>
      </c>
      <c r="K1303" s="398" t="n"/>
      <c r="L1303" s="398" t="n"/>
      <c r="M1303" s="398" t="n">
        <v>7200</v>
      </c>
      <c r="N1303" s="398" t="n">
        <v>7200</v>
      </c>
      <c r="O1303" s="398" t="n">
        <v>7200</v>
      </c>
      <c r="P1303" s="292" t="n"/>
      <c r="Q1303" s="292" t="inlineStr">
        <is>
          <t>测试新增资源已回读</t>
        </is>
      </c>
      <c r="R1303" s="292" t="inlineStr">
        <is>
          <t>C09-M054</t>
        </is>
      </c>
      <c r="S1303" s="292" t="inlineStr">
        <is>
          <t>平台装备素材/0037_黄金圣树·圣枝_男衣服.bmp</t>
        </is>
      </c>
      <c r="T1303" s="292" t="inlineStr">
        <is>
          <t>仅测试副本；未写正式客户端</t>
        </is>
      </c>
      <c r="U1303">
        <f>IF(COUNTIF($B$2:$B$1320,B1303)&gt;1,"重复","")</f>
        <v/>
      </c>
      <c r="V1303">
        <f>IF(AND(OR(M1303="",M1303=B1303),OR(N1303="",N1303=B1303),OR(O1303="",O1303=B1303)),"通过","不一致")</f>
        <v/>
      </c>
    </row>
    <row r="1304">
      <c r="A1304" s="398" t="n">
        <v>1303</v>
      </c>
      <c r="B1304" s="398" t="n">
        <v>7201</v>
      </c>
      <c r="C1304" s="399" t="inlineStr">
        <is>
          <t>C3-C10专属待补</t>
        </is>
      </c>
      <c r="D1304" s="399" t="inlineStr">
        <is>
          <t>亚坛高原</t>
        </is>
      </c>
      <c r="E1304" s="399" t="n">
        <v>1</v>
      </c>
      <c r="F1304" s="399" t="inlineStr">
        <is>
          <t>武器</t>
        </is>
      </c>
      <c r="G1304" s="398" t="n">
        <v>5</v>
      </c>
      <c r="H1304" s="398" t="n"/>
      <c r="I1304" s="398" t="n">
        <v>7201</v>
      </c>
      <c r="J1304" s="398" t="n">
        <v>14</v>
      </c>
      <c r="K1304" s="398" t="n"/>
      <c r="L1304" s="398" t="n"/>
      <c r="M1304" s="398" t="n">
        <v>7201</v>
      </c>
      <c r="N1304" s="398" t="n">
        <v>7201</v>
      </c>
      <c r="O1304" s="398" t="n">
        <v>7201</v>
      </c>
      <c r="P1304" s="292" t="n"/>
      <c r="Q1304" s="292" t="inlineStr">
        <is>
          <t>测试新增资源已回读</t>
        </is>
      </c>
      <c r="R1304" s="292" t="inlineStr">
        <is>
          <t>C09-M059</t>
        </is>
      </c>
      <c r="S1304" s="292" t="inlineStr">
        <is>
          <t>平台装备素材/0421_星渊龙息·渊辉_武器.bmp</t>
        </is>
      </c>
      <c r="T1304" s="292" t="inlineStr">
        <is>
          <t>仅测试副本；未写正式客户端</t>
        </is>
      </c>
      <c r="U1304">
        <f>IF(COUNTIF($B$2:$B$1320,B1304)&gt;1,"重复","")</f>
        <v/>
      </c>
      <c r="V1304">
        <f>IF(AND(OR(M1304="",M1304=B1304),OR(N1304="",N1304=B1304),OR(O1304="",O1304=B1304)),"通过","不一致")</f>
        <v/>
      </c>
    </row>
    <row r="1305">
      <c r="A1305" s="398" t="n">
        <v>1304</v>
      </c>
      <c r="B1305" s="398" t="n">
        <v>7202</v>
      </c>
      <c r="C1305" s="399" t="inlineStr">
        <is>
          <t>C3-C10专属待补</t>
        </is>
      </c>
      <c r="D1305" s="399" t="inlineStr">
        <is>
          <t>亚坛高原</t>
        </is>
      </c>
      <c r="E1305" s="399" t="n">
        <v>1</v>
      </c>
      <c r="F1305" s="399" t="inlineStr">
        <is>
          <t>男衣服（现行模板的衣服映射）</t>
        </is>
      </c>
      <c r="G1305" s="398" t="n">
        <v>10</v>
      </c>
      <c r="H1305" s="398" t="n"/>
      <c r="I1305" s="398" t="n">
        <v>7202</v>
      </c>
      <c r="J1305" s="398" t="n">
        <v>1</v>
      </c>
      <c r="K1305" s="398" t="n"/>
      <c r="L1305" s="398" t="n"/>
      <c r="M1305" s="398" t="n">
        <v>7202</v>
      </c>
      <c r="N1305" s="398" t="n">
        <v>7202</v>
      </c>
      <c r="O1305" s="398" t="n">
        <v>7202</v>
      </c>
      <c r="P1305" s="292" t="n"/>
      <c r="Q1305" s="292" t="inlineStr">
        <is>
          <t>测试新增资源已回读</t>
        </is>
      </c>
      <c r="R1305" s="292" t="inlineStr">
        <is>
          <t>C09-M060</t>
        </is>
      </c>
      <c r="S1305" s="292" t="inlineStr">
        <is>
          <t>平台装备素材/0072_黄金圣树·王权_男衣服.bmp</t>
        </is>
      </c>
      <c r="T1305" s="292" t="inlineStr">
        <is>
          <t>仅测试副本；未写正式客户端</t>
        </is>
      </c>
      <c r="U1305">
        <f>IF(COUNTIF($B$2:$B$1320,B1305)&gt;1,"重复","")</f>
        <v/>
      </c>
      <c r="V1305">
        <f>IF(AND(OR(M1305="",M1305=B1305),OR(N1305="",N1305=B1305),OR(O1305="",O1305=B1305)),"通过","不一致")</f>
        <v/>
      </c>
    </row>
    <row r="1306">
      <c r="A1306" s="398" t="n">
        <v>1305</v>
      </c>
      <c r="B1306" s="398" t="n">
        <v>7203</v>
      </c>
      <c r="C1306" s="399" t="inlineStr">
        <is>
          <t>C3-C10专属待补</t>
        </is>
      </c>
      <c r="D1306" s="399" t="inlineStr">
        <is>
          <t>王城罗德尔</t>
        </is>
      </c>
      <c r="E1306" s="399" t="n">
        <v>1</v>
      </c>
      <c r="F1306" s="399" t="inlineStr">
        <is>
          <t>武器</t>
        </is>
      </c>
      <c r="G1306" s="398" t="n">
        <v>5</v>
      </c>
      <c r="H1306" s="398" t="n"/>
      <c r="I1306" s="398" t="n">
        <v>7203</v>
      </c>
      <c r="J1306" s="398" t="n">
        <v>14</v>
      </c>
      <c r="K1306" s="398" t="n"/>
      <c r="L1306" s="398" t="n"/>
      <c r="M1306" s="398" t="n">
        <v>7203</v>
      </c>
      <c r="N1306" s="398" t="n">
        <v>7203</v>
      </c>
      <c r="O1306" s="398" t="n">
        <v>7203</v>
      </c>
      <c r="P1306" s="292" t="n"/>
      <c r="Q1306" s="292" t="inlineStr">
        <is>
          <t>测试新增资源已回读</t>
        </is>
      </c>
      <c r="R1306" s="292" t="inlineStr">
        <is>
          <t>C10-M001</t>
        </is>
      </c>
      <c r="S1306" s="292" t="inlineStr">
        <is>
          <t>平台装备素材/0456_星渊龙息·天穹_武器.bmp</t>
        </is>
      </c>
      <c r="T1306" s="292" t="inlineStr">
        <is>
          <t>仅测试副本；未写正式客户端</t>
        </is>
      </c>
      <c r="U1306">
        <f>IF(COUNTIF($B$2:$B$1320,B1306)&gt;1,"重复","")</f>
        <v/>
      </c>
      <c r="V1306">
        <f>IF(AND(OR(M1306="",M1306=B1306),OR(N1306="",N1306=B1306),OR(O1306="",O1306=B1306)),"通过","不一致")</f>
        <v/>
      </c>
    </row>
    <row r="1307">
      <c r="A1307" s="398" t="n">
        <v>1306</v>
      </c>
      <c r="B1307" s="398" t="n">
        <v>7204</v>
      </c>
      <c r="C1307" s="399" t="inlineStr">
        <is>
          <t>C3-C10专属待补</t>
        </is>
      </c>
      <c r="D1307" s="399" t="inlineStr">
        <is>
          <t>王城罗德尔</t>
        </is>
      </c>
      <c r="E1307" s="399" t="n">
        <v>1</v>
      </c>
      <c r="F1307" s="399" t="inlineStr">
        <is>
          <t>男衣服（现行模板的衣服映射）</t>
        </is>
      </c>
      <c r="G1307" s="398" t="n">
        <v>10</v>
      </c>
      <c r="H1307" s="398" t="n"/>
      <c r="I1307" s="398" t="n">
        <v>7204</v>
      </c>
      <c r="J1307" s="398" t="n">
        <v>1</v>
      </c>
      <c r="K1307" s="398" t="n"/>
      <c r="L1307" s="398" t="n"/>
      <c r="M1307" s="398" t="n">
        <v>7204</v>
      </c>
      <c r="N1307" s="398" t="n">
        <v>7204</v>
      </c>
      <c r="O1307" s="398" t="n">
        <v>7204</v>
      </c>
      <c r="P1307" s="292" t="n"/>
      <c r="Q1307" s="292" t="inlineStr">
        <is>
          <t>测试新增资源已回读</t>
        </is>
      </c>
      <c r="R1307" s="292" t="inlineStr">
        <is>
          <t>C10-M005</t>
        </is>
      </c>
      <c r="S1307" s="292" t="inlineStr">
        <is>
          <t>平台装备素材/0107_黄金圣树·律法_男衣服.bmp</t>
        </is>
      </c>
      <c r="T1307" s="292" t="inlineStr">
        <is>
          <t>仅测试副本；未写正式客户端</t>
        </is>
      </c>
      <c r="U1307">
        <f>IF(COUNTIF($B$2:$B$1320,B1307)&gt;1,"重复","")</f>
        <v/>
      </c>
      <c r="V1307">
        <f>IF(AND(OR(M1307="",M1307=B1307),OR(N1307="",N1307=B1307),OR(O1307="",O1307=B1307)),"通过","不一致")</f>
        <v/>
      </c>
    </row>
    <row r="1308">
      <c r="A1308" s="398" t="n">
        <v>1307</v>
      </c>
      <c r="B1308" s="398" t="n">
        <v>7205</v>
      </c>
      <c r="C1308" s="399" t="inlineStr">
        <is>
          <t>C3-C10专属待补</t>
        </is>
      </c>
      <c r="D1308" s="399" t="inlineStr">
        <is>
          <t>王城罗德尔</t>
        </is>
      </c>
      <c r="E1308" s="399" t="n">
        <v>1</v>
      </c>
      <c r="F1308" s="399" t="inlineStr">
        <is>
          <t>武器</t>
        </is>
      </c>
      <c r="G1308" s="398" t="n">
        <v>5</v>
      </c>
      <c r="H1308" s="398" t="n"/>
      <c r="I1308" s="398" t="n">
        <v>7205</v>
      </c>
      <c r="J1308" s="398" t="n">
        <v>14</v>
      </c>
      <c r="K1308" s="398" t="n"/>
      <c r="L1308" s="398" t="n"/>
      <c r="M1308" s="398" t="n">
        <v>7205</v>
      </c>
      <c r="N1308" s="398" t="n">
        <v>7205</v>
      </c>
      <c r="O1308" s="398" t="n">
        <v>7205</v>
      </c>
      <c r="P1308" s="292" t="n"/>
      <c r="Q1308" s="292" t="inlineStr">
        <is>
          <t>测试新增资源已回读</t>
        </is>
      </c>
      <c r="R1308" s="292" t="inlineStr">
        <is>
          <t>C10-M012</t>
        </is>
      </c>
      <c r="S1308" s="292" t="inlineStr">
        <is>
          <t>平台装备素材/0491_星渊龙息·无垠_武器.bmp</t>
        </is>
      </c>
      <c r="T1308" s="292" t="inlineStr">
        <is>
          <t>仅测试副本；未写正式客户端</t>
        </is>
      </c>
      <c r="U1308">
        <f>IF(COUNTIF($B$2:$B$1320,B1308)&gt;1,"重复","")</f>
        <v/>
      </c>
      <c r="V1308">
        <f>IF(AND(OR(M1308="",M1308=B1308),OR(N1308="",N1308=B1308),OR(O1308="",O1308=B1308)),"通过","不一致")</f>
        <v/>
      </c>
    </row>
    <row r="1309">
      <c r="A1309" s="398" t="n">
        <v>1308</v>
      </c>
      <c r="B1309" s="398" t="n">
        <v>7206</v>
      </c>
      <c r="C1309" s="399" t="inlineStr">
        <is>
          <t>C3-C10专属待补</t>
        </is>
      </c>
      <c r="D1309" s="399" t="inlineStr">
        <is>
          <t>王城罗德尔</t>
        </is>
      </c>
      <c r="E1309" s="399" t="n">
        <v>1</v>
      </c>
      <c r="F1309" s="399" t="inlineStr">
        <is>
          <t>武器</t>
        </is>
      </c>
      <c r="G1309" s="398" t="n">
        <v>5</v>
      </c>
      <c r="H1309" s="398" t="n"/>
      <c r="I1309" s="398" t="n">
        <v>7206</v>
      </c>
      <c r="J1309" s="398" t="n">
        <v>14</v>
      </c>
      <c r="K1309" s="398" t="n"/>
      <c r="L1309" s="398" t="n"/>
      <c r="M1309" s="398" t="n">
        <v>7206</v>
      </c>
      <c r="N1309" s="398" t="n">
        <v>7206</v>
      </c>
      <c r="O1309" s="398" t="n">
        <v>7206</v>
      </c>
      <c r="P1309" s="292" t="n"/>
      <c r="Q1309" s="292" t="inlineStr">
        <is>
          <t>测试新增资源已回读</t>
        </is>
      </c>
      <c r="R1309" s="292" t="inlineStr">
        <is>
          <t>C10-M013</t>
        </is>
      </c>
      <c r="S1309" s="292" t="inlineStr">
        <is>
          <t>平台装备素材/0526_翠焰冥契·幽焰_武器.bmp</t>
        </is>
      </c>
      <c r="T1309" s="292" t="inlineStr">
        <is>
          <t>仅测试副本；未写正式客户端</t>
        </is>
      </c>
      <c r="U1309">
        <f>IF(COUNTIF($B$2:$B$1320,B1309)&gt;1,"重复","")</f>
        <v/>
      </c>
      <c r="V1309">
        <f>IF(AND(OR(M1309="",M1309=B1309),OR(N1309="",N1309=B1309),OR(O1309="",O1309=B1309)),"通过","不一致")</f>
        <v/>
      </c>
    </row>
    <row r="1310">
      <c r="A1310" s="398" t="n">
        <v>1309</v>
      </c>
      <c r="B1310" s="398" t="n">
        <v>7207</v>
      </c>
      <c r="C1310" s="399" t="inlineStr">
        <is>
          <t>C3-C10专属待补</t>
        </is>
      </c>
      <c r="D1310" s="399" t="inlineStr">
        <is>
          <t>王城罗德尔</t>
        </is>
      </c>
      <c r="E1310" s="399" t="n">
        <v>1</v>
      </c>
      <c r="F1310" s="399" t="inlineStr">
        <is>
          <t>男衣服（现行模板的衣服映射）</t>
        </is>
      </c>
      <c r="G1310" s="398" t="n">
        <v>10</v>
      </c>
      <c r="H1310" s="398" t="n"/>
      <c r="I1310" s="398" t="n">
        <v>7207</v>
      </c>
      <c r="J1310" s="398" t="n">
        <v>1</v>
      </c>
      <c r="K1310" s="398" t="n"/>
      <c r="L1310" s="398" t="n"/>
      <c r="M1310" s="398" t="n">
        <v>7207</v>
      </c>
      <c r="N1310" s="398" t="n">
        <v>7207</v>
      </c>
      <c r="O1310" s="398" t="n">
        <v>7207</v>
      </c>
      <c r="P1310" s="292" t="n"/>
      <c r="Q1310" s="292" t="inlineStr">
        <is>
          <t>测试新增资源已回读</t>
        </is>
      </c>
      <c r="R1310" s="292" t="inlineStr">
        <is>
          <t>C10-M014</t>
        </is>
      </c>
      <c r="S1310" s="292" t="inlineStr">
        <is>
          <t>平台装备素材/0142_黄金圣树·永恒_男衣服.bmp</t>
        </is>
      </c>
      <c r="T1310" s="292" t="inlineStr">
        <is>
          <t>仅测试副本；未写正式客户端</t>
        </is>
      </c>
      <c r="U1310">
        <f>IF(COUNTIF($B$2:$B$1320,B1310)&gt;1,"重复","")</f>
        <v/>
      </c>
      <c r="V1310">
        <f>IF(AND(OR(M1310="",M1310=B1310),OR(N1310="",N1310=B1310),OR(O1310="",O1310=B1310)),"通过","不一致")</f>
        <v/>
      </c>
    </row>
    <row r="1311">
      <c r="A1311" s="398" t="n">
        <v>1310</v>
      </c>
      <c r="B1311" s="398" t="n">
        <v>7208</v>
      </c>
      <c r="C1311" s="399" t="inlineStr">
        <is>
          <t>C3-C10专属待补</t>
        </is>
      </c>
      <c r="D1311" s="399" t="inlineStr">
        <is>
          <t>王城罗德尔</t>
        </is>
      </c>
      <c r="E1311" s="399" t="n">
        <v>1</v>
      </c>
      <c r="F1311" s="399" t="inlineStr">
        <is>
          <t>男衣服（现行模板的衣服映射）</t>
        </is>
      </c>
      <c r="G1311" s="398" t="n">
        <v>10</v>
      </c>
      <c r="H1311" s="398" t="n"/>
      <c r="I1311" s="398" t="n">
        <v>7208</v>
      </c>
      <c r="J1311" s="398" t="n">
        <v>1</v>
      </c>
      <c r="K1311" s="398" t="n"/>
      <c r="L1311" s="398" t="n"/>
      <c r="M1311" s="398" t="n">
        <v>7208</v>
      </c>
      <c r="N1311" s="398" t="n">
        <v>7208</v>
      </c>
      <c r="O1311" s="398" t="n">
        <v>7208</v>
      </c>
      <c r="P1311" s="292" t="n"/>
      <c r="Q1311" s="292" t="inlineStr">
        <is>
          <t>测试新增资源已回读</t>
        </is>
      </c>
      <c r="R1311" s="292" t="inlineStr">
        <is>
          <t>C10-M024</t>
        </is>
      </c>
      <c r="S1311" s="292" t="inlineStr">
        <is>
          <t>平台装备素材/0177_血月荆棘·血痕_男衣服.bmp</t>
        </is>
      </c>
      <c r="T1311" s="292" t="inlineStr">
        <is>
          <t>仅测试副本；未写正式客户端</t>
        </is>
      </c>
      <c r="U1311">
        <f>IF(COUNTIF($B$2:$B$1320,B1311)&gt;1,"重复","")</f>
        <v/>
      </c>
      <c r="V1311">
        <f>IF(AND(OR(M1311="",M1311=B1311),OR(N1311="",N1311=B1311),OR(O1311="",O1311=B1311)),"通过","不一致")</f>
        <v/>
      </c>
    </row>
    <row r="1312">
      <c r="A1312" s="398" t="n">
        <v>1311</v>
      </c>
      <c r="B1312" s="398" t="n">
        <v>7209</v>
      </c>
      <c r="C1312" s="399" t="inlineStr">
        <is>
          <t>C3-C10专属待补</t>
        </is>
      </c>
      <c r="D1312" s="399" t="inlineStr">
        <is>
          <t>王城罗德尔</t>
        </is>
      </c>
      <c r="E1312" s="399" t="n">
        <v>1</v>
      </c>
      <c r="F1312" s="399" t="inlineStr">
        <is>
          <t>男衣服（现行模板的衣服映射）</t>
        </is>
      </c>
      <c r="G1312" s="398" t="n">
        <v>10</v>
      </c>
      <c r="H1312" s="398" t="n"/>
      <c r="I1312" s="398" t="n">
        <v>7209</v>
      </c>
      <c r="J1312" s="398" t="n">
        <v>1</v>
      </c>
      <c r="K1312" s="398" t="n"/>
      <c r="L1312" s="398" t="n"/>
      <c r="M1312" s="398" t="n">
        <v>7209</v>
      </c>
      <c r="N1312" s="398" t="n">
        <v>7209</v>
      </c>
      <c r="O1312" s="398" t="n">
        <v>7209</v>
      </c>
      <c r="P1312" s="292" t="n"/>
      <c r="Q1312" s="292" t="inlineStr">
        <is>
          <t>测试新增资源已回读</t>
        </is>
      </c>
      <c r="R1312" s="292" t="inlineStr">
        <is>
          <t>C10-M028</t>
        </is>
      </c>
      <c r="S1312" s="292" t="inlineStr">
        <is>
          <t>平台装备素材/0212_血月荆棘·荆冠_男衣服.bmp</t>
        </is>
      </c>
      <c r="T1312" s="292" t="inlineStr">
        <is>
          <t>仅测试副本；未写正式客户端</t>
        </is>
      </c>
      <c r="U1312">
        <f>IF(COUNTIF($B$2:$B$1320,B1312)&gt;1,"重复","")</f>
        <v/>
      </c>
      <c r="V1312">
        <f>IF(AND(OR(M1312="",M1312=B1312),OR(N1312="",N1312=B1312),OR(O1312="",O1312=B1312)),"通过","不一致")</f>
        <v/>
      </c>
    </row>
    <row r="1313">
      <c r="A1313" s="398" t="n">
        <v>1312</v>
      </c>
      <c r="B1313" s="398" t="n">
        <v>7210</v>
      </c>
      <c r="C1313" s="399" t="inlineStr">
        <is>
          <t>C3-C10专属待补</t>
        </is>
      </c>
      <c r="D1313" s="399" t="inlineStr">
        <is>
          <t>王城罗德尔</t>
        </is>
      </c>
      <c r="E1313" s="399" t="n">
        <v>1</v>
      </c>
      <c r="F1313" s="399" t="inlineStr">
        <is>
          <t>武器</t>
        </is>
      </c>
      <c r="G1313" s="398" t="n">
        <v>5</v>
      </c>
      <c r="H1313" s="398" t="n"/>
      <c r="I1313" s="398" t="n">
        <v>7210</v>
      </c>
      <c r="J1313" s="398" t="n">
        <v>14</v>
      </c>
      <c r="K1313" s="398" t="n"/>
      <c r="L1313" s="398" t="n"/>
      <c r="M1313" s="398" t="n">
        <v>7210</v>
      </c>
      <c r="N1313" s="398" t="n">
        <v>7210</v>
      </c>
      <c r="O1313" s="398" t="n">
        <v>7210</v>
      </c>
      <c r="P1313" s="292" t="n"/>
      <c r="Q1313" s="292" t="inlineStr">
        <is>
          <t>测试新增资源已回读</t>
        </is>
      </c>
      <c r="R1313" s="292" t="inlineStr">
        <is>
          <t>C10-M029</t>
        </is>
      </c>
      <c r="S1313" s="292" t="inlineStr">
        <is>
          <t>平台装备素材/0561_翠焰冥契·腐痕_武器.bmp</t>
        </is>
      </c>
      <c r="T1313" s="292" t="inlineStr">
        <is>
          <t>仅测试副本；未写正式客户端</t>
        </is>
      </c>
      <c r="U1313">
        <f>IF(COUNTIF($B$2:$B$1320,B1313)&gt;1,"重复","")</f>
        <v/>
      </c>
      <c r="V1313">
        <f>IF(AND(OR(M1313="",M1313=B1313),OR(N1313="",N1313=B1313),OR(O1313="",O1313=B1313)),"通过","不一致")</f>
        <v/>
      </c>
    </row>
    <row r="1314">
      <c r="A1314" s="398" t="n">
        <v>1313</v>
      </c>
      <c r="B1314" s="398" t="n">
        <v>7211</v>
      </c>
      <c r="C1314" s="399" t="inlineStr">
        <is>
          <t>C3-C10专属待补</t>
        </is>
      </c>
      <c r="D1314" s="399" t="inlineStr">
        <is>
          <t>王城罗德尔</t>
        </is>
      </c>
      <c r="E1314" s="399" t="n">
        <v>1</v>
      </c>
      <c r="F1314" s="399" t="inlineStr">
        <is>
          <t>武器</t>
        </is>
      </c>
      <c r="G1314" s="398" t="n">
        <v>5</v>
      </c>
      <c r="H1314" s="398" t="n"/>
      <c r="I1314" s="398" t="n">
        <v>7211</v>
      </c>
      <c r="J1314" s="398" t="n">
        <v>14</v>
      </c>
      <c r="K1314" s="398" t="n"/>
      <c r="L1314" s="398" t="n"/>
      <c r="M1314" s="398" t="n">
        <v>7211</v>
      </c>
      <c r="N1314" s="398" t="n">
        <v>7211</v>
      </c>
      <c r="O1314" s="398" t="n">
        <v>7211</v>
      </c>
      <c r="P1314" s="292" t="n"/>
      <c r="Q1314" s="292" t="inlineStr">
        <is>
          <t>测试新增资源已回读</t>
        </is>
      </c>
      <c r="R1314" s="292" t="inlineStr">
        <is>
          <t>C10-M036</t>
        </is>
      </c>
      <c r="S1314" s="292" t="inlineStr">
        <is>
          <t>平台装备素材/0596_翠焰冥契·冥契_武器.bmp</t>
        </is>
      </c>
      <c r="T1314" s="292" t="inlineStr">
        <is>
          <t>仅测试副本；未写正式客户端</t>
        </is>
      </c>
      <c r="U1314">
        <f>IF(COUNTIF($B$2:$B$1320,B1314)&gt;1,"重复","")</f>
        <v/>
      </c>
      <c r="V1314">
        <f>IF(AND(OR(M1314="",M1314=B1314),OR(N1314="",N1314=B1314),OR(O1314="",O1314=B1314)),"通过","不一致")</f>
        <v/>
      </c>
    </row>
    <row r="1315">
      <c r="A1315" s="398" t="n">
        <v>1314</v>
      </c>
      <c r="B1315" s="398" t="n">
        <v>7212</v>
      </c>
      <c r="C1315" s="399" t="inlineStr">
        <is>
          <t>C3-C10专属待补</t>
        </is>
      </c>
      <c r="D1315" s="399" t="inlineStr">
        <is>
          <t>王城罗德尔</t>
        </is>
      </c>
      <c r="E1315" s="399" t="n">
        <v>1</v>
      </c>
      <c r="F1315" s="399" t="inlineStr">
        <is>
          <t>武器</t>
        </is>
      </c>
      <c r="G1315" s="398" t="n">
        <v>5</v>
      </c>
      <c r="H1315" s="398" t="n"/>
      <c r="I1315" s="398" t="n">
        <v>7212</v>
      </c>
      <c r="J1315" s="398" t="n">
        <v>14</v>
      </c>
      <c r="K1315" s="398" t="n"/>
      <c r="L1315" s="398" t="n"/>
      <c r="M1315" s="398" t="n">
        <v>7212</v>
      </c>
      <c r="N1315" s="398" t="n">
        <v>7212</v>
      </c>
      <c r="O1315" s="398" t="n">
        <v>7212</v>
      </c>
      <c r="P1315" s="292" t="n"/>
      <c r="Q1315" s="292" t="inlineStr">
        <is>
          <t>测试新增资源已回读</t>
        </is>
      </c>
      <c r="R1315" s="292" t="inlineStr">
        <is>
          <t>C10-M037</t>
        </is>
      </c>
      <c r="S1315" s="292" t="inlineStr">
        <is>
          <t>平台装备素材/0631_翠焰冥契·灾厄_武器.bmp</t>
        </is>
      </c>
      <c r="T1315" s="292" t="inlineStr">
        <is>
          <t>仅测试副本；未写正式客户端</t>
        </is>
      </c>
      <c r="U1315">
        <f>IF(COUNTIF($B$2:$B$1320,B1315)&gt;1,"重复","")</f>
        <v/>
      </c>
      <c r="V1315">
        <f>IF(AND(OR(M1315="",M1315=B1315),OR(N1315="",N1315=B1315),OR(O1315="",O1315=B1315)),"通过","不一致")</f>
        <v/>
      </c>
    </row>
    <row r="1316">
      <c r="A1316" s="398" t="n">
        <v>1315</v>
      </c>
      <c r="B1316" s="398" t="n">
        <v>7213</v>
      </c>
      <c r="C1316" s="399" t="inlineStr">
        <is>
          <t>C3-C10专属待补</t>
        </is>
      </c>
      <c r="D1316" s="399" t="inlineStr">
        <is>
          <t>王城罗德尔</t>
        </is>
      </c>
      <c r="E1316" s="399" t="n">
        <v>1</v>
      </c>
      <c r="F1316" s="399" t="inlineStr">
        <is>
          <t>男衣服（现行模板的衣服映射）</t>
        </is>
      </c>
      <c r="G1316" s="398" t="n">
        <v>10</v>
      </c>
      <c r="H1316" s="398" t="n"/>
      <c r="I1316" s="398" t="n">
        <v>7213</v>
      </c>
      <c r="J1316" s="398" t="n">
        <v>1</v>
      </c>
      <c r="K1316" s="398" t="n"/>
      <c r="L1316" s="398" t="n"/>
      <c r="M1316" s="398" t="n">
        <v>7213</v>
      </c>
      <c r="N1316" s="398" t="n">
        <v>7213</v>
      </c>
      <c r="O1316" s="398" t="n">
        <v>7213</v>
      </c>
      <c r="P1316" s="292" t="n"/>
      <c r="Q1316" s="292" t="inlineStr">
        <is>
          <t>测试新增资源已回读</t>
        </is>
      </c>
      <c r="R1316" s="292" t="inlineStr">
        <is>
          <t>C10-M038</t>
        </is>
      </c>
      <c r="S1316" s="292" t="inlineStr">
        <is>
          <t>平台装备素材/0247_血月荆棘·猩月_男衣服.bmp</t>
        </is>
      </c>
      <c r="T1316" s="292" t="inlineStr">
        <is>
          <t>仅测试副本；未写正式客户端</t>
        </is>
      </c>
      <c r="U1316">
        <f>IF(COUNTIF($B$2:$B$1320,B1316)&gt;1,"重复","")</f>
        <v/>
      </c>
      <c r="V1316">
        <f>IF(AND(OR(M1316="",M1316=B1316),OR(N1316="",N1316=B1316),OR(O1316="",O1316=B1316)),"通过","不一致")</f>
        <v/>
      </c>
    </row>
    <row r="1317">
      <c r="A1317" s="398" t="n">
        <v>1316</v>
      </c>
      <c r="B1317" s="398" t="n">
        <v>7214</v>
      </c>
      <c r="C1317" s="399" t="inlineStr">
        <is>
          <t>C3-C10专属待补</t>
        </is>
      </c>
      <c r="D1317" s="399" t="inlineStr">
        <is>
          <t>王城罗德尔</t>
        </is>
      </c>
      <c r="E1317" s="399" t="n">
        <v>1</v>
      </c>
      <c r="F1317" s="399" t="inlineStr">
        <is>
          <t>男衣服（现行模板的衣服映射）</t>
        </is>
      </c>
      <c r="G1317" s="398" t="n">
        <v>10</v>
      </c>
      <c r="H1317" s="398" t="n"/>
      <c r="I1317" s="398" t="n">
        <v>7214</v>
      </c>
      <c r="J1317" s="398" t="n">
        <v>1</v>
      </c>
      <c r="K1317" s="398" t="n"/>
      <c r="L1317" s="398" t="n"/>
      <c r="M1317" s="398" t="n">
        <v>7214</v>
      </c>
      <c r="N1317" s="398" t="n">
        <v>7214</v>
      </c>
      <c r="O1317" s="398" t="n">
        <v>7214</v>
      </c>
      <c r="P1317" s="292" t="n"/>
      <c r="Q1317" s="292" t="inlineStr">
        <is>
          <t>测试新增资源已回读</t>
        </is>
      </c>
      <c r="R1317" s="292" t="inlineStr">
        <is>
          <t>C10-M048</t>
        </is>
      </c>
      <c r="S1317" s="292" t="inlineStr">
        <is>
          <t>平台装备素材/0282_血月荆棘·弑王_男衣服.bmp</t>
        </is>
      </c>
      <c r="T1317" s="292" t="inlineStr">
        <is>
          <t>仅测试副本；未写正式客户端</t>
        </is>
      </c>
      <c r="U1317">
        <f>IF(COUNTIF($B$2:$B$1320,B1317)&gt;1,"重复","")</f>
        <v/>
      </c>
      <c r="V1317">
        <f>IF(AND(OR(M1317="",M1317=B1317),OR(N1317="",N1317=B1317),OR(O1317="",O1317=B1317)),"通过","不一致")</f>
        <v/>
      </c>
    </row>
    <row r="1318">
      <c r="A1318" s="398" t="n">
        <v>1317</v>
      </c>
      <c r="B1318" s="398" t="n">
        <v>7215</v>
      </c>
      <c r="C1318" s="399" t="inlineStr">
        <is>
          <t>C3-C10专属待补</t>
        </is>
      </c>
      <c r="D1318" s="399" t="inlineStr">
        <is>
          <t>王城罗德尔</t>
        </is>
      </c>
      <c r="E1318" s="399" t="n">
        <v>1</v>
      </c>
      <c r="F1318" s="399" t="inlineStr">
        <is>
          <t>武器</t>
        </is>
      </c>
      <c r="G1318" s="398" t="n">
        <v>5</v>
      </c>
      <c r="H1318" s="398" t="n"/>
      <c r="I1318" s="398" t="n">
        <v>7215</v>
      </c>
      <c r="J1318" s="398" t="n">
        <v>14</v>
      </c>
      <c r="K1318" s="398" t="n"/>
      <c r="L1318" s="398" t="n"/>
      <c r="M1318" s="398" t="n">
        <v>7215</v>
      </c>
      <c r="N1318" s="398" t="n">
        <v>7215</v>
      </c>
      <c r="O1318" s="398" t="n">
        <v>7215</v>
      </c>
      <c r="P1318" s="292" t="n"/>
      <c r="Q1318" s="292" t="inlineStr">
        <is>
          <t>测试新增资源已回读</t>
        </is>
      </c>
      <c r="R1318" s="292" t="inlineStr">
        <is>
          <t>C10-M049</t>
        </is>
      </c>
      <c r="S1318" s="292" t="inlineStr">
        <is>
          <t>平台装备素材/0666_翠焰冥契·永夜_武器.bmp</t>
        </is>
      </c>
      <c r="T1318" s="292" t="inlineStr">
        <is>
          <t>仅测试副本；未写正式客户端</t>
        </is>
      </c>
      <c r="U1318">
        <f>IF(COUNTIF($B$2:$B$1320,B1318)&gt;1,"重复","")</f>
        <v/>
      </c>
      <c r="V1318">
        <f>IF(AND(OR(M1318="",M1318=B1318),OR(N1318="",N1318=B1318),OR(O1318="",O1318=B1318)),"通过","不一致")</f>
        <v/>
      </c>
    </row>
    <row r="1319">
      <c r="A1319" s="398" t="n">
        <v>1318</v>
      </c>
      <c r="B1319" s="398" t="n">
        <v>7216</v>
      </c>
      <c r="C1319" s="399" t="inlineStr">
        <is>
          <t>C3-C10专属待补</t>
        </is>
      </c>
      <c r="D1319" s="399" t="inlineStr">
        <is>
          <t>王城罗德尔</t>
        </is>
      </c>
      <c r="E1319" s="399" t="n">
        <v>1</v>
      </c>
      <c r="F1319" s="399" t="inlineStr">
        <is>
          <t>男衣服（现行模板的衣服映射）</t>
        </is>
      </c>
      <c r="G1319" s="398" t="n">
        <v>10</v>
      </c>
      <c r="H1319" s="398" t="n"/>
      <c r="I1319" s="398" t="n">
        <v>7216</v>
      </c>
      <c r="J1319" s="398" t="n">
        <v>1</v>
      </c>
      <c r="K1319" s="398" t="n"/>
      <c r="L1319" s="398" t="n"/>
      <c r="M1319" s="398" t="n">
        <v>7216</v>
      </c>
      <c r="N1319" s="398" t="n">
        <v>7216</v>
      </c>
      <c r="O1319" s="398" t="n">
        <v>7216</v>
      </c>
      <c r="P1319" s="292" t="n"/>
      <c r="Q1319" s="292" t="inlineStr">
        <is>
          <t>测试新增资源已回读</t>
        </is>
      </c>
      <c r="R1319" s="292" t="inlineStr">
        <is>
          <t>C10-M051</t>
        </is>
      </c>
      <c r="S1319" s="292" t="inlineStr">
        <is>
          <t>平台装备素材/0317_血月荆棘·血月_男衣服.bmp</t>
        </is>
      </c>
      <c r="T1319" s="292" t="inlineStr">
        <is>
          <t>仅测试副本；未写正式客户端</t>
        </is>
      </c>
      <c r="U1319">
        <f>IF(COUNTIF($B$2:$B$1320,B1319)&gt;1,"重复","")</f>
        <v/>
      </c>
      <c r="V1319">
        <f>IF(AND(OR(M1319="",M1319=B1319),OR(N1319="",N1319=B1319),OR(O1319="",O1319=B1319)),"通过","不一致")</f>
        <v/>
      </c>
    </row>
    <row r="1320">
      <c r="A1320" s="398" t="n">
        <v>1319</v>
      </c>
      <c r="B1320" s="398" t="n">
        <v>7217</v>
      </c>
      <c r="C1320" s="399" t="inlineStr">
        <is>
          <t>C3-C10专属待补</t>
        </is>
      </c>
      <c r="D1320" s="399" t="inlineStr">
        <is>
          <t>王城罗德尔</t>
        </is>
      </c>
      <c r="E1320" s="399" t="n">
        <v>1</v>
      </c>
      <c r="F1320" s="399" t="inlineStr">
        <is>
          <t>男衣服（现行模板的衣服映射）</t>
        </is>
      </c>
      <c r="G1320" s="398" t="n">
        <v>10</v>
      </c>
      <c r="H1320" s="398" t="n"/>
      <c r="I1320" s="398" t="n">
        <v>7217</v>
      </c>
      <c r="J1320" s="398" t="n">
        <v>1</v>
      </c>
      <c r="K1320" s="398" t="n"/>
      <c r="L1320" s="398" t="n"/>
      <c r="M1320" s="398" t="n">
        <v>7217</v>
      </c>
      <c r="N1320" s="398" t="n">
        <v>7217</v>
      </c>
      <c r="O1320" s="398" t="n">
        <v>7217</v>
      </c>
      <c r="P1320" s="292" t="n"/>
      <c r="Q1320" s="292" t="inlineStr">
        <is>
          <t>测试新增资源已回读</t>
        </is>
      </c>
      <c r="R1320" s="292" t="inlineStr">
        <is>
          <t>C10-M060</t>
        </is>
      </c>
      <c r="S1320" s="292" t="inlineStr">
        <is>
          <t>平台装备素材/0352_星渊龙息·星痕_男衣服.bmp</t>
        </is>
      </c>
      <c r="T1320" s="292" t="inlineStr">
        <is>
          <t>仅测试副本；未写正式客户端</t>
        </is>
      </c>
      <c r="U1320">
        <f>IF(COUNTIF($B$2:$B$1320,B1320)&gt;1,"重复","")</f>
        <v/>
      </c>
      <c r="V1320">
        <f>IF(AND(OR(M1320="",M1320=B1320),OR(N1320="",N1320=B1320),OR(O1320="",O1320=B1320)),"通过","不一致")</f>
        <v/>
      </c>
    </row>
  </sheetData>
  <conditionalFormatting sqref="U2:U1076">
    <cfRule type="containsText" priority="1" operator="containsText" dxfId="0" text="重复"/>
  </conditionalFormatting>
  <conditionalFormatting sqref="V2:V1076">
    <cfRule type="containsText" priority="2" operator="containsText" dxfId="0" text="不一致"/>
    <cfRule type="containsText" priority="3" operator="containsText" dxfId="2" text="通过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6" customWidth="1" min="3" max="3"/>
    <col width="11" customWidth="1" min="4" max="4"/>
    <col width="20" customWidth="1" min="5" max="5"/>
    <col width="12" customWidth="1" min="6" max="6"/>
    <col width="22" customWidth="1" min="7" max="7"/>
    <col width="12" customWidth="1" min="8" max="8"/>
    <col width="28" customWidth="1" min="9" max="9"/>
    <col width="16" customWidth="1" min="10" max="10"/>
    <col width="32" customWidth="1" min="11" max="11"/>
    <col width="50" customWidth="1" min="12" max="12"/>
  </cols>
  <sheetData>
    <row r="1" ht="30" customHeight="1">
      <c r="A1" s="361" t="inlineStr">
        <is>
          <t>第3—10大陆专属装备来源编号规划占用</t>
        </is>
      </c>
    </row>
    <row r="2" ht="38" customHeight="1">
      <c r="A2" s="365" t="inlineStr">
        <is>
          <t>342码规划锁定、122件待补。分配依据为来源编号主键；资源组名称不得作为唯一键。旧九部位资源在入库前仍须实库回读。</t>
        </is>
      </c>
    </row>
    <row r="4" ht="30" customHeight="1">
      <c r="A4" s="371" t="inlineStr">
        <is>
          <t>记录ID</t>
        </is>
      </c>
      <c r="B4" s="371" t="inlineStr">
        <is>
          <t>大陆ID</t>
        </is>
      </c>
      <c r="C4" s="371" t="inlineStr">
        <is>
          <t>大陆</t>
        </is>
      </c>
      <c r="D4" s="371" t="inlineStr">
        <is>
          <t>地图号</t>
        </is>
      </c>
      <c r="E4" s="371" t="inlineStr">
        <is>
          <t>怪物名称</t>
        </is>
      </c>
      <c r="F4" s="371" t="inlineStr">
        <is>
          <t>类别</t>
        </is>
      </c>
      <c r="G4" s="371" t="inlineStr">
        <is>
          <t>专属名称</t>
        </is>
      </c>
      <c r="H4" s="371" t="inlineStr">
        <is>
          <t>概念部位</t>
        </is>
      </c>
      <c r="I4" s="371" t="inlineStr">
        <is>
          <t>资源库部位</t>
        </is>
      </c>
      <c r="J4" s="371" t="inlineStr">
        <is>
          <t>装备来源编号</t>
        </is>
      </c>
      <c r="K4" s="371" t="inlineStr">
        <is>
          <t>分配状态</t>
        </is>
      </c>
      <c r="L4" s="371" t="inlineStr">
        <is>
          <t>说明</t>
        </is>
      </c>
    </row>
    <row r="5" ht="34" customHeight="1">
      <c r="A5" s="344" t="inlineStr">
        <is>
          <t>C03-M001</t>
        </is>
      </c>
      <c r="B5" s="345" t="inlineStr">
        <is>
          <t>C03</t>
        </is>
      </c>
      <c r="C5" s="345" t="inlineStr">
        <is>
          <t>宁姆格福西域</t>
        </is>
      </c>
      <c r="D5" s="345" t="inlineStr">
        <is>
          <t>XX776</t>
        </is>
      </c>
      <c r="E5" s="345" t="inlineStr">
        <is>
          <t>荒原拾骨者</t>
        </is>
      </c>
      <c r="F5" s="345" t="inlineStr">
        <is>
          <t>普通</t>
        </is>
      </c>
      <c r="G5" s="345" t="inlineStr">
        <is>
          <t>拾骨弯刀</t>
        </is>
      </c>
      <c r="H5" s="345" t="inlineStr">
        <is>
          <t>武器</t>
        </is>
      </c>
      <c r="I5" s="345" t="inlineStr">
        <is>
          <t>武器</t>
        </is>
      </c>
      <c r="J5" s="345" t="n">
        <v>7096</v>
      </c>
      <c r="K5" s="345" t="inlineStr">
        <is>
          <t>测试三库资源已回读</t>
        </is>
      </c>
      <c r="L5" s="346" t="inlineStr">
        <is>
          <t>测试资源：0001_黄金圣树·初誓_武器.bmp；三库同码</t>
        </is>
      </c>
    </row>
    <row r="6" ht="34" customHeight="1">
      <c r="A6" s="347" t="inlineStr">
        <is>
          <t>C03-M002</t>
        </is>
      </c>
      <c r="B6" s="348" t="inlineStr">
        <is>
          <t>C03</t>
        </is>
      </c>
      <c r="C6" s="348" t="inlineStr">
        <is>
          <t>宁姆格福西域</t>
        </is>
      </c>
      <c r="D6" s="348" t="inlineStr">
        <is>
          <t>XX775</t>
        </is>
      </c>
      <c r="E6" s="348" t="inlineStr">
        <is>
          <t>断旗步兵</t>
        </is>
      </c>
      <c r="F6" s="348" t="inlineStr">
        <is>
          <t>普通</t>
        </is>
      </c>
      <c r="G6" s="348" t="inlineStr">
        <is>
          <t>断旗战链</t>
        </is>
      </c>
      <c r="H6" s="348" t="inlineStr">
        <is>
          <t>项链</t>
        </is>
      </c>
      <c r="I6" s="348" t="inlineStr">
        <is>
          <t>项链</t>
        </is>
      </c>
      <c r="J6" s="348" t="n">
        <v>6471</v>
      </c>
      <c r="K6" s="348" t="inlineStr">
        <is>
          <t>预检通过资源／规划锁定／待入库</t>
        </is>
      </c>
      <c r="L6" s="349" t="inlineStr">
        <is>
          <t>装备资源库黄金圣树·王权</t>
        </is>
      </c>
    </row>
    <row r="7" ht="34" customHeight="1">
      <c r="A7" s="347" t="inlineStr">
        <is>
          <t>C03-M003</t>
        </is>
      </c>
      <c r="B7" s="348" t="inlineStr">
        <is>
          <t>C03</t>
        </is>
      </c>
      <c r="C7" s="348" t="inlineStr">
        <is>
          <t>宁姆格福西域</t>
        </is>
      </c>
      <c r="D7" s="348" t="inlineStr">
        <is>
          <t>XX780</t>
        </is>
      </c>
      <c r="E7" s="348" t="inlineStr">
        <is>
          <t>风沙掠夺者</t>
        </is>
      </c>
      <c r="F7" s="348" t="inlineStr">
        <is>
          <t>普通</t>
        </is>
      </c>
      <c r="G7" s="348" t="inlineStr">
        <is>
          <t>掠风护腕</t>
        </is>
      </c>
      <c r="H7" s="348" t="inlineStr">
        <is>
          <t>手镯</t>
        </is>
      </c>
      <c r="I7" s="348" t="inlineStr">
        <is>
          <t>手镯</t>
        </is>
      </c>
      <c r="J7" s="348" t="n">
        <v>6472</v>
      </c>
      <c r="K7" s="348" t="inlineStr">
        <is>
          <t>预检通过资源／规划锁定／待入库</t>
        </is>
      </c>
      <c r="L7" s="349" t="inlineStr">
        <is>
          <t>装备资源库黄金圣树·王权</t>
        </is>
      </c>
    </row>
    <row r="8" ht="34" customHeight="1">
      <c r="A8" s="347" t="inlineStr">
        <is>
          <t>C03-M004</t>
        </is>
      </c>
      <c r="B8" s="348" t="inlineStr">
        <is>
          <t>C03</t>
        </is>
      </c>
      <c r="C8" s="348" t="inlineStr">
        <is>
          <t>宁姆格福西域</t>
        </is>
      </c>
      <c r="D8" s="348" t="inlineStr">
        <is>
          <t>XX780</t>
        </is>
      </c>
      <c r="E8" s="348" t="inlineStr">
        <is>
          <t>铁蹄战马</t>
        </is>
      </c>
      <c r="F8" s="348" t="inlineStr">
        <is>
          <t>普通</t>
        </is>
      </c>
      <c r="G8" s="348" t="inlineStr">
        <is>
          <t>铁蹄战靴</t>
        </is>
      </c>
      <c r="H8" s="348" t="inlineStr">
        <is>
          <t>鞋子</t>
        </is>
      </c>
      <c r="I8" s="348" t="inlineStr">
        <is>
          <t>鞋子</t>
        </is>
      </c>
      <c r="J8" s="348" t="n">
        <v>6477</v>
      </c>
      <c r="K8" s="348" t="inlineStr">
        <is>
          <t>预检通过资源／规划锁定／待入库</t>
        </is>
      </c>
      <c r="L8" s="349" t="inlineStr">
        <is>
          <t>装备资源库黄金圣树·王权</t>
        </is>
      </c>
    </row>
    <row r="9" ht="34" customHeight="1">
      <c r="A9" s="347" t="inlineStr">
        <is>
          <t>C03-M005</t>
        </is>
      </c>
      <c r="B9" s="348" t="inlineStr">
        <is>
          <t>C03</t>
        </is>
      </c>
      <c r="C9" s="348" t="inlineStr">
        <is>
          <t>宁姆格福西域</t>
        </is>
      </c>
      <c r="D9" s="348" t="inlineStr">
        <is>
          <t>XX776</t>
        </is>
      </c>
      <c r="E9" s="348" t="inlineStr">
        <is>
          <t>枯草狼</t>
        </is>
      </c>
      <c r="F9" s="348" t="inlineStr">
        <is>
          <t>普通</t>
        </is>
      </c>
      <c r="G9" s="348" t="inlineStr">
        <is>
          <t>枯草牙戒</t>
        </is>
      </c>
      <c r="H9" s="348" t="inlineStr">
        <is>
          <t>戒指</t>
        </is>
      </c>
      <c r="I9" s="348" t="inlineStr">
        <is>
          <t>戒指</t>
        </is>
      </c>
      <c r="J9" s="348" t="n">
        <v>6473</v>
      </c>
      <c r="K9" s="348" t="inlineStr">
        <is>
          <t>预检通过资源／规划锁定／待入库</t>
        </is>
      </c>
      <c r="L9" s="349" t="inlineStr">
        <is>
          <t>装备资源库黄金圣树·王权</t>
        </is>
      </c>
    </row>
    <row r="10" ht="34" customHeight="1">
      <c r="A10" s="347" t="inlineStr">
        <is>
          <t>C03-M006</t>
        </is>
      </c>
      <c r="B10" s="348" t="inlineStr">
        <is>
          <t>C03</t>
        </is>
      </c>
      <c r="C10" s="348" t="inlineStr">
        <is>
          <t>宁姆格福西域</t>
        </is>
      </c>
      <c r="D10" s="348" t="inlineStr">
        <is>
          <t>XX778</t>
        </is>
      </c>
      <c r="E10" s="348" t="inlineStr">
        <is>
          <t>锈甲逃兵</t>
        </is>
      </c>
      <c r="F10" s="348" t="inlineStr">
        <is>
          <t>普通</t>
        </is>
      </c>
      <c r="G10" s="348" t="inlineStr">
        <is>
          <t>锈甲腰封</t>
        </is>
      </c>
      <c r="H10" s="348" t="inlineStr">
        <is>
          <t>腰带</t>
        </is>
      </c>
      <c r="I10" s="348" t="inlineStr">
        <is>
          <t>腰带</t>
        </is>
      </c>
      <c r="J10" s="348" t="n">
        <v>6478</v>
      </c>
      <c r="K10" s="348" t="inlineStr">
        <is>
          <t>预检通过资源／规划锁定／待入库</t>
        </is>
      </c>
      <c r="L10" s="349" t="inlineStr">
        <is>
          <t>装备资源库黄金圣树·王权</t>
        </is>
      </c>
    </row>
    <row r="11" ht="34" customHeight="1">
      <c r="A11" s="347" t="inlineStr">
        <is>
          <t>C03-M007</t>
        </is>
      </c>
      <c r="B11" s="348" t="inlineStr">
        <is>
          <t>C03</t>
        </is>
      </c>
      <c r="C11" s="348" t="inlineStr">
        <is>
          <t>宁姆格福西域</t>
        </is>
      </c>
      <c r="D11" s="348" t="inlineStr">
        <is>
          <t>XX776</t>
        </is>
      </c>
      <c r="E11" s="348" t="inlineStr">
        <is>
          <t>西境旗卫</t>
        </is>
      </c>
      <c r="F11" s="348" t="inlineStr">
        <is>
          <t>稀有</t>
        </is>
      </c>
      <c r="G11" s="348" t="inlineStr">
        <is>
          <t>西境军盔</t>
        </is>
      </c>
      <c r="H11" s="348" t="inlineStr">
        <is>
          <t>头盔</t>
        </is>
      </c>
      <c r="I11" s="348" t="inlineStr">
        <is>
          <t>头盔</t>
        </is>
      </c>
      <c r="J11" s="348" t="n">
        <v>6469</v>
      </c>
      <c r="K11" s="348" t="inlineStr">
        <is>
          <t>预检通过资源／规划锁定／待入库</t>
        </is>
      </c>
      <c r="L11" s="349" t="inlineStr">
        <is>
          <t>装备资源库黄金圣树·王权</t>
        </is>
      </c>
    </row>
    <row r="12" ht="34" customHeight="1">
      <c r="A12" s="347" t="inlineStr">
        <is>
          <t>C03-M008</t>
        </is>
      </c>
      <c r="B12" s="348" t="inlineStr">
        <is>
          <t>C03</t>
        </is>
      </c>
      <c r="C12" s="348" t="inlineStr">
        <is>
          <t>宁姆格福西域</t>
        </is>
      </c>
      <c r="D12" s="348" t="inlineStr">
        <is>
          <t>XX775</t>
        </is>
      </c>
      <c r="E12" s="348" t="inlineStr">
        <is>
          <t>独眼弩将</t>
        </is>
      </c>
      <c r="F12" s="348" t="inlineStr">
        <is>
          <t>稀有</t>
        </is>
      </c>
      <c r="G12" s="348" t="inlineStr">
        <is>
          <t>独眼鹰坠</t>
        </is>
      </c>
      <c r="H12" s="348" t="inlineStr">
        <is>
          <t>项链</t>
        </is>
      </c>
      <c r="I12" s="348" t="inlineStr">
        <is>
          <t>项链</t>
        </is>
      </c>
      <c r="J12" s="348" t="n">
        <v>6506</v>
      </c>
      <c r="K12" s="348" t="inlineStr">
        <is>
          <t>预检通过资源／规划锁定／待入库</t>
        </is>
      </c>
      <c r="L12" s="349" t="inlineStr">
        <is>
          <t>装备资源库黄金圣树·律法</t>
        </is>
      </c>
    </row>
    <row r="13" ht="34" customHeight="1">
      <c r="A13" s="347" t="inlineStr">
        <is>
          <t>C03-M009</t>
        </is>
      </c>
      <c r="B13" s="348" t="inlineStr">
        <is>
          <t>C03</t>
        </is>
      </c>
      <c r="C13" s="348" t="inlineStr">
        <is>
          <t>宁姆格福西域</t>
        </is>
      </c>
      <c r="D13" s="348" t="inlineStr">
        <is>
          <t>XX780</t>
        </is>
      </c>
      <c r="E13" s="348" t="inlineStr">
        <is>
          <t>荒风骑士</t>
        </is>
      </c>
      <c r="F13" s="348" t="inlineStr">
        <is>
          <t>稀有</t>
        </is>
      </c>
      <c r="G13" s="348" t="inlineStr">
        <is>
          <t>荒风披甲</t>
        </is>
      </c>
      <c r="H13" s="348" t="inlineStr">
        <is>
          <t>衣服</t>
        </is>
      </c>
      <c r="I13" s="348" t="inlineStr">
        <is>
          <t>男衣服（现行模板的衣服映射）</t>
        </is>
      </c>
      <c r="J13" s="348" t="n">
        <v>7097</v>
      </c>
      <c r="K13" s="348" t="inlineStr">
        <is>
          <t>测试三库资源已回读</t>
        </is>
      </c>
      <c r="L13" s="349" t="inlineStr">
        <is>
          <t>测试资源：0002_黄金圣树·初誓_男衣服.bmp；三库同码</t>
        </is>
      </c>
    </row>
    <row r="14" ht="34" customHeight="1">
      <c r="A14" s="347" t="inlineStr">
        <is>
          <t>C03-M010</t>
        </is>
      </c>
      <c r="B14" s="348" t="inlineStr">
        <is>
          <t>C03</t>
        </is>
      </c>
      <c r="C14" s="348" t="inlineStr">
        <is>
          <t>宁姆格福西域</t>
        </is>
      </c>
      <c r="D14" s="348" t="inlineStr">
        <is>
          <t>XX778</t>
        </is>
      </c>
      <c r="E14" s="348" t="inlineStr">
        <is>
          <t>战场收尸官</t>
        </is>
      </c>
      <c r="F14" s="348" t="inlineStr">
        <is>
          <t>稀有</t>
        </is>
      </c>
      <c r="G14" s="348" t="inlineStr">
        <is>
          <t>收尸骨印</t>
        </is>
      </c>
      <c r="H14" s="348" t="inlineStr">
        <is>
          <t>勋章</t>
        </is>
      </c>
      <c r="I14" s="348" t="inlineStr">
        <is>
          <t>勋章</t>
        </is>
      </c>
      <c r="J14" s="348" t="n">
        <v>6474</v>
      </c>
      <c r="K14" s="348" t="inlineStr">
        <is>
          <t>预检通过资源／规划锁定／待入库</t>
        </is>
      </c>
      <c r="L14" s="349" t="inlineStr">
        <is>
          <t>装备资源库黄金圣树·王权</t>
        </is>
      </c>
    </row>
    <row r="15" ht="34" customHeight="1">
      <c r="A15" s="347" t="inlineStr">
        <is>
          <t>C03-M011</t>
        </is>
      </c>
      <c r="B15" s="348" t="inlineStr">
        <is>
          <t>C03</t>
        </is>
      </c>
      <c r="C15" s="348" t="inlineStr">
        <is>
          <t>宁姆格福西域</t>
        </is>
      </c>
      <c r="D15" s="348" t="inlineStr">
        <is>
          <t>XX775</t>
        </is>
      </c>
      <c r="E15" s="348" t="inlineStr">
        <is>
          <t>断旗统领·瓦伦</t>
        </is>
      </c>
      <c r="F15" s="348" t="inlineStr">
        <is>
          <t>地图BOSS</t>
        </is>
      </c>
      <c r="G15" s="348" t="inlineStr">
        <is>
          <t>统领断旗枪</t>
        </is>
      </c>
      <c r="H15" s="348" t="inlineStr">
        <is>
          <t>武器</t>
        </is>
      </c>
      <c r="I15" s="348" t="inlineStr">
        <is>
          <t>武器</t>
        </is>
      </c>
      <c r="J15" s="348" t="n">
        <v>6396</v>
      </c>
      <c r="K15" s="348" t="inlineStr">
        <is>
          <t>预检通过资源／规划锁定／待入库</t>
        </is>
      </c>
      <c r="L15" s="349" t="inlineStr">
        <is>
          <t>装备资源库黄金圣树·初誓</t>
        </is>
      </c>
    </row>
    <row r="16" ht="34" customHeight="1">
      <c r="A16" s="347" t="inlineStr">
        <is>
          <t>C03-M012</t>
        </is>
      </c>
      <c r="B16" s="348" t="inlineStr">
        <is>
          <t>C03</t>
        </is>
      </c>
      <c r="C16" s="348" t="inlineStr">
        <is>
          <t>宁姆格福西域</t>
        </is>
      </c>
      <c r="D16" s="348" t="inlineStr">
        <is>
          <t>XX778</t>
        </is>
      </c>
      <c r="E16" s="348" t="inlineStr">
        <is>
          <t>荒原巨犀·莫赫</t>
        </is>
      </c>
      <c r="F16" s="348" t="inlineStr">
        <is>
          <t>地图BOSS</t>
        </is>
      </c>
      <c r="G16" s="348" t="inlineStr">
        <is>
          <t>巨犀荒铠</t>
        </is>
      </c>
      <c r="H16" s="348" t="inlineStr">
        <is>
          <t>衣服</t>
        </is>
      </c>
      <c r="I16" s="348" t="inlineStr">
        <is>
          <t>男衣服（现行模板的衣服映射）</t>
        </is>
      </c>
      <c r="J16" s="348" t="n">
        <v>6397</v>
      </c>
      <c r="K16" s="348" t="inlineStr">
        <is>
          <t>预检通过资源／规划锁定／待入库</t>
        </is>
      </c>
      <c r="L16" s="349" t="inlineStr">
        <is>
          <t>按现行装备模板映射男衣服StdMode10；黄金圣树·初誓</t>
        </is>
      </c>
    </row>
    <row r="17" ht="34" customHeight="1">
      <c r="A17" s="347" t="inlineStr">
        <is>
          <t>C03-M013</t>
        </is>
      </c>
      <c r="B17" s="348" t="inlineStr">
        <is>
          <t>C03</t>
        </is>
      </c>
      <c r="C17" s="348" t="inlineStr">
        <is>
          <t>宁姆格福西域</t>
        </is>
      </c>
      <c r="D17" s="348" t="inlineStr">
        <is>
          <t>XX332</t>
        </is>
      </c>
      <c r="E17" s="348" t="inlineStr">
        <is>
          <t>海崖盐工</t>
        </is>
      </c>
      <c r="F17" s="348" t="inlineStr">
        <is>
          <t>普通</t>
        </is>
      </c>
      <c r="G17" s="348" t="inlineStr">
        <is>
          <t>盐晶短刃</t>
        </is>
      </c>
      <c r="H17" s="348" t="inlineStr">
        <is>
          <t>武器</t>
        </is>
      </c>
      <c r="I17" s="348" t="inlineStr">
        <is>
          <t>武器</t>
        </is>
      </c>
      <c r="J17" s="348" t="n">
        <v>7098</v>
      </c>
      <c r="K17" s="348" t="inlineStr">
        <is>
          <t>测试三库资源已回读</t>
        </is>
      </c>
      <c r="L17" s="349" t="inlineStr">
        <is>
          <t>测试资源：0036_黄金圣树·圣枝_武器.bmp；三库同码</t>
        </is>
      </c>
    </row>
    <row r="18" ht="34" customHeight="1">
      <c r="A18" s="347" t="inlineStr">
        <is>
          <t>C03-M014</t>
        </is>
      </c>
      <c r="B18" s="348" t="inlineStr">
        <is>
          <t>C03</t>
        </is>
      </c>
      <c r="C18" s="348" t="inlineStr">
        <is>
          <t>宁姆格福西域</t>
        </is>
      </c>
      <c r="D18" s="348" t="inlineStr">
        <is>
          <t>XX333</t>
        </is>
      </c>
      <c r="E18" s="348" t="inlineStr">
        <is>
          <t>逐风矛兵</t>
        </is>
      </c>
      <c r="F18" s="348" t="inlineStr">
        <is>
          <t>普通</t>
        </is>
      </c>
      <c r="G18" s="348" t="inlineStr">
        <is>
          <t>逐风长矛</t>
        </is>
      </c>
      <c r="H18" s="348" t="inlineStr">
        <is>
          <t>武器</t>
        </is>
      </c>
      <c r="I18" s="348" t="inlineStr">
        <is>
          <t>武器</t>
        </is>
      </c>
      <c r="J18" s="348" t="n">
        <v>7099</v>
      </c>
      <c r="K18" s="348" t="inlineStr">
        <is>
          <t>测试三库资源已回读</t>
        </is>
      </c>
      <c r="L18" s="349" t="inlineStr">
        <is>
          <t>测试资源：0071_黄金圣树·王权_武器.bmp；三库同码</t>
        </is>
      </c>
    </row>
    <row r="19" ht="34" customHeight="1">
      <c r="A19" s="347" t="inlineStr">
        <is>
          <t>C03-M015</t>
        </is>
      </c>
      <c r="B19" s="348" t="inlineStr">
        <is>
          <t>C03</t>
        </is>
      </c>
      <c r="C19" s="348" t="inlineStr">
        <is>
          <t>宁姆格福西域</t>
        </is>
      </c>
      <c r="D19" s="348" t="inlineStr">
        <is>
          <t>XX334</t>
        </is>
      </c>
      <c r="E19" s="348" t="inlineStr">
        <is>
          <t>裂羽海鹰</t>
        </is>
      </c>
      <c r="F19" s="348" t="inlineStr">
        <is>
          <t>普通</t>
        </is>
      </c>
      <c r="G19" s="348" t="inlineStr">
        <is>
          <t>裂羽护腕</t>
        </is>
      </c>
      <c r="H19" s="348" t="inlineStr">
        <is>
          <t>手镯</t>
        </is>
      </c>
      <c r="I19" s="348" t="inlineStr">
        <is>
          <t>手镯</t>
        </is>
      </c>
      <c r="J19" s="348" t="n">
        <v>6507</v>
      </c>
      <c r="K19" s="348" t="inlineStr">
        <is>
          <t>预检通过资源／规划锁定／待入库</t>
        </is>
      </c>
      <c r="L19" s="349" t="inlineStr">
        <is>
          <t>装备资源库黄金圣树·律法</t>
        </is>
      </c>
    </row>
    <row r="20" ht="34" customHeight="1">
      <c r="A20" s="347" t="inlineStr">
        <is>
          <t>C03-M016</t>
        </is>
      </c>
      <c r="B20" s="348" t="inlineStr">
        <is>
          <t>C03</t>
        </is>
      </c>
      <c r="C20" s="348" t="inlineStr">
        <is>
          <t>宁姆格福西域</t>
        </is>
      </c>
      <c r="D20" s="348" t="inlineStr">
        <is>
          <t>XX332</t>
        </is>
      </c>
      <c r="E20" s="348" t="inlineStr">
        <is>
          <t>潮穴石蜥</t>
        </is>
      </c>
      <c r="F20" s="348" t="inlineStr">
        <is>
          <t>普通</t>
        </is>
      </c>
      <c r="G20" s="348" t="inlineStr">
        <is>
          <t>潮穴石盾</t>
        </is>
      </c>
      <c r="H20" s="348" t="inlineStr">
        <is>
          <t>盾牌</t>
        </is>
      </c>
      <c r="I20" s="348" t="inlineStr">
        <is>
          <t>盾牌</t>
        </is>
      </c>
      <c r="J20" s="348" t="n">
        <v>6475</v>
      </c>
      <c r="K20" s="348" t="inlineStr">
        <is>
          <t>预检通过资源／规划锁定／待入库</t>
        </is>
      </c>
      <c r="L20" s="349" t="inlineStr">
        <is>
          <t>装备资源库黄金圣树·王权</t>
        </is>
      </c>
    </row>
    <row r="21" ht="34" customHeight="1">
      <c r="A21" s="347" t="inlineStr">
        <is>
          <t>C03-M017</t>
        </is>
      </c>
      <c r="B21" s="348" t="inlineStr">
        <is>
          <t>C03</t>
        </is>
      </c>
      <c r="C21" s="348" t="inlineStr">
        <is>
          <t>宁姆格福西域</t>
        </is>
      </c>
      <c r="D21" s="348" t="inlineStr">
        <is>
          <t>XX333</t>
        </is>
      </c>
      <c r="E21" s="348" t="inlineStr">
        <is>
          <t>断索流徒</t>
        </is>
      </c>
      <c r="F21" s="348" t="inlineStr">
        <is>
          <t>普通</t>
        </is>
      </c>
      <c r="G21" s="348" t="inlineStr">
        <is>
          <t>断索束带</t>
        </is>
      </c>
      <c r="H21" s="348" t="inlineStr">
        <is>
          <t>腰带</t>
        </is>
      </c>
      <c r="I21" s="348" t="inlineStr">
        <is>
          <t>腰带</t>
        </is>
      </c>
      <c r="J21" s="348" t="n">
        <v>6513</v>
      </c>
      <c r="K21" s="348" t="inlineStr">
        <is>
          <t>预检通过资源／规划锁定／待入库</t>
        </is>
      </c>
      <c r="L21" s="349" t="inlineStr">
        <is>
          <t>装备资源库黄金圣树·律法</t>
        </is>
      </c>
    </row>
    <row r="22" ht="34" customHeight="1">
      <c r="A22" s="347" t="inlineStr">
        <is>
          <t>C03-M018</t>
        </is>
      </c>
      <c r="B22" s="348" t="inlineStr">
        <is>
          <t>C03</t>
        </is>
      </c>
      <c r="C22" s="348" t="inlineStr">
        <is>
          <t>宁姆格福西域</t>
        </is>
      </c>
      <c r="D22" s="348" t="inlineStr">
        <is>
          <t>XX335</t>
        </is>
      </c>
      <c r="E22" s="348" t="inlineStr">
        <is>
          <t>崖边祷徒</t>
        </is>
      </c>
      <c r="F22" s="348" t="inlineStr">
        <is>
          <t>普通</t>
        </is>
      </c>
      <c r="G22" s="348" t="inlineStr">
        <is>
          <t>海崖祷链</t>
        </is>
      </c>
      <c r="H22" s="348" t="inlineStr">
        <is>
          <t>项链</t>
        </is>
      </c>
      <c r="I22" s="348" t="inlineStr">
        <is>
          <t>项链</t>
        </is>
      </c>
      <c r="J22" s="348" t="n">
        <v>6541</v>
      </c>
      <c r="K22" s="348" t="inlineStr">
        <is>
          <t>预检通过资源／规划锁定／待入库</t>
        </is>
      </c>
      <c r="L22" s="349" t="inlineStr">
        <is>
          <t>装备资源库黄金圣树·永恒</t>
        </is>
      </c>
    </row>
    <row r="23" ht="34" customHeight="1">
      <c r="A23" s="347" t="inlineStr">
        <is>
          <t>C03-M019</t>
        </is>
      </c>
      <c r="B23" s="348" t="inlineStr">
        <is>
          <t>C03</t>
        </is>
      </c>
      <c r="C23" s="348" t="inlineStr">
        <is>
          <t>宁姆格福西域</t>
        </is>
      </c>
      <c r="D23" s="348" t="inlineStr">
        <is>
          <t>XX334</t>
        </is>
      </c>
      <c r="E23" s="348" t="inlineStr">
        <is>
          <t>风蚀守望者</t>
        </is>
      </c>
      <c r="F23" s="348" t="inlineStr">
        <is>
          <t>稀有</t>
        </is>
      </c>
      <c r="G23" s="348" t="inlineStr">
        <is>
          <t>风蚀眺盔</t>
        </is>
      </c>
      <c r="H23" s="348" t="inlineStr">
        <is>
          <t>头盔</t>
        </is>
      </c>
      <c r="I23" s="348" t="inlineStr">
        <is>
          <t>头盔</t>
        </is>
      </c>
      <c r="J23" s="348" t="n">
        <v>6504</v>
      </c>
      <c r="K23" s="348" t="inlineStr">
        <is>
          <t>预检通过资源／规划锁定／待入库</t>
        </is>
      </c>
      <c r="L23" s="349" t="inlineStr">
        <is>
          <t>装备资源库黄金圣树·律法</t>
        </is>
      </c>
    </row>
    <row r="24" ht="34" customHeight="1">
      <c r="A24" s="347" t="inlineStr">
        <is>
          <t>C03-M020</t>
        </is>
      </c>
      <c r="B24" s="348" t="inlineStr">
        <is>
          <t>C03</t>
        </is>
      </c>
      <c r="C24" s="348" t="inlineStr">
        <is>
          <t>宁姆格福西域</t>
        </is>
      </c>
      <c r="D24" s="348" t="inlineStr">
        <is>
          <t>XX332</t>
        </is>
      </c>
      <c r="E24" s="348" t="inlineStr">
        <is>
          <t>斩浪骑士</t>
        </is>
      </c>
      <c r="F24" s="348" t="inlineStr">
        <is>
          <t>稀有</t>
        </is>
      </c>
      <c r="G24" s="348" t="inlineStr">
        <is>
          <t>斩浪战衣</t>
        </is>
      </c>
      <c r="H24" s="348" t="inlineStr">
        <is>
          <t>衣服</t>
        </is>
      </c>
      <c r="I24" s="348" t="inlineStr">
        <is>
          <t>男衣服（现行模板的衣服映射）</t>
        </is>
      </c>
      <c r="J24" s="348" t="n">
        <v>7100</v>
      </c>
      <c r="K24" s="348" t="inlineStr">
        <is>
          <t>测试三库资源已回读</t>
        </is>
      </c>
      <c r="L24" s="349" t="inlineStr">
        <is>
          <t>测试资源：0037_黄金圣树·圣枝_男衣服.bmp；三库同码</t>
        </is>
      </c>
    </row>
    <row r="25" ht="34" customHeight="1">
      <c r="A25" s="347" t="inlineStr">
        <is>
          <t>C03-M021</t>
        </is>
      </c>
      <c r="B25" s="348" t="inlineStr">
        <is>
          <t>C03</t>
        </is>
      </c>
      <c r="C25" s="348" t="inlineStr">
        <is>
          <t>宁姆格福西域</t>
        </is>
      </c>
      <c r="D25" s="348" t="inlineStr">
        <is>
          <t>XX333</t>
        </is>
      </c>
      <c r="E25" s="348" t="inlineStr">
        <is>
          <t>海雾猎手</t>
        </is>
      </c>
      <c r="F25" s="348" t="inlineStr">
        <is>
          <t>稀有</t>
        </is>
      </c>
      <c r="G25" s="348" t="inlineStr">
        <is>
          <t>海雾猎戒</t>
        </is>
      </c>
      <c r="H25" s="348" t="inlineStr">
        <is>
          <t>戒指</t>
        </is>
      </c>
      <c r="I25" s="348" t="inlineStr">
        <is>
          <t>戒指</t>
        </is>
      </c>
      <c r="J25" s="348" t="n">
        <v>6508</v>
      </c>
      <c r="K25" s="348" t="inlineStr">
        <is>
          <t>预检通过资源／规划锁定／待入库</t>
        </is>
      </c>
      <c r="L25" s="349" t="inlineStr">
        <is>
          <t>装备资源库黄金圣树·律法</t>
        </is>
      </c>
    </row>
    <row r="26" ht="34" customHeight="1">
      <c r="A26" s="347" t="inlineStr">
        <is>
          <t>C03-M022</t>
        </is>
      </c>
      <c r="B26" s="348" t="inlineStr">
        <is>
          <t>C03</t>
        </is>
      </c>
      <c r="C26" s="348" t="inlineStr">
        <is>
          <t>宁姆格福西域</t>
        </is>
      </c>
      <c r="D26" s="348" t="inlineStr">
        <is>
          <t>XX335</t>
        </is>
      </c>
      <c r="E26" s="348" t="inlineStr">
        <is>
          <t>雷崖祭司</t>
        </is>
      </c>
      <c r="F26" s="348" t="inlineStr">
        <is>
          <t>稀有</t>
        </is>
      </c>
      <c r="G26" s="348" t="inlineStr">
        <is>
          <t>霆崖祭冠</t>
        </is>
      </c>
      <c r="H26" s="348" t="inlineStr">
        <is>
          <t>头盔</t>
        </is>
      </c>
      <c r="I26" s="348" t="inlineStr">
        <is>
          <t>头盔</t>
        </is>
      </c>
      <c r="J26" s="348" t="n">
        <v>6539</v>
      </c>
      <c r="K26" s="348" t="inlineStr">
        <is>
          <t>预检通过资源／规划锁定／待入库</t>
        </is>
      </c>
      <c r="L26" s="349" t="inlineStr">
        <is>
          <t>装备资源库黄金圣树·永恒</t>
        </is>
      </c>
    </row>
    <row r="27" ht="34" customHeight="1">
      <c r="A27" s="347" t="inlineStr">
        <is>
          <t>C03-M023</t>
        </is>
      </c>
      <c r="B27" s="348" t="inlineStr">
        <is>
          <t>C03</t>
        </is>
      </c>
      <c r="C27" s="348" t="inlineStr">
        <is>
          <t>宁姆格福西域</t>
        </is>
      </c>
      <c r="D27" s="348" t="inlineStr">
        <is>
          <t>XX334</t>
        </is>
      </c>
      <c r="E27" s="348" t="inlineStr">
        <is>
          <t>裂风执旗官·卡恩</t>
        </is>
      </c>
      <c r="F27" s="348" t="inlineStr">
        <is>
          <t>地图BOSS</t>
        </is>
      </c>
      <c r="G27" s="348" t="inlineStr">
        <is>
          <t>裂风战旗刃</t>
        </is>
      </c>
      <c r="H27" s="348" t="inlineStr">
        <is>
          <t>武器</t>
        </is>
      </c>
      <c r="I27" s="348" t="inlineStr">
        <is>
          <t>武器</t>
        </is>
      </c>
      <c r="J27" s="348" t="n">
        <v>6466</v>
      </c>
      <c r="K27" s="348" t="inlineStr">
        <is>
          <t>预检通过资源／规划锁定／待入库</t>
        </is>
      </c>
      <c r="L27" s="349" t="inlineStr">
        <is>
          <t>装备资源库黄金圣树·王权</t>
        </is>
      </c>
    </row>
    <row r="28" ht="34" customHeight="1">
      <c r="A28" s="347" t="inlineStr">
        <is>
          <t>C03-M024</t>
        </is>
      </c>
      <c r="B28" s="348" t="inlineStr">
        <is>
          <t>C03</t>
        </is>
      </c>
      <c r="C28" s="348" t="inlineStr">
        <is>
          <t>宁姆格福西域</t>
        </is>
      </c>
      <c r="D28" s="348" t="inlineStr">
        <is>
          <t>XX335</t>
        </is>
      </c>
      <c r="E28" s="348" t="inlineStr">
        <is>
          <t>啸海古翼·塞洛</t>
        </is>
      </c>
      <c r="F28" s="348" t="inlineStr">
        <is>
          <t>地图BOSS</t>
        </is>
      </c>
      <c r="G28" s="348" t="inlineStr">
        <is>
          <t>啸海翼铠</t>
        </is>
      </c>
      <c r="H28" s="348" t="inlineStr">
        <is>
          <t>衣服</t>
        </is>
      </c>
      <c r="I28" s="348" t="inlineStr">
        <is>
          <t>男衣服（现行模板的衣服映射）</t>
        </is>
      </c>
      <c r="J28" s="348" t="n">
        <v>6467</v>
      </c>
      <c r="K28" s="348" t="inlineStr">
        <is>
          <t>预检通过资源／规划锁定／待入库</t>
        </is>
      </c>
      <c r="L28" s="349" t="inlineStr">
        <is>
          <t>按现行装备模板映射男衣服StdMode10；黄金圣树·王权</t>
        </is>
      </c>
    </row>
    <row r="29" ht="34" customHeight="1">
      <c r="A29" s="347" t="inlineStr">
        <is>
          <t>C03-M025</t>
        </is>
      </c>
      <c r="B29" s="348" t="inlineStr">
        <is>
          <t>C03</t>
        </is>
      </c>
      <c r="C29" s="348" t="inlineStr">
        <is>
          <t>宁姆格福西域</t>
        </is>
      </c>
      <c r="D29" s="348" t="inlineStr">
        <is>
          <t>XX343</t>
        </is>
      </c>
      <c r="E29" s="348" t="inlineStr">
        <is>
          <t>驿道苦役</t>
        </is>
      </c>
      <c r="F29" s="348" t="inlineStr">
        <is>
          <t>普通</t>
        </is>
      </c>
      <c r="G29" s="348" t="inlineStr">
        <is>
          <t>驿骨短剑</t>
        </is>
      </c>
      <c r="H29" s="348" t="inlineStr">
        <is>
          <t>武器</t>
        </is>
      </c>
      <c r="I29" s="348" t="inlineStr">
        <is>
          <t>武器</t>
        </is>
      </c>
      <c r="J29" s="348" t="n">
        <v>7101</v>
      </c>
      <c r="K29" s="348" t="inlineStr">
        <is>
          <t>测试三库资源已回读</t>
        </is>
      </c>
      <c r="L29" s="349" t="inlineStr">
        <is>
          <t>测试资源：0106_黄金圣树·律法_武器.bmp；三库同码</t>
        </is>
      </c>
    </row>
    <row r="30" ht="34" customHeight="1">
      <c r="A30" s="347" t="inlineStr">
        <is>
          <t>C03-M026</t>
        </is>
      </c>
      <c r="B30" s="348" t="inlineStr">
        <is>
          <t>C03</t>
        </is>
      </c>
      <c r="C30" s="348" t="inlineStr">
        <is>
          <t>宁姆格福西域</t>
        </is>
      </c>
      <c r="D30" s="348" t="inlineStr">
        <is>
          <t>XX344</t>
        </is>
      </c>
      <c r="E30" s="348" t="inlineStr">
        <is>
          <t>荒商护卫</t>
        </is>
      </c>
      <c r="F30" s="348" t="inlineStr">
        <is>
          <t>普通</t>
        </is>
      </c>
      <c r="G30" s="348" t="inlineStr">
        <is>
          <t>荒商护符</t>
        </is>
      </c>
      <c r="H30" s="348" t="inlineStr">
        <is>
          <t>项链</t>
        </is>
      </c>
      <c r="I30" s="348" t="inlineStr">
        <is>
          <t>项链</t>
        </is>
      </c>
      <c r="J30" s="348" t="n">
        <v>6576</v>
      </c>
      <c r="K30" s="348" t="inlineStr">
        <is>
          <t>预检通过资源／规划锁定／待入库</t>
        </is>
      </c>
      <c r="L30" s="349" t="inlineStr">
        <is>
          <t>装备资源库血月荆棘·血痕</t>
        </is>
      </c>
    </row>
    <row r="31" ht="34" customHeight="1">
      <c r="A31" s="347" t="inlineStr">
        <is>
          <t>C03-M027</t>
        </is>
      </c>
      <c r="B31" s="348" t="inlineStr">
        <is>
          <t>C03</t>
        </is>
      </c>
      <c r="C31" s="348" t="inlineStr">
        <is>
          <t>宁姆格福西域</t>
        </is>
      </c>
      <c r="D31" s="348" t="inlineStr">
        <is>
          <t>XX343</t>
        </is>
      </c>
      <c r="E31" s="348" t="inlineStr">
        <is>
          <t>灰篷盗匪</t>
        </is>
      </c>
      <c r="F31" s="348" t="inlineStr">
        <is>
          <t>普通</t>
        </is>
      </c>
      <c r="G31" s="348" t="inlineStr">
        <is>
          <t>灰篷面巾</t>
        </is>
      </c>
      <c r="H31" s="348" t="inlineStr">
        <is>
          <t>斗笠</t>
        </is>
      </c>
      <c r="I31" s="348" t="inlineStr">
        <is>
          <t>面巾（位置13，对应斗笠）</t>
        </is>
      </c>
      <c r="J31" s="348" t="n">
        <v>6470</v>
      </c>
      <c r="K31" s="348" t="inlineStr">
        <is>
          <t>预检通过资源／规划锁定／待入库</t>
        </is>
      </c>
      <c r="L31" s="349" t="inlineStr">
        <is>
          <t>StdMode16/位置13；黄金圣树·王权</t>
        </is>
      </c>
    </row>
    <row r="32" ht="34" customHeight="1">
      <c r="A32" s="347" t="inlineStr">
        <is>
          <t>C03-M028</t>
        </is>
      </c>
      <c r="B32" s="348" t="inlineStr">
        <is>
          <t>C03</t>
        </is>
      </c>
      <c r="C32" s="348" t="inlineStr">
        <is>
          <t>宁姆格福西域</t>
        </is>
      </c>
      <c r="D32" s="348" t="inlineStr">
        <is>
          <t>XX344</t>
        </is>
      </c>
      <c r="E32" s="348" t="inlineStr">
        <is>
          <t>驮货尸兵</t>
        </is>
      </c>
      <c r="F32" s="348" t="inlineStr">
        <is>
          <t>普通</t>
        </is>
      </c>
      <c r="G32" s="348" t="inlineStr">
        <is>
          <t>驮货重甲</t>
        </is>
      </c>
      <c r="H32" s="348" t="inlineStr">
        <is>
          <t>衣服</t>
        </is>
      </c>
      <c r="I32" s="348" t="inlineStr">
        <is>
          <t>男衣服（现行模板的衣服映射）</t>
        </is>
      </c>
      <c r="J32" s="348" t="n">
        <v>7102</v>
      </c>
      <c r="K32" s="348" t="inlineStr">
        <is>
          <t>测试三库资源已回读</t>
        </is>
      </c>
      <c r="L32" s="349" t="inlineStr">
        <is>
          <t>测试资源：0072_黄金圣树·王权_男衣服.bmp；三库同码</t>
        </is>
      </c>
    </row>
    <row r="33" ht="34" customHeight="1">
      <c r="A33" s="347" t="inlineStr">
        <is>
          <t>C03-M029</t>
        </is>
      </c>
      <c r="B33" s="348" t="inlineStr">
        <is>
          <t>C03</t>
        </is>
      </c>
      <c r="C33" s="348" t="inlineStr">
        <is>
          <t>宁姆格福西域</t>
        </is>
      </c>
      <c r="D33" s="348" t="inlineStr">
        <is>
          <t>XX345</t>
        </is>
      </c>
      <c r="E33" s="348" t="inlineStr">
        <is>
          <t>营火猎犬</t>
        </is>
      </c>
      <c r="F33" s="348" t="inlineStr">
        <is>
          <t>普通</t>
        </is>
      </c>
      <c r="G33" s="348" t="inlineStr">
        <is>
          <t>营火牙戒</t>
        </is>
      </c>
      <c r="H33" s="348" t="inlineStr">
        <is>
          <t>戒指</t>
        </is>
      </c>
      <c r="I33" s="348" t="inlineStr">
        <is>
          <t>戒指</t>
        </is>
      </c>
      <c r="J33" s="348" t="n">
        <v>6543</v>
      </c>
      <c r="K33" s="348" t="inlineStr">
        <is>
          <t>预检通过资源／规划锁定／待入库</t>
        </is>
      </c>
      <c r="L33" s="349" t="inlineStr">
        <is>
          <t>装备资源库黄金圣树·永恒</t>
        </is>
      </c>
    </row>
    <row r="34" ht="34" customHeight="1">
      <c r="A34" s="347" t="inlineStr">
        <is>
          <t>C03-M030</t>
        </is>
      </c>
      <c r="B34" s="348" t="inlineStr">
        <is>
          <t>C03</t>
        </is>
      </c>
      <c r="C34" s="348" t="inlineStr">
        <is>
          <t>宁姆格福西域</t>
        </is>
      </c>
      <c r="D34" s="348" t="inlineStr">
        <is>
          <t>XX345</t>
        </is>
      </c>
      <c r="E34" s="348" t="inlineStr">
        <is>
          <t>断轮弩手</t>
        </is>
      </c>
      <c r="F34" s="348" t="inlineStr">
        <is>
          <t>普通</t>
        </is>
      </c>
      <c r="G34" s="348" t="inlineStr">
        <is>
          <t>断轮弩机</t>
        </is>
      </c>
      <c r="H34" s="348" t="inlineStr">
        <is>
          <t>武器</t>
        </is>
      </c>
      <c r="I34" s="348" t="inlineStr">
        <is>
          <t>武器</t>
        </is>
      </c>
      <c r="J34" s="348" t="n">
        <v>7103</v>
      </c>
      <c r="K34" s="348" t="inlineStr">
        <is>
          <t>测试三库资源已回读</t>
        </is>
      </c>
      <c r="L34" s="349" t="inlineStr">
        <is>
          <t>测试资源：0141_黄金圣树·永恒_武器.bmp；三库同码</t>
        </is>
      </c>
    </row>
    <row r="35" ht="34" customHeight="1">
      <c r="A35" s="347" t="inlineStr">
        <is>
          <t>C03-M031</t>
        </is>
      </c>
      <c r="B35" s="348" t="inlineStr">
        <is>
          <t>C03</t>
        </is>
      </c>
      <c r="C35" s="348" t="inlineStr">
        <is>
          <t>宁姆格福西域</t>
        </is>
      </c>
      <c r="D35" s="348" t="inlineStr">
        <is>
          <t>XX343</t>
        </is>
      </c>
      <c r="E35" s="348" t="inlineStr">
        <is>
          <t>火漆追缉者</t>
        </is>
      </c>
      <c r="F35" s="348" t="inlineStr">
        <is>
          <t>稀有</t>
        </is>
      </c>
      <c r="G35" s="348" t="inlineStr">
        <is>
          <t>火漆追缉令</t>
        </is>
      </c>
      <c r="H35" s="348" t="inlineStr">
        <is>
          <t>勋章</t>
        </is>
      </c>
      <c r="I35" s="348" t="inlineStr">
        <is>
          <t>勋章</t>
        </is>
      </c>
      <c r="J35" s="348" t="n">
        <v>6509</v>
      </c>
      <c r="K35" s="348" t="inlineStr">
        <is>
          <t>预检通过资源／规划锁定／待入库</t>
        </is>
      </c>
      <c r="L35" s="349" t="inlineStr">
        <is>
          <t>装备资源库黄金圣树·律法</t>
        </is>
      </c>
    </row>
    <row r="36" ht="34" customHeight="1">
      <c r="A36" s="347" t="inlineStr">
        <is>
          <t>C03-M032</t>
        </is>
      </c>
      <c r="B36" s="348" t="inlineStr">
        <is>
          <t>C03</t>
        </is>
      </c>
      <c r="C36" s="348" t="inlineStr">
        <is>
          <t>宁姆格福西域</t>
        </is>
      </c>
      <c r="D36" s="348" t="inlineStr">
        <is>
          <t>XX344</t>
        </is>
      </c>
      <c r="E36" s="348" t="inlineStr">
        <is>
          <t>商队叛骑</t>
        </is>
      </c>
      <c r="F36" s="348" t="inlineStr">
        <is>
          <t>稀有</t>
        </is>
      </c>
      <c r="G36" s="348" t="inlineStr">
        <is>
          <t>叛骑战靴</t>
        </is>
      </c>
      <c r="H36" s="348" t="inlineStr">
        <is>
          <t>鞋子</t>
        </is>
      </c>
      <c r="I36" s="348" t="inlineStr">
        <is>
          <t>鞋子</t>
        </is>
      </c>
      <c r="J36" s="348" t="n">
        <v>6512</v>
      </c>
      <c r="K36" s="348" t="inlineStr">
        <is>
          <t>预检通过资源／规划锁定／待入库</t>
        </is>
      </c>
      <c r="L36" s="349" t="inlineStr">
        <is>
          <t>装备资源库黄金圣树·律法</t>
        </is>
      </c>
    </row>
    <row r="37" ht="34" customHeight="1">
      <c r="A37" s="347" t="inlineStr">
        <is>
          <t>C03-M033</t>
        </is>
      </c>
      <c r="B37" s="348" t="inlineStr">
        <is>
          <t>C03</t>
        </is>
      </c>
      <c r="C37" s="348" t="inlineStr">
        <is>
          <t>宁姆格福西域</t>
        </is>
      </c>
      <c r="D37" s="348" t="inlineStr">
        <is>
          <t>XX345</t>
        </is>
      </c>
      <c r="E37" s="348" t="inlineStr">
        <is>
          <t>断路劫首</t>
        </is>
      </c>
      <c r="F37" s="348" t="inlineStr">
        <is>
          <t>稀有</t>
        </is>
      </c>
      <c r="G37" s="348" t="inlineStr">
        <is>
          <t>劫首弯刃</t>
        </is>
      </c>
      <c r="H37" s="348" t="inlineStr">
        <is>
          <t>武器</t>
        </is>
      </c>
      <c r="I37" s="348" t="inlineStr">
        <is>
          <t>武器</t>
        </is>
      </c>
      <c r="J37" s="348" t="n">
        <v>7104</v>
      </c>
      <c r="K37" s="348" t="inlineStr">
        <is>
          <t>测试三库资源已回读</t>
        </is>
      </c>
      <c r="L37" s="349" t="inlineStr">
        <is>
          <t>测试资源：0176_血月荆棘·血痕_武器.bmp；三库同码</t>
        </is>
      </c>
    </row>
    <row r="38" ht="34" customHeight="1">
      <c r="A38" s="347" t="inlineStr">
        <is>
          <t>C03-M034</t>
        </is>
      </c>
      <c r="B38" s="348" t="inlineStr">
        <is>
          <t>C03</t>
        </is>
      </c>
      <c r="C38" s="348" t="inlineStr">
        <is>
          <t>宁姆格福西域</t>
        </is>
      </c>
      <c r="D38" s="348" t="inlineStr">
        <is>
          <t>XX345</t>
        </is>
      </c>
      <c r="E38" s="348" t="inlineStr">
        <is>
          <t>黑帐术士</t>
        </is>
      </c>
      <c r="F38" s="348" t="inlineStr">
        <is>
          <t>稀有</t>
        </is>
      </c>
      <c r="G38" s="348" t="inlineStr">
        <is>
          <t>黯幕咒戒</t>
        </is>
      </c>
      <c r="H38" s="348" t="inlineStr">
        <is>
          <t>戒指</t>
        </is>
      </c>
      <c r="I38" s="348" t="inlineStr">
        <is>
          <t>戒指</t>
        </is>
      </c>
      <c r="J38" s="348" t="n">
        <v>6578</v>
      </c>
      <c r="K38" s="348" t="inlineStr">
        <is>
          <t>预检通过资源／规划锁定／待入库</t>
        </is>
      </c>
      <c r="L38" s="349" t="inlineStr">
        <is>
          <t>装备资源库血月荆棘·血痕</t>
        </is>
      </c>
    </row>
    <row r="39" ht="34" customHeight="1">
      <c r="A39" s="347" t="inlineStr">
        <is>
          <t>C03-M035</t>
        </is>
      </c>
      <c r="B39" s="348" t="inlineStr">
        <is>
          <t>C03</t>
        </is>
      </c>
      <c r="C39" s="348" t="inlineStr">
        <is>
          <t>宁姆格福西域</t>
        </is>
      </c>
      <c r="D39" s="348" t="inlineStr">
        <is>
          <t>XX344</t>
        </is>
      </c>
      <c r="E39" s="348" t="inlineStr">
        <is>
          <t>无路佣兵王·赫托</t>
        </is>
      </c>
      <c r="F39" s="348" t="inlineStr">
        <is>
          <t>地图BOSS</t>
        </is>
      </c>
      <c r="G39" s="348" t="inlineStr">
        <is>
          <t>无路王剑</t>
        </is>
      </c>
      <c r="H39" s="348" t="inlineStr">
        <is>
          <t>武器</t>
        </is>
      </c>
      <c r="I39" s="348" t="inlineStr">
        <is>
          <t>武器</t>
        </is>
      </c>
      <c r="J39" s="348" t="n">
        <v>6501</v>
      </c>
      <c r="K39" s="348" t="inlineStr">
        <is>
          <t>预检通过资源／规划锁定／待入库</t>
        </is>
      </c>
      <c r="L39" s="349" t="inlineStr">
        <is>
          <t>装备资源库黄金圣树·律法</t>
        </is>
      </c>
    </row>
    <row r="40" ht="34" customHeight="1">
      <c r="A40" s="347" t="inlineStr">
        <is>
          <t>C03-M036</t>
        </is>
      </c>
      <c r="B40" s="348" t="inlineStr">
        <is>
          <t>C03</t>
        </is>
      </c>
      <c r="C40" s="348" t="inlineStr">
        <is>
          <t>宁姆格福西域</t>
        </is>
      </c>
      <c r="D40" s="348" t="inlineStr">
        <is>
          <t>XX345</t>
        </is>
      </c>
      <c r="E40" s="348" t="inlineStr">
        <is>
          <t>赤篷巨像·马尔</t>
        </is>
      </c>
      <c r="F40" s="348" t="inlineStr">
        <is>
          <t>地图BOSS</t>
        </is>
      </c>
      <c r="G40" s="348" t="inlineStr">
        <is>
          <t>赤篷铁衣</t>
        </is>
      </c>
      <c r="H40" s="348" t="inlineStr">
        <is>
          <t>衣服</t>
        </is>
      </c>
      <c r="I40" s="348" t="inlineStr">
        <is>
          <t>男衣服（现行模板的衣服映射）</t>
        </is>
      </c>
      <c r="J40" s="348" t="n">
        <v>6502</v>
      </c>
      <c r="K40" s="348" t="inlineStr">
        <is>
          <t>预检通过资源／规划锁定／待入库</t>
        </is>
      </c>
      <c r="L40" s="349" t="inlineStr">
        <is>
          <t>按现行装备模板映射男衣服StdMode10；黄金圣树·律法</t>
        </is>
      </c>
    </row>
    <row r="41" ht="34" customHeight="1">
      <c r="A41" s="347" t="inlineStr">
        <is>
          <t>C03-M037</t>
        </is>
      </c>
      <c r="B41" s="348" t="inlineStr">
        <is>
          <t>C03</t>
        </is>
      </c>
      <c r="C41" s="348" t="inlineStr">
        <is>
          <t>宁姆格福西域</t>
        </is>
      </c>
      <c r="D41" s="348" t="inlineStr">
        <is>
          <t>XX310</t>
        </is>
      </c>
      <c r="E41" s="348" t="inlineStr">
        <is>
          <t>残阵兵魂</t>
        </is>
      </c>
      <c r="F41" s="348" t="inlineStr">
        <is>
          <t>普通</t>
        </is>
      </c>
      <c r="G41" s="348" t="inlineStr">
        <is>
          <t>残阵战刀</t>
        </is>
      </c>
      <c r="H41" s="348" t="inlineStr">
        <is>
          <t>武器</t>
        </is>
      </c>
      <c r="I41" s="348" t="inlineStr">
        <is>
          <t>武器</t>
        </is>
      </c>
      <c r="J41" s="348" t="n">
        <v>7105</v>
      </c>
      <c r="K41" s="348" t="inlineStr">
        <is>
          <t>测试三库资源已回读</t>
        </is>
      </c>
      <c r="L41" s="349" t="inlineStr">
        <is>
          <t>测试资源：0211_血月荆棘·荆冠_武器.bmp；三库同码</t>
        </is>
      </c>
    </row>
    <row r="42" ht="34" customHeight="1">
      <c r="A42" s="347" t="inlineStr">
        <is>
          <t>C03-M038</t>
        </is>
      </c>
      <c r="B42" s="348" t="inlineStr">
        <is>
          <t>C03</t>
        </is>
      </c>
      <c r="C42" s="348" t="inlineStr">
        <is>
          <t>宁姆格福西域</t>
        </is>
      </c>
      <c r="D42" s="348" t="inlineStr">
        <is>
          <t>XX310</t>
        </is>
      </c>
      <c r="E42" s="348" t="inlineStr">
        <is>
          <t>折戟亡卒</t>
        </is>
      </c>
      <c r="F42" s="348" t="inlineStr">
        <is>
          <t>普通</t>
        </is>
      </c>
      <c r="G42" s="348" t="inlineStr">
        <is>
          <t>折戟铁链</t>
        </is>
      </c>
      <c r="H42" s="348" t="inlineStr">
        <is>
          <t>项链</t>
        </is>
      </c>
      <c r="I42" s="348" t="inlineStr">
        <is>
          <t>项链</t>
        </is>
      </c>
      <c r="J42" s="348" t="n">
        <v>6611</v>
      </c>
      <c r="K42" s="348" t="inlineStr">
        <is>
          <t>预检通过资源／规划锁定／待入库</t>
        </is>
      </c>
      <c r="L42" s="349" t="inlineStr">
        <is>
          <t>装备资源库血月荆棘·荆冠</t>
        </is>
      </c>
    </row>
    <row r="43" ht="34" customHeight="1">
      <c r="A43" s="347" t="inlineStr">
        <is>
          <t>C03-M039</t>
        </is>
      </c>
      <c r="B43" s="348" t="inlineStr">
        <is>
          <t>C03</t>
        </is>
      </c>
      <c r="C43" s="348" t="inlineStr">
        <is>
          <t>宁姆格福西域</t>
        </is>
      </c>
      <c r="D43" s="348" t="inlineStr">
        <is>
          <t>XX311</t>
        </is>
      </c>
      <c r="E43" s="348" t="inlineStr">
        <is>
          <t>战壕腐尸</t>
        </is>
      </c>
      <c r="F43" s="348" t="inlineStr">
        <is>
          <t>普通</t>
        </is>
      </c>
      <c r="G43" s="348" t="inlineStr">
        <is>
          <t>战壕骨甲</t>
        </is>
      </c>
      <c r="H43" s="348" t="inlineStr">
        <is>
          <t>衣服</t>
        </is>
      </c>
      <c r="I43" s="348" t="inlineStr">
        <is>
          <t>男衣服（现行模板的衣服映射）</t>
        </is>
      </c>
      <c r="J43" s="348" t="n">
        <v>7106</v>
      </c>
      <c r="K43" s="348" t="inlineStr">
        <is>
          <t>测试三库资源已回读</t>
        </is>
      </c>
      <c r="L43" s="349" t="inlineStr">
        <is>
          <t>测试资源：0107_黄金圣树·律法_男衣服.bmp；三库同码</t>
        </is>
      </c>
    </row>
    <row r="44" ht="34" customHeight="1">
      <c r="A44" s="347" t="inlineStr">
        <is>
          <t>C03-M040</t>
        </is>
      </c>
      <c r="B44" s="348" t="inlineStr">
        <is>
          <t>C03</t>
        </is>
      </c>
      <c r="C44" s="348" t="inlineStr">
        <is>
          <t>宁姆格福西域</t>
        </is>
      </c>
      <c r="D44" s="348" t="inlineStr">
        <is>
          <t>XX311</t>
        </is>
      </c>
      <c r="E44" s="348" t="inlineStr">
        <is>
          <t>无首号手</t>
        </is>
      </c>
      <c r="F44" s="348" t="inlineStr">
        <is>
          <t>普通</t>
        </is>
      </c>
      <c r="G44" s="348" t="inlineStr">
        <is>
          <t>无首号角</t>
        </is>
      </c>
      <c r="H44" s="348" t="inlineStr">
        <is>
          <t>勋章</t>
        </is>
      </c>
      <c r="I44" s="348" t="inlineStr">
        <is>
          <t>勋章</t>
        </is>
      </c>
      <c r="J44" s="348" t="n">
        <v>6544</v>
      </c>
      <c r="K44" s="348" t="inlineStr">
        <is>
          <t>预检通过资源／规划锁定／待入库</t>
        </is>
      </c>
      <c r="L44" s="349" t="inlineStr">
        <is>
          <t>装备资源库黄金圣树·永恒</t>
        </is>
      </c>
    </row>
    <row r="45" ht="34" customHeight="1">
      <c r="A45" s="347" t="inlineStr">
        <is>
          <t>C03-M041</t>
        </is>
      </c>
      <c r="B45" s="348" t="inlineStr">
        <is>
          <t>C03</t>
        </is>
      </c>
      <c r="C45" s="348" t="inlineStr">
        <is>
          <t>宁姆格福西域</t>
        </is>
      </c>
      <c r="D45" s="348" t="inlineStr">
        <is>
          <t>XX312</t>
        </is>
      </c>
      <c r="E45" s="348" t="inlineStr">
        <is>
          <t>墓旗守卫</t>
        </is>
      </c>
      <c r="F45" s="348" t="inlineStr">
        <is>
          <t>普通</t>
        </is>
      </c>
      <c r="G45" s="348" t="inlineStr">
        <is>
          <t>墓旗头冠</t>
        </is>
      </c>
      <c r="H45" s="348" t="inlineStr">
        <is>
          <t>头盔</t>
        </is>
      </c>
      <c r="I45" s="348" t="inlineStr">
        <is>
          <t>头盔</t>
        </is>
      </c>
      <c r="J45" s="348" t="n">
        <v>6574</v>
      </c>
      <c r="K45" s="348" t="inlineStr">
        <is>
          <t>预检通过资源／规划锁定／待入库</t>
        </is>
      </c>
      <c r="L45" s="349" t="inlineStr">
        <is>
          <t>装备资源库血月荆棘·血痕</t>
        </is>
      </c>
    </row>
    <row r="46" ht="34" customHeight="1">
      <c r="A46" s="347" t="inlineStr">
        <is>
          <t>C03-M042</t>
        </is>
      </c>
      <c r="B46" s="348" t="inlineStr">
        <is>
          <t>C03</t>
        </is>
      </c>
      <c r="C46" s="348" t="inlineStr">
        <is>
          <t>宁姆格福西域</t>
        </is>
      </c>
      <c r="D46" s="348" t="inlineStr">
        <is>
          <t>XX312</t>
        </is>
      </c>
      <c r="E46" s="348" t="inlineStr">
        <is>
          <t>英灵战马</t>
        </is>
      </c>
      <c r="F46" s="348" t="inlineStr">
        <is>
          <t>普通</t>
        </is>
      </c>
      <c r="G46" s="348" t="inlineStr">
        <is>
          <t>英灵马靴</t>
        </is>
      </c>
      <c r="H46" s="348" t="inlineStr">
        <is>
          <t>鞋子</t>
        </is>
      </c>
      <c r="I46" s="348" t="inlineStr">
        <is>
          <t>鞋子</t>
        </is>
      </c>
      <c r="J46" s="348" t="n">
        <v>6547</v>
      </c>
      <c r="K46" s="348" t="inlineStr">
        <is>
          <t>预检通过资源／规划锁定／待入库</t>
        </is>
      </c>
      <c r="L46" s="349" t="inlineStr">
        <is>
          <t>装备资源库黄金圣树·永恒</t>
        </is>
      </c>
    </row>
    <row r="47" ht="34" customHeight="1">
      <c r="A47" s="347" t="inlineStr">
        <is>
          <t>C03-M043</t>
        </is>
      </c>
      <c r="B47" s="348" t="inlineStr">
        <is>
          <t>C03</t>
        </is>
      </c>
      <c r="C47" s="348" t="inlineStr">
        <is>
          <t>宁姆格福西域</t>
        </is>
      </c>
      <c r="D47" s="348" t="inlineStr">
        <is>
          <t>XX310</t>
        </is>
      </c>
      <c r="E47" s="348" t="inlineStr">
        <is>
          <t>百战英魂</t>
        </is>
      </c>
      <c r="F47" s="348" t="inlineStr">
        <is>
          <t>稀有</t>
        </is>
      </c>
      <c r="G47" s="348" t="inlineStr">
        <is>
          <t>百战腕甲</t>
        </is>
      </c>
      <c r="H47" s="348" t="inlineStr">
        <is>
          <t>手镯</t>
        </is>
      </c>
      <c r="I47" s="348" t="inlineStr">
        <is>
          <t>手镯</t>
        </is>
      </c>
      <c r="J47" s="348" t="n">
        <v>6542</v>
      </c>
      <c r="K47" s="348" t="inlineStr">
        <is>
          <t>预检通过资源／规划锁定／待入库</t>
        </is>
      </c>
      <c r="L47" s="349" t="inlineStr">
        <is>
          <t>装备资源库黄金圣树·永恒</t>
        </is>
      </c>
    </row>
    <row r="48" ht="34" customHeight="1">
      <c r="A48" s="347" t="inlineStr">
        <is>
          <t>C03-M044</t>
        </is>
      </c>
      <c r="B48" s="348" t="inlineStr">
        <is>
          <t>C03</t>
        </is>
      </c>
      <c r="C48" s="348" t="inlineStr">
        <is>
          <t>宁姆格福西域</t>
        </is>
      </c>
      <c r="D48" s="348" t="inlineStr">
        <is>
          <t>XX311</t>
        </is>
      </c>
      <c r="E48" s="348" t="inlineStr">
        <is>
          <t>亡阵旗官</t>
        </is>
      </c>
      <c r="F48" s="348" t="inlineStr">
        <is>
          <t>稀有</t>
        </is>
      </c>
      <c r="G48" s="348" t="inlineStr">
        <is>
          <t>亡阵旗印</t>
        </is>
      </c>
      <c r="H48" s="348" t="inlineStr">
        <is>
          <t>勋章</t>
        </is>
      </c>
      <c r="I48" s="348" t="inlineStr">
        <is>
          <t>勋章</t>
        </is>
      </c>
      <c r="J48" s="348" t="n">
        <v>6579</v>
      </c>
      <c r="K48" s="348" t="inlineStr">
        <is>
          <t>预检通过资源／规划锁定／待入库</t>
        </is>
      </c>
      <c r="L48" s="349" t="inlineStr">
        <is>
          <t>装备资源库血月荆棘·血痕</t>
        </is>
      </c>
    </row>
    <row r="49" ht="34" customHeight="1">
      <c r="A49" s="347" t="inlineStr">
        <is>
          <t>C03-M045</t>
        </is>
      </c>
      <c r="B49" s="348" t="inlineStr">
        <is>
          <t>C03</t>
        </is>
      </c>
      <c r="C49" s="348" t="inlineStr">
        <is>
          <t>宁姆格福西域</t>
        </is>
      </c>
      <c r="D49" s="348" t="inlineStr">
        <is>
          <t>XX312</t>
        </is>
      </c>
      <c r="E49" s="348" t="inlineStr">
        <is>
          <t>誓死卫士</t>
        </is>
      </c>
      <c r="F49" s="348" t="inlineStr">
        <is>
          <t>稀有</t>
        </is>
      </c>
      <c r="G49" s="348" t="inlineStr">
        <is>
          <t>誓死王盾</t>
        </is>
      </c>
      <c r="H49" s="348" t="inlineStr">
        <is>
          <t>盾牌</t>
        </is>
      </c>
      <c r="I49" s="348" t="inlineStr">
        <is>
          <t>盾牌</t>
        </is>
      </c>
      <c r="J49" s="348" t="n">
        <v>6510</v>
      </c>
      <c r="K49" s="348" t="inlineStr">
        <is>
          <t>预检通过资源／规划锁定／待入库</t>
        </is>
      </c>
      <c r="L49" s="349" t="inlineStr">
        <is>
          <t>装备资源库黄金圣树·律法</t>
        </is>
      </c>
    </row>
    <row r="50" ht="34" customHeight="1">
      <c r="A50" s="347" t="inlineStr">
        <is>
          <t>C03-M046</t>
        </is>
      </c>
      <c r="B50" s="348" t="inlineStr">
        <is>
          <t>C03</t>
        </is>
      </c>
      <c r="C50" s="348" t="inlineStr">
        <is>
          <t>宁姆格福西域</t>
        </is>
      </c>
      <c r="D50" s="348" t="inlineStr">
        <is>
          <t>XX312</t>
        </is>
      </c>
      <c r="E50" s="348" t="inlineStr">
        <is>
          <t>祭坛唤魂师</t>
        </is>
      </c>
      <c r="F50" s="348" t="inlineStr">
        <is>
          <t>稀有</t>
        </is>
      </c>
      <c r="G50" s="348" t="inlineStr">
        <is>
          <t>幽坛引魂铃</t>
        </is>
      </c>
      <c r="H50" s="348" t="inlineStr">
        <is>
          <t>项链</t>
        </is>
      </c>
      <c r="I50" s="348" t="inlineStr">
        <is>
          <t>项链</t>
        </is>
      </c>
      <c r="J50" s="348" t="n">
        <v>6646</v>
      </c>
      <c r="K50" s="348" t="inlineStr">
        <is>
          <t>预检通过资源／规划锁定／待入库</t>
        </is>
      </c>
      <c r="L50" s="349" t="inlineStr">
        <is>
          <t>装备资源库血月荆棘·猩月</t>
        </is>
      </c>
    </row>
    <row r="51" ht="34" customHeight="1">
      <c r="A51" s="347" t="inlineStr">
        <is>
          <t>C03-M047</t>
        </is>
      </c>
      <c r="B51" s="348" t="inlineStr">
        <is>
          <t>C03</t>
        </is>
      </c>
      <c r="C51" s="348" t="inlineStr">
        <is>
          <t>宁姆格福西域</t>
        </is>
      </c>
      <c r="D51" s="348" t="inlineStr">
        <is>
          <t>XX311</t>
        </is>
      </c>
      <c r="E51" s="348" t="inlineStr">
        <is>
          <t>古战将·雷戈</t>
        </is>
      </c>
      <c r="F51" s="348" t="inlineStr">
        <is>
          <t>地图BOSS</t>
        </is>
      </c>
      <c r="G51" s="348" t="inlineStr">
        <is>
          <t>雷戈古戟</t>
        </is>
      </c>
      <c r="H51" s="348" t="inlineStr">
        <is>
          <t>武器</t>
        </is>
      </c>
      <c r="I51" s="348" t="inlineStr">
        <is>
          <t>武器</t>
        </is>
      </c>
      <c r="J51" s="348" t="n">
        <v>6536</v>
      </c>
      <c r="K51" s="348" t="inlineStr">
        <is>
          <t>预检通过资源／规划锁定／待入库</t>
        </is>
      </c>
      <c r="L51" s="349" t="inlineStr">
        <is>
          <t>装备资源库黄金圣树·永恒</t>
        </is>
      </c>
    </row>
    <row r="52" ht="34" customHeight="1">
      <c r="A52" s="347" t="inlineStr">
        <is>
          <t>C03-M048</t>
        </is>
      </c>
      <c r="B52" s="348" t="inlineStr">
        <is>
          <t>C03</t>
        </is>
      </c>
      <c r="C52" s="348" t="inlineStr">
        <is>
          <t>宁姆格福西域</t>
        </is>
      </c>
      <c r="D52" s="348" t="inlineStr">
        <is>
          <t>XX312</t>
        </is>
      </c>
      <c r="E52" s="348" t="inlineStr">
        <is>
          <t>千军怨灵·阿萨</t>
        </is>
      </c>
      <c r="F52" s="348" t="inlineStr">
        <is>
          <t>地图BOSS</t>
        </is>
      </c>
      <c r="G52" s="348" t="inlineStr">
        <is>
          <t>千军魂衣</t>
        </is>
      </c>
      <c r="H52" s="348" t="inlineStr">
        <is>
          <t>衣服</t>
        </is>
      </c>
      <c r="I52" s="348" t="inlineStr">
        <is>
          <t>男衣服（现行模板的衣服映射）</t>
        </is>
      </c>
      <c r="J52" s="348" t="n">
        <v>6537</v>
      </c>
      <c r="K52" s="348" t="inlineStr">
        <is>
          <t>预检通过资源／规划锁定／待入库</t>
        </is>
      </c>
      <c r="L52" s="349" t="inlineStr">
        <is>
          <t>按现行装备模板映射男衣服StdMode10；黄金圣树·永恒</t>
        </is>
      </c>
    </row>
    <row r="53" ht="34" customHeight="1">
      <c r="A53" s="347" t="inlineStr">
        <is>
          <t>C03-M049</t>
        </is>
      </c>
      <c r="B53" s="348" t="inlineStr">
        <is>
          <t>C03</t>
        </is>
      </c>
      <c r="C53" s="348" t="inlineStr">
        <is>
          <t>宁姆格福西域</t>
        </is>
      </c>
      <c r="D53" s="348" t="inlineStr">
        <is>
          <t>XX518</t>
        </is>
      </c>
      <c r="E53" s="348" t="inlineStr">
        <is>
          <t>古垒戍兵</t>
        </is>
      </c>
      <c r="F53" s="348" t="inlineStr">
        <is>
          <t>普通</t>
        </is>
      </c>
      <c r="G53" s="348" t="inlineStr">
        <is>
          <t>古垒军刀</t>
        </is>
      </c>
      <c r="H53" s="348" t="inlineStr">
        <is>
          <t>武器</t>
        </is>
      </c>
      <c r="I53" s="348" t="inlineStr">
        <is>
          <t>武器</t>
        </is>
      </c>
      <c r="J53" s="348" t="n">
        <v>7107</v>
      </c>
      <c r="K53" s="348" t="inlineStr">
        <is>
          <t>测试三库资源已回读</t>
        </is>
      </c>
      <c r="L53" s="349" t="inlineStr">
        <is>
          <t>测试资源：0246_血月荆棘·猩月_武器.bmp；三库同码</t>
        </is>
      </c>
    </row>
    <row r="54" ht="34" customHeight="1">
      <c r="A54" s="347" t="inlineStr">
        <is>
          <t>C03-M050</t>
        </is>
      </c>
      <c r="B54" s="348" t="inlineStr">
        <is>
          <t>C03</t>
        </is>
      </c>
      <c r="C54" s="348" t="inlineStr">
        <is>
          <t>宁姆格福西域</t>
        </is>
      </c>
      <c r="D54" s="348" t="inlineStr">
        <is>
          <t>XX518</t>
        </is>
      </c>
      <c r="E54" s="348" t="inlineStr">
        <is>
          <t>风沙箭手</t>
        </is>
      </c>
      <c r="F54" s="348" t="inlineStr">
        <is>
          <t>普通</t>
        </is>
      </c>
      <c r="G54" s="348" t="inlineStr">
        <is>
          <t>风沙鹰链</t>
        </is>
      </c>
      <c r="H54" s="348" t="inlineStr">
        <is>
          <t>项链</t>
        </is>
      </c>
      <c r="I54" s="348" t="inlineStr">
        <is>
          <t>项链</t>
        </is>
      </c>
      <c r="J54" s="348" t="n">
        <v>6681</v>
      </c>
      <c r="K54" s="348" t="inlineStr">
        <is>
          <t>预检通过资源／规划锁定／待入库</t>
        </is>
      </c>
      <c r="L54" s="349" t="inlineStr">
        <is>
          <t>装备资源库血月荆棘·弑王</t>
        </is>
      </c>
    </row>
    <row r="55" ht="34" customHeight="1">
      <c r="A55" s="347" t="inlineStr">
        <is>
          <t>C03-M051</t>
        </is>
      </c>
      <c r="B55" s="348" t="inlineStr">
        <is>
          <t>C03</t>
        </is>
      </c>
      <c r="C55" s="348" t="inlineStr">
        <is>
          <t>宁姆格福西域</t>
        </is>
      </c>
      <c r="D55" s="348" t="inlineStr">
        <is>
          <t>XX517</t>
        </is>
      </c>
      <c r="E55" s="348" t="inlineStr">
        <is>
          <t>回廊石卫</t>
        </is>
      </c>
      <c r="F55" s="348" t="inlineStr">
        <is>
          <t>普通</t>
        </is>
      </c>
      <c r="G55" s="348" t="inlineStr">
        <is>
          <t>回廊石盔</t>
        </is>
      </c>
      <c r="H55" s="348" t="inlineStr">
        <is>
          <t>头盔</t>
        </is>
      </c>
      <c r="I55" s="348" t="inlineStr">
        <is>
          <t>头盔</t>
        </is>
      </c>
      <c r="J55" s="348" t="n">
        <v>6609</v>
      </c>
      <c r="K55" s="348" t="inlineStr">
        <is>
          <t>预检通过资源／规划锁定／待入库</t>
        </is>
      </c>
      <c r="L55" s="349" t="inlineStr">
        <is>
          <t>装备资源库血月荆棘·荆冠</t>
        </is>
      </c>
    </row>
    <row r="56" ht="34" customHeight="1">
      <c r="A56" s="347" t="inlineStr">
        <is>
          <t>C03-M052</t>
        </is>
      </c>
      <c r="B56" s="348" t="inlineStr">
        <is>
          <t>C03</t>
        </is>
      </c>
      <c r="C56" s="348" t="inlineStr">
        <is>
          <t>宁姆格福西域</t>
        </is>
      </c>
      <c r="D56" s="348" t="inlineStr">
        <is>
          <t>XX516</t>
        </is>
      </c>
      <c r="E56" s="348" t="inlineStr">
        <is>
          <t>地宫掘墓人</t>
        </is>
      </c>
      <c r="F56" s="348" t="inlineStr">
        <is>
          <t>普通</t>
        </is>
      </c>
      <c r="G56" s="348" t="inlineStr">
        <is>
          <t>掘墓铁镯</t>
        </is>
      </c>
      <c r="H56" s="348" t="inlineStr">
        <is>
          <t>手镯</t>
        </is>
      </c>
      <c r="I56" s="348" t="inlineStr">
        <is>
          <t>手镯</t>
        </is>
      </c>
      <c r="J56" s="348" t="n">
        <v>6577</v>
      </c>
      <c r="K56" s="348" t="inlineStr">
        <is>
          <t>预检通过资源／规划锁定／待入库</t>
        </is>
      </c>
      <c r="L56" s="349" t="inlineStr">
        <is>
          <t>装备资源库血月荆棘·血痕</t>
        </is>
      </c>
    </row>
    <row r="57" ht="34" customHeight="1">
      <c r="A57" s="347" t="inlineStr">
        <is>
          <t>C03-M053</t>
        </is>
      </c>
      <c r="B57" s="348" t="inlineStr">
        <is>
          <t>C03</t>
        </is>
      </c>
      <c r="C57" s="348" t="inlineStr">
        <is>
          <t>宁姆格福西域</t>
        </is>
      </c>
      <c r="D57" s="348" t="inlineStr">
        <is>
          <t>XX517</t>
        </is>
      </c>
      <c r="E57" s="348" t="inlineStr">
        <is>
          <t>边墙猎犬</t>
        </is>
      </c>
      <c r="F57" s="348" t="inlineStr">
        <is>
          <t>普通</t>
        </is>
      </c>
      <c r="G57" s="348" t="inlineStr">
        <is>
          <t>边墙牙戒</t>
        </is>
      </c>
      <c r="H57" s="348" t="inlineStr">
        <is>
          <t>戒指</t>
        </is>
      </c>
      <c r="I57" s="348" t="inlineStr">
        <is>
          <t>戒指</t>
        </is>
      </c>
      <c r="J57" s="348" t="n">
        <v>6613</v>
      </c>
      <c r="K57" s="348" t="inlineStr">
        <is>
          <t>预检通过资源／规划锁定／待入库</t>
        </is>
      </c>
      <c r="L57" s="349" t="inlineStr">
        <is>
          <t>装备资源库血月荆棘·荆冠</t>
        </is>
      </c>
    </row>
    <row r="58" ht="34" customHeight="1">
      <c r="A58" s="347" t="inlineStr">
        <is>
          <t>C03-M054</t>
        </is>
      </c>
      <c r="B58" s="348" t="inlineStr">
        <is>
          <t>C03</t>
        </is>
      </c>
      <c r="C58" s="348" t="inlineStr">
        <is>
          <t>宁姆格福西域</t>
        </is>
      </c>
      <c r="D58" s="348" t="inlineStr">
        <is>
          <t>XX516</t>
        </is>
      </c>
      <c r="E58" s="348" t="inlineStr">
        <is>
          <t>铜门守卒</t>
        </is>
      </c>
      <c r="F58" s="348" t="inlineStr">
        <is>
          <t>普通</t>
        </is>
      </c>
      <c r="G58" s="348" t="inlineStr">
        <is>
          <t>铜门束带</t>
        </is>
      </c>
      <c r="H58" s="348" t="inlineStr">
        <is>
          <t>腰带</t>
        </is>
      </c>
      <c r="I58" s="348" t="inlineStr">
        <is>
          <t>腰带</t>
        </is>
      </c>
      <c r="J58" s="348" t="n">
        <v>6548</v>
      </c>
      <c r="K58" s="348" t="inlineStr">
        <is>
          <t>预检通过资源／规划锁定／待入库</t>
        </is>
      </c>
      <c r="L58" s="349" t="inlineStr">
        <is>
          <t>装备资源库黄金圣树·永恒</t>
        </is>
      </c>
    </row>
    <row r="59" ht="34" customHeight="1">
      <c r="A59" s="347" t="inlineStr">
        <is>
          <t>C03-M055</t>
        </is>
      </c>
      <c r="B59" s="348" t="inlineStr">
        <is>
          <t>C03</t>
        </is>
      </c>
      <c r="C59" s="348" t="inlineStr">
        <is>
          <t>宁姆格福西域</t>
        </is>
      </c>
      <c r="D59" s="348" t="inlineStr">
        <is>
          <t>XX518</t>
        </is>
      </c>
      <c r="E59" s="348" t="inlineStr">
        <is>
          <t>古垒百夫长</t>
        </is>
      </c>
      <c r="F59" s="348" t="inlineStr">
        <is>
          <t>稀有</t>
        </is>
      </c>
      <c r="G59" s="348" t="inlineStr">
        <is>
          <t>百夫战靴</t>
        </is>
      </c>
      <c r="H59" s="348" t="inlineStr">
        <is>
          <t>鞋子</t>
        </is>
      </c>
      <c r="I59" s="348" t="inlineStr">
        <is>
          <t>鞋子</t>
        </is>
      </c>
      <c r="J59" s="348" t="n">
        <v>6582</v>
      </c>
      <c r="K59" s="348" t="inlineStr">
        <is>
          <t>预检通过资源／规划锁定／待入库</t>
        </is>
      </c>
      <c r="L59" s="349" t="inlineStr">
        <is>
          <t>装备资源库血月荆棘·血痕</t>
        </is>
      </c>
    </row>
    <row r="60" ht="34" customHeight="1">
      <c r="A60" s="347" t="inlineStr">
        <is>
          <t>C03-M056</t>
        </is>
      </c>
      <c r="B60" s="348" t="inlineStr">
        <is>
          <t>C03</t>
        </is>
      </c>
      <c r="C60" s="348" t="inlineStr">
        <is>
          <t>宁姆格福西域</t>
        </is>
      </c>
      <c r="D60" s="348" t="inlineStr">
        <is>
          <t>XX517</t>
        </is>
      </c>
      <c r="E60" s="348" t="inlineStr">
        <is>
          <t>风蚀刑官</t>
        </is>
      </c>
      <c r="F60" s="348" t="inlineStr">
        <is>
          <t>稀有</t>
        </is>
      </c>
      <c r="G60" s="348" t="inlineStr">
        <is>
          <t>刑官断刃</t>
        </is>
      </c>
      <c r="H60" s="348" t="inlineStr">
        <is>
          <t>武器</t>
        </is>
      </c>
      <c r="I60" s="348" t="inlineStr">
        <is>
          <t>武器</t>
        </is>
      </c>
      <c r="J60" s="348" t="n">
        <v>7108</v>
      </c>
      <c r="K60" s="348" t="inlineStr">
        <is>
          <t>测试三库资源已回读</t>
        </is>
      </c>
      <c r="L60" s="349" t="inlineStr">
        <is>
          <t>测试资源：0281_血月荆棘·弑王_武器.bmp；三库同码</t>
        </is>
      </c>
    </row>
    <row r="61" ht="34" customHeight="1">
      <c r="A61" s="347" t="inlineStr">
        <is>
          <t>C03-M057</t>
        </is>
      </c>
      <c r="B61" s="348" t="inlineStr">
        <is>
          <t>C03</t>
        </is>
      </c>
      <c r="C61" s="348" t="inlineStr">
        <is>
          <t>宁姆格福西域</t>
        </is>
      </c>
      <c r="D61" s="348" t="inlineStr">
        <is>
          <t>XX516</t>
        </is>
      </c>
      <c r="E61" s="348" t="inlineStr">
        <is>
          <t>地宫镇魂者</t>
        </is>
      </c>
      <c r="F61" s="348" t="inlineStr">
        <is>
          <t>稀有</t>
        </is>
      </c>
      <c r="G61" s="348" t="inlineStr">
        <is>
          <t>镇魂勋章</t>
        </is>
      </c>
      <c r="H61" s="348" t="inlineStr">
        <is>
          <t>勋章</t>
        </is>
      </c>
      <c r="I61" s="348" t="inlineStr">
        <is>
          <t>勋章</t>
        </is>
      </c>
      <c r="J61" s="348" t="n">
        <v>6614</v>
      </c>
      <c r="K61" s="348" t="inlineStr">
        <is>
          <t>预检通过资源／规划锁定／待入库</t>
        </is>
      </c>
      <c r="L61" s="349" t="inlineStr">
        <is>
          <t>装备资源库血月荆棘·荆冠</t>
        </is>
      </c>
    </row>
    <row r="62" ht="34" customHeight="1">
      <c r="A62" s="347" t="inlineStr">
        <is>
          <t>C03-M058</t>
        </is>
      </c>
      <c r="B62" s="348" t="inlineStr">
        <is>
          <t>C03</t>
        </is>
      </c>
      <c r="C62" s="348" t="inlineStr">
        <is>
          <t>宁姆格福西域</t>
        </is>
      </c>
      <c r="D62" s="348" t="inlineStr">
        <is>
          <t>XX516</t>
        </is>
      </c>
      <c r="E62" s="348" t="inlineStr">
        <is>
          <t>边境铜像</t>
        </is>
      </c>
      <c r="F62" s="348" t="inlineStr">
        <is>
          <t>稀有</t>
        </is>
      </c>
      <c r="G62" s="348" t="inlineStr">
        <is>
          <t>边境塔盾</t>
        </is>
      </c>
      <c r="H62" s="348" t="inlineStr">
        <is>
          <t>盾牌</t>
        </is>
      </c>
      <c r="I62" s="348" t="inlineStr">
        <is>
          <t>盾牌</t>
        </is>
      </c>
      <c r="J62" s="348" t="n">
        <v>6545</v>
      </c>
      <c r="K62" s="348" t="inlineStr">
        <is>
          <t>预检通过资源／规划锁定／待入库</t>
        </is>
      </c>
      <c r="L62" s="349" t="inlineStr">
        <is>
          <t>装备资源库黄金圣树·永恒</t>
        </is>
      </c>
    </row>
    <row r="63" ht="34" customHeight="1">
      <c r="A63" s="347" t="inlineStr">
        <is>
          <t>C03-M059</t>
        </is>
      </c>
      <c r="B63" s="348" t="inlineStr">
        <is>
          <t>C03</t>
        </is>
      </c>
      <c r="C63" s="348" t="inlineStr">
        <is>
          <t>宁姆格福西域</t>
        </is>
      </c>
      <c r="D63" s="348" t="inlineStr">
        <is>
          <t>XX517</t>
        </is>
      </c>
      <c r="E63" s="348" t="inlineStr">
        <is>
          <t>无归守将·布兰</t>
        </is>
      </c>
      <c r="F63" s="348" t="inlineStr">
        <is>
          <t>地图BOSS</t>
        </is>
      </c>
      <c r="G63" s="348" t="inlineStr">
        <is>
          <t>布兰守城枪</t>
        </is>
      </c>
      <c r="H63" s="348" t="inlineStr">
        <is>
          <t>武器</t>
        </is>
      </c>
      <c r="I63" s="348" t="inlineStr">
        <is>
          <t>武器</t>
        </is>
      </c>
      <c r="J63" s="348" t="n">
        <v>6571</v>
      </c>
      <c r="K63" s="348" t="inlineStr">
        <is>
          <t>预检通过资源／规划锁定／待入库</t>
        </is>
      </c>
      <c r="L63" s="349" t="inlineStr">
        <is>
          <t>装备资源库血月荆棘·血痕</t>
        </is>
      </c>
    </row>
    <row r="64" ht="34" customHeight="1">
      <c r="A64" s="347" t="inlineStr">
        <is>
          <t>C03-M060</t>
        </is>
      </c>
      <c r="B64" s="348" t="inlineStr">
        <is>
          <t>C03</t>
        </is>
      </c>
      <c r="C64" s="348" t="inlineStr">
        <is>
          <t>宁姆格福西域</t>
        </is>
      </c>
      <c r="D64" s="348" t="inlineStr">
        <is>
          <t>XX516</t>
        </is>
      </c>
      <c r="E64" s="348" t="inlineStr">
        <is>
          <t>古垒石王·迦姆</t>
        </is>
      </c>
      <c r="F64" s="348" t="inlineStr">
        <is>
          <t>地图BOSS</t>
        </is>
      </c>
      <c r="G64" s="348" t="inlineStr">
        <is>
          <t>石王古铠</t>
        </is>
      </c>
      <c r="H64" s="348" t="inlineStr">
        <is>
          <t>衣服</t>
        </is>
      </c>
      <c r="I64" s="348" t="inlineStr">
        <is>
          <t>男衣服（现行模板的衣服映射）</t>
        </is>
      </c>
      <c r="J64" s="348" t="n">
        <v>6572</v>
      </c>
      <c r="K64" s="348" t="inlineStr">
        <is>
          <t>预检通过资源／规划锁定／待入库</t>
        </is>
      </c>
      <c r="L64" s="349" t="inlineStr">
        <is>
          <t>按现行装备模板映射男衣服StdMode10；血月荆棘·血痕</t>
        </is>
      </c>
    </row>
    <row r="65" ht="34" customHeight="1">
      <c r="A65" s="347" t="inlineStr">
        <is>
          <t>C03-M061</t>
        </is>
      </c>
      <c r="B65" s="348" t="inlineStr">
        <is>
          <t>C03</t>
        </is>
      </c>
      <c r="C65" s="348" t="inlineStr">
        <is>
          <t>宁姆格福西域</t>
        </is>
      </c>
      <c r="D65" s="348" t="inlineStr">
        <is>
          <t>XX140</t>
        </is>
      </c>
      <c r="E65" s="348" t="inlineStr">
        <is>
          <t>金叶哨兵</t>
        </is>
      </c>
      <c r="F65" s="348" t="inlineStr">
        <is>
          <t>普通</t>
        </is>
      </c>
      <c r="G65" s="348" t="inlineStr">
        <is>
          <t>金叶军刃</t>
        </is>
      </c>
      <c r="H65" s="348" t="inlineStr">
        <is>
          <t>武器</t>
        </is>
      </c>
      <c r="I65" s="348" t="inlineStr">
        <is>
          <t>武器</t>
        </is>
      </c>
      <c r="J65" s="348" t="n">
        <v>7109</v>
      </c>
      <c r="K65" s="348" t="inlineStr">
        <is>
          <t>测试三库资源已回读</t>
        </is>
      </c>
      <c r="L65" s="349" t="inlineStr">
        <is>
          <t>测试资源：0316_血月荆棘·血月_武器.bmp；三库同码</t>
        </is>
      </c>
    </row>
    <row r="66" ht="34" customHeight="1">
      <c r="A66" s="347" t="inlineStr">
        <is>
          <t>C03-M062</t>
        </is>
      </c>
      <c r="B66" s="348" t="inlineStr">
        <is>
          <t>C03</t>
        </is>
      </c>
      <c r="C66" s="348" t="inlineStr">
        <is>
          <t>宁姆格福西域</t>
        </is>
      </c>
      <c r="D66" s="348" t="inlineStr">
        <is>
          <t>XX140</t>
        </is>
      </c>
      <c r="E66" s="348" t="inlineStr">
        <is>
          <t>王树弩卫</t>
        </is>
      </c>
      <c r="F66" s="348" t="inlineStr">
        <is>
          <t>普通</t>
        </is>
      </c>
      <c r="G66" s="348" t="inlineStr">
        <is>
          <t>王树弩戒</t>
        </is>
      </c>
      <c r="H66" s="348" t="inlineStr">
        <is>
          <t>戒指</t>
        </is>
      </c>
      <c r="I66" s="348" t="inlineStr">
        <is>
          <t>戒指</t>
        </is>
      </c>
      <c r="J66" s="348" t="n">
        <v>6648</v>
      </c>
      <c r="K66" s="348" t="inlineStr">
        <is>
          <t>预检通过资源／规划锁定／待入库</t>
        </is>
      </c>
      <c r="L66" s="349" t="inlineStr">
        <is>
          <t>装备资源库血月荆棘·猩月</t>
        </is>
      </c>
    </row>
    <row r="67" ht="34" customHeight="1">
      <c r="A67" s="347" t="inlineStr">
        <is>
          <t>C03-M063</t>
        </is>
      </c>
      <c r="B67" s="348" t="inlineStr">
        <is>
          <t>C03</t>
        </is>
      </c>
      <c r="C67" s="348" t="inlineStr">
        <is>
          <t>宁姆格福西域</t>
        </is>
      </c>
      <c r="D67" s="348" t="inlineStr">
        <is>
          <t>XX136</t>
        </is>
      </c>
      <c r="E67" s="348" t="inlineStr">
        <is>
          <t>圣露侍从</t>
        </is>
      </c>
      <c r="F67" s="348" t="inlineStr">
        <is>
          <t>普通</t>
        </is>
      </c>
      <c r="G67" s="348" t="inlineStr">
        <is>
          <t>圣露护腕</t>
        </is>
      </c>
      <c r="H67" s="348" t="inlineStr">
        <is>
          <t>手镯</t>
        </is>
      </c>
      <c r="I67" s="348" t="inlineStr">
        <is>
          <t>手镯</t>
        </is>
      </c>
      <c r="J67" s="348" t="n">
        <v>6612</v>
      </c>
      <c r="K67" s="348" t="inlineStr">
        <is>
          <t>预检通过资源／规划锁定／待入库</t>
        </is>
      </c>
      <c r="L67" s="349" t="inlineStr">
        <is>
          <t>装备资源库血月荆棘·荆冠</t>
        </is>
      </c>
    </row>
    <row r="68" ht="34" customHeight="1">
      <c r="A68" s="347" t="inlineStr">
        <is>
          <t>C03-M064</t>
        </is>
      </c>
      <c r="B68" s="348" t="inlineStr">
        <is>
          <t>C03</t>
        </is>
      </c>
      <c r="C68" s="348" t="inlineStr">
        <is>
          <t>宁姆格福西域</t>
        </is>
      </c>
      <c r="D68" s="348" t="inlineStr">
        <is>
          <t>XX136</t>
        </is>
      </c>
      <c r="E68" s="348" t="inlineStr">
        <is>
          <t>镀金战鹰</t>
        </is>
      </c>
      <c r="F68" s="348" t="inlineStr">
        <is>
          <t>普通</t>
        </is>
      </c>
      <c r="G68" s="348" t="inlineStr">
        <is>
          <t>镀金羽冠</t>
        </is>
      </c>
      <c r="H68" s="348" t="inlineStr">
        <is>
          <t>头盔</t>
        </is>
      </c>
      <c r="I68" s="348" t="inlineStr">
        <is>
          <t>头盔</t>
        </is>
      </c>
      <c r="J68" s="348" t="n">
        <v>6644</v>
      </c>
      <c r="K68" s="348" t="inlineStr">
        <is>
          <t>预检通过资源／规划锁定／待入库</t>
        </is>
      </c>
      <c r="L68" s="349" t="inlineStr">
        <is>
          <t>装备资源库血月荆棘·猩月</t>
        </is>
      </c>
    </row>
    <row r="69" ht="34" customHeight="1">
      <c r="A69" s="347" t="inlineStr">
        <is>
          <t>C03-M065</t>
        </is>
      </c>
      <c r="B69" s="348" t="inlineStr">
        <is>
          <t>C03</t>
        </is>
      </c>
      <c r="C69" s="348" t="inlineStr">
        <is>
          <t>宁姆格福西域</t>
        </is>
      </c>
      <c r="D69" s="348" t="inlineStr">
        <is>
          <t>XX169</t>
        </is>
      </c>
      <c r="E69" s="348" t="inlineStr">
        <is>
          <t>赐福骑兵</t>
        </is>
      </c>
      <c r="F69" s="348" t="inlineStr">
        <is>
          <t>普通</t>
        </is>
      </c>
      <c r="G69" s="348" t="inlineStr">
        <is>
          <t>赐福战靴</t>
        </is>
      </c>
      <c r="H69" s="348" t="inlineStr">
        <is>
          <t>鞋子</t>
        </is>
      </c>
      <c r="I69" s="348" t="inlineStr">
        <is>
          <t>鞋子</t>
        </is>
      </c>
      <c r="J69" s="348" t="n">
        <v>6617</v>
      </c>
      <c r="K69" s="348" t="inlineStr">
        <is>
          <t>预检通过资源／规划锁定／待入库</t>
        </is>
      </c>
      <c r="L69" s="349" t="inlineStr">
        <is>
          <t>装备资源库血月荆棘·荆冠</t>
        </is>
      </c>
    </row>
    <row r="70" ht="34" customHeight="1">
      <c r="A70" s="347" t="inlineStr">
        <is>
          <t>C03-M066</t>
        </is>
      </c>
      <c r="B70" s="348" t="inlineStr">
        <is>
          <t>C03</t>
        </is>
      </c>
      <c r="C70" s="348" t="inlineStr">
        <is>
          <t>宁姆格福西域</t>
        </is>
      </c>
      <c r="D70" s="348" t="inlineStr">
        <is>
          <t>XX169</t>
        </is>
      </c>
      <c r="E70" s="348" t="inlineStr">
        <is>
          <t>哨垒执炬者</t>
        </is>
      </c>
      <c r="F70" s="348" t="inlineStr">
        <is>
          <t>普通</t>
        </is>
      </c>
      <c r="G70" s="348" t="inlineStr">
        <is>
          <t>执炬勋章</t>
        </is>
      </c>
      <c r="H70" s="348" t="inlineStr">
        <is>
          <t>勋章</t>
        </is>
      </c>
      <c r="I70" s="348" t="inlineStr">
        <is>
          <t>勋章</t>
        </is>
      </c>
      <c r="J70" s="348" t="n">
        <v>6649</v>
      </c>
      <c r="K70" s="348" t="inlineStr">
        <is>
          <t>预检通过资源／规划锁定／待入库</t>
        </is>
      </c>
      <c r="L70" s="349" t="inlineStr">
        <is>
          <t>装备资源库血月荆棘·猩月</t>
        </is>
      </c>
    </row>
    <row r="71" ht="34" customHeight="1">
      <c r="A71" s="347" t="inlineStr">
        <is>
          <t>C03-M067</t>
        </is>
      </c>
      <c r="B71" s="348" t="inlineStr">
        <is>
          <t>C03</t>
        </is>
      </c>
      <c r="C71" s="348" t="inlineStr">
        <is>
          <t>宁姆格福西域</t>
        </is>
      </c>
      <c r="D71" s="348" t="inlineStr">
        <is>
          <t>XX140</t>
        </is>
      </c>
      <c r="E71" s="348" t="inlineStr">
        <is>
          <t>黄金树旗卫</t>
        </is>
      </c>
      <c r="F71" s="348" t="inlineStr">
        <is>
          <t>稀有</t>
        </is>
      </c>
      <c r="G71" s="348" t="inlineStr">
        <is>
          <t>黄金旗甲</t>
        </is>
      </c>
      <c r="H71" s="348" t="inlineStr">
        <is>
          <t>衣服</t>
        </is>
      </c>
      <c r="I71" s="348" t="inlineStr">
        <is>
          <t>男衣服（现行模板的衣服映射）</t>
        </is>
      </c>
      <c r="J71" s="348" t="n">
        <v>7110</v>
      </c>
      <c r="K71" s="348" t="inlineStr">
        <is>
          <t>测试三库资源已回读</t>
        </is>
      </c>
      <c r="L71" s="349" t="inlineStr">
        <is>
          <t>测试资源：0142_黄金圣树·永恒_男衣服.bmp；三库同码</t>
        </is>
      </c>
    </row>
    <row r="72" ht="34" customHeight="1">
      <c r="A72" s="347" t="inlineStr">
        <is>
          <t>C03-M068</t>
        </is>
      </c>
      <c r="B72" s="348" t="inlineStr">
        <is>
          <t>C03</t>
        </is>
      </c>
      <c r="C72" s="348" t="inlineStr">
        <is>
          <t>宁姆格福西域</t>
        </is>
      </c>
      <c r="D72" s="348" t="inlineStr">
        <is>
          <t>XX136</t>
        </is>
      </c>
      <c r="E72" s="348" t="inlineStr">
        <is>
          <t>圣律监军</t>
        </is>
      </c>
      <c r="F72" s="348" t="inlineStr">
        <is>
          <t>稀有</t>
        </is>
      </c>
      <c r="G72" s="348" t="inlineStr">
        <is>
          <t>圣律戒印</t>
        </is>
      </c>
      <c r="H72" s="348" t="inlineStr">
        <is>
          <t>戒指</t>
        </is>
      </c>
      <c r="I72" s="348" t="inlineStr">
        <is>
          <t>戒指</t>
        </is>
      </c>
      <c r="J72" s="348" t="n">
        <v>6683</v>
      </c>
      <c r="K72" s="348" t="inlineStr">
        <is>
          <t>预检通过资源／规划锁定／待入库</t>
        </is>
      </c>
      <c r="L72" s="349" t="inlineStr">
        <is>
          <t>装备资源库血月荆棘·弑王</t>
        </is>
      </c>
    </row>
    <row r="73" ht="34" customHeight="1">
      <c r="A73" s="347" t="inlineStr">
        <is>
          <t>C03-M069</t>
        </is>
      </c>
      <c r="B73" s="348" t="inlineStr">
        <is>
          <t>C03</t>
        </is>
      </c>
      <c r="C73" s="348" t="inlineStr">
        <is>
          <t>宁姆格福西域</t>
        </is>
      </c>
      <c r="D73" s="348" t="inlineStr">
        <is>
          <t>XX169</t>
        </is>
      </c>
      <c r="E73" s="348" t="inlineStr">
        <is>
          <t>赐福守门人</t>
        </is>
      </c>
      <c r="F73" s="348" t="inlineStr">
        <is>
          <t>稀有</t>
        </is>
      </c>
      <c r="G73" s="348" t="inlineStr">
        <is>
          <t>守门王盾</t>
        </is>
      </c>
      <c r="H73" s="348" t="inlineStr">
        <is>
          <t>盾牌</t>
        </is>
      </c>
      <c r="I73" s="348" t="inlineStr">
        <is>
          <t>盾牌</t>
        </is>
      </c>
      <c r="J73" s="348" t="n">
        <v>6580</v>
      </c>
      <c r="K73" s="348" t="inlineStr">
        <is>
          <t>预检通过资源／规划锁定／待入库</t>
        </is>
      </c>
      <c r="L73" s="349" t="inlineStr">
        <is>
          <t>装备资源库血月荆棘·血痕</t>
        </is>
      </c>
    </row>
    <row r="74" ht="34" customHeight="1">
      <c r="A74" s="347" t="inlineStr">
        <is>
          <t>C03-M070</t>
        </is>
      </c>
      <c r="B74" s="348" t="inlineStr">
        <is>
          <t>C03</t>
        </is>
      </c>
      <c r="C74" s="348" t="inlineStr">
        <is>
          <t>宁姆格福西域</t>
        </is>
      </c>
      <c r="D74" s="348" t="inlineStr">
        <is>
          <t>XX169</t>
        </is>
      </c>
      <c r="E74" s="348" t="inlineStr">
        <is>
          <t>哨垒祷告师</t>
        </is>
      </c>
      <c r="F74" s="348" t="inlineStr">
        <is>
          <t>稀有</t>
        </is>
      </c>
      <c r="G74" s="348" t="inlineStr">
        <is>
          <t>赐光祷誓镯</t>
        </is>
      </c>
      <c r="H74" s="348" t="inlineStr">
        <is>
          <t>手镯</t>
        </is>
      </c>
      <c r="I74" s="348" t="inlineStr">
        <is>
          <t>手镯</t>
        </is>
      </c>
      <c r="J74" s="348" t="n">
        <v>6647</v>
      </c>
      <c r="K74" s="348" t="inlineStr">
        <is>
          <t>预检通过资源／规划锁定／待入库</t>
        </is>
      </c>
      <c r="L74" s="349" t="inlineStr">
        <is>
          <t>装备资源库血月荆棘·猩月</t>
        </is>
      </c>
    </row>
    <row r="75" ht="34" customHeight="1">
      <c r="A75" s="347" t="inlineStr">
        <is>
          <t>C03-M071</t>
        </is>
      </c>
      <c r="B75" s="348" t="inlineStr">
        <is>
          <t>C03</t>
        </is>
      </c>
      <c r="C75" s="348" t="inlineStr">
        <is>
          <t>宁姆格福西域</t>
        </is>
      </c>
      <c r="D75" s="348" t="inlineStr">
        <is>
          <t>XX136</t>
        </is>
      </c>
      <c r="E75" s="348" t="inlineStr">
        <is>
          <t>金叶统帅·艾德</t>
        </is>
      </c>
      <c r="F75" s="348" t="inlineStr">
        <is>
          <t>地图BOSS</t>
        </is>
      </c>
      <c r="G75" s="348" t="inlineStr">
        <is>
          <t>艾德统帅剑</t>
        </is>
      </c>
      <c r="H75" s="348" t="inlineStr">
        <is>
          <t>武器</t>
        </is>
      </c>
      <c r="I75" s="348" t="inlineStr">
        <is>
          <t>武器</t>
        </is>
      </c>
      <c r="J75" s="348" t="n">
        <v>6606</v>
      </c>
      <c r="K75" s="348" t="inlineStr">
        <is>
          <t>预检通过资源／规划锁定／待入库</t>
        </is>
      </c>
      <c r="L75" s="349" t="inlineStr">
        <is>
          <t>装备资源库血月荆棘·荆冠</t>
        </is>
      </c>
    </row>
    <row r="76" ht="34" customHeight="1">
      <c r="A76" s="347" t="inlineStr">
        <is>
          <t>C03-M072</t>
        </is>
      </c>
      <c r="B76" s="348" t="inlineStr">
        <is>
          <t>C03</t>
        </is>
      </c>
      <c r="C76" s="348" t="inlineStr">
        <is>
          <t>宁姆格福西域</t>
        </is>
      </c>
      <c r="D76" s="348" t="inlineStr">
        <is>
          <t>XX169</t>
        </is>
      </c>
      <c r="E76" s="348" t="inlineStr">
        <is>
          <t>黄金树化身·洛恩</t>
        </is>
      </c>
      <c r="F76" s="348" t="inlineStr">
        <is>
          <t>地图BOSS</t>
        </is>
      </c>
      <c r="G76" s="348" t="inlineStr">
        <is>
          <t>洛恩树心甲</t>
        </is>
      </c>
      <c r="H76" s="348" t="inlineStr">
        <is>
          <t>衣服</t>
        </is>
      </c>
      <c r="I76" s="348" t="inlineStr">
        <is>
          <t>男衣服（现行模板的衣服映射）</t>
        </is>
      </c>
      <c r="J76" s="348" t="n">
        <v>6607</v>
      </c>
      <c r="K76" s="348" t="inlineStr">
        <is>
          <t>预检通过资源／规划锁定／待入库</t>
        </is>
      </c>
      <c r="L76" s="349" t="inlineStr">
        <is>
          <t>按现行装备模板映射男衣服StdMode10；血月荆棘·荆冠</t>
        </is>
      </c>
    </row>
    <row r="77" ht="34" customHeight="1">
      <c r="A77" s="347" t="inlineStr">
        <is>
          <t>C03-M073</t>
        </is>
      </c>
      <c r="B77" s="348" t="inlineStr">
        <is>
          <t>C03</t>
        </is>
      </c>
      <c r="C77" s="348" t="inlineStr">
        <is>
          <t>宁姆格福西域</t>
        </is>
      </c>
      <c r="D77" s="348" t="inlineStr">
        <is>
          <t>XX169</t>
        </is>
      </c>
      <c r="E77" s="348" t="inlineStr">
        <is>
          <t>西境征服者·戈德里安</t>
        </is>
      </c>
      <c r="F77" s="348" t="inlineStr">
        <is>
          <t>守关BOSS</t>
        </is>
      </c>
      <c r="G77" s="348" t="inlineStr">
        <is>
          <t>西境征服冠</t>
        </is>
      </c>
      <c r="H77" s="348" t="inlineStr">
        <is>
          <t>头盔</t>
        </is>
      </c>
      <c r="I77" s="348" t="inlineStr">
        <is>
          <t>头盔</t>
        </is>
      </c>
      <c r="J77" s="348" t="n">
        <v>6679</v>
      </c>
      <c r="K77" s="348" t="inlineStr">
        <is>
          <t>预检通过资源／规划锁定／待入库</t>
        </is>
      </c>
      <c r="L77" s="349" t="inlineStr">
        <is>
          <t>装备资源库血月荆棘·弑王</t>
        </is>
      </c>
    </row>
    <row r="78" ht="34" customHeight="1">
      <c r="A78" s="347" t="inlineStr">
        <is>
          <t>C04-M001</t>
        </is>
      </c>
      <c r="B78" s="348" t="inlineStr">
        <is>
          <t>C04</t>
        </is>
      </c>
      <c r="C78" s="348" t="inlineStr">
        <is>
          <t>利耶尼亚海域</t>
        </is>
      </c>
      <c r="D78" s="348" t="inlineStr">
        <is>
          <t>XX341</t>
        </is>
      </c>
      <c r="E78" s="348" t="inlineStr">
        <is>
          <t>雾脚泥蛙</t>
        </is>
      </c>
      <c r="F78" s="348" t="inlineStr">
        <is>
          <t>普通</t>
        </is>
      </c>
      <c r="G78" s="348" t="inlineStr">
        <is>
          <t>雾脚蹼靴</t>
        </is>
      </c>
      <c r="H78" s="348" t="inlineStr">
        <is>
          <t>鞋子</t>
        </is>
      </c>
      <c r="I78" s="348" t="inlineStr">
        <is>
          <t>鞋子</t>
        </is>
      </c>
      <c r="J78" s="348" t="n">
        <v>6652</v>
      </c>
      <c r="K78" s="348" t="inlineStr">
        <is>
          <t>预检通过资源／规划锁定／待入库</t>
        </is>
      </c>
      <c r="L78" s="349" t="inlineStr">
        <is>
          <t>装备资源库血月荆棘·猩月</t>
        </is>
      </c>
    </row>
    <row r="79" ht="34" customHeight="1">
      <c r="A79" s="347" t="inlineStr">
        <is>
          <t>C04-M002</t>
        </is>
      </c>
      <c r="B79" s="348" t="inlineStr">
        <is>
          <t>C04</t>
        </is>
      </c>
      <c r="C79" s="348" t="inlineStr">
        <is>
          <t>利耶尼亚海域</t>
        </is>
      </c>
      <c r="D79" s="348" t="inlineStr">
        <is>
          <t>XX341</t>
        </is>
      </c>
      <c r="E79" s="348" t="inlineStr">
        <is>
          <t>苔冠沼鹿</t>
        </is>
      </c>
      <c r="F79" s="348" t="inlineStr">
        <is>
          <t>普通</t>
        </is>
      </c>
      <c r="G79" s="348" t="inlineStr">
        <is>
          <t>沼鹿苔冠</t>
        </is>
      </c>
      <c r="H79" s="348" t="inlineStr">
        <is>
          <t>头盔</t>
        </is>
      </c>
      <c r="I79" s="348" t="inlineStr">
        <is>
          <t>头盔</t>
        </is>
      </c>
      <c r="J79" s="348" t="n">
        <v>6714</v>
      </c>
      <c r="K79" s="348" t="inlineStr">
        <is>
          <t>预检通过资源／规划锁定／待入库</t>
        </is>
      </c>
      <c r="L79" s="349" t="inlineStr">
        <is>
          <t>装备资源库血月荆棘·血月</t>
        </is>
      </c>
    </row>
    <row r="80" ht="34" customHeight="1">
      <c r="A80" s="347" t="inlineStr">
        <is>
          <t>C04-M003</t>
        </is>
      </c>
      <c r="B80" s="348" t="inlineStr">
        <is>
          <t>C04</t>
        </is>
      </c>
      <c r="C80" s="348" t="inlineStr">
        <is>
          <t>利耶尼亚海域</t>
        </is>
      </c>
      <c r="D80" s="348" t="inlineStr">
        <is>
          <t>XX341</t>
        </is>
      </c>
      <c r="E80" s="348" t="inlineStr">
        <is>
          <t>潮沟芦妖</t>
        </is>
      </c>
      <c r="F80" s="348" t="inlineStr">
        <is>
          <t>普通</t>
        </is>
      </c>
      <c r="G80" s="348" t="inlineStr">
        <is>
          <t>芦针腕环</t>
        </is>
      </c>
      <c r="H80" s="348" t="inlineStr">
        <is>
          <t>手镯</t>
        </is>
      </c>
      <c r="I80" s="348" t="inlineStr">
        <is>
          <t>手镯</t>
        </is>
      </c>
      <c r="J80" s="348" t="n">
        <v>6682</v>
      </c>
      <c r="K80" s="348" t="inlineStr">
        <is>
          <t>预检通过资源／规划锁定／待入库</t>
        </is>
      </c>
      <c r="L80" s="349" t="inlineStr">
        <is>
          <t>装备资源库血月荆棘·弑王</t>
        </is>
      </c>
    </row>
    <row r="81" ht="34" customHeight="1">
      <c r="A81" s="347" t="inlineStr">
        <is>
          <t>C04-M004</t>
        </is>
      </c>
      <c r="B81" s="348" t="inlineStr">
        <is>
          <t>C04</t>
        </is>
      </c>
      <c r="C81" s="348" t="inlineStr">
        <is>
          <t>利耶尼亚海域</t>
        </is>
      </c>
      <c r="D81" s="348" t="inlineStr">
        <is>
          <t>XX342</t>
        </is>
      </c>
      <c r="E81" s="348" t="inlineStr">
        <is>
          <t>腐雾钳虾</t>
        </is>
      </c>
      <c r="F81" s="348" t="inlineStr">
        <is>
          <t>普通</t>
        </is>
      </c>
      <c r="G81" s="348" t="inlineStr">
        <is>
          <t>青壳沼盾</t>
        </is>
      </c>
      <c r="H81" s="348" t="inlineStr">
        <is>
          <t>盾牌</t>
        </is>
      </c>
      <c r="I81" s="348" t="inlineStr">
        <is>
          <t>盾牌</t>
        </is>
      </c>
      <c r="J81" s="348" t="n">
        <v>6615</v>
      </c>
      <c r="K81" s="348" t="inlineStr">
        <is>
          <t>预检通过资源／规划锁定／待入库</t>
        </is>
      </c>
      <c r="L81" s="349" t="inlineStr">
        <is>
          <t>装备资源库血月荆棘·荆冠</t>
        </is>
      </c>
    </row>
    <row r="82" ht="34" customHeight="1">
      <c r="A82" s="347" t="inlineStr">
        <is>
          <t>C04-M005</t>
        </is>
      </c>
      <c r="B82" s="348" t="inlineStr">
        <is>
          <t>C04</t>
        </is>
      </c>
      <c r="C82" s="348" t="inlineStr">
        <is>
          <t>利耶尼亚海域</t>
        </is>
      </c>
      <c r="D82" s="348" t="inlineStr">
        <is>
          <t>XX342</t>
        </is>
      </c>
      <c r="E82" s="348" t="inlineStr">
        <is>
          <t>烂泽水蛭</t>
        </is>
      </c>
      <c r="F82" s="348" t="inlineStr">
        <is>
          <t>普通</t>
        </is>
      </c>
      <c r="G82" s="348" t="inlineStr">
        <is>
          <t>吸潮血戒</t>
        </is>
      </c>
      <c r="H82" s="348" t="inlineStr">
        <is>
          <t>戒指</t>
        </is>
      </c>
      <c r="I82" s="348" t="inlineStr">
        <is>
          <t>戒指</t>
        </is>
      </c>
      <c r="J82" s="348" t="n">
        <v>6718</v>
      </c>
      <c r="K82" s="348" t="inlineStr">
        <is>
          <t>预检通过资源／规划锁定／待入库</t>
        </is>
      </c>
      <c r="L82" s="349" t="inlineStr">
        <is>
          <t>装备资源库血月荆棘·血月</t>
        </is>
      </c>
    </row>
    <row r="83" ht="34" customHeight="1">
      <c r="A83" s="347" t="inlineStr">
        <is>
          <t>C04-M006</t>
        </is>
      </c>
      <c r="B83" s="348" t="inlineStr">
        <is>
          <t>C04</t>
        </is>
      </c>
      <c r="C83" s="348" t="inlineStr">
        <is>
          <t>利耶尼亚海域</t>
        </is>
      </c>
      <c r="D83" s="348" t="inlineStr">
        <is>
          <t>XX342</t>
        </is>
      </c>
      <c r="E83" s="348" t="inlineStr">
        <is>
          <t>蒙眼采藕人</t>
        </is>
      </c>
      <c r="F83" s="348" t="inlineStr">
        <is>
          <t>普通</t>
        </is>
      </c>
      <c r="G83" s="348" t="inlineStr">
        <is>
          <t>盲采藕刀</t>
        </is>
      </c>
      <c r="H83" s="348" t="inlineStr">
        <is>
          <t>武器</t>
        </is>
      </c>
      <c r="I83" s="348" t="inlineStr">
        <is>
          <t>武器</t>
        </is>
      </c>
      <c r="J83" s="348" t="n">
        <v>7111</v>
      </c>
      <c r="K83" s="348" t="inlineStr">
        <is>
          <t>测试三库资源已回读</t>
        </is>
      </c>
      <c r="L83" s="349" t="inlineStr">
        <is>
          <t>测试资源：0351_星渊龙息·星痕_武器.bmp；三库同码</t>
        </is>
      </c>
    </row>
    <row r="84" ht="34" customHeight="1">
      <c r="A84" s="347" t="inlineStr">
        <is>
          <t>C04-M007</t>
        </is>
      </c>
      <c r="B84" s="348" t="inlineStr">
        <is>
          <t>C04</t>
        </is>
      </c>
      <c r="C84" s="348" t="inlineStr">
        <is>
          <t>利耶尼亚海域</t>
        </is>
      </c>
      <c r="D84" s="348" t="inlineStr">
        <is>
          <t>XX341</t>
        </is>
      </c>
      <c r="E84" s="348" t="inlineStr">
        <is>
          <t>雾纱水巫</t>
        </is>
      </c>
      <c r="F84" s="348" t="inlineStr">
        <is>
          <t>稀有</t>
        </is>
      </c>
      <c r="G84" s="348" t="inlineStr">
        <is>
          <t>水巫雾纱笠</t>
        </is>
      </c>
      <c r="H84" s="348" t="inlineStr">
        <is>
          <t>斗笠</t>
        </is>
      </c>
      <c r="I84" s="348" t="inlineStr">
        <is>
          <t>面巾（位置13，对应斗笠）</t>
        </is>
      </c>
      <c r="J84" s="348" t="n">
        <v>6505</v>
      </c>
      <c r="K84" s="348" t="inlineStr">
        <is>
          <t>预检通过资源／规划锁定／待入库</t>
        </is>
      </c>
      <c r="L84" s="349" t="inlineStr">
        <is>
          <t>StdMode16/位置13；黄金圣树·律法</t>
        </is>
      </c>
    </row>
    <row r="85" ht="34" customHeight="1">
      <c r="A85" s="347" t="inlineStr">
        <is>
          <t>C04-M008</t>
        </is>
      </c>
      <c r="B85" s="348" t="inlineStr">
        <is>
          <t>C04</t>
        </is>
      </c>
      <c r="C85" s="348" t="inlineStr">
        <is>
          <t>利耶尼亚海域</t>
        </is>
      </c>
      <c r="D85" s="348" t="inlineStr">
        <is>
          <t>XX341</t>
        </is>
      </c>
      <c r="E85" s="348" t="inlineStr">
        <is>
          <t>银腹塘鳄</t>
        </is>
      </c>
      <c r="F85" s="348" t="inlineStr">
        <is>
          <t>稀有</t>
        </is>
      </c>
      <c r="G85" s="348" t="inlineStr">
        <is>
          <t>银腹鳄甲</t>
        </is>
      </c>
      <c r="H85" s="348" t="inlineStr">
        <is>
          <t>衣服</t>
        </is>
      </c>
      <c r="I85" s="348" t="inlineStr">
        <is>
          <t>男衣服（现行模板的衣服映射）</t>
        </is>
      </c>
      <c r="J85" s="348" t="n">
        <v>7112</v>
      </c>
      <c r="K85" s="348" t="inlineStr">
        <is>
          <t>测试三库资源已回读</t>
        </is>
      </c>
      <c r="L85" s="349" t="inlineStr">
        <is>
          <t>测试资源：0177_血月荆棘·血痕_男衣服.bmp；三库同码</t>
        </is>
      </c>
    </row>
    <row r="86" ht="34" customHeight="1">
      <c r="A86" s="347" t="inlineStr">
        <is>
          <t>C04-M009</t>
        </is>
      </c>
      <c r="B86" s="348" t="inlineStr">
        <is>
          <t>C04</t>
        </is>
      </c>
      <c r="C86" s="348" t="inlineStr">
        <is>
          <t>利耶尼亚海域</t>
        </is>
      </c>
      <c r="D86" s="348" t="inlineStr">
        <is>
          <t>XX342</t>
        </is>
      </c>
      <c r="E86" s="348" t="inlineStr">
        <is>
          <t>腐泽孢母</t>
        </is>
      </c>
      <c r="F86" s="348" t="inlineStr">
        <is>
          <t>稀有</t>
        </is>
      </c>
      <c r="G86" s="348" t="inlineStr">
        <is>
          <t>孢母菌带</t>
        </is>
      </c>
      <c r="H86" s="348" t="inlineStr">
        <is>
          <t>腰带</t>
        </is>
      </c>
      <c r="I86" s="348" t="inlineStr">
        <is>
          <t>腰带</t>
        </is>
      </c>
      <c r="J86" s="348" t="n">
        <v>6583</v>
      </c>
      <c r="K86" s="348" t="inlineStr">
        <is>
          <t>预检通过资源／规划锁定／待入库</t>
        </is>
      </c>
      <c r="L86" s="349" t="inlineStr">
        <is>
          <t>装备资源库血月荆棘·血痕</t>
        </is>
      </c>
    </row>
    <row r="87" ht="34" customHeight="1">
      <c r="A87" s="347" t="inlineStr">
        <is>
          <t>C04-M010</t>
        </is>
      </c>
      <c r="B87" s="348" t="inlineStr">
        <is>
          <t>C04</t>
        </is>
      </c>
      <c r="C87" s="348" t="inlineStr">
        <is>
          <t>利耶尼亚海域</t>
        </is>
      </c>
      <c r="D87" s="348" t="inlineStr">
        <is>
          <t>XX342</t>
        </is>
      </c>
      <c r="E87" s="348" t="inlineStr">
        <is>
          <t>提灯溺客</t>
        </is>
      </c>
      <c r="F87" s="348" t="inlineStr">
        <is>
          <t>稀有</t>
        </is>
      </c>
      <c r="G87" s="348" t="inlineStr">
        <is>
          <t>溺客灯坠</t>
        </is>
      </c>
      <c r="H87" s="348" t="inlineStr">
        <is>
          <t>项链</t>
        </is>
      </c>
      <c r="I87" s="348" t="inlineStr">
        <is>
          <t>项链</t>
        </is>
      </c>
      <c r="J87" s="348" t="n">
        <v>6716</v>
      </c>
      <c r="K87" s="348" t="inlineStr">
        <is>
          <t>预检通过资源／规划锁定／待入库</t>
        </is>
      </c>
      <c r="L87" s="349" t="inlineStr">
        <is>
          <t>装备资源库血月荆棘·血月</t>
        </is>
      </c>
    </row>
    <row r="88" ht="34" customHeight="1">
      <c r="A88" s="347" t="inlineStr">
        <is>
          <t>C04-M011</t>
        </is>
      </c>
      <c r="B88" s="348" t="inlineStr">
        <is>
          <t>C04</t>
        </is>
      </c>
      <c r="C88" s="348" t="inlineStr">
        <is>
          <t>利耶尼亚海域</t>
        </is>
      </c>
      <c r="D88" s="348" t="inlineStr">
        <is>
          <t>XX341</t>
        </is>
      </c>
      <c r="E88" s="348" t="inlineStr">
        <is>
          <t>潮痕猎首·葛弥</t>
        </is>
      </c>
      <c r="F88" s="348" t="inlineStr">
        <is>
          <t>地图BOSS</t>
        </is>
      </c>
      <c r="G88" s="348" t="inlineStr">
        <is>
          <t>葛弥的雾齿叉</t>
        </is>
      </c>
      <c r="H88" s="348" t="inlineStr">
        <is>
          <t>武器</t>
        </is>
      </c>
      <c r="I88" s="348" t="inlineStr">
        <is>
          <t>武器</t>
        </is>
      </c>
      <c r="J88" s="348" t="n">
        <v>6641</v>
      </c>
      <c r="K88" s="348" t="inlineStr">
        <is>
          <t>预检通过资源／规划锁定／待入库</t>
        </is>
      </c>
      <c r="L88" s="349" t="inlineStr">
        <is>
          <t>装备资源库血月荆棘·猩月</t>
        </is>
      </c>
    </row>
    <row r="89" ht="34" customHeight="1">
      <c r="A89" s="347" t="inlineStr">
        <is>
          <t>C04-M012</t>
        </is>
      </c>
      <c r="B89" s="348" t="inlineStr">
        <is>
          <t>C04</t>
        </is>
      </c>
      <c r="C89" s="348" t="inlineStr">
        <is>
          <t>利耶尼亚海域</t>
        </is>
      </c>
      <c r="D89" s="348" t="inlineStr">
        <is>
          <t>XX342</t>
        </is>
      </c>
      <c r="E89" s="348" t="inlineStr">
        <is>
          <t>沼冠腐龙·弥瑟</t>
        </is>
      </c>
      <c r="F89" s="348" t="inlineStr">
        <is>
          <t>地图BOSS</t>
        </is>
      </c>
      <c r="G89" s="348" t="inlineStr">
        <is>
          <t>弥瑟腐鳞衣</t>
        </is>
      </c>
      <c r="H89" s="348" t="inlineStr">
        <is>
          <t>衣服</t>
        </is>
      </c>
      <c r="I89" s="348" t="inlineStr">
        <is>
          <t>男衣服（现行模板的衣服映射）</t>
        </is>
      </c>
      <c r="J89" s="348" t="n">
        <v>6642</v>
      </c>
      <c r="K89" s="348" t="inlineStr">
        <is>
          <t>预检通过资源／规划锁定／待入库</t>
        </is>
      </c>
      <c r="L89" s="349" t="inlineStr">
        <is>
          <t>按现行装备模板映射男衣服StdMode10；血月荆棘·猩月</t>
        </is>
      </c>
    </row>
    <row r="90" ht="34" customHeight="1">
      <c r="A90" s="347" t="inlineStr">
        <is>
          <t>C04-M013</t>
        </is>
      </c>
      <c r="B90" s="348" t="inlineStr">
        <is>
          <t>C04</t>
        </is>
      </c>
      <c r="C90" s="348" t="inlineStr">
        <is>
          <t>利耶尼亚海域</t>
        </is>
      </c>
      <c r="D90" s="348" t="inlineStr">
        <is>
          <t>XX337</t>
        </is>
      </c>
      <c r="E90" s="348" t="inlineStr">
        <is>
          <t>潜碑拾荒者</t>
        </is>
      </c>
      <c r="F90" s="348" t="inlineStr">
        <is>
          <t>普通</t>
        </is>
      </c>
      <c r="G90" s="348" t="inlineStr">
        <is>
          <t>拾碑短刃</t>
        </is>
      </c>
      <c r="H90" s="348" t="inlineStr">
        <is>
          <t>武器</t>
        </is>
      </c>
      <c r="I90" s="348" t="inlineStr">
        <is>
          <t>武器</t>
        </is>
      </c>
      <c r="J90" s="348" t="n">
        <v>7113</v>
      </c>
      <c r="K90" s="348" t="inlineStr">
        <is>
          <t>测试三库资源已回读</t>
        </is>
      </c>
      <c r="L90" s="349" t="inlineStr">
        <is>
          <t>测试资源：0386_星渊龙息·龙鳞_武器.bmp；三库同码</t>
        </is>
      </c>
    </row>
    <row r="91" ht="34" customHeight="1">
      <c r="A91" s="347" t="inlineStr">
        <is>
          <t>C04-M014</t>
        </is>
      </c>
      <c r="B91" s="348" t="inlineStr">
        <is>
          <t>C04</t>
        </is>
      </c>
      <c r="C91" s="348" t="inlineStr">
        <is>
          <t>利耶尼亚海域</t>
        </is>
      </c>
      <c r="D91" s="348" t="inlineStr">
        <is>
          <t>XX337</t>
        </is>
      </c>
      <c r="E91" s="348" t="inlineStr">
        <is>
          <t>藻甲石仆</t>
        </is>
      </c>
      <c r="F91" s="348" t="inlineStr">
        <is>
          <t>普通</t>
        </is>
      </c>
      <c r="G91" s="348" t="inlineStr">
        <is>
          <t>藻纹石盔</t>
        </is>
      </c>
      <c r="H91" s="348" t="inlineStr">
        <is>
          <t>头盔</t>
        </is>
      </c>
      <c r="I91" s="348" t="inlineStr">
        <is>
          <t>头盔</t>
        </is>
      </c>
      <c r="J91" s="348" t="n">
        <v>6749</v>
      </c>
      <c r="K91" s="348" t="inlineStr">
        <is>
          <t>预检通过资源／规划锁定／待入库</t>
        </is>
      </c>
      <c r="L91" s="349" t="inlineStr">
        <is>
          <t>装备资源库星渊龙息·星痕</t>
        </is>
      </c>
    </row>
    <row r="92" ht="34" customHeight="1">
      <c r="A92" s="347" t="inlineStr">
        <is>
          <t>C04-M015</t>
        </is>
      </c>
      <c r="B92" s="348" t="inlineStr">
        <is>
          <t>C04</t>
        </is>
      </c>
      <c r="C92" s="348" t="inlineStr">
        <is>
          <t>利耶尼亚海域</t>
        </is>
      </c>
      <c r="D92" s="348" t="inlineStr">
        <is>
          <t>XX336</t>
        </is>
      </c>
      <c r="E92" s="348" t="inlineStr">
        <is>
          <t>回廊水弩手</t>
        </is>
      </c>
      <c r="F92" s="348" t="inlineStr">
        <is>
          <t>普通</t>
        </is>
      </c>
      <c r="G92" s="348" t="inlineStr">
        <is>
          <t>浸廊手弩</t>
        </is>
      </c>
      <c r="H92" s="348" t="inlineStr">
        <is>
          <t>武器</t>
        </is>
      </c>
      <c r="I92" s="348" t="inlineStr">
        <is>
          <t>武器</t>
        </is>
      </c>
      <c r="J92" s="348" t="n">
        <v>7114</v>
      </c>
      <c r="K92" s="348" t="inlineStr">
        <is>
          <t>测试三库资源已回读</t>
        </is>
      </c>
      <c r="L92" s="349" t="inlineStr">
        <is>
          <t>测试资源：0421_星渊龙息·渊辉_武器.bmp；三库同码</t>
        </is>
      </c>
    </row>
    <row r="93" ht="34" customHeight="1">
      <c r="A93" s="347" t="inlineStr">
        <is>
          <t>C04-M016</t>
        </is>
      </c>
      <c r="B93" s="348" t="inlineStr">
        <is>
          <t>C04</t>
        </is>
      </c>
      <c r="C93" s="348" t="inlineStr">
        <is>
          <t>利耶尼亚海域</t>
        </is>
      </c>
      <c r="D93" s="348" t="inlineStr">
        <is>
          <t>XX336</t>
        </is>
      </c>
      <c r="E93" s="348" t="inlineStr">
        <is>
          <t>沉钟侍祭</t>
        </is>
      </c>
      <c r="F93" s="348" t="inlineStr">
        <is>
          <t>普通</t>
        </is>
      </c>
      <c r="G93" s="348" t="inlineStr">
        <is>
          <t>沉钟祭袍</t>
        </is>
      </c>
      <c r="H93" s="348" t="inlineStr">
        <is>
          <t>衣服</t>
        </is>
      </c>
      <c r="I93" s="348" t="inlineStr">
        <is>
          <t>男衣服（现行模板的衣服映射）</t>
        </is>
      </c>
      <c r="J93" s="348" t="n">
        <v>7115</v>
      </c>
      <c r="K93" s="348" t="inlineStr">
        <is>
          <t>测试三库资源已回读</t>
        </is>
      </c>
      <c r="L93" s="349" t="inlineStr">
        <is>
          <t>测试资源：0212_血月荆棘·荆冠_男衣服.bmp；三库同码</t>
        </is>
      </c>
    </row>
    <row r="94" ht="34" customHeight="1">
      <c r="A94" s="347" t="inlineStr">
        <is>
          <t>C04-M017</t>
        </is>
      </c>
      <c r="B94" s="348" t="inlineStr">
        <is>
          <t>C04</t>
        </is>
      </c>
      <c r="C94" s="348" t="inlineStr">
        <is>
          <t>利耶尼亚海域</t>
        </is>
      </c>
      <c r="D94" s="348" t="inlineStr">
        <is>
          <t>XX340</t>
        </is>
      </c>
      <c r="E94" s="348" t="inlineStr">
        <is>
          <t>祭坛盲鱼</t>
        </is>
      </c>
      <c r="F94" s="348" t="inlineStr">
        <is>
          <t>普通</t>
        </is>
      </c>
      <c r="G94" s="348" t="inlineStr">
        <is>
          <t>盲鱼鳍靴</t>
        </is>
      </c>
      <c r="H94" s="348" t="inlineStr">
        <is>
          <t>鞋子</t>
        </is>
      </c>
      <c r="I94" s="348" t="inlineStr">
        <is>
          <t>鞋子</t>
        </is>
      </c>
      <c r="J94" s="348" t="n">
        <v>6687</v>
      </c>
      <c r="K94" s="348" t="inlineStr">
        <is>
          <t>预检通过资源／规划锁定／待入库</t>
        </is>
      </c>
      <c r="L94" s="349" t="inlineStr">
        <is>
          <t>装备资源库血月荆棘·弑王</t>
        </is>
      </c>
    </row>
    <row r="95" ht="34" customHeight="1">
      <c r="A95" s="347" t="inlineStr">
        <is>
          <t>C04-M018</t>
        </is>
      </c>
      <c r="B95" s="348" t="inlineStr">
        <is>
          <t>C04</t>
        </is>
      </c>
      <c r="C95" s="348" t="inlineStr">
        <is>
          <t>利耶尼亚海域</t>
        </is>
      </c>
      <c r="D95" s="348" t="inlineStr">
        <is>
          <t>XX340</t>
        </is>
      </c>
      <c r="E95" s="348" t="inlineStr">
        <is>
          <t>捧盏泥俑</t>
        </is>
      </c>
      <c r="F95" s="348" t="inlineStr">
        <is>
          <t>普通</t>
        </is>
      </c>
      <c r="G95" s="348" t="inlineStr">
        <is>
          <t>供盏腕轮</t>
        </is>
      </c>
      <c r="H95" s="348" t="inlineStr">
        <is>
          <t>手镯</t>
        </is>
      </c>
      <c r="I95" s="348" t="inlineStr">
        <is>
          <t>手镯</t>
        </is>
      </c>
      <c r="J95" s="348" t="n">
        <v>6717</v>
      </c>
      <c r="K95" s="348" t="inlineStr">
        <is>
          <t>预检通过资源／规划锁定／待入库</t>
        </is>
      </c>
      <c r="L95" s="349" t="inlineStr">
        <is>
          <t>装备资源库血月荆棘·血月</t>
        </is>
      </c>
    </row>
    <row r="96" ht="34" customHeight="1">
      <c r="A96" s="347" t="inlineStr">
        <is>
          <t>C04-M019</t>
        </is>
      </c>
      <c r="B96" s="348" t="inlineStr">
        <is>
          <t>C04</t>
        </is>
      </c>
      <c r="C96" s="348" t="inlineStr">
        <is>
          <t>利耶尼亚海域</t>
        </is>
      </c>
      <c r="D96" s="348" t="inlineStr">
        <is>
          <t>XX337</t>
        </is>
      </c>
      <c r="E96" s="348" t="inlineStr">
        <is>
          <t>碑林巡潮官</t>
        </is>
      </c>
      <c r="F96" s="348" t="inlineStr">
        <is>
          <t>稀有</t>
        </is>
      </c>
      <c r="G96" s="348" t="inlineStr">
        <is>
          <t>巡潮重盾</t>
        </is>
      </c>
      <c r="H96" s="348" t="inlineStr">
        <is>
          <t>盾牌</t>
        </is>
      </c>
      <c r="I96" s="348" t="inlineStr">
        <is>
          <t>盾牌</t>
        </is>
      </c>
      <c r="J96" s="348" t="n">
        <v>6650</v>
      </c>
      <c r="K96" s="348" t="inlineStr">
        <is>
          <t>预检通过资源／规划锁定／待入库</t>
        </is>
      </c>
      <c r="L96" s="349" t="inlineStr">
        <is>
          <t>装备资源库血月荆棘·猩月</t>
        </is>
      </c>
    </row>
    <row r="97" ht="34" customHeight="1">
      <c r="A97" s="347" t="inlineStr">
        <is>
          <t>C04-M020</t>
        </is>
      </c>
      <c r="B97" s="348" t="inlineStr">
        <is>
          <t>C04</t>
        </is>
      </c>
      <c r="C97" s="348" t="inlineStr">
        <is>
          <t>利耶尼亚海域</t>
        </is>
      </c>
      <c r="D97" s="348" t="inlineStr">
        <is>
          <t>XX336</t>
        </is>
      </c>
      <c r="E97" s="348" t="inlineStr">
        <is>
          <t>断链湖狮</t>
        </is>
      </c>
      <c r="F97" s="348" t="inlineStr">
        <is>
          <t>稀有</t>
        </is>
      </c>
      <c r="G97" s="348" t="inlineStr">
        <is>
          <t>湖狮断链坠</t>
        </is>
      </c>
      <c r="H97" s="348" t="inlineStr">
        <is>
          <t>项链</t>
        </is>
      </c>
      <c r="I97" s="348" t="inlineStr">
        <is>
          <t>项链</t>
        </is>
      </c>
      <c r="J97" s="348" t="n">
        <v>6751</v>
      </c>
      <c r="K97" s="348" t="inlineStr">
        <is>
          <t>预检通过资源／规划锁定／待入库</t>
        </is>
      </c>
      <c r="L97" s="349" t="inlineStr">
        <is>
          <t>装备资源库星渊龙息·星痕</t>
        </is>
      </c>
    </row>
    <row r="98" ht="34" customHeight="1">
      <c r="A98" s="347" t="inlineStr">
        <is>
          <t>C04-M021</t>
        </is>
      </c>
      <c r="B98" s="348" t="inlineStr">
        <is>
          <t>C04</t>
        </is>
      </c>
      <c r="C98" s="348" t="inlineStr">
        <is>
          <t>利耶尼亚海域</t>
        </is>
      </c>
      <c r="D98" s="348" t="inlineStr">
        <is>
          <t>XX340</t>
        </is>
      </c>
      <c r="E98" s="348" t="inlineStr">
        <is>
          <t>蓝焰祷亡者</t>
        </is>
      </c>
      <c r="F98" s="348" t="inlineStr">
        <is>
          <t>稀有</t>
        </is>
      </c>
      <c r="G98" s="348" t="inlineStr">
        <is>
          <t>蓝焰祷戒</t>
        </is>
      </c>
      <c r="H98" s="348" t="inlineStr">
        <is>
          <t>戒指</t>
        </is>
      </c>
      <c r="I98" s="348" t="inlineStr">
        <is>
          <t>戒指</t>
        </is>
      </c>
      <c r="J98" s="348" t="n">
        <v>6753</v>
      </c>
      <c r="K98" s="348" t="inlineStr">
        <is>
          <t>预检通过资源／规划锁定／待入库</t>
        </is>
      </c>
      <c r="L98" s="349" t="inlineStr">
        <is>
          <t>装备资源库星渊龙息·星痕</t>
        </is>
      </c>
    </row>
    <row r="99" ht="34" customHeight="1">
      <c r="A99" s="347" t="inlineStr">
        <is>
          <t>C04-M022</t>
        </is>
      </c>
      <c r="B99" s="348" t="inlineStr">
        <is>
          <t>C04</t>
        </is>
      </c>
      <c r="C99" s="348" t="inlineStr">
        <is>
          <t>利耶尼亚海域</t>
        </is>
      </c>
      <c r="D99" s="348" t="inlineStr">
        <is>
          <t>XX340</t>
        </is>
      </c>
      <c r="E99" s="348" t="inlineStr">
        <is>
          <t>祭池双生螯</t>
        </is>
      </c>
      <c r="F99" s="348" t="inlineStr">
        <is>
          <t>稀有</t>
        </is>
      </c>
      <c r="G99" s="348" t="inlineStr">
        <is>
          <t>双螯束带</t>
        </is>
      </c>
      <c r="H99" s="348" t="inlineStr">
        <is>
          <t>腰带</t>
        </is>
      </c>
      <c r="I99" s="348" t="inlineStr">
        <is>
          <t>腰带</t>
        </is>
      </c>
      <c r="J99" s="348" t="n">
        <v>6618</v>
      </c>
      <c r="K99" s="348" t="inlineStr">
        <is>
          <t>预检通过资源／规划锁定／待入库</t>
        </is>
      </c>
      <c r="L99" s="349" t="inlineStr">
        <is>
          <t>装备资源库血月荆棘·荆冠</t>
        </is>
      </c>
    </row>
    <row r="100" ht="34" customHeight="1">
      <c r="A100" s="347" t="inlineStr">
        <is>
          <t>C04-M023</t>
        </is>
      </c>
      <c r="B100" s="348" t="inlineStr">
        <is>
          <t>C04</t>
        </is>
      </c>
      <c r="C100" s="348" t="inlineStr">
        <is>
          <t>利耶尼亚海域</t>
        </is>
      </c>
      <c r="D100" s="348" t="inlineStr">
        <is>
          <t>XX336</t>
        </is>
      </c>
      <c r="E100" s="348" t="inlineStr">
        <is>
          <t>淹廊判官·摩汶</t>
        </is>
      </c>
      <c r="F100" s="348" t="inlineStr">
        <is>
          <t>地图BOSS</t>
        </is>
      </c>
      <c r="G100" s="348" t="inlineStr">
        <is>
          <t>摩汶的沉水铡</t>
        </is>
      </c>
      <c r="H100" s="348" t="inlineStr">
        <is>
          <t>武器</t>
        </is>
      </c>
      <c r="I100" s="348" t="inlineStr">
        <is>
          <t>武器</t>
        </is>
      </c>
      <c r="J100" s="348" t="n">
        <v>6676</v>
      </c>
      <c r="K100" s="348" t="inlineStr">
        <is>
          <t>预检通过资源／规划锁定／待入库</t>
        </is>
      </c>
      <c r="L100" s="349" t="inlineStr">
        <is>
          <t>装备资源库血月荆棘·弑王</t>
        </is>
      </c>
    </row>
    <row r="101" ht="34" customHeight="1">
      <c r="A101" s="347" t="inlineStr">
        <is>
          <t>C04-M024</t>
        </is>
      </c>
      <c r="B101" s="348" t="inlineStr">
        <is>
          <t>C04</t>
        </is>
      </c>
      <c r="C101" s="348" t="inlineStr">
        <is>
          <t>利耶尼亚海域</t>
        </is>
      </c>
      <c r="D101" s="348" t="inlineStr">
        <is>
          <t>XX340</t>
        </is>
      </c>
      <c r="E101" s="348" t="inlineStr">
        <is>
          <t>无声湖后·塞芙拉</t>
        </is>
      </c>
      <c r="F101" s="348" t="inlineStr">
        <is>
          <t>地图BOSS</t>
        </is>
      </c>
      <c r="G101" s="348" t="inlineStr">
        <is>
          <t>塞芙拉无声衣</t>
        </is>
      </c>
      <c r="H101" s="348" t="inlineStr">
        <is>
          <t>衣服</t>
        </is>
      </c>
      <c r="I101" s="348" t="inlineStr">
        <is>
          <t>男衣服（现行模板的衣服映射）</t>
        </is>
      </c>
      <c r="J101" s="348" t="n">
        <v>6677</v>
      </c>
      <c r="K101" s="348" t="inlineStr">
        <is>
          <t>预检通过资源／规划锁定／待入库</t>
        </is>
      </c>
      <c r="L101" s="349" t="inlineStr">
        <is>
          <t>按现行装备模板映射男衣服StdMode10；血月荆棘·弑王</t>
        </is>
      </c>
    </row>
    <row r="102" ht="34" customHeight="1">
      <c r="A102" s="347" t="inlineStr">
        <is>
          <t>C04-M025</t>
        </is>
      </c>
      <c r="B102" s="348" t="inlineStr">
        <is>
          <t>C04</t>
        </is>
      </c>
      <c r="C102" s="348" t="inlineStr">
        <is>
          <t>利耶尼亚海域</t>
        </is>
      </c>
      <c r="D102" s="348" t="inlineStr">
        <is>
          <t>XX363</t>
        </is>
      </c>
      <c r="E102" s="348" t="inlineStr">
        <is>
          <t>破帆水手</t>
        </is>
      </c>
      <c r="F102" s="348" t="inlineStr">
        <is>
          <t>普通</t>
        </is>
      </c>
      <c r="G102" s="348" t="inlineStr">
        <is>
          <t>破帆腰带</t>
        </is>
      </c>
      <c r="H102" s="348" t="inlineStr">
        <is>
          <t>腰带</t>
        </is>
      </c>
      <c r="I102" s="348" t="inlineStr">
        <is>
          <t>腰带</t>
        </is>
      </c>
      <c r="J102" s="348" t="n">
        <v>6653</v>
      </c>
      <c r="K102" s="348" t="inlineStr">
        <is>
          <t>预检通过资源／规划锁定／待入库</t>
        </is>
      </c>
      <c r="L102" s="349" t="inlineStr">
        <is>
          <t>装备资源库血月荆棘·猩月</t>
        </is>
      </c>
    </row>
    <row r="103" ht="34" customHeight="1">
      <c r="A103" s="347" t="inlineStr">
        <is>
          <t>C04-M026</t>
        </is>
      </c>
      <c r="B103" s="348" t="inlineStr">
        <is>
          <t>C04</t>
        </is>
      </c>
      <c r="C103" s="348" t="inlineStr">
        <is>
          <t>利耶尼亚海域</t>
        </is>
      </c>
      <c r="D103" s="348" t="inlineStr">
        <is>
          <t>XX363</t>
        </is>
      </c>
      <c r="E103" s="348" t="inlineStr">
        <is>
          <t>缠藻桅猴</t>
        </is>
      </c>
      <c r="F103" s="348" t="inlineStr">
        <is>
          <t>普通</t>
        </is>
      </c>
      <c r="G103" s="348" t="inlineStr">
        <is>
          <t>桅猴跳靴</t>
        </is>
      </c>
      <c r="H103" s="348" t="inlineStr">
        <is>
          <t>鞋子</t>
        </is>
      </c>
      <c r="I103" s="348" t="inlineStr">
        <is>
          <t>鞋子</t>
        </is>
      </c>
      <c r="J103" s="348" t="n">
        <v>6722</v>
      </c>
      <c r="K103" s="348" t="inlineStr">
        <is>
          <t>预检通过资源／规划锁定／待入库</t>
        </is>
      </c>
      <c r="L103" s="349" t="inlineStr">
        <is>
          <t>装备资源库血月荆棘·血月</t>
        </is>
      </c>
    </row>
    <row r="104" ht="34" customHeight="1">
      <c r="A104" s="347" t="inlineStr">
        <is>
          <t>C04-M027</t>
        </is>
      </c>
      <c r="B104" s="348" t="inlineStr">
        <is>
          <t>C04</t>
        </is>
      </c>
      <c r="C104" s="348" t="inlineStr">
        <is>
          <t>利耶尼亚海域</t>
        </is>
      </c>
      <c r="D104" s="348" t="inlineStr">
        <is>
          <t>XX362</t>
        </is>
      </c>
      <c r="E104" s="348" t="inlineStr">
        <is>
          <t>舱门凿击者</t>
        </is>
      </c>
      <c r="F104" s="348" t="inlineStr">
        <is>
          <t>普通</t>
        </is>
      </c>
      <c r="G104" s="348" t="inlineStr">
        <is>
          <t>凿舱铁锤</t>
        </is>
      </c>
      <c r="H104" s="348" t="inlineStr">
        <is>
          <t>武器</t>
        </is>
      </c>
      <c r="I104" s="348" t="inlineStr">
        <is>
          <t>武器</t>
        </is>
      </c>
      <c r="J104" s="348" t="n">
        <v>7116</v>
      </c>
      <c r="K104" s="348" t="inlineStr">
        <is>
          <t>测试三库资源已回读</t>
        </is>
      </c>
      <c r="L104" s="349" t="inlineStr">
        <is>
          <t>测试资源：0456_星渊龙息·天穹_武器.bmp；三库同码</t>
        </is>
      </c>
    </row>
    <row r="105" ht="34" customHeight="1">
      <c r="A105" s="347" t="inlineStr">
        <is>
          <t>C04-M028</t>
        </is>
      </c>
      <c r="B105" s="348" t="inlineStr">
        <is>
          <t>C04</t>
        </is>
      </c>
      <c r="C105" s="348" t="inlineStr">
        <is>
          <t>利耶尼亚海域</t>
        </is>
      </c>
      <c r="D105" s="348" t="inlineStr">
        <is>
          <t>XX362</t>
        </is>
      </c>
      <c r="E105" s="348" t="inlineStr">
        <is>
          <t>油灯怨影</t>
        </is>
      </c>
      <c r="F105" s="348" t="inlineStr">
        <is>
          <t>普通</t>
        </is>
      </c>
      <c r="G105" s="348" t="inlineStr">
        <is>
          <t>怨灯项链</t>
        </is>
      </c>
      <c r="H105" s="348" t="inlineStr">
        <is>
          <t>项链</t>
        </is>
      </c>
      <c r="I105" s="348" t="inlineStr">
        <is>
          <t>项链</t>
        </is>
      </c>
      <c r="J105" s="348" t="n">
        <v>6786</v>
      </c>
      <c r="K105" s="348" t="inlineStr">
        <is>
          <t>预检通过资源／规划锁定／待入库</t>
        </is>
      </c>
      <c r="L105" s="349" t="inlineStr">
        <is>
          <t>装备资源库星渊龙息·龙鳞</t>
        </is>
      </c>
    </row>
    <row r="106" ht="34" customHeight="1">
      <c r="A106" s="347" t="inlineStr">
        <is>
          <t>C04-M029</t>
        </is>
      </c>
      <c r="B106" s="348" t="inlineStr">
        <is>
          <t>C04</t>
        </is>
      </c>
      <c r="C106" s="348" t="inlineStr">
        <is>
          <t>利耶尼亚海域</t>
        </is>
      </c>
      <c r="D106" s="348" t="inlineStr">
        <is>
          <t>XX351</t>
        </is>
      </c>
      <c r="E106" s="348" t="inlineStr">
        <is>
          <t>墓舱寄居蟹</t>
        </is>
      </c>
      <c r="F106" s="348" t="inlineStr">
        <is>
          <t>普通</t>
        </is>
      </c>
      <c r="G106" s="348" t="inlineStr">
        <is>
          <t>墓舱壳盾</t>
        </is>
      </c>
      <c r="H106" s="348" t="inlineStr">
        <is>
          <t>盾牌</t>
        </is>
      </c>
      <c r="I106" s="348" t="inlineStr">
        <is>
          <t>盾牌</t>
        </is>
      </c>
      <c r="J106" s="348" t="n">
        <v>6685</v>
      </c>
      <c r="K106" s="348" t="inlineStr">
        <is>
          <t>预检通过资源／规划锁定／待入库</t>
        </is>
      </c>
      <c r="L106" s="349" t="inlineStr">
        <is>
          <t>装备资源库血月荆棘·弑王</t>
        </is>
      </c>
    </row>
    <row r="107" ht="34" customHeight="1">
      <c r="A107" s="347" t="inlineStr">
        <is>
          <t>C04-M030</t>
        </is>
      </c>
      <c r="B107" s="348" t="inlineStr">
        <is>
          <t>C04</t>
        </is>
      </c>
      <c r="C107" s="348" t="inlineStr">
        <is>
          <t>利耶尼亚海域</t>
        </is>
      </c>
      <c r="D107" s="348" t="inlineStr">
        <is>
          <t>XX351</t>
        </is>
      </c>
      <c r="E107" s="348" t="inlineStr">
        <is>
          <t>裹布船尸</t>
        </is>
      </c>
      <c r="F107" s="348" t="inlineStr">
        <is>
          <t>普通</t>
        </is>
      </c>
      <c r="G107" s="348" t="inlineStr">
        <is>
          <t>盐裹尸衣</t>
        </is>
      </c>
      <c r="H107" s="348" t="inlineStr">
        <is>
          <t>衣服</t>
        </is>
      </c>
      <c r="I107" s="348" t="inlineStr">
        <is>
          <t>男衣服（现行模板的衣服映射）</t>
        </is>
      </c>
      <c r="J107" s="348" t="n">
        <v>7117</v>
      </c>
      <c r="K107" s="348" t="inlineStr">
        <is>
          <t>测试三库资源已回读</t>
        </is>
      </c>
      <c r="L107" s="349" t="inlineStr">
        <is>
          <t>测试资源：0247_血月荆棘·猩月_男衣服.bmp；三库同码</t>
        </is>
      </c>
    </row>
    <row r="108" ht="34" customHeight="1">
      <c r="A108" s="347" t="inlineStr">
        <is>
          <t>C04-M031</t>
        </is>
      </c>
      <c r="B108" s="348" t="inlineStr">
        <is>
          <t>C04</t>
        </is>
      </c>
      <c r="C108" s="348" t="inlineStr">
        <is>
          <t>利耶尼亚海域</t>
        </is>
      </c>
      <c r="D108" s="348" t="inlineStr">
        <is>
          <t>XX363</t>
        </is>
      </c>
      <c r="E108" s="348" t="inlineStr">
        <is>
          <t>白鳍劫舟客</t>
        </is>
      </c>
      <c r="F108" s="348" t="inlineStr">
        <is>
          <t>稀有</t>
        </is>
      </c>
      <c r="G108" s="348" t="inlineStr">
        <is>
          <t>白鳍浪客笠</t>
        </is>
      </c>
      <c r="H108" s="348" t="inlineStr">
        <is>
          <t>斗笠</t>
        </is>
      </c>
      <c r="I108" s="348" t="inlineStr">
        <is>
          <t>面巾（位置13，对应斗笠）</t>
        </is>
      </c>
      <c r="J108" s="348" t="n">
        <v>6540</v>
      </c>
      <c r="K108" s="348" t="inlineStr">
        <is>
          <t>预检通过资源／规划锁定／待入库</t>
        </is>
      </c>
      <c r="L108" s="349" t="inlineStr">
        <is>
          <t>StdMode16/位置13；黄金圣树·永恒</t>
        </is>
      </c>
    </row>
    <row r="109" ht="34" customHeight="1">
      <c r="A109" s="347" t="inlineStr">
        <is>
          <t>C04-M032</t>
        </is>
      </c>
      <c r="B109" s="348" t="inlineStr">
        <is>
          <t>C04</t>
        </is>
      </c>
      <c r="C109" s="348" t="inlineStr">
        <is>
          <t>利耶尼亚海域</t>
        </is>
      </c>
      <c r="D109" s="348" t="inlineStr">
        <is>
          <t>XX362</t>
        </is>
      </c>
      <c r="E109" s="348" t="inlineStr">
        <is>
          <t>抱舵老幽魂</t>
        </is>
      </c>
      <c r="F109" s="348" t="inlineStr">
        <is>
          <t>稀有</t>
        </is>
      </c>
      <c r="G109" s="348" t="inlineStr">
        <is>
          <t>老舵手镯</t>
        </is>
      </c>
      <c r="H109" s="348" t="inlineStr">
        <is>
          <t>手镯</t>
        </is>
      </c>
      <c r="I109" s="348" t="inlineStr">
        <is>
          <t>手镯</t>
        </is>
      </c>
      <c r="J109" s="348" t="n">
        <v>6752</v>
      </c>
      <c r="K109" s="348" t="inlineStr">
        <is>
          <t>预检通过资源／规划锁定／待入库</t>
        </is>
      </c>
      <c r="L109" s="349" t="inlineStr">
        <is>
          <t>装备资源库星渊龙息·星痕</t>
        </is>
      </c>
    </row>
    <row r="110" ht="34" customHeight="1">
      <c r="A110" s="347" t="inlineStr">
        <is>
          <t>C04-M033</t>
        </is>
      </c>
      <c r="B110" s="348" t="inlineStr">
        <is>
          <t>C04</t>
        </is>
      </c>
      <c r="C110" s="348" t="inlineStr">
        <is>
          <t>利耶尼亚海域</t>
        </is>
      </c>
      <c r="D110" s="348" t="inlineStr">
        <is>
          <t>XX351</t>
        </is>
      </c>
      <c r="E110" s="348" t="inlineStr">
        <is>
          <t>棺板伏行者</t>
        </is>
      </c>
      <c r="F110" s="348" t="inlineStr">
        <is>
          <t>稀有</t>
        </is>
      </c>
      <c r="G110" s="348" t="inlineStr">
        <is>
          <t>棺钉指环</t>
        </is>
      </c>
      <c r="H110" s="348" t="inlineStr">
        <is>
          <t>戒指</t>
        </is>
      </c>
      <c r="I110" s="348" t="inlineStr">
        <is>
          <t>戒指</t>
        </is>
      </c>
      <c r="J110" s="348" t="n">
        <v>6788</v>
      </c>
      <c r="K110" s="348" t="inlineStr">
        <is>
          <t>预检通过资源／规划锁定／待入库</t>
        </is>
      </c>
      <c r="L110" s="349" t="inlineStr">
        <is>
          <t>装备资源库星渊龙息·龙鳞</t>
        </is>
      </c>
    </row>
    <row r="111" ht="34" customHeight="1">
      <c r="A111" s="347" t="inlineStr">
        <is>
          <t>C04-M034</t>
        </is>
      </c>
      <c r="B111" s="348" t="inlineStr">
        <is>
          <t>C04</t>
        </is>
      </c>
      <c r="C111" s="348" t="inlineStr">
        <is>
          <t>利耶尼亚海域</t>
        </is>
      </c>
      <c r="D111" s="348" t="inlineStr">
        <is>
          <t>XX351</t>
        </is>
      </c>
      <c r="E111" s="348" t="inlineStr">
        <is>
          <t>啃锚深渊鱼</t>
        </is>
      </c>
      <c r="F111" s="348" t="inlineStr">
        <is>
          <t>稀有</t>
        </is>
      </c>
      <c r="G111" s="348" t="inlineStr">
        <is>
          <t>锚齿鱼盔</t>
        </is>
      </c>
      <c r="H111" s="348" t="inlineStr">
        <is>
          <t>头盔</t>
        </is>
      </c>
      <c r="I111" s="348" t="inlineStr">
        <is>
          <t>头盔</t>
        </is>
      </c>
      <c r="J111" s="348" t="n">
        <v>6784</v>
      </c>
      <c r="K111" s="348" t="inlineStr">
        <is>
          <t>预检通过资源／规划锁定／待入库</t>
        </is>
      </c>
      <c r="L111" s="349" t="inlineStr">
        <is>
          <t>装备资源库星渊龙息·龙鳞</t>
        </is>
      </c>
    </row>
    <row r="112" ht="34" customHeight="1">
      <c r="A112" s="347" t="inlineStr">
        <is>
          <t>C04-M035</t>
        </is>
      </c>
      <c r="B112" s="348" t="inlineStr">
        <is>
          <t>C04</t>
        </is>
      </c>
      <c r="C112" s="348" t="inlineStr">
        <is>
          <t>利耶尼亚海域</t>
        </is>
      </c>
      <c r="D112" s="348" t="inlineStr">
        <is>
          <t>XX362</t>
        </is>
      </c>
      <c r="E112" s="348" t="inlineStr">
        <is>
          <t>锁舱船长·奥杜</t>
        </is>
      </c>
      <c r="F112" s="348" t="inlineStr">
        <is>
          <t>地图BOSS</t>
        </is>
      </c>
      <c r="G112" s="348" t="inlineStr">
        <is>
          <t>奥杜的锁舱刀</t>
        </is>
      </c>
      <c r="H112" s="348" t="inlineStr">
        <is>
          <t>武器</t>
        </is>
      </c>
      <c r="I112" s="348" t="inlineStr">
        <is>
          <t>武器</t>
        </is>
      </c>
      <c r="J112" s="348" t="n">
        <v>6711</v>
      </c>
      <c r="K112" s="348" t="inlineStr">
        <is>
          <t>预检通过资源／规划锁定／待入库</t>
        </is>
      </c>
      <c r="L112" s="349" t="inlineStr">
        <is>
          <t>装备资源库血月荆棘·血月</t>
        </is>
      </c>
    </row>
    <row r="113" ht="34" customHeight="1">
      <c r="A113" s="347" t="inlineStr">
        <is>
          <t>C04-M036</t>
        </is>
      </c>
      <c r="B113" s="348" t="inlineStr">
        <is>
          <t>C04</t>
        </is>
      </c>
      <c r="C113" s="348" t="inlineStr">
        <is>
          <t>利耶尼亚海域</t>
        </is>
      </c>
      <c r="D113" s="348" t="inlineStr">
        <is>
          <t>XX351</t>
        </is>
      </c>
      <c r="E113" s="348" t="inlineStr">
        <is>
          <t>亡舟新娘·伊蕾莎</t>
        </is>
      </c>
      <c r="F113" s="348" t="inlineStr">
        <is>
          <t>地图BOSS</t>
        </is>
      </c>
      <c r="G113" s="348" t="inlineStr">
        <is>
          <t>伊蕾莎潮婚衣</t>
        </is>
      </c>
      <c r="H113" s="348" t="inlineStr">
        <is>
          <t>衣服</t>
        </is>
      </c>
      <c r="I113" s="348" t="inlineStr">
        <is>
          <t>男衣服（现行模板的衣服映射）</t>
        </is>
      </c>
      <c r="J113" s="348" t="n">
        <v>6712</v>
      </c>
      <c r="K113" s="348" t="inlineStr">
        <is>
          <t>预检通过资源／规划锁定／待入库</t>
        </is>
      </c>
      <c r="L113" s="349" t="inlineStr">
        <is>
          <t>按现行装备模板映射男衣服StdMode10；血月荆棘·血月</t>
        </is>
      </c>
    </row>
    <row r="114" ht="34" customHeight="1">
      <c r="A114" s="347" t="inlineStr">
        <is>
          <t>C04-M037</t>
        </is>
      </c>
      <c r="B114" s="348" t="inlineStr">
        <is>
          <t>C04</t>
        </is>
      </c>
      <c r="C114" s="348" t="inlineStr">
        <is>
          <t>利耶尼亚海域</t>
        </is>
      </c>
      <c r="D114" s="348" t="inlineStr">
        <is>
          <t>XX527</t>
        </is>
      </c>
      <c r="E114" s="348" t="inlineStr">
        <is>
          <t>磷火甲板兵</t>
        </is>
      </c>
      <c r="F114" s="348" t="inlineStr">
        <is>
          <t>普通</t>
        </is>
      </c>
      <c r="G114" s="348" t="inlineStr">
        <is>
          <t>磷火腕铠</t>
        </is>
      </c>
      <c r="H114" s="348" t="inlineStr">
        <is>
          <t>手镯</t>
        </is>
      </c>
      <c r="I114" s="348" t="inlineStr">
        <is>
          <t>手镯</t>
        </is>
      </c>
      <c r="J114" s="348" t="n">
        <v>6787</v>
      </c>
      <c r="K114" s="348" t="inlineStr">
        <is>
          <t>预检通过资源／规划锁定／待入库</t>
        </is>
      </c>
      <c r="L114" s="349" t="inlineStr">
        <is>
          <t>装备资源库星渊龙息·龙鳞</t>
        </is>
      </c>
    </row>
    <row r="115" ht="34" customHeight="1">
      <c r="A115" s="347" t="inlineStr">
        <is>
          <t>C04-M038</t>
        </is>
      </c>
      <c r="B115" s="348" t="inlineStr">
        <is>
          <t>C04</t>
        </is>
      </c>
      <c r="C115" s="348" t="inlineStr">
        <is>
          <t>利耶尼亚海域</t>
        </is>
      </c>
      <c r="D115" s="348" t="inlineStr">
        <is>
          <t>XX527</t>
        </is>
      </c>
      <c r="E115" s="348" t="inlineStr">
        <is>
          <t>船骸骨鸥</t>
        </is>
      </c>
      <c r="F115" s="348" t="inlineStr">
        <is>
          <t>普通</t>
        </is>
      </c>
      <c r="G115" s="348" t="inlineStr">
        <is>
          <t>骨鸥喙盔</t>
        </is>
      </c>
      <c r="H115" s="348" t="inlineStr">
        <is>
          <t>头盔</t>
        </is>
      </c>
      <c r="I115" s="348" t="inlineStr">
        <is>
          <t>头盔</t>
        </is>
      </c>
      <c r="J115" s="348" t="n">
        <v>6819</v>
      </c>
      <c r="K115" s="348" t="inlineStr">
        <is>
          <t>预检通过资源／规划锁定／待入库</t>
        </is>
      </c>
      <c r="L115" s="349" t="inlineStr">
        <is>
          <t>装备资源库星渊龙息·渊辉</t>
        </is>
      </c>
    </row>
    <row r="116" ht="34" customHeight="1">
      <c r="A116" s="347" t="inlineStr">
        <is>
          <t>C04-M039</t>
        </is>
      </c>
      <c r="B116" s="348" t="inlineStr">
        <is>
          <t>C04</t>
        </is>
      </c>
      <c r="C116" s="348" t="inlineStr">
        <is>
          <t>利耶尼亚海域</t>
        </is>
      </c>
      <c r="D116" s="348" t="inlineStr">
        <is>
          <t>XX457</t>
        </is>
      </c>
      <c r="E116" s="348" t="inlineStr">
        <is>
          <t>漏舱舀水鬼</t>
        </is>
      </c>
      <c r="F116" s="348" t="inlineStr">
        <is>
          <t>普通</t>
        </is>
      </c>
      <c r="G116" s="348" t="inlineStr">
        <is>
          <t>舀魂铜瓢</t>
        </is>
      </c>
      <c r="H116" s="348" t="inlineStr">
        <is>
          <t>武器</t>
        </is>
      </c>
      <c r="I116" s="348" t="inlineStr">
        <is>
          <t>武器</t>
        </is>
      </c>
      <c r="J116" s="348" t="n">
        <v>7118</v>
      </c>
      <c r="K116" s="348" t="inlineStr">
        <is>
          <t>测试三库资源已回读</t>
        </is>
      </c>
      <c r="L116" s="349" t="inlineStr">
        <is>
          <t>测试资源：0491_星渊龙息·无垠_武器.bmp；三库同码</t>
        </is>
      </c>
    </row>
    <row r="117" ht="34" customHeight="1">
      <c r="A117" s="347" t="inlineStr">
        <is>
          <t>C04-M040</t>
        </is>
      </c>
      <c r="B117" s="348" t="inlineStr">
        <is>
          <t>C04</t>
        </is>
      </c>
      <c r="C117" s="348" t="inlineStr">
        <is>
          <t>利耶尼亚海域</t>
        </is>
      </c>
      <c r="D117" s="348" t="inlineStr">
        <is>
          <t>XX457</t>
        </is>
      </c>
      <c r="E117" s="348" t="inlineStr">
        <is>
          <t>铜铃引魂童</t>
        </is>
      </c>
      <c r="F117" s="348" t="inlineStr">
        <is>
          <t>普通</t>
        </is>
      </c>
      <c r="G117" s="348" t="inlineStr">
        <is>
          <t>引魂铜铃链</t>
        </is>
      </c>
      <c r="H117" s="348" t="inlineStr">
        <is>
          <t>项链</t>
        </is>
      </c>
      <c r="I117" s="348" t="inlineStr">
        <is>
          <t>项链</t>
        </is>
      </c>
      <c r="J117" s="348" t="n">
        <v>6821</v>
      </c>
      <c r="K117" s="348" t="inlineStr">
        <is>
          <t>预检通过资源／规划锁定／待入库</t>
        </is>
      </c>
      <c r="L117" s="349" t="inlineStr">
        <is>
          <t>装备资源库星渊龙息·渊辉</t>
        </is>
      </c>
    </row>
    <row r="118" ht="34" customHeight="1">
      <c r="A118" s="347" t="inlineStr">
        <is>
          <t>C04-M041</t>
        </is>
      </c>
      <c r="B118" s="348" t="inlineStr">
        <is>
          <t>C04</t>
        </is>
      </c>
      <c r="C118" s="348" t="inlineStr">
        <is>
          <t>利耶尼亚海域</t>
        </is>
      </c>
      <c r="D118" s="348" t="inlineStr">
        <is>
          <t>XX582</t>
        </is>
      </c>
      <c r="E118" s="348" t="inlineStr">
        <is>
          <t>密舱蜡尸</t>
        </is>
      </c>
      <c r="F118" s="348" t="inlineStr">
        <is>
          <t>普通</t>
        </is>
      </c>
      <c r="G118" s="348" t="inlineStr">
        <is>
          <t>蜡封尸衣</t>
        </is>
      </c>
      <c r="H118" s="348" t="inlineStr">
        <is>
          <t>衣服</t>
        </is>
      </c>
      <c r="I118" s="348" t="inlineStr">
        <is>
          <t>男衣服（现行模板的衣服映射）</t>
        </is>
      </c>
      <c r="J118" s="348" t="n">
        <v>7119</v>
      </c>
      <c r="K118" s="348" t="inlineStr">
        <is>
          <t>测试三库资源已回读</t>
        </is>
      </c>
      <c r="L118" s="349" t="inlineStr">
        <is>
          <t>测试资源：0282_血月荆棘·弑王_男衣服.bmp；三库同码</t>
        </is>
      </c>
    </row>
    <row r="119" ht="34" customHeight="1">
      <c r="A119" s="347" t="inlineStr">
        <is>
          <t>C04-M042</t>
        </is>
      </c>
      <c r="B119" s="348" t="inlineStr">
        <is>
          <t>C04</t>
        </is>
      </c>
      <c r="C119" s="348" t="inlineStr">
        <is>
          <t>利耶尼亚海域</t>
        </is>
      </c>
      <c r="D119" s="348" t="inlineStr">
        <is>
          <t>XX582</t>
        </is>
      </c>
      <c r="E119" s="348" t="inlineStr">
        <is>
          <t>食梦船蛾</t>
        </is>
      </c>
      <c r="F119" s="348" t="inlineStr">
        <is>
          <t>普通</t>
        </is>
      </c>
      <c r="G119" s="348" t="inlineStr">
        <is>
          <t>梦蛾踏水靴</t>
        </is>
      </c>
      <c r="H119" s="348" t="inlineStr">
        <is>
          <t>鞋子</t>
        </is>
      </c>
      <c r="I119" s="348" t="inlineStr">
        <is>
          <t>鞋子</t>
        </is>
      </c>
      <c r="J119" s="348" t="n">
        <v>6757</v>
      </c>
      <c r="K119" s="348" t="inlineStr">
        <is>
          <t>预检通过资源／规划锁定／待入库</t>
        </is>
      </c>
      <c r="L119" s="349" t="inlineStr">
        <is>
          <t>装备资源库星渊龙息·星痕</t>
        </is>
      </c>
    </row>
    <row r="120" ht="34" customHeight="1">
      <c r="A120" s="347" t="inlineStr">
        <is>
          <t>C04-M043</t>
        </is>
      </c>
      <c r="B120" s="348" t="inlineStr">
        <is>
          <t>C04</t>
        </is>
      </c>
      <c r="C120" s="348" t="inlineStr">
        <is>
          <t>利耶尼亚海域</t>
        </is>
      </c>
      <c r="D120" s="348" t="inlineStr">
        <is>
          <t>XX527</t>
        </is>
      </c>
      <c r="E120" s="348" t="inlineStr">
        <is>
          <t>倒吊瞭望手</t>
        </is>
      </c>
      <c r="F120" s="348" t="inlineStr">
        <is>
          <t>稀有</t>
        </is>
      </c>
      <c r="G120" s="348" t="inlineStr">
        <is>
          <t>倒桅瞭望笠</t>
        </is>
      </c>
      <c r="H120" s="348" t="inlineStr">
        <is>
          <t>斗笠</t>
        </is>
      </c>
      <c r="I120" s="348" t="inlineStr">
        <is>
          <t>面巾（位置13，对应斗笠）</t>
        </is>
      </c>
      <c r="J120" s="348" t="n">
        <v>6575</v>
      </c>
      <c r="K120" s="348" t="inlineStr">
        <is>
          <t>预检通过资源／规划锁定／待入库</t>
        </is>
      </c>
      <c r="L120" s="349" t="inlineStr">
        <is>
          <t>StdMode16/位置13；血月荆棘·血痕</t>
        </is>
      </c>
    </row>
    <row r="121" ht="34" customHeight="1">
      <c r="A121" s="347" t="inlineStr">
        <is>
          <t>C04-M044</t>
        </is>
      </c>
      <c r="B121" s="348" t="inlineStr">
        <is>
          <t>C04</t>
        </is>
      </c>
      <c r="C121" s="348" t="inlineStr">
        <is>
          <t>利耶尼亚海域</t>
        </is>
      </c>
      <c r="D121" s="348" t="inlineStr">
        <is>
          <t>XX457</t>
        </is>
      </c>
      <c r="E121" s="348" t="inlineStr">
        <is>
          <t>无面桨官</t>
        </is>
      </c>
      <c r="F121" s="348" t="inlineStr">
        <is>
          <t>稀有</t>
        </is>
      </c>
      <c r="G121" s="348" t="inlineStr">
        <is>
          <t>桨官铁盾</t>
        </is>
      </c>
      <c r="H121" s="348" t="inlineStr">
        <is>
          <t>盾牌</t>
        </is>
      </c>
      <c r="I121" s="348" t="inlineStr">
        <is>
          <t>盾牌</t>
        </is>
      </c>
      <c r="J121" s="348" t="n">
        <v>6720</v>
      </c>
      <c r="K121" s="348" t="inlineStr">
        <is>
          <t>预检通过资源／规划锁定／待入库</t>
        </is>
      </c>
      <c r="L121" s="349" t="inlineStr">
        <is>
          <t>装备资源库血月荆棘·血月</t>
        </is>
      </c>
    </row>
    <row r="122" ht="34" customHeight="1">
      <c r="A122" s="347" t="inlineStr">
        <is>
          <t>C04-M045</t>
        </is>
      </c>
      <c r="B122" s="348" t="inlineStr">
        <is>
          <t>C04</t>
        </is>
      </c>
      <c r="C122" s="348" t="inlineStr">
        <is>
          <t>利耶尼亚海域</t>
        </is>
      </c>
      <c r="D122" s="348" t="inlineStr">
        <is>
          <t>XX582</t>
        </is>
      </c>
      <c r="E122" s="348" t="inlineStr">
        <is>
          <t>舱壁缝合怪</t>
        </is>
      </c>
      <c r="F122" s="348" t="inlineStr">
        <is>
          <t>稀有</t>
        </is>
      </c>
      <c r="G122" s="348" t="inlineStr">
        <is>
          <t>缝舱腰箍</t>
        </is>
      </c>
      <c r="H122" s="348" t="inlineStr">
        <is>
          <t>腰带</t>
        </is>
      </c>
      <c r="I122" s="348" t="inlineStr">
        <is>
          <t>腰带</t>
        </is>
      </c>
      <c r="J122" s="348" t="n">
        <v>6688</v>
      </c>
      <c r="K122" s="348" t="inlineStr">
        <is>
          <t>预检通过资源／规划锁定／待入库</t>
        </is>
      </c>
      <c r="L122" s="349" t="inlineStr">
        <is>
          <t>装备资源库血月荆棘·弑王</t>
        </is>
      </c>
    </row>
    <row r="123" ht="34" customHeight="1">
      <c r="A123" s="347" t="inlineStr">
        <is>
          <t>C04-M046</t>
        </is>
      </c>
      <c r="B123" s="348" t="inlineStr">
        <is>
          <t>C04</t>
        </is>
      </c>
      <c r="C123" s="348" t="inlineStr">
        <is>
          <t>利耶尼亚海域</t>
        </is>
      </c>
      <c r="D123" s="348" t="inlineStr">
        <is>
          <t>XX582</t>
        </is>
      </c>
      <c r="E123" s="348" t="inlineStr">
        <is>
          <t>黑帆招魂师</t>
        </is>
      </c>
      <c r="F123" s="348" t="inlineStr">
        <is>
          <t>稀有</t>
        </is>
      </c>
      <c r="G123" s="348" t="inlineStr">
        <is>
          <t>黑帆魂戒</t>
        </is>
      </c>
      <c r="H123" s="348" t="inlineStr">
        <is>
          <t>戒指</t>
        </is>
      </c>
      <c r="I123" s="348" t="inlineStr">
        <is>
          <t>戒指</t>
        </is>
      </c>
      <c r="J123" s="348" t="n">
        <v>6823</v>
      </c>
      <c r="K123" s="348" t="inlineStr">
        <is>
          <t>预检通过资源／规划锁定／待入库</t>
        </is>
      </c>
      <c r="L123" s="349" t="inlineStr">
        <is>
          <t>装备资源库星渊龙息·渊辉</t>
        </is>
      </c>
    </row>
    <row r="124" ht="34" customHeight="1">
      <c r="A124" s="347" t="inlineStr">
        <is>
          <t>C04-M047</t>
        </is>
      </c>
      <c r="B124" s="348" t="inlineStr">
        <is>
          <t>C04</t>
        </is>
      </c>
      <c r="C124" s="348" t="inlineStr">
        <is>
          <t>利耶尼亚海域</t>
        </is>
      </c>
      <c r="D124" s="348" t="inlineStr">
        <is>
          <t>XX457</t>
        </is>
      </c>
      <c r="E124" s="348" t="inlineStr">
        <is>
          <t>幽舵大副·赫岚</t>
        </is>
      </c>
      <c r="F124" s="348" t="inlineStr">
        <is>
          <t>地图BOSS</t>
        </is>
      </c>
      <c r="G124" s="348" t="inlineStr">
        <is>
          <t>赫岚的幽舵刃</t>
        </is>
      </c>
      <c r="H124" s="348" t="inlineStr">
        <is>
          <t>武器</t>
        </is>
      </c>
      <c r="I124" s="348" t="inlineStr">
        <is>
          <t>武器</t>
        </is>
      </c>
      <c r="J124" s="348" t="n">
        <v>6746</v>
      </c>
      <c r="K124" s="348" t="inlineStr">
        <is>
          <t>预检通过资源／规划锁定／待入库</t>
        </is>
      </c>
      <c r="L124" s="349" t="inlineStr">
        <is>
          <t>装备资源库星渊龙息·星痕</t>
        </is>
      </c>
    </row>
    <row r="125" ht="34" customHeight="1">
      <c r="A125" s="347" t="inlineStr">
        <is>
          <t>C04-M048</t>
        </is>
      </c>
      <c r="B125" s="348" t="inlineStr">
        <is>
          <t>C04</t>
        </is>
      </c>
      <c r="C125" s="348" t="inlineStr">
        <is>
          <t>利耶尼亚海域</t>
        </is>
      </c>
      <c r="D125" s="348" t="inlineStr">
        <is>
          <t>XX582</t>
        </is>
      </c>
      <c r="E125" s="348" t="inlineStr">
        <is>
          <t>百舱吞魂者·沃姆</t>
        </is>
      </c>
      <c r="F125" s="348" t="inlineStr">
        <is>
          <t>地图BOSS</t>
        </is>
      </c>
      <c r="G125" s="348" t="inlineStr">
        <is>
          <t>沃姆吞魂舱甲</t>
        </is>
      </c>
      <c r="H125" s="348" t="inlineStr">
        <is>
          <t>衣服</t>
        </is>
      </c>
      <c r="I125" s="348" t="inlineStr">
        <is>
          <t>男衣服（现行模板的衣服映射）</t>
        </is>
      </c>
      <c r="J125" s="348" t="n">
        <v>6747</v>
      </c>
      <c r="K125" s="348" t="inlineStr">
        <is>
          <t>预检通过资源／规划锁定／待入库</t>
        </is>
      </c>
      <c r="L125" s="349" t="inlineStr">
        <is>
          <t>按现行装备模板映射男衣服StdMode10；星渊龙息·星痕</t>
        </is>
      </c>
    </row>
    <row r="126" ht="34" customHeight="1">
      <c r="A126" s="347" t="inlineStr">
        <is>
          <t>C04-M049</t>
        </is>
      </c>
      <c r="B126" s="348" t="inlineStr">
        <is>
          <t>C04</t>
        </is>
      </c>
      <c r="C126" s="348" t="inlineStr">
        <is>
          <t>利耶尼亚海域</t>
        </is>
      </c>
      <c r="D126" s="348" t="inlineStr">
        <is>
          <t>XX395</t>
        </is>
      </c>
      <c r="E126" s="348" t="inlineStr">
        <is>
          <t>水闸巡守</t>
        </is>
      </c>
      <c r="F126" s="348" t="inlineStr">
        <is>
          <t>普通</t>
        </is>
      </c>
      <c r="G126" s="348" t="inlineStr">
        <is>
          <t>巡闸圆盾</t>
        </is>
      </c>
      <c r="H126" s="348" t="inlineStr">
        <is>
          <t>盾牌</t>
        </is>
      </c>
      <c r="I126" s="348" t="inlineStr">
        <is>
          <t>盾牌</t>
        </is>
      </c>
      <c r="J126" s="348" t="n">
        <v>6755</v>
      </c>
      <c r="K126" s="348" t="inlineStr">
        <is>
          <t>预检通过资源／规划锁定／待入库</t>
        </is>
      </c>
      <c r="L126" s="349" t="inlineStr">
        <is>
          <t>装备资源库星渊龙息·星痕</t>
        </is>
      </c>
    </row>
    <row r="127" ht="34" customHeight="1">
      <c r="A127" s="347" t="inlineStr">
        <is>
          <t>C04-M050</t>
        </is>
      </c>
      <c r="B127" s="348" t="inlineStr">
        <is>
          <t>C04</t>
        </is>
      </c>
      <c r="C127" s="348" t="inlineStr">
        <is>
          <t>利耶尼亚海域</t>
        </is>
      </c>
      <c r="D127" s="348" t="inlineStr">
        <is>
          <t>XX395</t>
        </is>
      </c>
      <c r="E127" s="348" t="inlineStr">
        <is>
          <t>涡背鳗犬</t>
        </is>
      </c>
      <c r="F127" s="348" t="inlineStr">
        <is>
          <t>普通</t>
        </is>
      </c>
      <c r="G127" s="348" t="inlineStr">
        <is>
          <t>鳗皮束腰</t>
        </is>
      </c>
      <c r="H127" s="348" t="inlineStr">
        <is>
          <t>腰带</t>
        </is>
      </c>
      <c r="I127" s="348" t="inlineStr">
        <is>
          <t>腰带</t>
        </is>
      </c>
      <c r="J127" s="348" t="n">
        <v>6723</v>
      </c>
      <c r="K127" s="348" t="inlineStr">
        <is>
          <t>预检通过资源／规划锁定／待入库</t>
        </is>
      </c>
      <c r="L127" s="349" t="inlineStr">
        <is>
          <t>装备资源库血月荆棘·血月</t>
        </is>
      </c>
    </row>
    <row r="128" ht="34" customHeight="1">
      <c r="A128" s="347" t="inlineStr">
        <is>
          <t>C04-M051</t>
        </is>
      </c>
      <c r="B128" s="348" t="inlineStr">
        <is>
          <t>C04</t>
        </is>
      </c>
      <c r="C128" s="348" t="inlineStr">
        <is>
          <t>利耶尼亚海域</t>
        </is>
      </c>
      <c r="D128" s="348" t="inlineStr">
        <is>
          <t>XX392</t>
        </is>
      </c>
      <c r="E128" s="348" t="inlineStr">
        <is>
          <t>月河箭蛙</t>
        </is>
      </c>
      <c r="F128" s="348" t="inlineStr">
        <is>
          <t>普通</t>
        </is>
      </c>
      <c r="G128" s="348" t="inlineStr">
        <is>
          <t>月蛙刺弩</t>
        </is>
      </c>
      <c r="H128" s="348" t="inlineStr">
        <is>
          <t>武器</t>
        </is>
      </c>
      <c r="I128" s="348" t="inlineStr">
        <is>
          <t>武器</t>
        </is>
      </c>
      <c r="J128" s="348" t="n">
        <v>7120</v>
      </c>
      <c r="K128" s="348" t="inlineStr">
        <is>
          <t>测试三库资源已回读</t>
        </is>
      </c>
      <c r="L128" s="349" t="inlineStr">
        <is>
          <t>测试资源：0526_翠焰冥契·幽焰_武器.bmp；三库同码</t>
        </is>
      </c>
    </row>
    <row r="129" ht="34" customHeight="1">
      <c r="A129" s="347" t="inlineStr">
        <is>
          <t>C04-M052</t>
        </is>
      </c>
      <c r="B129" s="348" t="inlineStr">
        <is>
          <t>C04</t>
        </is>
      </c>
      <c r="C129" s="348" t="inlineStr">
        <is>
          <t>利耶尼亚海域</t>
        </is>
      </c>
      <c r="D129" s="348" t="inlineStr">
        <is>
          <t>XX392</t>
        </is>
      </c>
      <c r="E129" s="348" t="inlineStr">
        <is>
          <t>暗径拾珠客</t>
        </is>
      </c>
      <c r="F129" s="348" t="inlineStr">
        <is>
          <t>普通</t>
        </is>
      </c>
      <c r="G129" s="348" t="inlineStr">
        <is>
          <t>拾珠客斗笠</t>
        </is>
      </c>
      <c r="H129" s="348" t="inlineStr">
        <is>
          <t>斗笠</t>
        </is>
      </c>
      <c r="I129" s="348" t="inlineStr">
        <is>
          <t>面巾（位置13，对应斗笠）</t>
        </is>
      </c>
      <c r="J129" s="348" t="n">
        <v>7121</v>
      </c>
      <c r="K129" s="348" t="inlineStr">
        <is>
          <t>测试三库资源已回读</t>
        </is>
      </c>
      <c r="L129" s="349" t="inlineStr">
        <is>
          <t>测试资源：0005_黄金圣树·初誓_面巾.bmp；三库同码</t>
        </is>
      </c>
    </row>
    <row r="130" ht="34" customHeight="1">
      <c r="A130" s="347" t="inlineStr">
        <is>
          <t>C04-M053</t>
        </is>
      </c>
      <c r="B130" s="348" t="inlineStr">
        <is>
          <t>C04</t>
        </is>
      </c>
      <c r="C130" s="348" t="inlineStr">
        <is>
          <t>利耶尼亚海域</t>
        </is>
      </c>
      <c r="D130" s="348" t="inlineStr">
        <is>
          <t>XX391</t>
        </is>
      </c>
      <c r="E130" s="348" t="inlineStr">
        <is>
          <t>渊口盔虾</t>
        </is>
      </c>
      <c r="F130" s="348" t="inlineStr">
        <is>
          <t>普通</t>
        </is>
      </c>
      <c r="G130" s="348" t="inlineStr">
        <is>
          <t>盔虾壳帽</t>
        </is>
      </c>
      <c r="H130" s="348" t="inlineStr">
        <is>
          <t>头盔</t>
        </is>
      </c>
      <c r="I130" s="348" t="inlineStr">
        <is>
          <t>头盔</t>
        </is>
      </c>
      <c r="J130" s="348" t="n">
        <v>6854</v>
      </c>
      <c r="K130" s="348" t="inlineStr">
        <is>
          <t>预检通过资源／规划锁定／待入库</t>
        </is>
      </c>
      <c r="L130" s="349" t="inlineStr">
        <is>
          <t>装备资源库星渊龙息·天穹</t>
        </is>
      </c>
    </row>
    <row r="131" ht="34" customHeight="1">
      <c r="A131" s="347" t="inlineStr">
        <is>
          <t>C04-M054</t>
        </is>
      </c>
      <c r="B131" s="348" t="inlineStr">
        <is>
          <t>C04</t>
        </is>
      </c>
      <c r="C131" s="348" t="inlineStr">
        <is>
          <t>利耶尼亚海域</t>
        </is>
      </c>
      <c r="D131" s="348" t="inlineStr">
        <is>
          <t>XX391</t>
        </is>
      </c>
      <c r="E131" s="348" t="inlineStr">
        <is>
          <t>伏流石鳗</t>
        </is>
      </c>
      <c r="F131" s="348" t="inlineStr">
        <is>
          <t>普通</t>
        </is>
      </c>
      <c r="G131" s="348" t="inlineStr">
        <is>
          <t>伏流鳞靴</t>
        </is>
      </c>
      <c r="H131" s="348" t="inlineStr">
        <is>
          <t>鞋子</t>
        </is>
      </c>
      <c r="I131" s="348" t="inlineStr">
        <is>
          <t>鞋子</t>
        </is>
      </c>
      <c r="J131" s="348" t="n">
        <v>6792</v>
      </c>
      <c r="K131" s="348" t="inlineStr">
        <is>
          <t>预检通过资源／规划锁定／待入库</t>
        </is>
      </c>
      <c r="L131" s="349" t="inlineStr">
        <is>
          <t>装备资源库星渊龙息·龙鳞</t>
        </is>
      </c>
    </row>
    <row r="132" ht="34" customHeight="1">
      <c r="A132" s="347" t="inlineStr">
        <is>
          <t>C04-M055</t>
        </is>
      </c>
      <c r="B132" s="348" t="inlineStr">
        <is>
          <t>C04</t>
        </is>
      </c>
      <c r="C132" s="348" t="inlineStr">
        <is>
          <t>利耶尼亚海域</t>
        </is>
      </c>
      <c r="D132" s="348" t="inlineStr">
        <is>
          <t>XX395</t>
        </is>
      </c>
      <c r="E132" s="348" t="inlineStr">
        <is>
          <t>断闸铁卫</t>
        </is>
      </c>
      <c r="F132" s="348" t="inlineStr">
        <is>
          <t>稀有</t>
        </is>
      </c>
      <c r="G132" s="348" t="inlineStr">
        <is>
          <t>断闸铁衣</t>
        </is>
      </c>
      <c r="H132" s="348" t="inlineStr">
        <is>
          <t>衣服</t>
        </is>
      </c>
      <c r="I132" s="348" t="inlineStr">
        <is>
          <t>男衣服（现行模板的衣服映射）</t>
        </is>
      </c>
      <c r="J132" s="348" t="n">
        <v>7122</v>
      </c>
      <c r="K132" s="348" t="inlineStr">
        <is>
          <t>测试三库资源已回读</t>
        </is>
      </c>
      <c r="L132" s="349" t="inlineStr">
        <is>
          <t>测试资源：0317_血月荆棘·血月_男衣服.bmp；三库同码</t>
        </is>
      </c>
    </row>
    <row r="133" ht="34" customHeight="1">
      <c r="A133" s="347" t="inlineStr">
        <is>
          <t>C04-M056</t>
        </is>
      </c>
      <c r="B133" s="348" t="inlineStr">
        <is>
          <t>C04</t>
        </is>
      </c>
      <c r="C133" s="348" t="inlineStr">
        <is>
          <t>利耶尼亚海域</t>
        </is>
      </c>
      <c r="D133" s="348" t="inlineStr">
        <is>
          <t>XX392</t>
        </is>
      </c>
      <c r="E133" s="348" t="inlineStr">
        <is>
          <t>月痕水咒师</t>
        </is>
      </c>
      <c r="F133" s="348" t="inlineStr">
        <is>
          <t>稀有</t>
        </is>
      </c>
      <c r="G133" s="348" t="inlineStr">
        <is>
          <t>月痕咒镯</t>
        </is>
      </c>
      <c r="H133" s="348" t="inlineStr">
        <is>
          <t>手镯</t>
        </is>
      </c>
      <c r="I133" s="348" t="inlineStr">
        <is>
          <t>手镯</t>
        </is>
      </c>
      <c r="J133" s="348" t="n">
        <v>6822</v>
      </c>
      <c r="K133" s="348" t="inlineStr">
        <is>
          <t>预检通过资源／规划锁定／待入库</t>
        </is>
      </c>
      <c r="L133" s="349" t="inlineStr">
        <is>
          <t>装备资源库星渊龙息·渊辉</t>
        </is>
      </c>
    </row>
    <row r="134" ht="34" customHeight="1">
      <c r="A134" s="347" t="inlineStr">
        <is>
          <t>C04-M057</t>
        </is>
      </c>
      <c r="B134" s="348" t="inlineStr">
        <is>
          <t>C04</t>
        </is>
      </c>
      <c r="C134" s="348" t="inlineStr">
        <is>
          <t>利耶尼亚海域</t>
        </is>
      </c>
      <c r="D134" s="348" t="inlineStr">
        <is>
          <t>XX391</t>
        </is>
      </c>
      <c r="E134" s="348" t="inlineStr">
        <is>
          <t>渊声诱猎者</t>
        </is>
      </c>
      <c r="F134" s="348" t="inlineStr">
        <is>
          <t>稀有</t>
        </is>
      </c>
      <c r="G134" s="348" t="inlineStr">
        <is>
          <t>诱猎声坠</t>
        </is>
      </c>
      <c r="H134" s="348" t="inlineStr">
        <is>
          <t>项链</t>
        </is>
      </c>
      <c r="I134" s="348" t="inlineStr">
        <is>
          <t>项链</t>
        </is>
      </c>
      <c r="J134" s="348" t="n">
        <v>6856</v>
      </c>
      <c r="K134" s="348" t="inlineStr">
        <is>
          <t>预检通过资源／规划锁定／待入库</t>
        </is>
      </c>
      <c r="L134" s="349" t="inlineStr">
        <is>
          <t>装备资源库星渊龙息·天穹</t>
        </is>
      </c>
    </row>
    <row r="135" ht="34" customHeight="1">
      <c r="A135" s="347" t="inlineStr">
        <is>
          <t>C04-M058</t>
        </is>
      </c>
      <c r="B135" s="348" t="inlineStr">
        <is>
          <t>C04</t>
        </is>
      </c>
      <c r="C135" s="348" t="inlineStr">
        <is>
          <t>利耶尼亚海域</t>
        </is>
      </c>
      <c r="D135" s="348" t="inlineStr">
        <is>
          <t>XX391</t>
        </is>
      </c>
      <c r="E135" s="348" t="inlineStr">
        <is>
          <t>吞灯巨鲶</t>
        </is>
      </c>
      <c r="F135" s="348" t="inlineStr">
        <is>
          <t>稀有</t>
        </is>
      </c>
      <c r="G135" s="348" t="inlineStr">
        <is>
          <t>吞灯牙戒</t>
        </is>
      </c>
      <c r="H135" s="348" t="inlineStr">
        <is>
          <t>戒指</t>
        </is>
      </c>
      <c r="I135" s="348" t="inlineStr">
        <is>
          <t>戒指</t>
        </is>
      </c>
      <c r="J135" s="348" t="n">
        <v>6858</v>
      </c>
      <c r="K135" s="348" t="inlineStr">
        <is>
          <t>预检通过资源／规划锁定／待入库</t>
        </is>
      </c>
      <c r="L135" s="349" t="inlineStr">
        <is>
          <t>装备资源库星渊龙息·天穹</t>
        </is>
      </c>
    </row>
    <row r="136" ht="34" customHeight="1">
      <c r="A136" s="347" t="inlineStr">
        <is>
          <t>C04-M059</t>
        </is>
      </c>
      <c r="B136" s="348" t="inlineStr">
        <is>
          <t>C04</t>
        </is>
      </c>
      <c r="C136" s="348" t="inlineStr">
        <is>
          <t>利耶尼亚海域</t>
        </is>
      </c>
      <c r="D136" s="348" t="inlineStr">
        <is>
          <t>XX392</t>
        </is>
      </c>
      <c r="E136" s="348" t="inlineStr">
        <is>
          <t>暗河剑师·罗缇</t>
        </is>
      </c>
      <c r="F136" s="348" t="inlineStr">
        <is>
          <t>地图BOSS</t>
        </is>
      </c>
      <c r="G136" s="348" t="inlineStr">
        <is>
          <t>罗缇的回流剑</t>
        </is>
      </c>
      <c r="H136" s="348" t="inlineStr">
        <is>
          <t>武器</t>
        </is>
      </c>
      <c r="I136" s="348" t="inlineStr">
        <is>
          <t>武器</t>
        </is>
      </c>
      <c r="J136" s="348" t="n">
        <v>6781</v>
      </c>
      <c r="K136" s="348" t="inlineStr">
        <is>
          <t>预检通过资源／规划锁定／待入库</t>
        </is>
      </c>
      <c r="L136" s="349" t="inlineStr">
        <is>
          <t>装备资源库星渊龙息·龙鳞</t>
        </is>
      </c>
    </row>
    <row r="137" ht="34" customHeight="1">
      <c r="A137" s="347" t="inlineStr">
        <is>
          <t>C04-M060</t>
        </is>
      </c>
      <c r="B137" s="348" t="inlineStr">
        <is>
          <t>C04</t>
        </is>
      </c>
      <c r="C137" s="348" t="inlineStr">
        <is>
          <t>利耶尼亚海域</t>
        </is>
      </c>
      <c r="D137" s="348" t="inlineStr">
        <is>
          <t>XX391</t>
        </is>
      </c>
      <c r="E137" s="348" t="inlineStr">
        <is>
          <t>渊口老蛟·涅珈</t>
        </is>
      </c>
      <c r="F137" s="348" t="inlineStr">
        <is>
          <t>地图BOSS</t>
        </is>
      </c>
      <c r="G137" s="348" t="inlineStr">
        <is>
          <t>涅珈镇渊衣</t>
        </is>
      </c>
      <c r="H137" s="348" t="inlineStr">
        <is>
          <t>衣服</t>
        </is>
      </c>
      <c r="I137" s="348" t="inlineStr">
        <is>
          <t>男衣服（现行模板的衣服映射）</t>
        </is>
      </c>
      <c r="J137" s="348" t="n">
        <v>6782</v>
      </c>
      <c r="K137" s="348" t="inlineStr">
        <is>
          <t>预检通过资源／规划锁定／待入库</t>
        </is>
      </c>
      <c r="L137" s="349" t="inlineStr">
        <is>
          <t>按现行装备模板映射男衣服StdMode10；星渊龙息·龙鳞</t>
        </is>
      </c>
    </row>
    <row r="138" ht="34" customHeight="1">
      <c r="A138" s="347" t="inlineStr">
        <is>
          <t>C04-M061</t>
        </is>
      </c>
      <c r="B138" s="348" t="inlineStr">
        <is>
          <t>C04</t>
        </is>
      </c>
      <c r="C138" s="348" t="inlineStr">
        <is>
          <t>利耶尼亚海域</t>
        </is>
      </c>
      <c r="D138" s="348" t="inlineStr">
        <is>
          <t>XX368</t>
        </is>
      </c>
      <c r="E138" s="348" t="inlineStr">
        <is>
          <t>摸壁潜行者</t>
        </is>
      </c>
      <c r="F138" s="348" t="inlineStr">
        <is>
          <t>普通</t>
        </is>
      </c>
      <c r="G138" s="348" t="inlineStr">
        <is>
          <t>潜壁短钩</t>
        </is>
      </c>
      <c r="H138" s="348" t="inlineStr">
        <is>
          <t>武器</t>
        </is>
      </c>
      <c r="I138" s="348" t="inlineStr">
        <is>
          <t>武器</t>
        </is>
      </c>
      <c r="J138" s="348" t="n">
        <v>7123</v>
      </c>
      <c r="K138" s="348" t="inlineStr">
        <is>
          <t>测试三库资源已回读</t>
        </is>
      </c>
      <c r="L138" s="349" t="inlineStr">
        <is>
          <t>测试资源：0561_翠焰冥契·腐痕_武器.bmp；三库同码</t>
        </is>
      </c>
    </row>
    <row r="139" ht="34" customHeight="1">
      <c r="A139" s="347" t="inlineStr">
        <is>
          <t>C04-M062</t>
        </is>
      </c>
      <c r="B139" s="348" t="inlineStr">
        <is>
          <t>C04</t>
        </is>
      </c>
      <c r="C139" s="348" t="inlineStr">
        <is>
          <t>利耶尼亚海域</t>
        </is>
      </c>
      <c r="D139" s="348" t="inlineStr">
        <is>
          <t>XX368</t>
        </is>
      </c>
      <c r="E139" s="348" t="inlineStr">
        <is>
          <t>砾壳穴龟</t>
        </is>
      </c>
      <c r="F139" s="348" t="inlineStr">
        <is>
          <t>普通</t>
        </is>
      </c>
      <c r="G139" s="348" t="inlineStr">
        <is>
          <t>穴龟石盾</t>
        </is>
      </c>
      <c r="H139" s="348" t="inlineStr">
        <is>
          <t>盾牌</t>
        </is>
      </c>
      <c r="I139" s="348" t="inlineStr">
        <is>
          <t>盾牌</t>
        </is>
      </c>
      <c r="J139" s="348" t="n">
        <v>6790</v>
      </c>
      <c r="K139" s="348" t="inlineStr">
        <is>
          <t>预检通过资源／规划锁定／待入库</t>
        </is>
      </c>
      <c r="L139" s="349" t="inlineStr">
        <is>
          <t>装备资源库星渊龙息·龙鳞</t>
        </is>
      </c>
    </row>
    <row r="140" ht="34" customHeight="1">
      <c r="A140" s="347" t="inlineStr">
        <is>
          <t>C04-M063</t>
        </is>
      </c>
      <c r="B140" s="348" t="inlineStr">
        <is>
          <t>C04</t>
        </is>
      </c>
      <c r="C140" s="348" t="inlineStr">
        <is>
          <t>利耶尼亚海域</t>
        </is>
      </c>
      <c r="D140" s="348" t="inlineStr">
        <is>
          <t>XX382</t>
        </is>
      </c>
      <c r="E140" s="348" t="inlineStr">
        <is>
          <t>暗渠滤水蚌</t>
        </is>
      </c>
      <c r="F140" s="348" t="inlineStr">
        <is>
          <t>普通</t>
        </is>
      </c>
      <c r="G140" s="348" t="inlineStr">
        <is>
          <t>滤水蚌盔</t>
        </is>
      </c>
      <c r="H140" s="348" t="inlineStr">
        <is>
          <t>头盔</t>
        </is>
      </c>
      <c r="I140" s="348" t="inlineStr">
        <is>
          <t>头盔</t>
        </is>
      </c>
      <c r="J140" s="348" t="n">
        <v>6889</v>
      </c>
      <c r="K140" s="348" t="inlineStr">
        <is>
          <t>预检通过资源／规划锁定／待入库</t>
        </is>
      </c>
      <c r="L140" s="349" t="inlineStr">
        <is>
          <t>装备资源库星渊龙息·无垠</t>
        </is>
      </c>
    </row>
    <row r="141" ht="34" customHeight="1">
      <c r="A141" s="347" t="inlineStr">
        <is>
          <t>C04-M064</t>
        </is>
      </c>
      <c r="B141" s="348" t="inlineStr">
        <is>
          <t>C04</t>
        </is>
      </c>
      <c r="C141" s="348" t="inlineStr">
        <is>
          <t>利耶尼亚海域</t>
        </is>
      </c>
      <c r="D141" s="348" t="inlineStr">
        <is>
          <t>XX382</t>
        </is>
      </c>
      <c r="E141" s="348" t="inlineStr">
        <is>
          <t>锈闸守渠人</t>
        </is>
      </c>
      <c r="F141" s="348" t="inlineStr">
        <is>
          <t>普通</t>
        </is>
      </c>
      <c r="G141" s="348" t="inlineStr">
        <is>
          <t>守渠锈衣</t>
        </is>
      </c>
      <c r="H141" s="348" t="inlineStr">
        <is>
          <t>衣服</t>
        </is>
      </c>
      <c r="I141" s="348" t="inlineStr">
        <is>
          <t>男衣服（现行模板的衣服映射）</t>
        </is>
      </c>
      <c r="J141" s="348" t="n">
        <v>7124</v>
      </c>
      <c r="K141" s="348" t="inlineStr">
        <is>
          <t>测试三库资源已回读</t>
        </is>
      </c>
      <c r="L141" s="349" t="inlineStr">
        <is>
          <t>测试资源：0352_星渊龙息·星痕_男衣服.bmp；三库同码</t>
        </is>
      </c>
    </row>
    <row r="142" ht="34" customHeight="1">
      <c r="A142" s="347" t="inlineStr">
        <is>
          <t>C04-M065</t>
        </is>
      </c>
      <c r="B142" s="348" t="inlineStr">
        <is>
          <t>C04</t>
        </is>
      </c>
      <c r="C142" s="348" t="inlineStr">
        <is>
          <t>利耶尼亚海域</t>
        </is>
      </c>
      <c r="D142" s="348" t="inlineStr">
        <is>
          <t>XX369</t>
        </is>
      </c>
      <c r="E142" s="348" t="inlineStr">
        <is>
          <t>秘室灯笼鱼</t>
        </is>
      </c>
      <c r="F142" s="348" t="inlineStr">
        <is>
          <t>普通</t>
        </is>
      </c>
      <c r="G142" s="348" t="inlineStr">
        <is>
          <t>幽灯鱼坠</t>
        </is>
      </c>
      <c r="H142" s="348" t="inlineStr">
        <is>
          <t>项链</t>
        </is>
      </c>
      <c r="I142" s="348" t="inlineStr">
        <is>
          <t>项链</t>
        </is>
      </c>
      <c r="J142" s="348" t="n">
        <v>6891</v>
      </c>
      <c r="K142" s="348" t="inlineStr">
        <is>
          <t>预检通过资源／规划锁定／待入库</t>
        </is>
      </c>
      <c r="L142" s="349" t="inlineStr">
        <is>
          <t>装备资源库星渊龙息·无垠</t>
        </is>
      </c>
    </row>
    <row r="143" ht="34" customHeight="1">
      <c r="A143" s="347" t="inlineStr">
        <is>
          <t>C04-M066</t>
        </is>
      </c>
      <c r="B143" s="348" t="inlineStr">
        <is>
          <t>C04</t>
        </is>
      </c>
      <c r="C143" s="348" t="inlineStr">
        <is>
          <t>利耶尼亚海域</t>
        </is>
      </c>
      <c r="D143" s="348" t="inlineStr">
        <is>
          <t>XX369</t>
        </is>
      </c>
      <c r="E143" s="348" t="inlineStr">
        <is>
          <t>封门泥塑</t>
        </is>
      </c>
      <c r="F143" s="348" t="inlineStr">
        <is>
          <t>普通</t>
        </is>
      </c>
      <c r="G143" s="348" t="inlineStr">
        <is>
          <t>封门泥履</t>
        </is>
      </c>
      <c r="H143" s="348" t="inlineStr">
        <is>
          <t>鞋子</t>
        </is>
      </c>
      <c r="I143" s="348" t="inlineStr">
        <is>
          <t>鞋子</t>
        </is>
      </c>
      <c r="J143" s="348" t="n">
        <v>6827</v>
      </c>
      <c r="K143" s="348" t="inlineStr">
        <is>
          <t>预检通过资源／规划锁定／待入库</t>
        </is>
      </c>
      <c r="L143" s="349" t="inlineStr">
        <is>
          <t>装备资源库星渊龙息·渊辉</t>
        </is>
      </c>
    </row>
    <row r="144" ht="34" customHeight="1">
      <c r="A144" s="347" t="inlineStr">
        <is>
          <t>C04-M067</t>
        </is>
      </c>
      <c r="B144" s="348" t="inlineStr">
        <is>
          <t>C04</t>
        </is>
      </c>
      <c r="C144" s="348" t="inlineStr">
        <is>
          <t>利耶尼亚海域</t>
        </is>
      </c>
      <c r="D144" s="348" t="inlineStr">
        <is>
          <t>XX368</t>
        </is>
      </c>
      <c r="E144" s="348" t="inlineStr">
        <is>
          <t>回声盗墓客</t>
        </is>
      </c>
      <c r="F144" s="348" t="inlineStr">
        <is>
          <t>稀有</t>
        </is>
      </c>
      <c r="G144" s="348" t="inlineStr">
        <is>
          <t>回声盗墓笠</t>
        </is>
      </c>
      <c r="H144" s="348" t="inlineStr">
        <is>
          <t>斗笠</t>
        </is>
      </c>
      <c r="I144" s="348" t="inlineStr">
        <is>
          <t>面巾（位置13，对应斗笠）</t>
        </is>
      </c>
      <c r="J144" s="348" t="n">
        <v>6610</v>
      </c>
      <c r="K144" s="348" t="inlineStr">
        <is>
          <t>预检通过资源／规划锁定／待入库</t>
        </is>
      </c>
      <c r="L144" s="349" t="inlineStr">
        <is>
          <t>StdMode16/位置13；血月荆棘·荆冠</t>
        </is>
      </c>
    </row>
    <row r="145" ht="34" customHeight="1">
      <c r="A145" s="347" t="inlineStr">
        <is>
          <t>C04-M068</t>
        </is>
      </c>
      <c r="B145" s="348" t="inlineStr">
        <is>
          <t>C04</t>
        </is>
      </c>
      <c r="C145" s="348" t="inlineStr">
        <is>
          <t>利耶尼亚海域</t>
        </is>
      </c>
      <c r="D145" s="348" t="inlineStr">
        <is>
          <t>XX382</t>
        </is>
      </c>
      <c r="E145" s="348" t="inlineStr">
        <is>
          <t>暗渠缚链僧</t>
        </is>
      </c>
      <c r="F145" s="348" t="inlineStr">
        <is>
          <t>稀有</t>
        </is>
      </c>
      <c r="G145" s="348" t="inlineStr">
        <is>
          <t>缚链僧镯</t>
        </is>
      </c>
      <c r="H145" s="348" t="inlineStr">
        <is>
          <t>手镯</t>
        </is>
      </c>
      <c r="I145" s="348" t="inlineStr">
        <is>
          <t>手镯</t>
        </is>
      </c>
      <c r="J145" s="348" t="n">
        <v>6857</v>
      </c>
      <c r="K145" s="348" t="inlineStr">
        <is>
          <t>预检通过资源／规划锁定／待入库</t>
        </is>
      </c>
      <c r="L145" s="349" t="inlineStr">
        <is>
          <t>装备资源库星渊龙息·天穹</t>
        </is>
      </c>
    </row>
    <row r="146" ht="34" customHeight="1">
      <c r="A146" s="347" t="inlineStr">
        <is>
          <t>C04-M069</t>
        </is>
      </c>
      <c r="B146" s="348" t="inlineStr">
        <is>
          <t>C04</t>
        </is>
      </c>
      <c r="C146" s="348" t="inlineStr">
        <is>
          <t>利耶尼亚海域</t>
        </is>
      </c>
      <c r="D146" s="348" t="inlineStr">
        <is>
          <t>XX369</t>
        </is>
      </c>
      <c r="E146" s="348" t="inlineStr">
        <is>
          <t>抱钥湖尸</t>
        </is>
      </c>
      <c r="F146" s="348" t="inlineStr">
        <is>
          <t>稀有</t>
        </is>
      </c>
      <c r="G146" s="348" t="inlineStr">
        <is>
          <t>湖尸钥戒</t>
        </is>
      </c>
      <c r="H146" s="348" t="inlineStr">
        <is>
          <t>戒指</t>
        </is>
      </c>
      <c r="I146" s="348" t="inlineStr">
        <is>
          <t>戒指</t>
        </is>
      </c>
      <c r="J146" s="348" t="n">
        <v>6893</v>
      </c>
      <c r="K146" s="348" t="inlineStr">
        <is>
          <t>预检通过资源／规划锁定／待入库</t>
        </is>
      </c>
      <c r="L146" s="349" t="inlineStr">
        <is>
          <t>装备资源库星渊龙息·无垠</t>
        </is>
      </c>
    </row>
    <row r="147" ht="34" customHeight="1">
      <c r="A147" s="347" t="inlineStr">
        <is>
          <t>C04-M070</t>
        </is>
      </c>
      <c r="B147" s="348" t="inlineStr">
        <is>
          <t>C04</t>
        </is>
      </c>
      <c r="C147" s="348" t="inlineStr">
        <is>
          <t>利耶尼亚海域</t>
        </is>
      </c>
      <c r="D147" s="348" t="inlineStr">
        <is>
          <t>XX369</t>
        </is>
      </c>
      <c r="E147" s="348" t="inlineStr">
        <is>
          <t>噬门泥怪</t>
        </is>
      </c>
      <c r="F147" s="348" t="inlineStr">
        <is>
          <t>稀有</t>
        </is>
      </c>
      <c r="G147" s="348" t="inlineStr">
        <is>
          <t>泥膜束带</t>
        </is>
      </c>
      <c r="H147" s="348" t="inlineStr">
        <is>
          <t>腰带</t>
        </is>
      </c>
      <c r="I147" s="348" t="inlineStr">
        <is>
          <t>腰带</t>
        </is>
      </c>
      <c r="J147" s="348" t="n">
        <v>6758</v>
      </c>
      <c r="K147" s="348" t="inlineStr">
        <is>
          <t>预检通过资源／规划锁定／待入库</t>
        </is>
      </c>
      <c r="L147" s="349" t="inlineStr">
        <is>
          <t>装备资源库星渊龙息·星痕</t>
        </is>
      </c>
    </row>
    <row r="148" ht="34" customHeight="1">
      <c r="A148" s="347" t="inlineStr">
        <is>
          <t>C04-M071</t>
        </is>
      </c>
      <c r="B148" s="348" t="inlineStr">
        <is>
          <t>C04</t>
        </is>
      </c>
      <c r="C148" s="348" t="inlineStr">
        <is>
          <t>利耶尼亚海域</t>
        </is>
      </c>
      <c r="D148" s="348" t="inlineStr">
        <is>
          <t>XX382</t>
        </is>
      </c>
      <c r="E148" s="348" t="inlineStr">
        <is>
          <t>沉渠守誓者·阿涅</t>
        </is>
      </c>
      <c r="F148" s="348" t="inlineStr">
        <is>
          <t>地图BOSS</t>
        </is>
      </c>
      <c r="G148" s="348" t="inlineStr">
        <is>
          <t>阿涅的誓渠枪</t>
        </is>
      </c>
      <c r="H148" s="348" t="inlineStr">
        <is>
          <t>武器</t>
        </is>
      </c>
      <c r="I148" s="348" t="inlineStr">
        <is>
          <t>武器</t>
        </is>
      </c>
      <c r="J148" s="348" t="n">
        <v>6816</v>
      </c>
      <c r="K148" s="348" t="inlineStr">
        <is>
          <t>预检通过资源／规划锁定／待入库</t>
        </is>
      </c>
      <c r="L148" s="349" t="inlineStr">
        <is>
          <t>装备资源库星渊龙息·渊辉</t>
        </is>
      </c>
    </row>
    <row r="149" ht="34" customHeight="1">
      <c r="A149" s="347" t="inlineStr">
        <is>
          <t>C04-M072</t>
        </is>
      </c>
      <c r="B149" s="348" t="inlineStr">
        <is>
          <t>C04</t>
        </is>
      </c>
      <c r="C149" s="348" t="inlineStr">
        <is>
          <t>利耶尼亚海域</t>
        </is>
      </c>
      <c r="D149" s="348" t="inlineStr">
        <is>
          <t>XX369</t>
        </is>
      </c>
      <c r="E149" s="348" t="inlineStr">
        <is>
          <t>封室水镜姬·弥洛</t>
        </is>
      </c>
      <c r="F149" s="348" t="inlineStr">
        <is>
          <t>地图BOSS</t>
        </is>
      </c>
      <c r="G149" s="348" t="inlineStr">
        <is>
          <t>弥洛镜水衣</t>
        </is>
      </c>
      <c r="H149" s="348" t="inlineStr">
        <is>
          <t>衣服</t>
        </is>
      </c>
      <c r="I149" s="348" t="inlineStr">
        <is>
          <t>男衣服（现行模板的衣服映射）</t>
        </is>
      </c>
      <c r="J149" s="348" t="n">
        <v>6817</v>
      </c>
      <c r="K149" s="348" t="inlineStr">
        <is>
          <t>预检通过资源／规划锁定／待入库</t>
        </is>
      </c>
      <c r="L149" s="349" t="inlineStr">
        <is>
          <t>按现行装备模板映射男衣服StdMode10；星渊龙息·渊辉</t>
        </is>
      </c>
    </row>
    <row r="150" ht="34" customHeight="1">
      <c r="A150" s="347" t="inlineStr">
        <is>
          <t>C04-M073</t>
        </is>
      </c>
      <c r="B150" s="348" t="inlineStr">
        <is>
          <t>C04</t>
        </is>
      </c>
      <c r="C150" s="348" t="inlineStr">
        <is>
          <t>利耶尼亚海域</t>
        </is>
      </c>
      <c r="D150" s="348" t="inlineStr">
        <is>
          <t>XX369</t>
        </is>
      </c>
      <c r="E150" s="348" t="inlineStr">
        <is>
          <t>闭潮王·莱弥恩</t>
        </is>
      </c>
      <c r="F150" s="348" t="inlineStr">
        <is>
          <t>守关BOSS</t>
        </is>
      </c>
      <c r="G150" s="348" t="inlineStr">
        <is>
          <t>莱弥恩的封湖巨剑</t>
        </is>
      </c>
      <c r="H150" s="348" t="inlineStr">
        <is>
          <t>武器</t>
        </is>
      </c>
      <c r="I150" s="348" t="inlineStr">
        <is>
          <t>武器</t>
        </is>
      </c>
      <c r="J150" s="348" t="n">
        <v>6851</v>
      </c>
      <c r="K150" s="348" t="inlineStr">
        <is>
          <t>预检通过资源／规划锁定／待入库</t>
        </is>
      </c>
      <c r="L150" s="349" t="inlineStr">
        <is>
          <t>装备资源库星渊龙息·天穹</t>
        </is>
      </c>
    </row>
    <row r="151" ht="34" customHeight="1">
      <c r="A151" s="347" t="inlineStr">
        <is>
          <t>C05-M001</t>
        </is>
      </c>
      <c r="B151" s="348" t="inlineStr">
        <is>
          <t>C05</t>
        </is>
      </c>
      <c r="C151" s="348" t="inlineStr">
        <is>
          <t>湖之利耶尼亚</t>
        </is>
      </c>
      <c r="D151" s="348" t="inlineStr">
        <is>
          <t>XX338</t>
        </is>
      </c>
      <c r="E151" s="348" t="inlineStr">
        <is>
          <t>雾汐游魂</t>
        </is>
      </c>
      <c r="F151" s="348" t="inlineStr">
        <is>
          <t>普通</t>
        </is>
      </c>
      <c r="G151" s="348" t="inlineStr">
        <is>
          <t>雾汐踏波履</t>
        </is>
      </c>
      <c r="H151" s="348" t="inlineStr">
        <is>
          <t>鞋子</t>
        </is>
      </c>
      <c r="I151" s="348" t="inlineStr">
        <is>
          <t>鞋子</t>
        </is>
      </c>
      <c r="J151" s="348" t="n">
        <v>6862</v>
      </c>
      <c r="K151" s="348" t="inlineStr">
        <is>
          <t>预检通过资源／规划锁定／待入库</t>
        </is>
      </c>
      <c r="L151" s="349" t="inlineStr">
        <is>
          <t>装备资源库星渊龙息·天穹</t>
        </is>
      </c>
    </row>
    <row r="152" ht="34" customHeight="1">
      <c r="A152" s="347" t="inlineStr">
        <is>
          <t>C05-M002</t>
        </is>
      </c>
      <c r="B152" s="348" t="inlineStr">
        <is>
          <t>C05</t>
        </is>
      </c>
      <c r="C152" s="348" t="inlineStr">
        <is>
          <t>湖之利耶尼亚</t>
        </is>
      </c>
      <c r="D152" s="348" t="inlineStr">
        <is>
          <t>XX338</t>
        </is>
      </c>
      <c r="E152" s="348" t="inlineStr">
        <is>
          <t>水庭苔甲蟹</t>
        </is>
      </c>
      <c r="F152" s="348" t="inlineStr">
        <is>
          <t>普通</t>
        </is>
      </c>
      <c r="G152" s="348" t="inlineStr">
        <is>
          <t>苔纹潮壳盾</t>
        </is>
      </c>
      <c r="H152" s="348" t="inlineStr">
        <is>
          <t>盾牌</t>
        </is>
      </c>
      <c r="I152" s="348" t="inlineStr">
        <is>
          <t>盾牌</t>
        </is>
      </c>
      <c r="J152" s="348" t="n">
        <v>6825</v>
      </c>
      <c r="K152" s="348" t="inlineStr">
        <is>
          <t>预检通过资源／规划锁定／待入库</t>
        </is>
      </c>
      <c r="L152" s="349" t="inlineStr">
        <is>
          <t>装备资源库星渊龙息·渊辉</t>
        </is>
      </c>
    </row>
    <row r="153" ht="34" customHeight="1">
      <c r="A153" s="347" t="inlineStr">
        <is>
          <t>C05-M003</t>
        </is>
      </c>
      <c r="B153" s="348" t="inlineStr">
        <is>
          <t>C05</t>
        </is>
      </c>
      <c r="C153" s="348" t="inlineStr">
        <is>
          <t>湖之利耶尼亚</t>
        </is>
      </c>
      <c r="D153" s="348" t="inlineStr">
        <is>
          <t>XX339</t>
        </is>
      </c>
      <c r="E153" s="348" t="inlineStr">
        <is>
          <t>月雾提灯侍</t>
        </is>
      </c>
      <c r="F153" s="348" t="inlineStr">
        <is>
          <t>普通</t>
        </is>
      </c>
      <c r="G153" s="348" t="inlineStr">
        <is>
          <t>月翳提灯笠</t>
        </is>
      </c>
      <c r="H153" s="348" t="inlineStr">
        <is>
          <t>斗笠</t>
        </is>
      </c>
      <c r="I153" s="348" t="inlineStr">
        <is>
          <t>面巾（位置13，对应斗笠）</t>
        </is>
      </c>
      <c r="J153" s="348" t="n">
        <v>7125</v>
      </c>
      <c r="K153" s="348" t="inlineStr">
        <is>
          <t>测试三库资源已回读</t>
        </is>
      </c>
      <c r="L153" s="349" t="inlineStr">
        <is>
          <t>测试资源：0040_黄金圣树·圣枝_面巾.bmp；三库同码</t>
        </is>
      </c>
    </row>
    <row r="154" ht="34" customHeight="1">
      <c r="A154" s="347" t="inlineStr">
        <is>
          <t>C05-M004</t>
        </is>
      </c>
      <c r="B154" s="348" t="inlineStr">
        <is>
          <t>C05</t>
        </is>
      </c>
      <c r="C154" s="348" t="inlineStr">
        <is>
          <t>湖之利耶尼亚</t>
        </is>
      </c>
      <c r="D154" s="348" t="inlineStr">
        <is>
          <t>XX339</t>
        </is>
      </c>
      <c r="E154" s="348" t="inlineStr">
        <is>
          <t>回廊凝露蛾</t>
        </is>
      </c>
      <c r="F154" s="348" t="inlineStr">
        <is>
          <t>普通</t>
        </is>
      </c>
      <c r="G154" s="348" t="inlineStr">
        <is>
          <t>凝露蛾月坠</t>
        </is>
      </c>
      <c r="H154" s="348" t="inlineStr">
        <is>
          <t>项链</t>
        </is>
      </c>
      <c r="I154" s="348" t="inlineStr">
        <is>
          <t>项链</t>
        </is>
      </c>
      <c r="J154" s="348" t="n">
        <v>6926</v>
      </c>
      <c r="K154" s="348" t="inlineStr">
        <is>
          <t>预检通过资源／规划锁定／待入库</t>
        </is>
      </c>
      <c r="L154" s="349" t="inlineStr">
        <is>
          <t>装备资源库翠焰冥契·幽焰</t>
        </is>
      </c>
    </row>
    <row r="155" ht="34" customHeight="1">
      <c r="A155" s="347" t="inlineStr">
        <is>
          <t>C05-M005</t>
        </is>
      </c>
      <c r="B155" s="348" t="inlineStr">
        <is>
          <t>C05</t>
        </is>
      </c>
      <c r="C155" s="348" t="inlineStr">
        <is>
          <t>湖之利耶尼亚</t>
        </is>
      </c>
      <c r="D155" s="348" t="inlineStr">
        <is>
          <t>XX331</t>
        </is>
      </c>
      <c r="E155" s="348" t="inlineStr">
        <is>
          <t>静月执盏者</t>
        </is>
      </c>
      <c r="F155" s="348" t="inlineStr">
        <is>
          <t>普通</t>
        </is>
      </c>
      <c r="G155" s="348" t="inlineStr">
        <is>
          <t>静盏银纹镯</t>
        </is>
      </c>
      <c r="H155" s="348" t="inlineStr">
        <is>
          <t>手镯</t>
        </is>
      </c>
      <c r="I155" s="348" t="inlineStr">
        <is>
          <t>手镯</t>
        </is>
      </c>
      <c r="J155" s="348" t="n">
        <v>6892</v>
      </c>
      <c r="K155" s="348" t="inlineStr">
        <is>
          <t>预检通过资源／规划锁定／待入库</t>
        </is>
      </c>
      <c r="L155" s="349" t="inlineStr">
        <is>
          <t>装备资源库星渊龙息·无垠</t>
        </is>
      </c>
    </row>
    <row r="156" ht="34" customHeight="1">
      <c r="A156" s="347" t="inlineStr">
        <is>
          <t>C05-M006</t>
        </is>
      </c>
      <c r="B156" s="348" t="inlineStr">
        <is>
          <t>C05</t>
        </is>
      </c>
      <c r="C156" s="348" t="inlineStr">
        <is>
          <t>湖之利耶尼亚</t>
        </is>
      </c>
      <c r="D156" s="348" t="inlineStr">
        <is>
          <t>XX331</t>
        </is>
      </c>
      <c r="E156" s="348" t="inlineStr">
        <is>
          <t>祭庭涟影</t>
        </is>
      </c>
      <c r="F156" s="348" t="inlineStr">
        <is>
          <t>普通</t>
        </is>
      </c>
      <c r="G156" s="348" t="inlineStr">
        <is>
          <t>涟影回波戒</t>
        </is>
      </c>
      <c r="H156" s="348" t="inlineStr">
        <is>
          <t>戒指</t>
        </is>
      </c>
      <c r="I156" s="348" t="inlineStr">
        <is>
          <t>戒指</t>
        </is>
      </c>
      <c r="J156" s="348" t="n">
        <v>6928</v>
      </c>
      <c r="K156" s="348" t="inlineStr">
        <is>
          <t>预检通过资源／规划锁定／待入库</t>
        </is>
      </c>
      <c r="L156" s="349" t="inlineStr">
        <is>
          <t>装备资源库翠焰冥契·幽焰</t>
        </is>
      </c>
    </row>
    <row r="157" ht="34" customHeight="1">
      <c r="A157" s="347" t="inlineStr">
        <is>
          <t>C05-M007</t>
        </is>
      </c>
      <c r="B157" s="348" t="inlineStr">
        <is>
          <t>C05</t>
        </is>
      </c>
      <c r="C157" s="348" t="inlineStr">
        <is>
          <t>湖之利耶尼亚</t>
        </is>
      </c>
      <c r="D157" s="348" t="inlineStr">
        <is>
          <t>XX338</t>
        </is>
      </c>
      <c r="E157" s="348" t="inlineStr">
        <is>
          <t>银雾汲月兽</t>
        </is>
      </c>
      <c r="F157" s="348" t="inlineStr">
        <is>
          <t>稀有</t>
        </is>
      </c>
      <c r="G157" s="348" t="inlineStr">
        <is>
          <t>汲月雾绦</t>
        </is>
      </c>
      <c r="H157" s="348" t="inlineStr">
        <is>
          <t>腰带</t>
        </is>
      </c>
      <c r="I157" s="348" t="inlineStr">
        <is>
          <t>腰带</t>
        </is>
      </c>
      <c r="J157" s="348" t="n">
        <v>6793</v>
      </c>
      <c r="K157" s="348" t="inlineStr">
        <is>
          <t>预检通过资源／规划锁定／待入库</t>
        </is>
      </c>
      <c r="L157" s="349" t="inlineStr">
        <is>
          <t>装备资源库星渊龙息·龙鳞</t>
        </is>
      </c>
    </row>
    <row r="158" ht="34" customHeight="1">
      <c r="A158" s="347" t="inlineStr">
        <is>
          <t>C05-M008</t>
        </is>
      </c>
      <c r="B158" s="348" t="inlineStr">
        <is>
          <t>C05</t>
        </is>
      </c>
      <c r="C158" s="348" t="inlineStr">
        <is>
          <t>湖之利耶尼亚</t>
        </is>
      </c>
      <c r="D158" s="348" t="inlineStr">
        <is>
          <t>XX338</t>
        </is>
      </c>
      <c r="E158" s="348" t="inlineStr">
        <is>
          <t>镜荷守梦灵</t>
        </is>
      </c>
      <c r="F158" s="348" t="inlineStr">
        <is>
          <t>稀有</t>
        </is>
      </c>
      <c r="G158" s="348" t="inlineStr">
        <is>
          <t>镜荷眠梦冠</t>
        </is>
      </c>
      <c r="H158" s="348" t="inlineStr">
        <is>
          <t>头盔</t>
        </is>
      </c>
      <c r="I158" s="348" t="inlineStr">
        <is>
          <t>头盔</t>
        </is>
      </c>
      <c r="J158" s="348" t="n">
        <v>6924</v>
      </c>
      <c r="K158" s="348" t="inlineStr">
        <is>
          <t>预检通过资源／规划锁定／待入库</t>
        </is>
      </c>
      <c r="L158" s="349" t="inlineStr">
        <is>
          <t>装备资源库翠焰冥契·幽焰</t>
        </is>
      </c>
    </row>
    <row r="159" ht="34" customHeight="1">
      <c r="A159" s="347" t="inlineStr">
        <is>
          <t>C05-M009</t>
        </is>
      </c>
      <c r="B159" s="348" t="inlineStr">
        <is>
          <t>C05</t>
        </is>
      </c>
      <c r="C159" s="348" t="inlineStr">
        <is>
          <t>湖之利耶尼亚</t>
        </is>
      </c>
      <c r="D159" s="348" t="inlineStr">
        <is>
          <t>XX339</t>
        </is>
      </c>
      <c r="E159" s="348" t="inlineStr">
        <is>
          <t>月纱回声女官</t>
        </is>
      </c>
      <c r="F159" s="348" t="inlineStr">
        <is>
          <t>稀有</t>
        </is>
      </c>
      <c r="G159" s="348" t="inlineStr">
        <is>
          <t>月纱回音章</t>
        </is>
      </c>
      <c r="H159" s="348" t="inlineStr">
        <is>
          <t>勋章</t>
        </is>
      </c>
      <c r="I159" s="348" t="inlineStr">
        <is>
          <t>勋章</t>
        </is>
      </c>
      <c r="J159" s="348" t="n">
        <v>6684</v>
      </c>
      <c r="K159" s="348" t="inlineStr">
        <is>
          <t>预检通过资源／规划锁定／待入库</t>
        </is>
      </c>
      <c r="L159" s="349" t="inlineStr">
        <is>
          <t>装备资源库血月荆棘·弑王</t>
        </is>
      </c>
    </row>
    <row r="160" ht="34" customHeight="1">
      <c r="A160" s="347" t="inlineStr">
        <is>
          <t>C05-M010</t>
        </is>
      </c>
      <c r="B160" s="348" t="inlineStr">
        <is>
          <t>C05</t>
        </is>
      </c>
      <c r="C160" s="348" t="inlineStr">
        <is>
          <t>湖之利耶尼亚</t>
        </is>
      </c>
      <c r="D160" s="348" t="inlineStr">
        <is>
          <t>XX331</t>
        </is>
      </c>
      <c r="E160" s="348" t="inlineStr">
        <is>
          <t>静潮祷月祭司</t>
        </is>
      </c>
      <c r="F160" s="348" t="inlineStr">
        <is>
          <t>稀有</t>
        </is>
      </c>
      <c r="G160" s="348" t="inlineStr">
        <is>
          <t>静潮祷仪袍</t>
        </is>
      </c>
      <c r="H160" s="348" t="inlineStr">
        <is>
          <t>衣服</t>
        </is>
      </c>
      <c r="I160" s="348" t="inlineStr">
        <is>
          <t>男衣服（现行模板的衣服映射）</t>
        </is>
      </c>
      <c r="J160" s="348" t="n">
        <v>7126</v>
      </c>
      <c r="K160" s="348" t="inlineStr">
        <is>
          <t>测试三库资源已回读</t>
        </is>
      </c>
      <c r="L160" s="349" t="inlineStr">
        <is>
          <t>测试资源：0387_星渊龙息·龙鳞_男衣服.bmp；三库同码</t>
        </is>
      </c>
    </row>
    <row r="161" ht="34" customHeight="1">
      <c r="A161" s="347" t="inlineStr">
        <is>
          <t>C05-M011</t>
        </is>
      </c>
      <c r="B161" s="348" t="inlineStr">
        <is>
          <t>C05</t>
        </is>
      </c>
      <c r="C161" s="348" t="inlineStr">
        <is>
          <t>湖之利耶尼亚</t>
        </is>
      </c>
      <c r="D161" s="348" t="inlineStr">
        <is>
          <t>XX339</t>
        </is>
      </c>
      <c r="E161" s="348" t="inlineStr">
        <is>
          <t>雾冠巡庭侯</t>
        </is>
      </c>
      <c r="F161" s="348" t="inlineStr">
        <is>
          <t>地图BOSS</t>
        </is>
      </c>
      <c r="G161" s="348" t="inlineStr">
        <is>
          <t>雾冠巡庭刃</t>
        </is>
      </c>
      <c r="H161" s="348" t="inlineStr">
        <is>
          <t>武器</t>
        </is>
      </c>
      <c r="I161" s="348" t="inlineStr">
        <is>
          <t>武器</t>
        </is>
      </c>
      <c r="J161" s="348" t="n">
        <v>6886</v>
      </c>
      <c r="K161" s="348" t="inlineStr">
        <is>
          <t>预检通过资源／规划锁定／待入库</t>
        </is>
      </c>
      <c r="L161" s="349" t="inlineStr">
        <is>
          <t>装备资源库星渊龙息·无垠</t>
        </is>
      </c>
    </row>
    <row r="162" ht="34" customHeight="1">
      <c r="A162" s="347" t="inlineStr">
        <is>
          <t>C05-M012</t>
        </is>
      </c>
      <c r="B162" s="348" t="inlineStr">
        <is>
          <t>C05</t>
        </is>
      </c>
      <c r="C162" s="348" t="inlineStr">
        <is>
          <t>湖之利耶尼亚</t>
        </is>
      </c>
      <c r="D162" s="348" t="inlineStr">
        <is>
          <t>XX331</t>
        </is>
      </c>
      <c r="E162" s="348" t="inlineStr">
        <is>
          <t>沉月镜池圣母</t>
        </is>
      </c>
      <c r="F162" s="348" t="inlineStr">
        <is>
          <t>地图BOSS</t>
        </is>
      </c>
      <c r="G162" s="348" t="inlineStr">
        <is>
          <t>沉月镜池华服</t>
        </is>
      </c>
      <c r="H162" s="348" t="inlineStr">
        <is>
          <t>衣服</t>
        </is>
      </c>
      <c r="I162" s="348" t="inlineStr">
        <is>
          <t>男衣服（现行模板的衣服映射）</t>
        </is>
      </c>
      <c r="J162" s="348" t="n">
        <v>6852</v>
      </c>
      <c r="K162" s="348" t="inlineStr">
        <is>
          <t>预检通过资源／规划锁定／待入库</t>
        </is>
      </c>
      <c r="L162" s="349" t="inlineStr">
        <is>
          <t>按现行装备模板映射男衣服StdMode10；星渊龙息·天穹</t>
        </is>
      </c>
    </row>
    <row r="163" ht="34" customHeight="1">
      <c r="A163" s="347" t="inlineStr">
        <is>
          <t>C05-M013</t>
        </is>
      </c>
      <c r="B163" s="348" t="inlineStr">
        <is>
          <t>C05</t>
        </is>
      </c>
      <c r="C163" s="348" t="inlineStr">
        <is>
          <t>湖之利耶尼亚</t>
        </is>
      </c>
      <c r="D163" s="348" t="inlineStr">
        <is>
          <t>XX812</t>
        </is>
      </c>
      <c r="E163" s="348" t="inlineStr">
        <is>
          <t>碎辉穴蜥</t>
        </is>
      </c>
      <c r="F163" s="348" t="inlineStr">
        <is>
          <t>普通</t>
        </is>
      </c>
      <c r="G163" s="348" t="inlineStr">
        <is>
          <t>碎辉鳞踏靴</t>
        </is>
      </c>
      <c r="H163" s="348" t="inlineStr">
        <is>
          <t>鞋子</t>
        </is>
      </c>
      <c r="I163" s="348" t="inlineStr">
        <is>
          <t>鞋子</t>
        </is>
      </c>
      <c r="J163" s="348" t="n">
        <v>6897</v>
      </c>
      <c r="K163" s="348" t="inlineStr">
        <is>
          <t>预检通过资源／规划锁定／待入库</t>
        </is>
      </c>
      <c r="L163" s="349" t="inlineStr">
        <is>
          <t>装备资源库星渊龙息·无垠</t>
        </is>
      </c>
    </row>
    <row r="164" ht="34" customHeight="1">
      <c r="A164" s="347" t="inlineStr">
        <is>
          <t>C05-M014</t>
        </is>
      </c>
      <c r="B164" s="348" t="inlineStr">
        <is>
          <t>C05</t>
        </is>
      </c>
      <c r="C164" s="348" t="inlineStr">
        <is>
          <t>湖之利耶尼亚</t>
        </is>
      </c>
      <c r="D164" s="348" t="inlineStr">
        <is>
          <t>XX812</t>
        </is>
      </c>
      <c r="E164" s="348" t="inlineStr">
        <is>
          <t>遗迹刻晶奴</t>
        </is>
      </c>
      <c r="F164" s="348" t="inlineStr">
        <is>
          <t>普通</t>
        </is>
      </c>
      <c r="G164" s="348" t="inlineStr">
        <is>
          <t>遗刻晶纹镯</t>
        </is>
      </c>
      <c r="H164" s="348" t="inlineStr">
        <is>
          <t>手镯</t>
        </is>
      </c>
      <c r="I164" s="348" t="inlineStr">
        <is>
          <t>手镯</t>
        </is>
      </c>
      <c r="J164" s="348" t="n">
        <v>6927</v>
      </c>
      <c r="K164" s="348" t="inlineStr">
        <is>
          <t>预检通过资源／规划锁定／待入库</t>
        </is>
      </c>
      <c r="L164" s="349" t="inlineStr">
        <is>
          <t>装备资源库翠焰冥契·幽焰</t>
        </is>
      </c>
    </row>
    <row r="165" ht="34" customHeight="1">
      <c r="A165" s="347" t="inlineStr">
        <is>
          <t>C05-M015</t>
        </is>
      </c>
      <c r="B165" s="348" t="inlineStr">
        <is>
          <t>C05</t>
        </is>
      </c>
      <c r="C165" s="348" t="inlineStr">
        <is>
          <t>湖之利耶尼亚</t>
        </is>
      </c>
      <c r="D165" s="348" t="inlineStr">
        <is>
          <t>XX815</t>
        </is>
      </c>
      <c r="E165" s="348" t="inlineStr">
        <is>
          <t>晶廊折光蝶</t>
        </is>
      </c>
      <c r="F165" s="348" t="inlineStr">
        <is>
          <t>普通</t>
        </is>
      </c>
      <c r="G165" s="348" t="inlineStr">
        <is>
          <t>折光翅晶链</t>
        </is>
      </c>
      <c r="H165" s="348" t="inlineStr">
        <is>
          <t>项链</t>
        </is>
      </c>
      <c r="I165" s="348" t="inlineStr">
        <is>
          <t>项链</t>
        </is>
      </c>
      <c r="J165" s="348" t="n">
        <v>6961</v>
      </c>
      <c r="K165" s="348" t="inlineStr">
        <is>
          <t>预检通过资源／规划锁定／待入库</t>
        </is>
      </c>
      <c r="L165" s="349" t="inlineStr">
        <is>
          <t>装备资源库翠焰冥契·腐痕</t>
        </is>
      </c>
    </row>
    <row r="166" ht="34" customHeight="1">
      <c r="A166" s="347" t="inlineStr">
        <is>
          <t>C05-M016</t>
        </is>
      </c>
      <c r="B166" s="348" t="inlineStr">
        <is>
          <t>C05</t>
        </is>
      </c>
      <c r="C166" s="348" t="inlineStr">
        <is>
          <t>湖之利耶尼亚</t>
        </is>
      </c>
      <c r="D166" s="348" t="inlineStr">
        <is>
          <t>XX813</t>
        </is>
      </c>
      <c r="E166" s="348" t="inlineStr">
        <is>
          <t>前庭砾晶守卒</t>
        </is>
      </c>
      <c r="F166" s="348" t="inlineStr">
        <is>
          <t>普通</t>
        </is>
      </c>
      <c r="G166" s="348" t="inlineStr">
        <is>
          <t>砾晶护庭盾</t>
        </is>
      </c>
      <c r="H166" s="348" t="inlineStr">
        <is>
          <t>盾牌</t>
        </is>
      </c>
      <c r="I166" s="348" t="inlineStr">
        <is>
          <t>盾牌</t>
        </is>
      </c>
      <c r="J166" s="348" t="n">
        <v>6860</v>
      </c>
      <c r="K166" s="348" t="inlineStr">
        <is>
          <t>预检通过资源／规划锁定／待入库</t>
        </is>
      </c>
      <c r="L166" s="349" t="inlineStr">
        <is>
          <t>装备资源库星渊龙息·天穹</t>
        </is>
      </c>
    </row>
    <row r="167" ht="34" customHeight="1">
      <c r="A167" s="347" t="inlineStr">
        <is>
          <t>C05-M017</t>
        </is>
      </c>
      <c r="B167" s="348" t="inlineStr">
        <is>
          <t>C05</t>
        </is>
      </c>
      <c r="C167" s="348" t="inlineStr">
        <is>
          <t>湖之利耶尼亚</t>
        </is>
      </c>
      <c r="D167" s="348" t="inlineStr">
        <is>
          <t>XX814</t>
        </is>
      </c>
      <c r="E167" s="348" t="inlineStr">
        <is>
          <t>内院辉壳犬</t>
        </is>
      </c>
      <c r="F167" s="348" t="inlineStr">
        <is>
          <t>普通</t>
        </is>
      </c>
      <c r="G167" s="348" t="inlineStr">
        <is>
          <t>辉壳束腰</t>
        </is>
      </c>
      <c r="H167" s="348" t="inlineStr">
        <is>
          <t>腰带</t>
        </is>
      </c>
      <c r="I167" s="348" t="inlineStr">
        <is>
          <t>腰带</t>
        </is>
      </c>
      <c r="J167" s="348" t="n">
        <v>6828</v>
      </c>
      <c r="K167" s="348" t="inlineStr">
        <is>
          <t>预检通过资源／规划锁定／待入库</t>
        </is>
      </c>
      <c r="L167" s="349" t="inlineStr">
        <is>
          <t>装备资源库星渊龙息·渊辉</t>
        </is>
      </c>
    </row>
    <row r="168" ht="34" customHeight="1">
      <c r="A168" s="347" t="inlineStr">
        <is>
          <t>C05-M018</t>
        </is>
      </c>
      <c r="B168" s="348" t="inlineStr">
        <is>
          <t>C05</t>
        </is>
      </c>
      <c r="C168" s="348" t="inlineStr">
        <is>
          <t>湖之利耶尼亚</t>
        </is>
      </c>
      <c r="D168" s="348" t="inlineStr">
        <is>
          <t>XX816</t>
        </is>
      </c>
      <c r="E168" s="348" t="inlineStr">
        <is>
          <t>圣坛悬晶灵</t>
        </is>
      </c>
      <c r="F168" s="348" t="inlineStr">
        <is>
          <t>普通</t>
        </is>
      </c>
      <c r="G168" s="348" t="inlineStr">
        <is>
          <t>悬晶祭辉笠</t>
        </is>
      </c>
      <c r="H168" s="348" t="inlineStr">
        <is>
          <t>斗笠</t>
        </is>
      </c>
      <c r="I168" s="348" t="inlineStr">
        <is>
          <t>面巾（位置13，对应斗笠）</t>
        </is>
      </c>
      <c r="J168" s="348" t="n">
        <v>7127</v>
      </c>
      <c r="K168" s="348" t="inlineStr">
        <is>
          <t>测试三库资源已回读</t>
        </is>
      </c>
      <c r="L168" s="349" t="inlineStr">
        <is>
          <t>测试资源：0075_黄金圣树·王权_面巾.bmp；三库同码</t>
        </is>
      </c>
    </row>
    <row r="169" ht="34" customHeight="1">
      <c r="A169" s="347" t="inlineStr">
        <is>
          <t>C05-M019</t>
        </is>
      </c>
      <c r="B169" s="348" t="inlineStr">
        <is>
          <t>C05</t>
        </is>
      </c>
      <c r="C169" s="348" t="inlineStr">
        <is>
          <t>湖之利耶尼亚</t>
        </is>
      </c>
      <c r="D169" s="348" t="inlineStr">
        <is>
          <t>XX812</t>
        </is>
      </c>
      <c r="E169" s="348" t="inlineStr">
        <is>
          <t>青曜啮辉兽</t>
        </is>
      </c>
      <c r="F169" s="348" t="inlineStr">
        <is>
          <t>稀有</t>
        </is>
      </c>
      <c r="G169" s="348" t="inlineStr">
        <is>
          <t>青曜噬光戒</t>
        </is>
      </c>
      <c r="H169" s="348" t="inlineStr">
        <is>
          <t>戒指</t>
        </is>
      </c>
      <c r="I169" s="348" t="inlineStr">
        <is>
          <t>戒指</t>
        </is>
      </c>
      <c r="J169" s="348" t="n">
        <v>6963</v>
      </c>
      <c r="K169" s="348" t="inlineStr">
        <is>
          <t>预检通过资源／规划锁定／待入库</t>
        </is>
      </c>
      <c r="L169" s="349" t="inlineStr">
        <is>
          <t>装备资源库翠焰冥契·腐痕</t>
        </is>
      </c>
    </row>
    <row r="170" ht="34" customHeight="1">
      <c r="A170" s="347" t="inlineStr">
        <is>
          <t>C05-M020</t>
        </is>
      </c>
      <c r="B170" s="348" t="inlineStr">
        <is>
          <t>C05</t>
        </is>
      </c>
      <c r="C170" s="348" t="inlineStr">
        <is>
          <t>湖之利耶尼亚</t>
        </is>
      </c>
      <c r="D170" s="348" t="inlineStr">
        <is>
          <t>XX815</t>
        </is>
      </c>
      <c r="E170" s="348" t="inlineStr">
        <is>
          <t>棱光长廊术士</t>
        </is>
      </c>
      <c r="F170" s="348" t="inlineStr">
        <is>
          <t>稀有</t>
        </is>
      </c>
      <c r="G170" s="348" t="inlineStr">
        <is>
          <t>棱光术冠</t>
        </is>
      </c>
      <c r="H170" s="348" t="inlineStr">
        <is>
          <t>头盔</t>
        </is>
      </c>
      <c r="I170" s="348" t="inlineStr">
        <is>
          <t>头盔</t>
        </is>
      </c>
      <c r="J170" s="348" t="n">
        <v>6959</v>
      </c>
      <c r="K170" s="348" t="inlineStr">
        <is>
          <t>预检通过资源／规划锁定／待入库</t>
        </is>
      </c>
      <c r="L170" s="349" t="inlineStr">
        <is>
          <t>装备资源库翠焰冥契·腐痕</t>
        </is>
      </c>
    </row>
    <row r="171" ht="34" customHeight="1">
      <c r="A171" s="347" t="inlineStr">
        <is>
          <t>C05-M021</t>
        </is>
      </c>
      <c r="B171" s="348" t="inlineStr">
        <is>
          <t>C05</t>
        </is>
      </c>
      <c r="C171" s="348" t="inlineStr">
        <is>
          <t>湖之利耶尼亚</t>
        </is>
      </c>
      <c r="D171" s="348" t="inlineStr">
        <is>
          <t>XX813</t>
        </is>
      </c>
      <c r="E171" s="348" t="inlineStr">
        <is>
          <t>学院前庭晶戟卫</t>
        </is>
      </c>
      <c r="F171" s="348" t="inlineStr">
        <is>
          <t>稀有</t>
        </is>
      </c>
      <c r="G171" s="348" t="inlineStr">
        <is>
          <t>前庭晶戟勋</t>
        </is>
      </c>
      <c r="H171" s="348" t="inlineStr">
        <is>
          <t>勋章</t>
        </is>
      </c>
      <c r="I171" s="348" t="inlineStr">
        <is>
          <t>勋章</t>
        </is>
      </c>
      <c r="J171" s="348" t="n">
        <v>6719</v>
      </c>
      <c r="K171" s="348" t="inlineStr">
        <is>
          <t>预检通过资源／规划锁定／待入库</t>
        </is>
      </c>
      <c r="L171" s="349" t="inlineStr">
        <is>
          <t>装备资源库血月荆棘·血月</t>
        </is>
      </c>
    </row>
    <row r="172" ht="34" customHeight="1">
      <c r="A172" s="347" t="inlineStr">
        <is>
          <t>C05-M022</t>
        </is>
      </c>
      <c r="B172" s="348" t="inlineStr">
        <is>
          <t>C05</t>
        </is>
      </c>
      <c r="C172" s="348" t="inlineStr">
        <is>
          <t>湖之利耶尼亚</t>
        </is>
      </c>
      <c r="D172" s="348" t="inlineStr">
        <is>
          <t>XX814</t>
        </is>
      </c>
      <c r="E172" s="348" t="inlineStr">
        <is>
          <t>内院辉核铸像</t>
        </is>
      </c>
      <c r="F172" s="348" t="inlineStr">
        <is>
          <t>稀有</t>
        </is>
      </c>
      <c r="G172" s="348" t="inlineStr">
        <is>
          <t>辉核铸像衣</t>
        </is>
      </c>
      <c r="H172" s="348" t="inlineStr">
        <is>
          <t>衣服</t>
        </is>
      </c>
      <c r="I172" s="348" t="inlineStr">
        <is>
          <t>男衣服（现行模板的衣服映射）</t>
        </is>
      </c>
      <c r="J172" s="348" t="n">
        <v>7128</v>
      </c>
      <c r="K172" s="348" t="inlineStr">
        <is>
          <t>测试三库资源已回读</t>
        </is>
      </c>
      <c r="L172" s="349" t="inlineStr">
        <is>
          <t>测试资源：0422_星渊龙息·渊辉_男衣服.bmp；三库同码</t>
        </is>
      </c>
    </row>
    <row r="173" ht="34" customHeight="1">
      <c r="A173" s="347" t="inlineStr">
        <is>
          <t>C05-M023</t>
        </is>
      </c>
      <c r="B173" s="348" t="inlineStr">
        <is>
          <t>C05</t>
        </is>
      </c>
      <c r="C173" s="348" t="inlineStr">
        <is>
          <t>湖之利耶尼亚</t>
        </is>
      </c>
      <c r="D173" s="348" t="inlineStr">
        <is>
          <t>XX814</t>
        </is>
      </c>
      <c r="E173" s="348" t="inlineStr">
        <is>
          <t>裂辉古院监</t>
        </is>
      </c>
      <c r="F173" s="348" t="inlineStr">
        <is>
          <t>地图BOSS</t>
        </is>
      </c>
      <c r="G173" s="348" t="inlineStr">
        <is>
          <t>裂辉监院长戟</t>
        </is>
      </c>
      <c r="H173" s="348" t="inlineStr">
        <is>
          <t>武器</t>
        </is>
      </c>
      <c r="I173" s="348" t="inlineStr">
        <is>
          <t>武器</t>
        </is>
      </c>
      <c r="J173" s="348" t="n">
        <v>7129</v>
      </c>
      <c r="K173" s="348" t="inlineStr">
        <is>
          <t>测试三库资源已回读</t>
        </is>
      </c>
      <c r="L173" s="349" t="inlineStr">
        <is>
          <t>测试资源：0596_翠焰冥契·冥契_武器.bmp；三库同码</t>
        </is>
      </c>
    </row>
    <row r="174" ht="34" customHeight="1">
      <c r="A174" s="347" t="inlineStr">
        <is>
          <t>C05-M024</t>
        </is>
      </c>
      <c r="B174" s="348" t="inlineStr">
        <is>
          <t>C05</t>
        </is>
      </c>
      <c r="C174" s="348" t="inlineStr">
        <is>
          <t>湖之利耶尼亚</t>
        </is>
      </c>
      <c r="D174" s="348" t="inlineStr">
        <is>
          <t>XX816</t>
        </is>
      </c>
      <c r="E174" s="348" t="inlineStr">
        <is>
          <t>万棱圣坛龙蜥</t>
        </is>
      </c>
      <c r="F174" s="348" t="inlineStr">
        <is>
          <t>地图BOSS</t>
        </is>
      </c>
      <c r="G174" s="348" t="inlineStr">
        <is>
          <t>万棱圣坛鳞衣</t>
        </is>
      </c>
      <c r="H174" s="348" t="inlineStr">
        <is>
          <t>衣服</t>
        </is>
      </c>
      <c r="I174" s="348" t="inlineStr">
        <is>
          <t>男衣服（现行模板的衣服映射）</t>
        </is>
      </c>
      <c r="J174" s="348" t="n">
        <v>6887</v>
      </c>
      <c r="K174" s="348" t="inlineStr">
        <is>
          <t>预检通过资源／规划锁定／待入库</t>
        </is>
      </c>
      <c r="L174" s="349" t="inlineStr">
        <is>
          <t>按现行装备模板映射男衣服StdMode10；星渊龙息·无垠</t>
        </is>
      </c>
    </row>
    <row r="175" ht="34" customHeight="1">
      <c r="A175" s="347" t="inlineStr">
        <is>
          <t>C05-M025</t>
        </is>
      </c>
      <c r="B175" s="348" t="inlineStr">
        <is>
          <t>C05</t>
        </is>
      </c>
      <c r="C175" s="348" t="inlineStr">
        <is>
          <t>湖之利耶尼亚</t>
        </is>
      </c>
      <c r="D175" s="348" t="inlineStr">
        <is>
          <t>XX1053</t>
        </is>
      </c>
      <c r="E175" s="348" t="inlineStr">
        <is>
          <t>墨羽抄录仆</t>
        </is>
      </c>
      <c r="F175" s="348" t="inlineStr">
        <is>
          <t>普通</t>
        </is>
      </c>
      <c r="G175" s="348" t="inlineStr">
        <is>
          <t>墨羽校录笠</t>
        </is>
      </c>
      <c r="H175" s="348" t="inlineStr">
        <is>
          <t>斗笠</t>
        </is>
      </c>
      <c r="I175" s="348" t="inlineStr">
        <is>
          <t>面巾（位置13，对应斗笠）</t>
        </is>
      </c>
      <c r="J175" s="348" t="n">
        <v>7130</v>
      </c>
      <c r="K175" s="348" t="inlineStr">
        <is>
          <t>测试三库资源已回读</t>
        </is>
      </c>
      <c r="L175" s="349" t="inlineStr">
        <is>
          <t>测试资源：0110_黄金圣树·律法_面巾.bmp；三库同码</t>
        </is>
      </c>
    </row>
    <row r="176" ht="34" customHeight="1">
      <c r="A176" s="347" t="inlineStr">
        <is>
          <t>C05-M026</t>
        </is>
      </c>
      <c r="B176" s="348" t="inlineStr">
        <is>
          <t>C05</t>
        </is>
      </c>
      <c r="C176" s="348" t="inlineStr">
        <is>
          <t>湖之利耶尼亚</t>
        </is>
      </c>
      <c r="D176" s="348" t="inlineStr">
        <is>
          <t>XX1053</t>
        </is>
      </c>
      <c r="E176" s="348" t="inlineStr">
        <is>
          <t>回廊试术生</t>
        </is>
      </c>
      <c r="F176" s="348" t="inlineStr">
        <is>
          <t>普通</t>
        </is>
      </c>
      <c r="G176" s="348" t="inlineStr">
        <is>
          <t>试术银规镯</t>
        </is>
      </c>
      <c r="H176" s="348" t="inlineStr">
        <is>
          <t>手镯</t>
        </is>
      </c>
      <c r="I176" s="348" t="inlineStr">
        <is>
          <t>手镯</t>
        </is>
      </c>
      <c r="J176" s="348" t="n">
        <v>6962</v>
      </c>
      <c r="K176" s="348" t="inlineStr">
        <is>
          <t>预检通过资源／规划锁定／待入库</t>
        </is>
      </c>
      <c r="L176" s="349" t="inlineStr">
        <is>
          <t>装备资源库翠焰冥契·腐痕</t>
        </is>
      </c>
    </row>
    <row r="177" ht="34" customHeight="1">
      <c r="A177" s="347" t="inlineStr">
        <is>
          <t>C05-M027</t>
        </is>
      </c>
      <c r="B177" s="348" t="inlineStr">
        <is>
          <t>C05</t>
        </is>
      </c>
      <c r="C177" s="348" t="inlineStr">
        <is>
          <t>湖之利耶尼亚</t>
        </is>
      </c>
      <c r="D177" s="348" t="inlineStr">
        <is>
          <t>XX1060</t>
        </is>
      </c>
      <c r="E177" s="348" t="inlineStr">
        <is>
          <t>封印粉笔灵</t>
        </is>
      </c>
      <c r="F177" s="348" t="inlineStr">
        <is>
          <t>普通</t>
        </is>
      </c>
      <c r="G177" s="348" t="inlineStr">
        <is>
          <t>缄印粉屑戒</t>
        </is>
      </c>
      <c r="H177" s="348" t="inlineStr">
        <is>
          <t>戒指</t>
        </is>
      </c>
      <c r="I177" s="348" t="inlineStr">
        <is>
          <t>戒指</t>
        </is>
      </c>
      <c r="J177" s="348" t="n">
        <v>6998</v>
      </c>
      <c r="K177" s="348" t="inlineStr">
        <is>
          <t>预检通过资源／规划锁定／待入库</t>
        </is>
      </c>
      <c r="L177" s="349" t="inlineStr">
        <is>
          <t>装备资源库翠焰冥契·冥契</t>
        </is>
      </c>
    </row>
    <row r="178" ht="34" customHeight="1">
      <c r="A178" s="347" t="inlineStr">
        <is>
          <t>C05-M028</t>
        </is>
      </c>
      <c r="B178" s="348" t="inlineStr">
        <is>
          <t>C05</t>
        </is>
      </c>
      <c r="C178" s="348" t="inlineStr">
        <is>
          <t>湖之利耶尼亚</t>
        </is>
      </c>
      <c r="D178" s="348" t="inlineStr">
        <is>
          <t>XX1060</t>
        </is>
      </c>
      <c r="E178" s="348" t="inlineStr">
        <is>
          <t>讲堂缄咒像</t>
        </is>
      </c>
      <c r="F178" s="348" t="inlineStr">
        <is>
          <t>普通</t>
        </is>
      </c>
      <c r="G178" s="348" t="inlineStr">
        <is>
          <t>缄咒讲台盾</t>
        </is>
      </c>
      <c r="H178" s="348" t="inlineStr">
        <is>
          <t>盾牌</t>
        </is>
      </c>
      <c r="I178" s="348" t="inlineStr">
        <is>
          <t>盾牌</t>
        </is>
      </c>
      <c r="J178" s="348" t="n">
        <v>6895</v>
      </c>
      <c r="K178" s="348" t="inlineStr">
        <is>
          <t>预检通过资源／规划锁定／待入库</t>
        </is>
      </c>
      <c r="L178" s="349" t="inlineStr">
        <is>
          <t>装备资源库星渊龙息·无垠</t>
        </is>
      </c>
    </row>
    <row r="179" ht="34" customHeight="1">
      <c r="A179" s="347" t="inlineStr">
        <is>
          <t>C05-M029</t>
        </is>
      </c>
      <c r="B179" s="348" t="inlineStr">
        <is>
          <t>C05</t>
        </is>
      </c>
      <c r="C179" s="348" t="inlineStr">
        <is>
          <t>湖之利耶尼亚</t>
        </is>
      </c>
      <c r="D179" s="348" t="inlineStr">
        <is>
          <t>XX1058</t>
        </is>
      </c>
      <c r="E179" s="348" t="inlineStr">
        <is>
          <t>密室卷轴蠹</t>
        </is>
      </c>
      <c r="F179" s="348" t="inlineStr">
        <is>
          <t>普通</t>
        </is>
      </c>
      <c r="G179" s="348" t="inlineStr">
        <is>
          <t>卷蠹轻步履</t>
        </is>
      </c>
      <c r="H179" s="348" t="inlineStr">
        <is>
          <t>鞋子</t>
        </is>
      </c>
      <c r="I179" s="348" t="inlineStr">
        <is>
          <t>鞋子</t>
        </is>
      </c>
      <c r="J179" s="348" t="n">
        <v>6932</v>
      </c>
      <c r="K179" s="348" t="inlineStr">
        <is>
          <t>预检通过资源／规划锁定／待入库</t>
        </is>
      </c>
      <c r="L179" s="349" t="inlineStr">
        <is>
          <t>装备资源库翠焰冥契·幽焰</t>
        </is>
      </c>
    </row>
    <row r="180" ht="34" customHeight="1">
      <c r="A180" s="347" t="inlineStr">
        <is>
          <t>C05-M030</t>
        </is>
      </c>
      <c r="B180" s="348" t="inlineStr">
        <is>
          <t>C05</t>
        </is>
      </c>
      <c r="C180" s="348" t="inlineStr">
        <is>
          <t>湖之利耶尼亚</t>
        </is>
      </c>
      <c r="D180" s="348" t="inlineStr">
        <is>
          <t>XX1058</t>
        </is>
      </c>
      <c r="E180" s="348" t="inlineStr">
        <is>
          <t>学院锁页卫</t>
        </is>
      </c>
      <c r="F180" s="348" t="inlineStr">
        <is>
          <t>普通</t>
        </is>
      </c>
      <c r="G180" s="348" t="inlineStr">
        <is>
          <t>锁页秘文链</t>
        </is>
      </c>
      <c r="H180" s="348" t="inlineStr">
        <is>
          <t>项链</t>
        </is>
      </c>
      <c r="I180" s="348" t="inlineStr">
        <is>
          <t>项链</t>
        </is>
      </c>
      <c r="J180" s="348" t="n">
        <v>6996</v>
      </c>
      <c r="K180" s="348" t="inlineStr">
        <is>
          <t>预检通过资源／规划锁定／待入库</t>
        </is>
      </c>
      <c r="L180" s="349" t="inlineStr">
        <is>
          <t>装备资源库翠焰冥契·冥契</t>
        </is>
      </c>
    </row>
    <row r="181" ht="34" customHeight="1">
      <c r="A181" s="347" t="inlineStr">
        <is>
          <t>C05-M031</t>
        </is>
      </c>
      <c r="B181" s="348" t="inlineStr">
        <is>
          <t>C05</t>
        </is>
      </c>
      <c r="C181" s="348" t="inlineStr">
        <is>
          <t>湖之利耶尼亚</t>
        </is>
      </c>
      <c r="D181" s="348" t="inlineStr">
        <is>
          <t>XX1053</t>
        </is>
      </c>
      <c r="E181" s="348" t="inlineStr">
        <is>
          <t>银规巡课官</t>
        </is>
      </c>
      <c r="F181" s="348" t="inlineStr">
        <is>
          <t>稀有</t>
        </is>
      </c>
      <c r="G181" s="348" t="inlineStr">
        <is>
          <t>银规巡课束带</t>
        </is>
      </c>
      <c r="H181" s="348" t="inlineStr">
        <is>
          <t>腰带</t>
        </is>
      </c>
      <c r="I181" s="348" t="inlineStr">
        <is>
          <t>腰带</t>
        </is>
      </c>
      <c r="J181" s="348" t="n">
        <v>6863</v>
      </c>
      <c r="K181" s="348" t="inlineStr">
        <is>
          <t>预检通过资源／规划锁定／待入库</t>
        </is>
      </c>
      <c r="L181" s="349" t="inlineStr">
        <is>
          <t>装备资源库星渊龙息·天穹</t>
        </is>
      </c>
    </row>
    <row r="182" ht="34" customHeight="1">
      <c r="A182" s="347" t="inlineStr">
        <is>
          <t>C05-M032</t>
        </is>
      </c>
      <c r="B182" s="348" t="inlineStr">
        <is>
          <t>C05</t>
        </is>
      </c>
      <c r="C182" s="348" t="inlineStr">
        <is>
          <t>湖之利耶尼亚</t>
        </is>
      </c>
      <c r="D182" s="348" t="inlineStr">
        <is>
          <t>XX1060</t>
        </is>
      </c>
      <c r="E182" s="348" t="inlineStr">
        <is>
          <t>封讲禁声师</t>
        </is>
      </c>
      <c r="F182" s="348" t="inlineStr">
        <is>
          <t>稀有</t>
        </is>
      </c>
      <c r="G182" s="348" t="inlineStr">
        <is>
          <t>禁声讲师冠</t>
        </is>
      </c>
      <c r="H182" s="348" t="inlineStr">
        <is>
          <t>头盔</t>
        </is>
      </c>
      <c r="I182" s="348" t="inlineStr">
        <is>
          <t>头盔</t>
        </is>
      </c>
      <c r="J182" s="348" t="n">
        <v>6994</v>
      </c>
      <c r="K182" s="348" t="inlineStr">
        <is>
          <t>预检通过资源／规划锁定／待入库</t>
        </is>
      </c>
      <c r="L182" s="349" t="inlineStr">
        <is>
          <t>装备资源库翠焰冥契·冥契</t>
        </is>
      </c>
    </row>
    <row r="183" ht="34" customHeight="1">
      <c r="A183" s="347" t="inlineStr">
        <is>
          <t>C05-M033</t>
        </is>
      </c>
      <c r="B183" s="348" t="inlineStr">
        <is>
          <t>C05</t>
        </is>
      </c>
      <c r="C183" s="348" t="inlineStr">
        <is>
          <t>湖之利耶尼亚</t>
        </is>
      </c>
      <c r="D183" s="348" t="inlineStr">
        <is>
          <t>XX1058</t>
        </is>
      </c>
      <c r="E183" s="348" t="inlineStr">
        <is>
          <t>密室倒书客</t>
        </is>
      </c>
      <c r="F183" s="348" t="inlineStr">
        <is>
          <t>稀有</t>
        </is>
      </c>
      <c r="G183" s="348" t="inlineStr">
        <is>
          <t>倒书客勋章</t>
        </is>
      </c>
      <c r="H183" s="348" t="inlineStr">
        <is>
          <t>勋章</t>
        </is>
      </c>
      <c r="I183" s="348" t="inlineStr">
        <is>
          <t>勋章</t>
        </is>
      </c>
      <c r="J183" s="348" t="n">
        <v>6754</v>
      </c>
      <c r="K183" s="348" t="inlineStr">
        <is>
          <t>预检通过资源／规划锁定／待入库</t>
        </is>
      </c>
      <c r="L183" s="349" t="inlineStr">
        <is>
          <t>装备资源库星渊龙息·星痕</t>
        </is>
      </c>
    </row>
    <row r="184" ht="34" customHeight="1">
      <c r="A184" s="347" t="inlineStr">
        <is>
          <t>C05-M034</t>
        </is>
      </c>
      <c r="B184" s="348" t="inlineStr">
        <is>
          <t>C05</t>
        </is>
      </c>
      <c r="C184" s="348" t="inlineStr">
        <is>
          <t>湖之利耶尼亚</t>
        </is>
      </c>
      <c r="D184" s="348" t="inlineStr">
        <is>
          <t>XX1058</t>
        </is>
      </c>
      <c r="E184" s="348" t="inlineStr">
        <is>
          <t>星墨活页兽</t>
        </is>
      </c>
      <c r="F184" s="348" t="inlineStr">
        <is>
          <t>稀有</t>
        </is>
      </c>
      <c r="G184" s="348" t="inlineStr">
        <is>
          <t>星墨活页袍</t>
        </is>
      </c>
      <c r="H184" s="348" t="inlineStr">
        <is>
          <t>衣服</t>
        </is>
      </c>
      <c r="I184" s="348" t="inlineStr">
        <is>
          <t>男衣服（现行模板的衣服映射）</t>
        </is>
      </c>
      <c r="J184" s="348" t="n">
        <v>7131</v>
      </c>
      <c r="K184" s="348" t="inlineStr">
        <is>
          <t>测试三库资源已回读</t>
        </is>
      </c>
      <c r="L184" s="349" t="inlineStr">
        <is>
          <t>测试资源：0457_星渊龙息·天穹_男衣服.bmp；三库同码</t>
        </is>
      </c>
    </row>
    <row r="185" ht="34" customHeight="1">
      <c r="A185" s="347" t="inlineStr">
        <is>
          <t>C05-M035</t>
        </is>
      </c>
      <c r="B185" s="348" t="inlineStr">
        <is>
          <t>C05</t>
        </is>
      </c>
      <c r="C185" s="348" t="inlineStr">
        <is>
          <t>湖之利耶尼亚</t>
        </is>
      </c>
      <c r="D185" s="348" t="inlineStr">
        <is>
          <t>XX1060</t>
        </is>
      </c>
      <c r="E185" s="348" t="inlineStr">
        <is>
          <t>七印讲堂监</t>
        </is>
      </c>
      <c r="F185" s="348" t="inlineStr">
        <is>
          <t>地图BOSS</t>
        </is>
      </c>
      <c r="G185" s="348" t="inlineStr">
        <is>
          <t>七印讲堂法杖</t>
        </is>
      </c>
      <c r="H185" s="348" t="inlineStr">
        <is>
          <t>武器</t>
        </is>
      </c>
      <c r="I185" s="348" t="inlineStr">
        <is>
          <t>武器</t>
        </is>
      </c>
      <c r="J185" s="348" t="n">
        <v>7132</v>
      </c>
      <c r="K185" s="348" t="inlineStr">
        <is>
          <t>测试三库资源已回读</t>
        </is>
      </c>
      <c r="L185" s="349" t="inlineStr">
        <is>
          <t>测试资源：0631_翠焰冥契·灾厄_武器.bmp；三库同码</t>
        </is>
      </c>
    </row>
    <row r="186" ht="34" customHeight="1">
      <c r="A186" s="347" t="inlineStr">
        <is>
          <t>C05-M036</t>
        </is>
      </c>
      <c r="B186" s="348" t="inlineStr">
        <is>
          <t>C05</t>
        </is>
      </c>
      <c r="C186" s="348" t="inlineStr">
        <is>
          <t>湖之利耶尼亚</t>
        </is>
      </c>
      <c r="D186" s="348" t="inlineStr">
        <is>
          <t>XX1058</t>
        </is>
      </c>
      <c r="E186" s="348" t="inlineStr">
        <is>
          <t>逆页密室导师</t>
        </is>
      </c>
      <c r="F186" s="348" t="inlineStr">
        <is>
          <t>地图BOSS</t>
        </is>
      </c>
      <c r="G186" s="348" t="inlineStr">
        <is>
          <t>逆页导师长衣</t>
        </is>
      </c>
      <c r="H186" s="348" t="inlineStr">
        <is>
          <t>衣服</t>
        </is>
      </c>
      <c r="I186" s="348" t="inlineStr">
        <is>
          <t>男衣服（现行模板的衣服映射）</t>
        </is>
      </c>
      <c r="J186" s="348" t="n">
        <v>6922</v>
      </c>
      <c r="K186" s="348" t="inlineStr">
        <is>
          <t>预检通过资源／规划锁定／待入库</t>
        </is>
      </c>
      <c r="L186" s="349" t="inlineStr">
        <is>
          <t>按现行装备模板映射男衣服StdMode10；翠焰冥契·幽焰</t>
        </is>
      </c>
    </row>
    <row r="187" ht="34" customHeight="1">
      <c r="A187" s="347" t="inlineStr">
        <is>
          <t>C05-M037</t>
        </is>
      </c>
      <c r="B187" s="348" t="inlineStr">
        <is>
          <t>C05</t>
        </is>
      </c>
      <c r="C187" s="348" t="inlineStr">
        <is>
          <t>湖之利耶尼亚</t>
        </is>
      </c>
      <c r="D187" s="348" t="inlineStr">
        <is>
          <t>XX1063</t>
        </is>
      </c>
      <c r="E187" s="348" t="inlineStr">
        <is>
          <t>月尘理卷童</t>
        </is>
      </c>
      <c r="F187" s="348" t="inlineStr">
        <is>
          <t>普通</t>
        </is>
      </c>
      <c r="G187" s="348" t="inlineStr">
        <is>
          <t>月尘理卷履</t>
        </is>
      </c>
      <c r="H187" s="348" t="inlineStr">
        <is>
          <t>鞋子</t>
        </is>
      </c>
      <c r="I187" s="348" t="inlineStr">
        <is>
          <t>鞋子</t>
        </is>
      </c>
      <c r="J187" s="348" t="n">
        <v>6967</v>
      </c>
      <c r="K187" s="348" t="inlineStr">
        <is>
          <t>预检通过资源／规划锁定／待入库</t>
        </is>
      </c>
      <c r="L187" s="349" t="inlineStr">
        <is>
          <t>装备资源库翠焰冥契·腐痕</t>
        </is>
      </c>
    </row>
    <row r="188" ht="34" customHeight="1">
      <c r="A188" s="347" t="inlineStr">
        <is>
          <t>C05-M038</t>
        </is>
      </c>
      <c r="B188" s="348" t="inlineStr">
        <is>
          <t>C05</t>
        </is>
      </c>
      <c r="C188" s="348" t="inlineStr">
        <is>
          <t>湖之利耶尼亚</t>
        </is>
      </c>
      <c r="D188" s="348" t="inlineStr">
        <is>
          <t>XX1063</t>
        </is>
      </c>
      <c r="E188" s="348" t="inlineStr">
        <is>
          <t>银页栖书鸦</t>
        </is>
      </c>
      <c r="F188" s="348" t="inlineStr">
        <is>
          <t>普通</t>
        </is>
      </c>
      <c r="G188" s="348" t="inlineStr">
        <is>
          <t>银页书鸦笠</t>
        </is>
      </c>
      <c r="H188" s="348" t="inlineStr">
        <is>
          <t>斗笠</t>
        </is>
      </c>
      <c r="I188" s="348" t="inlineStr">
        <is>
          <t>面巾（位置13，对应斗笠）</t>
        </is>
      </c>
      <c r="J188" s="348" t="n">
        <v>7133</v>
      </c>
      <c r="K188" s="348" t="inlineStr">
        <is>
          <t>测试三库资源已回读</t>
        </is>
      </c>
      <c r="L188" s="349" t="inlineStr">
        <is>
          <t>测试资源：0145_黄金圣树·永恒_面巾.bmp；三库同码</t>
        </is>
      </c>
    </row>
    <row r="189" ht="34" customHeight="1">
      <c r="A189" s="347" t="inlineStr">
        <is>
          <t>C05-M039</t>
        </is>
      </c>
      <c r="B189" s="348" t="inlineStr">
        <is>
          <t>C05</t>
        </is>
      </c>
      <c r="C189" s="348" t="inlineStr">
        <is>
          <t>湖之利耶尼亚</t>
        </is>
      </c>
      <c r="D189" s="348" t="inlineStr">
        <is>
          <t>XX1065</t>
        </is>
      </c>
      <c r="E189" s="348" t="inlineStr">
        <is>
          <t>禁书噤语灯</t>
        </is>
      </c>
      <c r="F189" s="348" t="inlineStr">
        <is>
          <t>普通</t>
        </is>
      </c>
      <c r="G189" s="348" t="inlineStr">
        <is>
          <t>噤语灯芯坠</t>
        </is>
      </c>
      <c r="H189" s="348" t="inlineStr">
        <is>
          <t>项链</t>
        </is>
      </c>
      <c r="I189" s="348" t="inlineStr">
        <is>
          <t>项链</t>
        </is>
      </c>
      <c r="J189" s="348" t="n">
        <v>7031</v>
      </c>
      <c r="K189" s="348" t="inlineStr">
        <is>
          <t>预检通过资源／规划锁定／待入库</t>
        </is>
      </c>
      <c r="L189" s="349" t="inlineStr">
        <is>
          <t>装备资源库翠焰冥契·灾厄</t>
        </is>
      </c>
    </row>
    <row r="190" ht="34" customHeight="1">
      <c r="A190" s="347" t="inlineStr">
        <is>
          <t>C05-M040</t>
        </is>
      </c>
      <c r="B190" s="348" t="inlineStr">
        <is>
          <t>C05</t>
        </is>
      </c>
      <c r="C190" s="348" t="inlineStr">
        <is>
          <t>湖之利耶尼亚</t>
        </is>
      </c>
      <c r="D190" s="348" t="inlineStr">
        <is>
          <t>XX1065</t>
        </is>
      </c>
      <c r="E190" s="348" t="inlineStr">
        <is>
          <t>回廊巡卷傀</t>
        </is>
      </c>
      <c r="F190" s="348" t="inlineStr">
        <is>
          <t>普通</t>
        </is>
      </c>
      <c r="G190" s="348" t="inlineStr">
        <is>
          <t>巡卷傀书盾</t>
        </is>
      </c>
      <c r="H190" s="348" t="inlineStr">
        <is>
          <t>盾牌</t>
        </is>
      </c>
      <c r="I190" s="348" t="inlineStr">
        <is>
          <t>盾牌</t>
        </is>
      </c>
      <c r="J190" s="348" t="n">
        <v>6930</v>
      </c>
      <c r="K190" s="348" t="inlineStr">
        <is>
          <t>预检通过资源／规划锁定／待入库</t>
        </is>
      </c>
      <c r="L190" s="349" t="inlineStr">
        <is>
          <t>装备资源库翠焰冥契·幽焰</t>
        </is>
      </c>
    </row>
    <row r="191" ht="34" customHeight="1">
      <c r="A191" s="347" t="inlineStr">
        <is>
          <t>C05-M041</t>
        </is>
      </c>
      <c r="B191" s="348" t="inlineStr">
        <is>
          <t>C05</t>
        </is>
      </c>
      <c r="C191" s="348" t="inlineStr">
        <is>
          <t>湖之利耶尼亚</t>
        </is>
      </c>
      <c r="D191" s="348" t="inlineStr">
        <is>
          <t>XX1066</t>
        </is>
      </c>
      <c r="E191" s="348" t="inlineStr">
        <is>
          <t>藏书室墨潮蛭</t>
        </is>
      </c>
      <c r="F191" s="348" t="inlineStr">
        <is>
          <t>普通</t>
        </is>
      </c>
      <c r="G191" s="348" t="inlineStr">
        <is>
          <t>墨潮藏页镯</t>
        </is>
      </c>
      <c r="H191" s="348" t="inlineStr">
        <is>
          <t>手镯</t>
        </is>
      </c>
      <c r="I191" s="348" t="inlineStr">
        <is>
          <t>手镯</t>
        </is>
      </c>
      <c r="J191" s="348" t="n">
        <v>6997</v>
      </c>
      <c r="K191" s="348" t="inlineStr">
        <is>
          <t>预检通过资源／规划锁定／待入库</t>
        </is>
      </c>
      <c r="L191" s="349" t="inlineStr">
        <is>
          <t>装备资源库翠焰冥契·冥契</t>
        </is>
      </c>
    </row>
    <row r="192" ht="34" customHeight="1">
      <c r="A192" s="347" t="inlineStr">
        <is>
          <t>C05-M042</t>
        </is>
      </c>
      <c r="B192" s="348" t="inlineStr">
        <is>
          <t>C05</t>
        </is>
      </c>
      <c r="C192" s="348" t="inlineStr">
        <is>
          <t>湖之利耶尼亚</t>
        </is>
      </c>
      <c r="D192" s="348" t="inlineStr">
        <is>
          <t>XX1066</t>
        </is>
      </c>
      <c r="E192" s="348" t="inlineStr">
        <is>
          <t>满月夹页灵</t>
        </is>
      </c>
      <c r="F192" s="348" t="inlineStr">
        <is>
          <t>普通</t>
        </is>
      </c>
      <c r="G192" s="348" t="inlineStr">
        <is>
          <t>夹页月痕戒</t>
        </is>
      </c>
      <c r="H192" s="348" t="inlineStr">
        <is>
          <t>戒指</t>
        </is>
      </c>
      <c r="I192" s="348" t="inlineStr">
        <is>
          <t>戒指</t>
        </is>
      </c>
      <c r="J192" s="348" t="n">
        <v>7033</v>
      </c>
      <c r="K192" s="348" t="inlineStr">
        <is>
          <t>预检通过资源／规划锁定／待入库</t>
        </is>
      </c>
      <c r="L192" s="349" t="inlineStr">
        <is>
          <t>装备资源库翠焰冥契·灾厄</t>
        </is>
      </c>
    </row>
    <row r="193" ht="34" customHeight="1">
      <c r="A193" s="347" t="inlineStr">
        <is>
          <t>C05-M043</t>
        </is>
      </c>
      <c r="B193" s="348" t="inlineStr">
        <is>
          <t>C05</t>
        </is>
      </c>
      <c r="C193" s="348" t="inlineStr">
        <is>
          <t>湖之利耶尼亚</t>
        </is>
      </c>
      <c r="D193" s="348" t="inlineStr">
        <is>
          <t>XX1063</t>
        </is>
      </c>
      <c r="E193" s="348" t="inlineStr">
        <is>
          <t>月相编目师</t>
        </is>
      </c>
      <c r="F193" s="348" t="inlineStr">
        <is>
          <t>稀有</t>
        </is>
      </c>
      <c r="G193" s="348" t="inlineStr">
        <is>
          <t>月相编目束带</t>
        </is>
      </c>
      <c r="H193" s="348" t="inlineStr">
        <is>
          <t>腰带</t>
        </is>
      </c>
      <c r="I193" s="348" t="inlineStr">
        <is>
          <t>腰带</t>
        </is>
      </c>
      <c r="J193" s="348" t="n">
        <v>6898</v>
      </c>
      <c r="K193" s="348" t="inlineStr">
        <is>
          <t>预检通过资源／规划锁定／待入库</t>
        </is>
      </c>
      <c r="L193" s="349" t="inlineStr">
        <is>
          <t>装备资源库星渊龙息·无垠</t>
        </is>
      </c>
    </row>
    <row r="194" ht="34" customHeight="1">
      <c r="A194" s="347" t="inlineStr">
        <is>
          <t>C05-M044</t>
        </is>
      </c>
      <c r="B194" s="348" t="inlineStr">
        <is>
          <t>C05</t>
        </is>
      </c>
      <c r="C194" s="348" t="inlineStr">
        <is>
          <t>湖之利耶尼亚</t>
        </is>
      </c>
      <c r="D194" s="348" t="inlineStr">
        <is>
          <t>XX1065</t>
        </is>
      </c>
      <c r="E194" s="348" t="inlineStr">
        <is>
          <t>禁页蚀字兽</t>
        </is>
      </c>
      <c r="F194" s="348" t="inlineStr">
        <is>
          <t>稀有</t>
        </is>
      </c>
      <c r="G194" s="348" t="inlineStr">
        <is>
          <t>禁页蚀字冠</t>
        </is>
      </c>
      <c r="H194" s="348" t="inlineStr">
        <is>
          <t>头盔</t>
        </is>
      </c>
      <c r="I194" s="348" t="inlineStr">
        <is>
          <t>头盔</t>
        </is>
      </c>
      <c r="J194" s="348" t="n">
        <v>7029</v>
      </c>
      <c r="K194" s="348" t="inlineStr">
        <is>
          <t>预检通过资源／规划锁定／待入库</t>
        </is>
      </c>
      <c r="L194" s="349" t="inlineStr">
        <is>
          <t>装备资源库翠焰冥契·灾厄</t>
        </is>
      </c>
    </row>
    <row r="195" ht="34" customHeight="1">
      <c r="A195" s="347" t="inlineStr">
        <is>
          <t>C05-M045</t>
        </is>
      </c>
      <c r="B195" s="348" t="inlineStr">
        <is>
          <t>C05</t>
        </is>
      </c>
      <c r="C195" s="348" t="inlineStr">
        <is>
          <t>湖之利耶尼亚</t>
        </is>
      </c>
      <c r="D195" s="348" t="inlineStr">
        <is>
          <t>XX1066</t>
        </is>
      </c>
      <c r="E195" s="348" t="inlineStr">
        <is>
          <t>藏卷沉思者</t>
        </is>
      </c>
      <c r="F195" s="348" t="inlineStr">
        <is>
          <t>稀有</t>
        </is>
      </c>
      <c r="G195" s="348" t="inlineStr">
        <is>
          <t>藏卷沉思章</t>
        </is>
      </c>
      <c r="H195" s="348" t="inlineStr">
        <is>
          <t>勋章</t>
        </is>
      </c>
      <c r="I195" s="348" t="inlineStr">
        <is>
          <t>勋章</t>
        </is>
      </c>
      <c r="J195" s="348" t="n">
        <v>6789</v>
      </c>
      <c r="K195" s="348" t="inlineStr">
        <is>
          <t>预检通过资源／规划锁定／待入库</t>
        </is>
      </c>
      <c r="L195" s="349" t="inlineStr">
        <is>
          <t>装备资源库星渊龙息·龙鳞</t>
        </is>
      </c>
    </row>
    <row r="196" ht="34" customHeight="1">
      <c r="A196" s="347" t="inlineStr">
        <is>
          <t>C05-M046</t>
        </is>
      </c>
      <c r="B196" s="348" t="inlineStr">
        <is>
          <t>C05</t>
        </is>
      </c>
      <c r="C196" s="348" t="inlineStr">
        <is>
          <t>湖之利耶尼亚</t>
        </is>
      </c>
      <c r="D196" s="348" t="inlineStr">
        <is>
          <t>XX1063</t>
        </is>
      </c>
      <c r="E196" s="348" t="inlineStr">
        <is>
          <t>银书长尾猫</t>
        </is>
      </c>
      <c r="F196" s="348" t="inlineStr">
        <is>
          <t>稀有</t>
        </is>
      </c>
      <c r="G196" s="348" t="inlineStr">
        <is>
          <t>银书尾翎袍</t>
        </is>
      </c>
      <c r="H196" s="348" t="inlineStr">
        <is>
          <t>衣服</t>
        </is>
      </c>
      <c r="I196" s="348" t="inlineStr">
        <is>
          <t>男衣服（现行模板的衣服映射）</t>
        </is>
      </c>
      <c r="J196" s="348" t="n">
        <v>7134</v>
      </c>
      <c r="K196" s="348" t="inlineStr">
        <is>
          <t>测试三库资源已回读</t>
        </is>
      </c>
      <c r="L196" s="349" t="inlineStr">
        <is>
          <t>测试资源：0492_星渊龙息·无垠_男衣服.bmp；三库同码</t>
        </is>
      </c>
    </row>
    <row r="197" ht="34" customHeight="1">
      <c r="A197" s="347" t="inlineStr">
        <is>
          <t>C05-M047</t>
        </is>
      </c>
      <c r="B197" s="348" t="inlineStr">
        <is>
          <t>C05</t>
        </is>
      </c>
      <c r="C197" s="348" t="inlineStr">
        <is>
          <t>湖之利耶尼亚</t>
        </is>
      </c>
      <c r="D197" s="348" t="inlineStr">
        <is>
          <t>XX1065</t>
        </is>
      </c>
      <c r="E197" s="348" t="inlineStr">
        <is>
          <t>无声禁典司</t>
        </is>
      </c>
      <c r="F197" s="348" t="inlineStr">
        <is>
          <t>地图BOSS</t>
        </is>
      </c>
      <c r="G197" s="348" t="inlineStr">
        <is>
          <t>无声禁典刃</t>
        </is>
      </c>
      <c r="H197" s="348" t="inlineStr">
        <is>
          <t>武器</t>
        </is>
      </c>
      <c r="I197" s="348" t="inlineStr">
        <is>
          <t>武器</t>
        </is>
      </c>
      <c r="J197" s="348" t="n">
        <v>7135</v>
      </c>
      <c r="K197" s="348" t="inlineStr">
        <is>
          <t>测试三库资源已回读</t>
        </is>
      </c>
      <c r="L197" s="349" t="inlineStr">
        <is>
          <t>测试资源：0666_翠焰冥契·永夜_武器.bmp；三库同码</t>
        </is>
      </c>
    </row>
    <row r="198" ht="34" customHeight="1">
      <c r="A198" s="347" t="inlineStr">
        <is>
          <t>C05-M048</t>
        </is>
      </c>
      <c r="B198" s="348" t="inlineStr">
        <is>
          <t>C05</t>
        </is>
      </c>
      <c r="C198" s="348" t="inlineStr">
        <is>
          <t>湖之利耶尼亚</t>
        </is>
      </c>
      <c r="D198" s="348" t="inlineStr">
        <is>
          <t>XX1066</t>
        </is>
      </c>
      <c r="E198" s="348" t="inlineStr">
        <is>
          <t>满月万卷君</t>
        </is>
      </c>
      <c r="F198" s="348" t="inlineStr">
        <is>
          <t>地图BOSS</t>
        </is>
      </c>
      <c r="G198" s="348" t="inlineStr">
        <is>
          <t>满月万卷法衣</t>
        </is>
      </c>
      <c r="H198" s="348" t="inlineStr">
        <is>
          <t>衣服</t>
        </is>
      </c>
      <c r="I198" s="348" t="inlineStr">
        <is>
          <t>男衣服（现行模板的衣服映射）</t>
        </is>
      </c>
      <c r="J198" s="348" t="n">
        <v>6957</v>
      </c>
      <c r="K198" s="348" t="inlineStr">
        <is>
          <t>预检通过资源／规划锁定／待入库</t>
        </is>
      </c>
      <c r="L198" s="349" t="inlineStr">
        <is>
          <t>按现行装备模板映射男衣服StdMode10；翠焰冥契·腐痕</t>
        </is>
      </c>
    </row>
    <row r="199" ht="34" customHeight="1">
      <c r="A199" s="347" t="inlineStr">
        <is>
          <t>C05-M049</t>
        </is>
      </c>
      <c r="B199" s="348" t="inlineStr">
        <is>
          <t>C05</t>
        </is>
      </c>
      <c r="C199" s="348" t="inlineStr">
        <is>
          <t>湖之利耶尼亚</t>
        </is>
      </c>
      <c r="D199" s="348" t="inlineStr">
        <is>
          <t>XX377</t>
        </is>
      </c>
      <c r="E199" s="348" t="inlineStr">
        <is>
          <t>月影鳞侍</t>
        </is>
      </c>
      <c r="F199" s="348" t="inlineStr">
        <is>
          <t>普通</t>
        </is>
      </c>
      <c r="G199" s="348" t="inlineStr">
        <is>
          <t>月影鳞侍叉</t>
        </is>
      </c>
      <c r="H199" s="348" t="inlineStr">
        <is>
          <t>武器</t>
        </is>
      </c>
      <c r="I199" s="348" t="inlineStr">
        <is>
          <t>武器</t>
        </is>
      </c>
      <c r="J199" s="348" t="n">
        <v>7136</v>
      </c>
      <c r="K199" s="348" t="inlineStr">
        <is>
          <t>测试三库资源已回读</t>
        </is>
      </c>
      <c r="L199" s="349" t="inlineStr">
        <is>
          <t>测试资源：0001_黄金圣树·初誓_武器.bmp；三库同码</t>
        </is>
      </c>
    </row>
    <row r="200" ht="34" customHeight="1">
      <c r="A200" s="347" t="inlineStr">
        <is>
          <t>C05-M050</t>
        </is>
      </c>
      <c r="B200" s="348" t="inlineStr">
        <is>
          <t>C05</t>
        </is>
      </c>
      <c r="C200" s="348" t="inlineStr">
        <is>
          <t>湖之利耶尼亚</t>
        </is>
      </c>
      <c r="D200" s="348" t="inlineStr">
        <is>
          <t>XX377</t>
        </is>
      </c>
      <c r="E200" s="348" t="inlineStr">
        <is>
          <t>水宫涡纹螺</t>
        </is>
      </c>
      <c r="F200" s="348" t="inlineStr">
        <is>
          <t>普通</t>
        </is>
      </c>
      <c r="G200" s="348" t="inlineStr">
        <is>
          <t>涡纹螺壳盾</t>
        </is>
      </c>
      <c r="H200" s="348" t="inlineStr">
        <is>
          <t>盾牌</t>
        </is>
      </c>
      <c r="I200" s="348" t="inlineStr">
        <is>
          <t>盾牌</t>
        </is>
      </c>
      <c r="J200" s="348" t="n">
        <v>6965</v>
      </c>
      <c r="K200" s="348" t="inlineStr">
        <is>
          <t>预检通过资源／规划锁定／待入库</t>
        </is>
      </c>
      <c r="L200" s="349" t="inlineStr">
        <is>
          <t>装备资源库翠焰冥契·腐痕</t>
        </is>
      </c>
    </row>
    <row r="201" ht="34" customHeight="1">
      <c r="A201" s="347" t="inlineStr">
        <is>
          <t>C05-M051</t>
        </is>
      </c>
      <c r="B201" s="348" t="inlineStr">
        <is>
          <t>C05</t>
        </is>
      </c>
      <c r="C201" s="348" t="inlineStr">
        <is>
          <t>湖之利耶尼亚</t>
        </is>
      </c>
      <c r="D201" s="348" t="inlineStr">
        <is>
          <t>XX378</t>
        </is>
      </c>
      <c r="E201" s="348" t="inlineStr">
        <is>
          <t>月华执扇女使</t>
        </is>
      </c>
      <c r="F201" s="348" t="inlineStr">
        <is>
          <t>普通</t>
        </is>
      </c>
      <c r="G201" s="348" t="inlineStr">
        <is>
          <t>月华流扇笠</t>
        </is>
      </c>
      <c r="H201" s="348" t="inlineStr">
        <is>
          <t>斗笠</t>
        </is>
      </c>
      <c r="I201" s="348" t="inlineStr">
        <is>
          <t>面巾（位置13，对应斗笠）</t>
        </is>
      </c>
      <c r="J201" s="348" t="n">
        <v>7137</v>
      </c>
      <c r="K201" s="348" t="inlineStr">
        <is>
          <t>测试三库资源已回读</t>
        </is>
      </c>
      <c r="L201" s="349" t="inlineStr">
        <is>
          <t>测试资源：0180_血月荆棘·血痕_面巾.bmp；三库同码</t>
        </is>
      </c>
    </row>
    <row r="202" ht="34" customHeight="1">
      <c r="A202" s="347" t="inlineStr">
        <is>
          <t>C05-M052</t>
        </is>
      </c>
      <c r="B202" s="348" t="inlineStr">
        <is>
          <t>C05</t>
        </is>
      </c>
      <c r="C202" s="348" t="inlineStr">
        <is>
          <t>湖之利耶尼亚</t>
        </is>
      </c>
      <c r="D202" s="348" t="inlineStr">
        <is>
          <t>XX378</t>
        </is>
      </c>
      <c r="E202" s="348" t="inlineStr">
        <is>
          <t>内殿浮光鲛兵</t>
        </is>
      </c>
      <c r="F202" s="348" t="inlineStr">
        <is>
          <t>普通</t>
        </is>
      </c>
      <c r="G202" s="348" t="inlineStr">
        <is>
          <t>浮光鲛纹镯</t>
        </is>
      </c>
      <c r="H202" s="348" t="inlineStr">
        <is>
          <t>手镯</t>
        </is>
      </c>
      <c r="I202" s="348" t="inlineStr">
        <is>
          <t>手镯</t>
        </is>
      </c>
      <c r="J202" s="348" t="n">
        <v>7032</v>
      </c>
      <c r="K202" s="348" t="inlineStr">
        <is>
          <t>预检通过资源／规划锁定／待入库</t>
        </is>
      </c>
      <c r="L202" s="349" t="inlineStr">
        <is>
          <t>装备资源库翠焰冥契·灾厄</t>
        </is>
      </c>
    </row>
    <row r="203" ht="34" customHeight="1">
      <c r="A203" s="347" t="inlineStr">
        <is>
          <t>C05-M053</t>
        </is>
      </c>
      <c r="B203" s="348" t="inlineStr">
        <is>
          <t>C05</t>
        </is>
      </c>
      <c r="C203" s="348" t="inlineStr">
        <is>
          <t>湖之利耶尼亚</t>
        </is>
      </c>
      <c r="D203" s="348" t="inlineStr">
        <is>
          <t>XX379</t>
        </is>
      </c>
      <c r="E203" s="348" t="inlineStr">
        <is>
          <t>圣殿澄潮祭从</t>
        </is>
      </c>
      <c r="F203" s="348" t="inlineStr">
        <is>
          <t>普通</t>
        </is>
      </c>
      <c r="G203" s="348" t="inlineStr">
        <is>
          <t>澄潮祭步履</t>
        </is>
      </c>
      <c r="H203" s="348" t="inlineStr">
        <is>
          <t>鞋子</t>
        </is>
      </c>
      <c r="I203" s="348" t="inlineStr">
        <is>
          <t>鞋子</t>
        </is>
      </c>
      <c r="J203" s="348" t="n">
        <v>7002</v>
      </c>
      <c r="K203" s="348" t="inlineStr">
        <is>
          <t>预检通过资源／规划锁定／待入库</t>
        </is>
      </c>
      <c r="L203" s="349" t="inlineStr">
        <is>
          <t>装备资源库翠焰冥契·冥契</t>
        </is>
      </c>
    </row>
    <row r="204" ht="34" customHeight="1">
      <c r="A204" s="347" t="inlineStr">
        <is>
          <t>C05-M054</t>
        </is>
      </c>
      <c r="B204" s="348" t="inlineStr">
        <is>
          <t>C05</t>
        </is>
      </c>
      <c r="C204" s="348" t="inlineStr">
        <is>
          <t>湖之利耶尼亚</t>
        </is>
      </c>
      <c r="D204" s="348" t="inlineStr">
        <is>
          <t>XX379</t>
        </is>
      </c>
      <c r="E204" s="348" t="inlineStr">
        <is>
          <t>月镜游鱼灵</t>
        </is>
      </c>
      <c r="F204" s="348" t="inlineStr">
        <is>
          <t>普通</t>
        </is>
      </c>
      <c r="G204" s="348" t="inlineStr">
        <is>
          <t>月镜游鱼戒</t>
        </is>
      </c>
      <c r="H204" s="348" t="inlineStr">
        <is>
          <t>戒指</t>
        </is>
      </c>
      <c r="I204" s="348" t="inlineStr">
        <is>
          <t>戒指</t>
        </is>
      </c>
      <c r="J204" s="348" t="n">
        <v>7068</v>
      </c>
      <c r="K204" s="348" t="inlineStr">
        <is>
          <t>预检通过资源／规划锁定／待入库</t>
        </is>
      </c>
      <c r="L204" s="349" t="inlineStr">
        <is>
          <t>装备资源库翠焰冥契·永夜</t>
        </is>
      </c>
    </row>
    <row r="205" ht="34" customHeight="1">
      <c r="A205" s="347" t="inlineStr">
        <is>
          <t>C05-M055</t>
        </is>
      </c>
      <c r="B205" s="348" t="inlineStr">
        <is>
          <t>C05</t>
        </is>
      </c>
      <c r="C205" s="348" t="inlineStr">
        <is>
          <t>湖之利耶尼亚</t>
        </is>
      </c>
      <c r="D205" s="348" t="inlineStr">
        <is>
          <t>XX377</t>
        </is>
      </c>
      <c r="E205" s="348" t="inlineStr">
        <is>
          <t>影潮伏宫兽</t>
        </is>
      </c>
      <c r="F205" s="348" t="inlineStr">
        <is>
          <t>稀有</t>
        </is>
      </c>
      <c r="G205" s="348" t="inlineStr">
        <is>
          <t>影潮潜宫带</t>
        </is>
      </c>
      <c r="H205" s="348" t="inlineStr">
        <is>
          <t>腰带</t>
        </is>
      </c>
      <c r="I205" s="348" t="inlineStr">
        <is>
          <t>腰带</t>
        </is>
      </c>
      <c r="J205" s="348" t="n">
        <v>6933</v>
      </c>
      <c r="K205" s="348" t="inlineStr">
        <is>
          <t>预检通过资源／规划锁定／待入库</t>
        </is>
      </c>
      <c r="L205" s="349" t="inlineStr">
        <is>
          <t>装备资源库翠焰冥契·幽焰</t>
        </is>
      </c>
    </row>
    <row r="206" ht="34" customHeight="1">
      <c r="A206" s="347" t="inlineStr">
        <is>
          <t>C05-M056</t>
        </is>
      </c>
      <c r="B206" s="348" t="inlineStr">
        <is>
          <t>C05</t>
        </is>
      </c>
      <c r="C206" s="348" t="inlineStr">
        <is>
          <t>湖之利耶尼亚</t>
        </is>
      </c>
      <c r="D206" s="348" t="inlineStr">
        <is>
          <t>XX378</t>
        </is>
      </c>
      <c r="E206" s="348" t="inlineStr">
        <is>
          <t>月华凝霜乐师</t>
        </is>
      </c>
      <c r="F206" s="348" t="inlineStr">
        <is>
          <t>稀有</t>
        </is>
      </c>
      <c r="G206" s="348" t="inlineStr">
        <is>
          <t>凝霜乐师冠</t>
        </is>
      </c>
      <c r="H206" s="348" t="inlineStr">
        <is>
          <t>头盔</t>
        </is>
      </c>
      <c r="I206" s="348" t="inlineStr">
        <is>
          <t>头盔</t>
        </is>
      </c>
      <c r="J206" s="348" t="n">
        <v>7064</v>
      </c>
      <c r="K206" s="348" t="inlineStr">
        <is>
          <t>预检通过资源／规划锁定／待入库</t>
        </is>
      </c>
      <c r="L206" s="349" t="inlineStr">
        <is>
          <t>装备资源库翠焰冥契·永夜</t>
        </is>
      </c>
    </row>
    <row r="207" ht="34" customHeight="1">
      <c r="A207" s="347" t="inlineStr">
        <is>
          <t>C05-M057</t>
        </is>
      </c>
      <c r="B207" s="348" t="inlineStr">
        <is>
          <t>C05</t>
        </is>
      </c>
      <c r="C207" s="348" t="inlineStr">
        <is>
          <t>湖之利耶尼亚</t>
        </is>
      </c>
      <c r="D207" s="348" t="inlineStr">
        <is>
          <t>XX379</t>
        </is>
      </c>
      <c r="E207" s="348" t="inlineStr">
        <is>
          <t>圣殿悬月卫</t>
        </is>
      </c>
      <c r="F207" s="348" t="inlineStr">
        <is>
          <t>稀有</t>
        </is>
      </c>
      <c r="G207" s="348" t="inlineStr">
        <is>
          <t>悬月卫潮链</t>
        </is>
      </c>
      <c r="H207" s="348" t="inlineStr">
        <is>
          <t>项链</t>
        </is>
      </c>
      <c r="I207" s="348" t="inlineStr">
        <is>
          <t>项链</t>
        </is>
      </c>
      <c r="J207" s="348" t="n">
        <v>7066</v>
      </c>
      <c r="K207" s="348" t="inlineStr">
        <is>
          <t>预检通过资源／规划锁定／待入库</t>
        </is>
      </c>
      <c r="L207" s="349" t="inlineStr">
        <is>
          <t>装备资源库翠焰冥契·永夜</t>
        </is>
      </c>
    </row>
    <row r="208" ht="34" customHeight="1">
      <c r="A208" s="347" t="inlineStr">
        <is>
          <t>C05-M058</t>
        </is>
      </c>
      <c r="B208" s="348" t="inlineStr">
        <is>
          <t>C05</t>
        </is>
      </c>
      <c r="C208" s="348" t="inlineStr">
        <is>
          <t>湖之利耶尼亚</t>
        </is>
      </c>
      <c r="D208" s="348" t="inlineStr">
        <is>
          <t>XX377</t>
        </is>
      </c>
      <c r="E208" s="348" t="inlineStr">
        <is>
          <t>琉潮白鳍巫</t>
        </is>
      </c>
      <c r="F208" s="348" t="inlineStr">
        <is>
          <t>稀有</t>
        </is>
      </c>
      <c r="G208" s="348" t="inlineStr">
        <is>
          <t>琉潮白鳍章</t>
        </is>
      </c>
      <c r="H208" s="348" t="inlineStr">
        <is>
          <t>勋章</t>
        </is>
      </c>
      <c r="I208" s="348" t="inlineStr">
        <is>
          <t>勋章</t>
        </is>
      </c>
      <c r="J208" s="348" t="n">
        <v>6824</v>
      </c>
      <c r="K208" s="348" t="inlineStr">
        <is>
          <t>预检通过资源／规划锁定／待入库</t>
        </is>
      </c>
      <c r="L208" s="349" t="inlineStr">
        <is>
          <t>装备资源库星渊龙息·渊辉</t>
        </is>
      </c>
    </row>
    <row r="209" ht="34" customHeight="1">
      <c r="A209" s="347" t="inlineStr">
        <is>
          <t>C05-M059</t>
        </is>
      </c>
      <c r="B209" s="348" t="inlineStr">
        <is>
          <t>C05</t>
        </is>
      </c>
      <c r="C209" s="348" t="inlineStr">
        <is>
          <t>湖之利耶尼亚</t>
        </is>
      </c>
      <c r="D209" s="348" t="inlineStr">
        <is>
          <t>XX378</t>
        </is>
      </c>
      <c r="E209" s="348" t="inlineStr">
        <is>
          <t>月华内殿掌灯君</t>
        </is>
      </c>
      <c r="F209" s="348" t="inlineStr">
        <is>
          <t>地图BOSS</t>
        </is>
      </c>
      <c r="G209" s="348" t="inlineStr">
        <is>
          <t>掌灯君月华衣</t>
        </is>
      </c>
      <c r="H209" s="348" t="inlineStr">
        <is>
          <t>衣服</t>
        </is>
      </c>
      <c r="I209" s="348" t="inlineStr">
        <is>
          <t>男衣服（现行模板的衣服映射）</t>
        </is>
      </c>
      <c r="J209" s="348" t="n">
        <v>6992</v>
      </c>
      <c r="K209" s="348" t="inlineStr">
        <is>
          <t>预检通过资源／规划锁定／待入库</t>
        </is>
      </c>
      <c r="L209" s="349" t="inlineStr">
        <is>
          <t>按现行装备模板映射男衣服StdMode10；翠焰冥契·冥契</t>
        </is>
      </c>
    </row>
    <row r="210" ht="34" customHeight="1">
      <c r="A210" s="347" t="inlineStr">
        <is>
          <t>C05-M060</t>
        </is>
      </c>
      <c r="B210" s="348" t="inlineStr">
        <is>
          <t>C05</t>
        </is>
      </c>
      <c r="C210" s="348" t="inlineStr">
        <is>
          <t>湖之利耶尼亚</t>
        </is>
      </c>
      <c r="D210" s="348" t="inlineStr">
        <is>
          <t>XX379</t>
        </is>
      </c>
      <c r="E210" s="348" t="inlineStr">
        <is>
          <t>影宫深潮王女</t>
        </is>
      </c>
      <c r="F210" s="348" t="inlineStr">
        <is>
          <t>地图BOSS</t>
        </is>
      </c>
      <c r="G210" s="348" t="inlineStr">
        <is>
          <t>深潮王女权杖</t>
        </is>
      </c>
      <c r="H210" s="348" t="inlineStr">
        <is>
          <t>武器</t>
        </is>
      </c>
      <c r="I210" s="348" t="inlineStr">
        <is>
          <t>武器</t>
        </is>
      </c>
      <c r="J210" s="348" t="n">
        <v>7138</v>
      </c>
      <c r="K210" s="348" t="inlineStr">
        <is>
          <t>测试三库资源已回读</t>
        </is>
      </c>
      <c r="L210" s="349" t="inlineStr">
        <is>
          <t>测试资源：0036_黄金圣树·圣枝_武器.bmp；三库同码</t>
        </is>
      </c>
    </row>
    <row r="211" ht="34" customHeight="1">
      <c r="A211" s="347" t="inlineStr">
        <is>
          <t>C05-M061</t>
        </is>
      </c>
      <c r="B211" s="348" t="inlineStr">
        <is>
          <t>C05</t>
        </is>
      </c>
      <c r="C211" s="348" t="inlineStr">
        <is>
          <t>湖之利耶尼亚</t>
        </is>
      </c>
      <c r="D211" s="348" t="inlineStr">
        <is>
          <t>XX927</t>
        </is>
      </c>
      <c r="E211" s="348" t="inlineStr">
        <is>
          <t>禁域蓝焰猎犬</t>
        </is>
      </c>
      <c r="F211" s="348" t="inlineStr">
        <is>
          <t>普通</t>
        </is>
      </c>
      <c r="G211" s="348" t="inlineStr">
        <is>
          <t>蓝焰逐影履</t>
        </is>
      </c>
      <c r="H211" s="348" t="inlineStr">
        <is>
          <t>鞋子</t>
        </is>
      </c>
      <c r="I211" s="348" t="inlineStr">
        <is>
          <t>鞋子</t>
        </is>
      </c>
      <c r="J211" s="348" t="n">
        <v>7037</v>
      </c>
      <c r="K211" s="348" t="inlineStr">
        <is>
          <t>预检通过资源／规划锁定／待入库</t>
        </is>
      </c>
      <c r="L211" s="349" t="inlineStr">
        <is>
          <t>装备资源库翠焰冥契·灾厄</t>
        </is>
      </c>
    </row>
    <row r="212" ht="34" customHeight="1">
      <c r="A212" s="347" t="inlineStr">
        <is>
          <t>C05-M062</t>
        </is>
      </c>
      <c r="B212" s="348" t="inlineStr">
        <is>
          <t>C05</t>
        </is>
      </c>
      <c r="C212" s="348" t="inlineStr">
        <is>
          <t>湖之利耶尼亚</t>
        </is>
      </c>
      <c r="D212" s="348" t="inlineStr">
        <is>
          <t>XX927</t>
        </is>
      </c>
      <c r="E212" s="348" t="inlineStr">
        <is>
          <t>卡利亚断誓侍</t>
        </is>
      </c>
      <c r="F212" s="348" t="inlineStr">
        <is>
          <t>普通</t>
        </is>
      </c>
      <c r="G212" s="348" t="inlineStr">
        <is>
          <t>断誓侍银剑</t>
        </is>
      </c>
      <c r="H212" s="348" t="inlineStr">
        <is>
          <t>武器</t>
        </is>
      </c>
      <c r="I212" s="348" t="inlineStr">
        <is>
          <t>武器</t>
        </is>
      </c>
      <c r="J212" s="348" t="n">
        <v>7139</v>
      </c>
      <c r="K212" s="348" t="inlineStr">
        <is>
          <t>测试三库资源已回读</t>
        </is>
      </c>
      <c r="L212" s="349" t="inlineStr">
        <is>
          <t>测试资源：0071_黄金圣树·王权_武器.bmp；三库同码</t>
        </is>
      </c>
    </row>
    <row r="213" ht="34" customHeight="1">
      <c r="A213" s="347" t="inlineStr">
        <is>
          <t>C05-M063</t>
        </is>
      </c>
      <c r="B213" s="348" t="inlineStr">
        <is>
          <t>C05</t>
        </is>
      </c>
      <c r="C213" s="348" t="inlineStr">
        <is>
          <t>湖之利耶尼亚</t>
        </is>
      </c>
      <c r="D213" s="348" t="inlineStr">
        <is>
          <t>XX925</t>
        </is>
      </c>
      <c r="E213" s="348" t="inlineStr">
        <is>
          <t>回廊折月傀</t>
        </is>
      </c>
      <c r="F213" s="348" t="inlineStr">
        <is>
          <t>普通</t>
        </is>
      </c>
      <c r="G213" s="348" t="inlineStr">
        <is>
          <t>折月傀镜盾</t>
        </is>
      </c>
      <c r="H213" s="348" t="inlineStr">
        <is>
          <t>盾牌</t>
        </is>
      </c>
      <c r="I213" s="348" t="inlineStr">
        <is>
          <t>盾牌</t>
        </is>
      </c>
      <c r="J213" s="348" t="n">
        <v>7000</v>
      </c>
      <c r="K213" s="348" t="inlineStr">
        <is>
          <t>预检通过资源／规划锁定／待入库</t>
        </is>
      </c>
      <c r="L213" s="349" t="inlineStr">
        <is>
          <t>装备资源库翠焰冥契·冥契</t>
        </is>
      </c>
    </row>
    <row r="214" ht="34" customHeight="1">
      <c r="A214" s="347" t="inlineStr">
        <is>
          <t>C05-M064</t>
        </is>
      </c>
      <c r="B214" s="348" t="inlineStr">
        <is>
          <t>C05</t>
        </is>
      </c>
      <c r="C214" s="348" t="inlineStr">
        <is>
          <t>湖之利耶尼亚</t>
        </is>
      </c>
      <c r="D214" s="348" t="inlineStr">
        <is>
          <t>XX926</t>
        </is>
      </c>
      <c r="E214" s="348" t="inlineStr">
        <is>
          <t>封印庭银纹卒</t>
        </is>
      </c>
      <c r="F214" s="348" t="inlineStr">
        <is>
          <t>普通</t>
        </is>
      </c>
      <c r="G214" s="348" t="inlineStr">
        <is>
          <t>银纹封庭镯</t>
        </is>
      </c>
      <c r="H214" s="348" t="inlineStr">
        <is>
          <t>手镯</t>
        </is>
      </c>
      <c r="I214" s="348" t="inlineStr">
        <is>
          <t>手镯</t>
        </is>
      </c>
      <c r="J214" s="348" t="n">
        <v>7067</v>
      </c>
      <c r="K214" s="348" t="inlineStr">
        <is>
          <t>预检通过资源／规划锁定／待入库</t>
        </is>
      </c>
      <c r="L214" s="349" t="inlineStr">
        <is>
          <t>装备资源库翠焰冥契·永夜</t>
        </is>
      </c>
    </row>
    <row r="215" ht="34" customHeight="1">
      <c r="A215" s="347" t="inlineStr">
        <is>
          <t>C05-M065</t>
        </is>
      </c>
      <c r="B215" s="348" t="inlineStr">
        <is>
          <t>C05</t>
        </is>
      </c>
      <c r="C215" s="348" t="inlineStr">
        <is>
          <t>湖之利耶尼亚</t>
        </is>
      </c>
      <c r="D215" s="348" t="inlineStr">
        <is>
          <t>XX923</t>
        </is>
      </c>
      <c r="E215" s="348" t="inlineStr">
        <is>
          <t>月蚀殿噬辉蛾</t>
        </is>
      </c>
      <c r="F215" s="348" t="inlineStr">
        <is>
          <t>普通</t>
        </is>
      </c>
      <c r="G215" s="348" t="inlineStr">
        <is>
          <t>噬辉蛾蚀月笠</t>
        </is>
      </c>
      <c r="H215" s="348" t="inlineStr">
        <is>
          <t>斗笠</t>
        </is>
      </c>
      <c r="I215" s="348" t="inlineStr">
        <is>
          <t>面巾（位置13，对应斗笠）</t>
        </is>
      </c>
      <c r="J215" s="348" t="n">
        <v>7140</v>
      </c>
      <c r="K215" s="348" t="inlineStr">
        <is>
          <t>测试三库资源已回读</t>
        </is>
      </c>
      <c r="L215" s="349" t="inlineStr">
        <is>
          <t>测试资源：0215_血月荆棘·荆冠_面巾.bmp；三库同码</t>
        </is>
      </c>
    </row>
    <row r="216" ht="34" customHeight="1">
      <c r="A216" s="347" t="inlineStr">
        <is>
          <t>C05-M066</t>
        </is>
      </c>
      <c r="B216" s="348" t="inlineStr">
        <is>
          <t>C05</t>
        </is>
      </c>
      <c r="C216" s="348" t="inlineStr">
        <is>
          <t>湖之利耶尼亚</t>
        </is>
      </c>
      <c r="D216" s="348" t="inlineStr">
        <is>
          <t>XX924</t>
        </is>
      </c>
      <c r="E216" s="348" t="inlineStr">
        <is>
          <t>圣所守星残灵</t>
        </is>
      </c>
      <c r="F216" s="348" t="inlineStr">
        <is>
          <t>普通</t>
        </is>
      </c>
      <c r="G216" s="348" t="inlineStr">
        <is>
          <t>守星残灵戒</t>
        </is>
      </c>
      <c r="H216" s="348" t="inlineStr">
        <is>
          <t>戒指</t>
        </is>
      </c>
      <c r="I216" s="348" t="inlineStr">
        <is>
          <t>戒指</t>
        </is>
      </c>
      <c r="J216" s="348" t="n">
        <v>5871</v>
      </c>
      <c r="K216" s="348" t="inlineStr">
        <is>
          <t>规划锁定／旧资源待实库回读</t>
        </is>
      </c>
      <c r="L216" s="349" t="inlineStr">
        <is>
          <t>装备资源库黄金圣律·初誓</t>
        </is>
      </c>
    </row>
    <row r="217" ht="34" customHeight="1">
      <c r="A217" s="347" t="inlineStr">
        <is>
          <t>C05-M067</t>
        </is>
      </c>
      <c r="B217" s="348" t="inlineStr">
        <is>
          <t>C05</t>
        </is>
      </c>
      <c r="C217" s="348" t="inlineStr">
        <is>
          <t>湖之利耶尼亚</t>
        </is>
      </c>
      <c r="D217" s="348" t="inlineStr">
        <is>
          <t>XX927</t>
        </is>
      </c>
      <c r="E217" s="348" t="inlineStr">
        <is>
          <t>王室镜刃使</t>
        </is>
      </c>
      <c r="F217" s="348" t="inlineStr">
        <is>
          <t>稀有</t>
        </is>
      </c>
      <c r="G217" s="348" t="inlineStr">
        <is>
          <t>镜刃王室链</t>
        </is>
      </c>
      <c r="H217" s="348" t="inlineStr">
        <is>
          <t>项链</t>
        </is>
      </c>
      <c r="I217" s="348" t="inlineStr">
        <is>
          <t>项链</t>
        </is>
      </c>
      <c r="J217" s="348" t="n">
        <v>5886</v>
      </c>
      <c r="K217" s="348" t="inlineStr">
        <is>
          <t>规划锁定／旧资源待实库回读</t>
        </is>
      </c>
      <c r="L217" s="349" t="inlineStr">
        <is>
          <t>装备资源库黄金圣律·执火</t>
        </is>
      </c>
    </row>
    <row r="218" ht="34" customHeight="1">
      <c r="A218" s="347" t="inlineStr">
        <is>
          <t>C05-M068</t>
        </is>
      </c>
      <c r="B218" s="348" t="inlineStr">
        <is>
          <t>C05</t>
        </is>
      </c>
      <c r="C218" s="348" t="inlineStr">
        <is>
          <t>湖之利耶尼亚</t>
        </is>
      </c>
      <c r="D218" s="348" t="inlineStr">
        <is>
          <t>XX925</t>
        </is>
      </c>
      <c r="E218" s="348" t="inlineStr">
        <is>
          <t>禁域缄门法官</t>
        </is>
      </c>
      <c r="F218" s="348" t="inlineStr">
        <is>
          <t>稀有</t>
        </is>
      </c>
      <c r="G218" s="348" t="inlineStr">
        <is>
          <t>缄门法官冠</t>
        </is>
      </c>
      <c r="H218" s="348" t="inlineStr">
        <is>
          <t>头盔</t>
        </is>
      </c>
      <c r="I218" s="348" t="inlineStr">
        <is>
          <t>头盔</t>
        </is>
      </c>
      <c r="J218" s="348" t="n">
        <v>5878</v>
      </c>
      <c r="K218" s="348" t="inlineStr">
        <is>
          <t>规划锁定／旧资源待实库回读</t>
        </is>
      </c>
      <c r="L218" s="349" t="inlineStr">
        <is>
          <t>装备资源库黄金圣律·铭契</t>
        </is>
      </c>
    </row>
    <row r="219" ht="34" customHeight="1">
      <c r="A219" s="347" t="inlineStr">
        <is>
          <t>C05-M069</t>
        </is>
      </c>
      <c r="B219" s="348" t="inlineStr">
        <is>
          <t>C05</t>
        </is>
      </c>
      <c r="C219" s="348" t="inlineStr">
        <is>
          <t>湖之利耶尼亚</t>
        </is>
      </c>
      <c r="D219" s="348" t="inlineStr">
        <is>
          <t>XX926</t>
        </is>
      </c>
      <c r="E219" s="348" t="inlineStr">
        <is>
          <t>封庭月契巫</t>
        </is>
      </c>
      <c r="F219" s="348" t="inlineStr">
        <is>
          <t>稀有</t>
        </is>
      </c>
      <c r="G219" s="348" t="inlineStr">
        <is>
          <t>月契封印带</t>
        </is>
      </c>
      <c r="H219" s="348" t="inlineStr">
        <is>
          <t>腰带</t>
        </is>
      </c>
      <c r="I219" s="348" t="inlineStr">
        <is>
          <t>腰带</t>
        </is>
      </c>
      <c r="J219" s="348" t="n">
        <v>6968</v>
      </c>
      <c r="K219" s="348" t="inlineStr">
        <is>
          <t>预检通过资源／规划锁定／待入库</t>
        </is>
      </c>
      <c r="L219" s="349" t="inlineStr">
        <is>
          <t>装备资源库翠焰冥契·腐痕</t>
        </is>
      </c>
    </row>
    <row r="220" ht="34" customHeight="1">
      <c r="A220" s="347" t="inlineStr">
        <is>
          <t>C05-M070</t>
        </is>
      </c>
      <c r="B220" s="348" t="inlineStr">
        <is>
          <t>C05</t>
        </is>
      </c>
      <c r="C220" s="348" t="inlineStr">
        <is>
          <t>湖之利耶尼亚</t>
        </is>
      </c>
      <c r="D220" s="348" t="inlineStr">
        <is>
          <t>XX923</t>
        </is>
      </c>
      <c r="E220" s="348" t="inlineStr">
        <is>
          <t>密殿蚀冠兽</t>
        </is>
      </c>
      <c r="F220" s="348" t="inlineStr">
        <is>
          <t>稀有</t>
        </is>
      </c>
      <c r="G220" s="348" t="inlineStr">
        <is>
          <t>蚀冠密殿章</t>
        </is>
      </c>
      <c r="H220" s="348" t="inlineStr">
        <is>
          <t>勋章</t>
        </is>
      </c>
      <c r="I220" s="348" t="inlineStr">
        <is>
          <t>勋章</t>
        </is>
      </c>
      <c r="J220" s="348" t="n">
        <v>6859</v>
      </c>
      <c r="K220" s="348" t="inlineStr">
        <is>
          <t>预检通过资源／规划锁定／待入库</t>
        </is>
      </c>
      <c r="L220" s="349" t="inlineStr">
        <is>
          <t>装备资源库星渊龙息·天穹</t>
        </is>
      </c>
    </row>
    <row r="221" ht="34" customHeight="1">
      <c r="A221" s="347" t="inlineStr">
        <is>
          <t>C05-M071</t>
        </is>
      </c>
      <c r="B221" s="348" t="inlineStr">
        <is>
          <t>C05</t>
        </is>
      </c>
      <c r="C221" s="348" t="inlineStr">
        <is>
          <t>湖之利耶尼亚</t>
        </is>
      </c>
      <c r="D221" s="348" t="inlineStr">
        <is>
          <t>XX923</t>
        </is>
      </c>
      <c r="E221" s="348" t="inlineStr">
        <is>
          <t>月蚀密殿司冕</t>
        </is>
      </c>
      <c r="F221" s="348" t="inlineStr">
        <is>
          <t>地图BOSS</t>
        </is>
      </c>
      <c r="G221" s="348" t="inlineStr">
        <is>
          <t>司冕月蚀礼衣</t>
        </is>
      </c>
      <c r="H221" s="348" t="inlineStr">
        <is>
          <t>衣服</t>
        </is>
      </c>
      <c r="I221" s="348" t="inlineStr">
        <is>
          <t>男衣服（现行模板的衣服映射）</t>
        </is>
      </c>
      <c r="J221" s="348" t="n">
        <v>7027</v>
      </c>
      <c r="K221" s="348" t="inlineStr">
        <is>
          <t>预检通过资源／规划锁定／待入库</t>
        </is>
      </c>
      <c r="L221" s="349" t="inlineStr">
        <is>
          <t>按现行装备模板映射男衣服StdMode10；翠焰冥契·灾厄</t>
        </is>
      </c>
    </row>
    <row r="222" ht="34" customHeight="1">
      <c r="A222" s="347" t="inlineStr">
        <is>
          <t>C05-M072</t>
        </is>
      </c>
      <c r="B222" s="348" t="inlineStr">
        <is>
          <t>C05</t>
        </is>
      </c>
      <c r="C222" s="348" t="inlineStr">
        <is>
          <t>湖之利耶尼亚</t>
        </is>
      </c>
      <c r="D222" s="348" t="inlineStr">
        <is>
          <t>XX924</t>
        </is>
      </c>
      <c r="E222" s="348" t="inlineStr">
        <is>
          <t>卡利亚圣所摄政灵</t>
        </is>
      </c>
      <c r="F222" s="348" t="inlineStr">
        <is>
          <t>地图BOSS</t>
        </is>
      </c>
      <c r="G222" s="348" t="inlineStr">
        <is>
          <t>摄政灵辉杖</t>
        </is>
      </c>
      <c r="H222" s="348" t="inlineStr">
        <is>
          <t>武器</t>
        </is>
      </c>
      <c r="I222" s="348" t="inlineStr">
        <is>
          <t>武器</t>
        </is>
      </c>
      <c r="J222" s="348" t="n">
        <v>7141</v>
      </c>
      <c r="K222" s="348" t="inlineStr">
        <is>
          <t>测试三库资源已回读</t>
        </is>
      </c>
      <c r="L222" s="349" t="inlineStr">
        <is>
          <t>测试资源：0106_黄金圣树·律法_武器.bmp；三库同码</t>
        </is>
      </c>
    </row>
    <row r="223" ht="34" customHeight="1">
      <c r="A223" s="347" t="inlineStr">
        <is>
          <t>C05-M073</t>
        </is>
      </c>
      <c r="B223" s="348" t="inlineStr">
        <is>
          <t>C05</t>
        </is>
      </c>
      <c r="C223" s="348" t="inlineStr">
        <is>
          <t>湖之利耶尼亚</t>
        </is>
      </c>
      <c r="D223" s="348" t="inlineStr">
        <is>
          <t>XX924</t>
        </is>
      </c>
      <c r="E223" s="348" t="inlineStr">
        <is>
          <t>寒镜终誓王</t>
        </is>
      </c>
      <c r="F223" s="348" t="inlineStr">
        <is>
          <t>守关BOSS</t>
        </is>
      </c>
      <c r="G223" s="348" t="inlineStr">
        <is>
          <t>终誓月裁剑</t>
        </is>
      </c>
      <c r="H223" s="348" t="inlineStr">
        <is>
          <t>武器</t>
        </is>
      </c>
      <c r="I223" s="348" t="inlineStr">
        <is>
          <t>武器</t>
        </is>
      </c>
      <c r="J223" s="348" t="n">
        <v>6921</v>
      </c>
      <c r="K223" s="348" t="inlineStr">
        <is>
          <t>预检通过资源／规划锁定／待入库</t>
        </is>
      </c>
      <c r="L223" s="349" t="inlineStr">
        <is>
          <t>装备资源库翠焰冥契·幽焰</t>
        </is>
      </c>
    </row>
    <row r="224" ht="34" customHeight="1">
      <c r="A224" s="347" t="inlineStr">
        <is>
          <t>C06-M001</t>
        </is>
      </c>
      <c r="B224" s="348" t="inlineStr">
        <is>
          <t>C06</t>
        </is>
      </c>
      <c r="C224" s="348" t="inlineStr">
        <is>
          <t>盖利德</t>
        </is>
      </c>
      <c r="D224" s="348" t="inlineStr">
        <is>
          <t>XX304</t>
        </is>
      </c>
      <c r="E224" s="348" t="inlineStr">
        <is>
          <t>熔原灰背兽</t>
        </is>
      </c>
      <c r="F224" s="348" t="inlineStr">
        <is>
          <t>普通</t>
        </is>
      </c>
      <c r="G224" s="348" t="inlineStr">
        <is>
          <t>灰背灼牙</t>
        </is>
      </c>
      <c r="H224" s="348" t="inlineStr">
        <is>
          <t>武器</t>
        </is>
      </c>
      <c r="I224" s="348" t="inlineStr">
        <is>
          <t>武器</t>
        </is>
      </c>
      <c r="J224" s="348" t="n">
        <v>7142</v>
      </c>
      <c r="K224" s="348" t="inlineStr">
        <is>
          <t>测试三库资源已回读</t>
        </is>
      </c>
      <c r="L224" s="349" t="inlineStr">
        <is>
          <t>测试资源：0141_黄金圣树·永恒_武器.bmp；三库同码</t>
        </is>
      </c>
    </row>
    <row r="225" ht="34" customHeight="1">
      <c r="A225" s="347" t="inlineStr">
        <is>
          <t>C06-M002</t>
        </is>
      </c>
      <c r="B225" s="348" t="inlineStr">
        <is>
          <t>C06</t>
        </is>
      </c>
      <c r="C225" s="348" t="inlineStr">
        <is>
          <t>盖利德</t>
        </is>
      </c>
      <c r="D225" s="348" t="inlineStr">
        <is>
          <t>XX305</t>
        </is>
      </c>
      <c r="E225" s="348" t="inlineStr">
        <is>
          <t>焦土拾骸兵</t>
        </is>
      </c>
      <c r="F225" s="348" t="inlineStr">
        <is>
          <t>普通</t>
        </is>
      </c>
      <c r="G225" s="348" t="inlineStr">
        <is>
          <t>拾骸骨盔</t>
        </is>
      </c>
      <c r="H225" s="348" t="inlineStr">
        <is>
          <t>头盔</t>
        </is>
      </c>
      <c r="I225" s="348" t="inlineStr">
        <is>
          <t>头盔</t>
        </is>
      </c>
      <c r="J225" s="348" t="n">
        <v>5887</v>
      </c>
      <c r="K225" s="348" t="inlineStr">
        <is>
          <t>规划锁定／旧资源待实库回读</t>
        </is>
      </c>
      <c r="L225" s="349" t="inlineStr">
        <is>
          <t>装备资源库黄金圣律·执火</t>
        </is>
      </c>
    </row>
    <row r="226" ht="34" customHeight="1">
      <c r="A226" s="347" t="inlineStr">
        <is>
          <t>C06-M003</t>
        </is>
      </c>
      <c r="B226" s="348" t="inlineStr">
        <is>
          <t>C06</t>
        </is>
      </c>
      <c r="C226" s="348" t="inlineStr">
        <is>
          <t>盖利德</t>
        </is>
      </c>
      <c r="D226" s="348" t="inlineStr">
        <is>
          <t>XX306</t>
        </is>
      </c>
      <c r="E226" s="348" t="inlineStr">
        <is>
          <t>岩河爬鳞者</t>
        </is>
      </c>
      <c r="F226" s="348" t="inlineStr">
        <is>
          <t>普通</t>
        </is>
      </c>
      <c r="G226" s="348" t="inlineStr">
        <is>
          <t>岩河鳞衣</t>
        </is>
      </c>
      <c r="H226" s="348" t="inlineStr">
        <is>
          <t>衣服</t>
        </is>
      </c>
      <c r="I226" s="348" t="inlineStr">
        <is>
          <t>男衣服（现行模板的衣服映射）</t>
        </is>
      </c>
      <c r="J226" s="348" t="n">
        <v>7143</v>
      </c>
      <c r="K226" s="348" t="inlineStr">
        <is>
          <t>测试三库资源已回读</t>
        </is>
      </c>
      <c r="L226" s="349" t="inlineStr">
        <is>
          <t>测试资源：0527_翠焰冥契·幽焰_男衣服.bmp；三库同码</t>
        </is>
      </c>
    </row>
    <row r="227" ht="34" customHeight="1">
      <c r="A227" s="347" t="inlineStr">
        <is>
          <t>C06-M004</t>
        </is>
      </c>
      <c r="B227" s="348" t="inlineStr">
        <is>
          <t>C06</t>
        </is>
      </c>
      <c r="C227" s="348" t="inlineStr">
        <is>
          <t>盖利德</t>
        </is>
      </c>
      <c r="D227" s="348" t="inlineStr">
        <is>
          <t>XX307</t>
        </is>
      </c>
      <c r="E227" s="348" t="inlineStr">
        <is>
          <t>祭场执炭徒</t>
        </is>
      </c>
      <c r="F227" s="348" t="inlineStr">
        <is>
          <t>普通</t>
        </is>
      </c>
      <c r="G227" s="348" t="inlineStr">
        <is>
          <t>执炭腰封</t>
        </is>
      </c>
      <c r="H227" s="348" t="inlineStr">
        <is>
          <t>腰带</t>
        </is>
      </c>
      <c r="I227" s="348" t="inlineStr">
        <is>
          <t>腰带</t>
        </is>
      </c>
      <c r="J227" s="348" t="n">
        <v>7003</v>
      </c>
      <c r="K227" s="348" t="inlineStr">
        <is>
          <t>预检通过资源／规划锁定／待入库</t>
        </is>
      </c>
      <c r="L227" s="349" t="inlineStr">
        <is>
          <t>装备资源库翠焰冥契·冥契</t>
        </is>
      </c>
    </row>
    <row r="228" ht="34" customHeight="1">
      <c r="A228" s="347" t="inlineStr">
        <is>
          <t>C06-M005</t>
        </is>
      </c>
      <c r="B228" s="348" t="inlineStr">
        <is>
          <t>C06</t>
        </is>
      </c>
      <c r="C228" s="348" t="inlineStr">
        <is>
          <t>盖利德</t>
        </is>
      </c>
      <c r="D228" s="348" t="inlineStr">
        <is>
          <t>XX308</t>
        </is>
      </c>
      <c r="E228" s="348" t="inlineStr">
        <is>
          <t>熔心赤螯虫</t>
        </is>
      </c>
      <c r="F228" s="348" t="inlineStr">
        <is>
          <t>普通</t>
        </is>
      </c>
      <c r="G228" s="348" t="inlineStr">
        <is>
          <t>赤螯腕甲</t>
        </is>
      </c>
      <c r="H228" s="348" t="inlineStr">
        <is>
          <t>手镯</t>
        </is>
      </c>
      <c r="I228" s="348" t="inlineStr">
        <is>
          <t>手镯</t>
        </is>
      </c>
      <c r="J228" s="348" t="n">
        <v>5870</v>
      </c>
      <c r="K228" s="348" t="inlineStr">
        <is>
          <t>规划锁定／旧资源待实库回读</t>
        </is>
      </c>
      <c r="L228" s="349" t="inlineStr">
        <is>
          <t>装备资源库黄金圣律·初誓</t>
        </is>
      </c>
    </row>
    <row r="229" ht="34" customHeight="1">
      <c r="A229" s="347" t="inlineStr">
        <is>
          <t>C06-M006</t>
        </is>
      </c>
      <c r="B229" s="348" t="inlineStr">
        <is>
          <t>C06</t>
        </is>
      </c>
      <c r="C229" s="348" t="inlineStr">
        <is>
          <t>盖利德</t>
        </is>
      </c>
      <c r="D229" s="348" t="inlineStr">
        <is>
          <t>XX304</t>
        </is>
      </c>
      <c r="E229" s="348" t="inlineStr">
        <is>
          <t>血尘游猎手</t>
        </is>
      </c>
      <c r="F229" s="348" t="inlineStr">
        <is>
          <t>普通</t>
        </is>
      </c>
      <c r="G229" s="348" t="inlineStr">
        <is>
          <t>血尘猎靴</t>
        </is>
      </c>
      <c r="H229" s="348" t="inlineStr">
        <is>
          <t>鞋子</t>
        </is>
      </c>
      <c r="I229" s="348" t="inlineStr">
        <is>
          <t>鞋子</t>
        </is>
      </c>
      <c r="J229" s="348" t="n">
        <v>7072</v>
      </c>
      <c r="K229" s="348" t="inlineStr">
        <is>
          <t>预检通过资源／规划锁定／待入库</t>
        </is>
      </c>
      <c r="L229" s="349" t="inlineStr">
        <is>
          <t>装备资源库翠焰冥契·永夜</t>
        </is>
      </c>
    </row>
    <row r="230" ht="34" customHeight="1">
      <c r="A230" s="347" t="inlineStr">
        <is>
          <t>C06-M007</t>
        </is>
      </c>
      <c r="B230" s="348" t="inlineStr">
        <is>
          <t>C06</t>
        </is>
      </c>
      <c r="C230" s="348" t="inlineStr">
        <is>
          <t>盖利德</t>
        </is>
      </c>
      <c r="D230" s="348" t="inlineStr">
        <is>
          <t>XX304</t>
        </is>
      </c>
      <c r="E230" s="348" t="inlineStr">
        <is>
          <t>赤棘狂战士</t>
        </is>
      </c>
      <c r="F230" s="348" t="inlineStr">
        <is>
          <t>稀有</t>
        </is>
      </c>
      <c r="G230" s="348" t="inlineStr">
        <is>
          <t>赤棘重戒</t>
        </is>
      </c>
      <c r="H230" s="348" t="inlineStr">
        <is>
          <t>戒指</t>
        </is>
      </c>
      <c r="I230" s="348" t="inlineStr">
        <is>
          <t>戒指</t>
        </is>
      </c>
      <c r="J230" s="348" t="n">
        <v>5880</v>
      </c>
      <c r="K230" s="348" t="inlineStr">
        <is>
          <t>规划锁定／旧资源待实库回读</t>
        </is>
      </c>
      <c r="L230" s="349" t="inlineStr">
        <is>
          <t>装备资源库黄金圣律·铭契</t>
        </is>
      </c>
    </row>
    <row r="231" ht="34" customHeight="1">
      <c r="A231" s="347" t="inlineStr">
        <is>
          <t>C06-M008</t>
        </is>
      </c>
      <c r="B231" s="348" t="inlineStr">
        <is>
          <t>C06</t>
        </is>
      </c>
      <c r="C231" s="348" t="inlineStr">
        <is>
          <t>盖利德</t>
        </is>
      </c>
      <c r="D231" s="348" t="inlineStr">
        <is>
          <t>XX305</t>
        </is>
      </c>
      <c r="E231" s="348" t="inlineStr">
        <is>
          <t>焦脉咒炎师</t>
        </is>
      </c>
      <c r="F231" s="348" t="inlineStr">
        <is>
          <t>稀有</t>
        </is>
      </c>
      <c r="G231" s="348" t="inlineStr">
        <is>
          <t>焦脉祭链</t>
        </is>
      </c>
      <c r="H231" s="348" t="inlineStr">
        <is>
          <t>项链</t>
        </is>
      </c>
      <c r="I231" s="348" t="inlineStr">
        <is>
          <t>项链</t>
        </is>
      </c>
      <c r="J231" s="348" t="n">
        <v>5895</v>
      </c>
      <c r="K231" s="348" t="inlineStr">
        <is>
          <t>规划锁定／旧资源待实库回读</t>
        </is>
      </c>
      <c r="L231" s="349" t="inlineStr">
        <is>
          <t>装备资源库黄金圣律·圣徽</t>
        </is>
      </c>
    </row>
    <row r="232" ht="34" customHeight="1">
      <c r="A232" s="347" t="inlineStr">
        <is>
          <t>C06-M009</t>
        </is>
      </c>
      <c r="B232" s="348" t="inlineStr">
        <is>
          <t>C06</t>
        </is>
      </c>
      <c r="C232" s="348" t="inlineStr">
        <is>
          <t>盖利德</t>
        </is>
      </c>
      <c r="D232" s="348" t="inlineStr">
        <is>
          <t>XX306</t>
        </is>
      </c>
      <c r="E232" s="348" t="inlineStr">
        <is>
          <t>岩浆负甲兽</t>
        </is>
      </c>
      <c r="F232" s="348" t="inlineStr">
        <is>
          <t>稀有</t>
        </is>
      </c>
      <c r="G232" s="348" t="inlineStr">
        <is>
          <t>负甲熔盾</t>
        </is>
      </c>
      <c r="H232" s="348" t="inlineStr">
        <is>
          <t>盾牌</t>
        </is>
      </c>
      <c r="I232" s="348" t="inlineStr">
        <is>
          <t>盾牌</t>
        </is>
      </c>
      <c r="J232" s="348" t="n">
        <v>7035</v>
      </c>
      <c r="K232" s="348" t="inlineStr">
        <is>
          <t>预检通过资源／规划锁定／待入库</t>
        </is>
      </c>
      <c r="L232" s="349" t="inlineStr">
        <is>
          <t>装备资源库翠焰冥契·灾厄</t>
        </is>
      </c>
    </row>
    <row r="233" ht="34" customHeight="1">
      <c r="A233" s="347" t="inlineStr">
        <is>
          <t>C06-M010</t>
        </is>
      </c>
      <c r="B233" s="348" t="inlineStr">
        <is>
          <t>C06</t>
        </is>
      </c>
      <c r="C233" s="348" t="inlineStr">
        <is>
          <t>盖利德</t>
        </is>
      </c>
      <c r="D233" s="348" t="inlineStr">
        <is>
          <t>XX307</t>
        </is>
      </c>
      <c r="E233" s="348" t="inlineStr">
        <is>
          <t>灰烬裁决官</t>
        </is>
      </c>
      <c r="F233" s="348" t="inlineStr">
        <is>
          <t>稀有</t>
        </is>
      </c>
      <c r="G233" s="348" t="inlineStr">
        <is>
          <t>灰烬裁印</t>
        </is>
      </c>
      <c r="H233" s="348" t="inlineStr">
        <is>
          <t>勋章</t>
        </is>
      </c>
      <c r="I233" s="348" t="inlineStr">
        <is>
          <t>勋章</t>
        </is>
      </c>
      <c r="J233" s="348" t="n">
        <v>6894</v>
      </c>
      <c r="K233" s="348" t="inlineStr">
        <is>
          <t>预检通过资源／规划锁定／待入库</t>
        </is>
      </c>
      <c r="L233" s="349" t="inlineStr">
        <is>
          <t>装备资源库星渊龙息·无垠</t>
        </is>
      </c>
    </row>
    <row r="234" ht="34" customHeight="1">
      <c r="A234" s="347" t="inlineStr">
        <is>
          <t>C06-M011</t>
        </is>
      </c>
      <c r="B234" s="348" t="inlineStr">
        <is>
          <t>C06</t>
        </is>
      </c>
      <c r="C234" s="348" t="inlineStr">
        <is>
          <t>盖利德</t>
        </is>
      </c>
      <c r="D234" s="348" t="inlineStr">
        <is>
          <t>XX307</t>
        </is>
      </c>
      <c r="E234" s="348" t="inlineStr">
        <is>
          <t>火蚀巨像·巴洛</t>
        </is>
      </c>
      <c r="F234" s="348" t="inlineStr">
        <is>
          <t>地图BOSS</t>
        </is>
      </c>
      <c r="G234" s="348" t="inlineStr">
        <is>
          <t>巴洛熔拳</t>
        </is>
      </c>
      <c r="H234" s="348" t="inlineStr">
        <is>
          <t>武器</t>
        </is>
      </c>
      <c r="I234" s="348" t="inlineStr">
        <is>
          <t>武器</t>
        </is>
      </c>
      <c r="J234" s="348" t="n">
        <v>7144</v>
      </c>
      <c r="K234" s="348" t="inlineStr">
        <is>
          <t>测试三库资源已回读</t>
        </is>
      </c>
      <c r="L234" s="349" t="inlineStr">
        <is>
          <t>测试资源：0176_血月荆棘·血痕_武器.bmp；三库同码</t>
        </is>
      </c>
    </row>
    <row r="235" ht="34" customHeight="1">
      <c r="A235" s="347" t="inlineStr">
        <is>
          <t>C06-M012</t>
        </is>
      </c>
      <c r="B235" s="348" t="inlineStr">
        <is>
          <t>C06</t>
        </is>
      </c>
      <c r="C235" s="348" t="inlineStr">
        <is>
          <t>盖利德</t>
        </is>
      </c>
      <c r="D235" s="348" t="inlineStr">
        <is>
          <t>XX308</t>
        </is>
      </c>
      <c r="E235" s="348" t="inlineStr">
        <is>
          <t>猩红熔母·瑟芮</t>
        </is>
      </c>
      <c r="F235" s="348" t="inlineStr">
        <is>
          <t>地图BOSS</t>
        </is>
      </c>
      <c r="G235" s="348" t="inlineStr">
        <is>
          <t>瑟芮血衣</t>
        </is>
      </c>
      <c r="H235" s="348" t="inlineStr">
        <is>
          <t>衣服</t>
        </is>
      </c>
      <c r="I235" s="348" t="inlineStr">
        <is>
          <t>男衣服（现行模板的衣服映射）</t>
        </is>
      </c>
      <c r="J235" s="348" t="n">
        <v>7145</v>
      </c>
      <c r="K235" s="348" t="inlineStr">
        <is>
          <t>测试三库资源已回读</t>
        </is>
      </c>
      <c r="L235" s="349" t="inlineStr">
        <is>
          <t>测试资源：0562_翠焰冥契·腐痕_男衣服.bmp；三库同码</t>
        </is>
      </c>
    </row>
    <row r="236" ht="34" customHeight="1">
      <c r="A236" s="347" t="inlineStr">
        <is>
          <t>C06-M013</t>
        </is>
      </c>
      <c r="B236" s="348" t="inlineStr">
        <is>
          <t>C06</t>
        </is>
      </c>
      <c r="C236" s="348" t="inlineStr">
        <is>
          <t>盖利德</t>
        </is>
      </c>
      <c r="D236" s="348" t="inlineStr">
        <is>
          <t>XX357</t>
        </is>
      </c>
      <c r="E236" s="348" t="inlineStr">
        <is>
          <t>腐狱囚徒</t>
        </is>
      </c>
      <c r="F236" s="348" t="inlineStr">
        <is>
          <t>普通</t>
        </is>
      </c>
      <c r="G236" s="348" t="inlineStr">
        <is>
          <t>腐狱铁链</t>
        </is>
      </c>
      <c r="H236" s="348" t="inlineStr">
        <is>
          <t>项链</t>
        </is>
      </c>
      <c r="I236" s="348" t="inlineStr">
        <is>
          <t>项链</t>
        </is>
      </c>
      <c r="J236" s="348" t="n">
        <v>5913</v>
      </c>
      <c r="K236" s="348" t="inlineStr">
        <is>
          <t>规划锁定／旧资源待实库回读</t>
        </is>
      </c>
      <c r="L236" s="349" t="inlineStr">
        <is>
          <t>装备资源库黄金圣律·蓝辉</t>
        </is>
      </c>
    </row>
    <row r="237" ht="34" customHeight="1">
      <c r="A237" s="347" t="inlineStr">
        <is>
          <t>C06-M014</t>
        </is>
      </c>
      <c r="B237" s="348" t="inlineStr">
        <is>
          <t>C06</t>
        </is>
      </c>
      <c r="C237" s="348" t="inlineStr">
        <is>
          <t>盖利德</t>
        </is>
      </c>
      <c r="D237" s="348" t="inlineStr">
        <is>
          <t>XX358</t>
        </is>
      </c>
      <c r="E237" s="348" t="inlineStr">
        <is>
          <t>灼腐行刑兵</t>
        </is>
      </c>
      <c r="F237" s="348" t="inlineStr">
        <is>
          <t>普通</t>
        </is>
      </c>
      <c r="G237" s="348" t="inlineStr">
        <is>
          <t>灼刑断刃</t>
        </is>
      </c>
      <c r="H237" s="348" t="inlineStr">
        <is>
          <t>武器</t>
        </is>
      </c>
      <c r="I237" s="348" t="inlineStr">
        <is>
          <t>武器</t>
        </is>
      </c>
      <c r="J237" s="348" t="n">
        <v>7146</v>
      </c>
      <c r="K237" s="348" t="inlineStr">
        <is>
          <t>测试三库资源已回读</t>
        </is>
      </c>
      <c r="L237" s="349" t="inlineStr">
        <is>
          <t>测试资源：0211_血月荆棘·荆冠_武器.bmp；三库同码</t>
        </is>
      </c>
    </row>
    <row r="238" ht="34" customHeight="1">
      <c r="A238" s="347" t="inlineStr">
        <is>
          <t>C06-M015</t>
        </is>
      </c>
      <c r="B238" s="348" t="inlineStr">
        <is>
          <t>C06</t>
        </is>
      </c>
      <c r="C238" s="348" t="inlineStr">
        <is>
          <t>盖利德</t>
        </is>
      </c>
      <c r="D238" s="348" t="inlineStr">
        <is>
          <t>XX359</t>
        </is>
      </c>
      <c r="E238" s="348" t="inlineStr">
        <is>
          <t>深渊熔壳虫</t>
        </is>
      </c>
      <c r="F238" s="348" t="inlineStr">
        <is>
          <t>普通</t>
        </is>
      </c>
      <c r="G238" s="348" t="inlineStr">
        <is>
          <t>熔壳甲衣</t>
        </is>
      </c>
      <c r="H238" s="348" t="inlineStr">
        <is>
          <t>衣服</t>
        </is>
      </c>
      <c r="I238" s="348" t="inlineStr">
        <is>
          <t>男衣服（现行模板的衣服映射）</t>
        </is>
      </c>
      <c r="J238" s="348" t="n">
        <v>7147</v>
      </c>
      <c r="K238" s="348" t="inlineStr">
        <is>
          <t>测试三库资源已回读</t>
        </is>
      </c>
      <c r="L238" s="349" t="inlineStr">
        <is>
          <t>测试资源：0597_翠焰冥契·冥契_男衣服.bmp；三库同码</t>
        </is>
      </c>
    </row>
    <row r="239" ht="34" customHeight="1">
      <c r="A239" s="347" t="inlineStr">
        <is>
          <t>C06-M016</t>
        </is>
      </c>
      <c r="B239" s="348" t="inlineStr">
        <is>
          <t>C06</t>
        </is>
      </c>
      <c r="C239" s="348" t="inlineStr">
        <is>
          <t>盖利德</t>
        </is>
      </c>
      <c r="D239" s="348" t="inlineStr">
        <is>
          <t>XX360</t>
        </is>
      </c>
      <c r="E239" s="348" t="inlineStr">
        <is>
          <t>内域血菌兽</t>
        </is>
      </c>
      <c r="F239" s="348" t="inlineStr">
        <is>
          <t>普通</t>
        </is>
      </c>
      <c r="G239" s="348" t="inlineStr">
        <is>
          <t>血菌腕轮</t>
        </is>
      </c>
      <c r="H239" s="348" t="inlineStr">
        <is>
          <t>手镯</t>
        </is>
      </c>
      <c r="I239" s="348" t="inlineStr">
        <is>
          <t>手镯</t>
        </is>
      </c>
      <c r="J239" s="348" t="n">
        <v>5879</v>
      </c>
      <c r="K239" s="348" t="inlineStr">
        <is>
          <t>规划锁定／旧资源待实库回读</t>
        </is>
      </c>
      <c r="L239" s="349" t="inlineStr">
        <is>
          <t>装备资源库黄金圣律·铭契</t>
        </is>
      </c>
    </row>
    <row r="240" ht="34" customHeight="1">
      <c r="A240" s="347" t="inlineStr">
        <is>
          <t>C06-M017</t>
        </is>
      </c>
      <c r="B240" s="348" t="inlineStr">
        <is>
          <t>C06</t>
        </is>
      </c>
      <c r="C240" s="348" t="inlineStr">
        <is>
          <t>盖利德</t>
        </is>
      </c>
      <c r="D240" s="348" t="inlineStr">
        <is>
          <t>XX361</t>
        </is>
      </c>
      <c r="E240" s="348" t="inlineStr">
        <is>
          <t>熔心烙印僧</t>
        </is>
      </c>
      <c r="F240" s="348" t="inlineStr">
        <is>
          <t>普通</t>
        </is>
      </c>
      <c r="G240" s="348" t="inlineStr">
        <is>
          <t>烙印斗笠</t>
        </is>
      </c>
      <c r="H240" s="348" t="inlineStr">
        <is>
          <t>斗笠</t>
        </is>
      </c>
      <c r="I240" s="348" t="inlineStr">
        <is>
          <t>面巾（位置13，对应斗笠）</t>
        </is>
      </c>
      <c r="J240" s="348" t="n">
        <v>7148</v>
      </c>
      <c r="K240" s="348" t="inlineStr">
        <is>
          <t>测试三库资源已回读</t>
        </is>
      </c>
      <c r="L240" s="349" t="inlineStr">
        <is>
          <t>测试资源：0250_血月荆棘·猩月_面巾.bmp；三库同码</t>
        </is>
      </c>
    </row>
    <row r="241" ht="34" customHeight="1">
      <c r="A241" s="347" t="inlineStr">
        <is>
          <t>C06-M018</t>
        </is>
      </c>
      <c r="B241" s="348" t="inlineStr">
        <is>
          <t>C06</t>
        </is>
      </c>
      <c r="C241" s="348" t="inlineStr">
        <is>
          <t>盖利德</t>
        </is>
      </c>
      <c r="D241" s="348" t="inlineStr">
        <is>
          <t>XX357</t>
        </is>
      </c>
      <c r="E241" s="348" t="inlineStr">
        <is>
          <t>火狱锁门卒</t>
        </is>
      </c>
      <c r="F241" s="348" t="inlineStr">
        <is>
          <t>普通</t>
        </is>
      </c>
      <c r="G241" s="348" t="inlineStr">
        <is>
          <t>锁门重盾</t>
        </is>
      </c>
      <c r="H241" s="348" t="inlineStr">
        <is>
          <t>盾牌</t>
        </is>
      </c>
      <c r="I241" s="348" t="inlineStr">
        <is>
          <t>盾牌</t>
        </is>
      </c>
      <c r="J241" s="348" t="n">
        <v>7070</v>
      </c>
      <c r="K241" s="348" t="inlineStr">
        <is>
          <t>预检通过资源／规划锁定／待入库</t>
        </is>
      </c>
      <c r="L241" s="349" t="inlineStr">
        <is>
          <t>装备资源库翠焰冥契·永夜</t>
        </is>
      </c>
    </row>
    <row r="242" ht="34" customHeight="1">
      <c r="A242" s="347" t="inlineStr">
        <is>
          <t>C06-M019</t>
        </is>
      </c>
      <c r="B242" s="348" t="inlineStr">
        <is>
          <t>C06</t>
        </is>
      </c>
      <c r="C242" s="348" t="inlineStr">
        <is>
          <t>盖利德</t>
        </is>
      </c>
      <c r="D242" s="348" t="inlineStr">
        <is>
          <t>XX357</t>
        </is>
      </c>
      <c r="E242" s="348" t="inlineStr">
        <is>
          <t>瘴焰缝尸匠</t>
        </is>
      </c>
      <c r="F242" s="348" t="inlineStr">
        <is>
          <t>稀有</t>
        </is>
      </c>
      <c r="G242" s="348" t="inlineStr">
        <is>
          <t>缝尸骨针</t>
        </is>
      </c>
      <c r="H242" s="348" t="inlineStr">
        <is>
          <t>武器</t>
        </is>
      </c>
      <c r="I242" s="348" t="inlineStr">
        <is>
          <t>武器</t>
        </is>
      </c>
      <c r="J242" s="348" t="n">
        <v>7149</v>
      </c>
      <c r="K242" s="348" t="inlineStr">
        <is>
          <t>测试三库资源已回读</t>
        </is>
      </c>
      <c r="L242" s="349" t="inlineStr">
        <is>
          <t>测试资源：0246_血月荆棘·猩月_武器.bmp；三库同码</t>
        </is>
      </c>
    </row>
    <row r="243" ht="34" customHeight="1">
      <c r="A243" s="347" t="inlineStr">
        <is>
          <t>C06-M020</t>
        </is>
      </c>
      <c r="B243" s="348" t="inlineStr">
        <is>
          <t>C06</t>
        </is>
      </c>
      <c r="C243" s="348" t="inlineStr">
        <is>
          <t>盖利德</t>
        </is>
      </c>
      <c r="D243" s="348" t="inlineStr">
        <is>
          <t>XX358</t>
        </is>
      </c>
      <c r="E243" s="348" t="inlineStr">
        <is>
          <t>灼骨狱卒长</t>
        </is>
      </c>
      <c r="F243" s="348" t="inlineStr">
        <is>
          <t>稀有</t>
        </is>
      </c>
      <c r="G243" s="348" t="inlineStr">
        <is>
          <t>灼骨腰甲</t>
        </is>
      </c>
      <c r="H243" s="348" t="inlineStr">
        <is>
          <t>腰带</t>
        </is>
      </c>
      <c r="I243" s="348" t="inlineStr">
        <is>
          <t>腰带</t>
        </is>
      </c>
      <c r="J243" s="348" t="n">
        <v>7038</v>
      </c>
      <c r="K243" s="348" t="inlineStr">
        <is>
          <t>预检通过资源／规划锁定／待入库</t>
        </is>
      </c>
      <c r="L243" s="349" t="inlineStr">
        <is>
          <t>装备资源库翠焰冥契·灾厄</t>
        </is>
      </c>
    </row>
    <row r="244" ht="34" customHeight="1">
      <c r="A244" s="347" t="inlineStr">
        <is>
          <t>C06-M021</t>
        </is>
      </c>
      <c r="B244" s="348" t="inlineStr">
        <is>
          <t>C06</t>
        </is>
      </c>
      <c r="C244" s="348" t="inlineStr">
        <is>
          <t>盖利德</t>
        </is>
      </c>
      <c r="D244" s="348" t="inlineStr">
        <is>
          <t>XX359</t>
        </is>
      </c>
      <c r="E244" s="348" t="inlineStr">
        <is>
          <t>深渊熔喉兽</t>
        </is>
      </c>
      <c r="F244" s="348" t="inlineStr">
        <is>
          <t>稀有</t>
        </is>
      </c>
      <c r="G244" s="348" t="inlineStr">
        <is>
          <t>熔喉牙戒</t>
        </is>
      </c>
      <c r="H244" s="348" t="inlineStr">
        <is>
          <t>戒指</t>
        </is>
      </c>
      <c r="I244" s="348" t="inlineStr">
        <is>
          <t>戒指</t>
        </is>
      </c>
      <c r="J244" s="348" t="n">
        <v>5889</v>
      </c>
      <c r="K244" s="348" t="inlineStr">
        <is>
          <t>规划锁定／旧资源待实库回读</t>
        </is>
      </c>
      <c r="L244" s="349" t="inlineStr">
        <is>
          <t>装备资源库黄金圣律·执火</t>
        </is>
      </c>
    </row>
    <row r="245" ht="34" customHeight="1">
      <c r="A245" s="347" t="inlineStr">
        <is>
          <t>C06-M022</t>
        </is>
      </c>
      <c r="B245" s="348" t="inlineStr">
        <is>
          <t>C06</t>
        </is>
      </c>
      <c r="C245" s="348" t="inlineStr">
        <is>
          <t>盖利德</t>
        </is>
      </c>
      <c r="D245" s="348" t="inlineStr">
        <is>
          <t>XX360</t>
        </is>
      </c>
      <c r="E245" s="348" t="inlineStr">
        <is>
          <t>赤腐祷刑官</t>
        </is>
      </c>
      <c r="F245" s="348" t="inlineStr">
        <is>
          <t>稀有</t>
        </is>
      </c>
      <c r="G245" s="348" t="inlineStr">
        <is>
          <t>祷刑罪章</t>
        </is>
      </c>
      <c r="H245" s="348" t="inlineStr">
        <is>
          <t>勋章</t>
        </is>
      </c>
      <c r="I245" s="348" t="inlineStr">
        <is>
          <t>勋章</t>
        </is>
      </c>
      <c r="J245" s="348" t="n">
        <v>6929</v>
      </c>
      <c r="K245" s="348" t="inlineStr">
        <is>
          <t>预检通过资源／规划锁定／待入库</t>
        </is>
      </c>
      <c r="L245" s="349" t="inlineStr">
        <is>
          <t>装备资源库翠焰冥契·幽焰</t>
        </is>
      </c>
    </row>
    <row r="246" ht="34" customHeight="1">
      <c r="A246" s="347" t="inlineStr">
        <is>
          <t>C06-M023</t>
        </is>
      </c>
      <c r="B246" s="348" t="inlineStr">
        <is>
          <t>C06</t>
        </is>
      </c>
      <c r="C246" s="348" t="inlineStr">
        <is>
          <t>盖利德</t>
        </is>
      </c>
      <c r="D246" s="348" t="inlineStr">
        <is>
          <t>XX360</t>
        </is>
      </c>
      <c r="E246" s="348" t="inlineStr">
        <is>
          <t>腐败火侯·伊弗</t>
        </is>
      </c>
      <c r="F246" s="348" t="inlineStr">
        <is>
          <t>地图BOSS</t>
        </is>
      </c>
      <c r="G246" s="348" t="inlineStr">
        <is>
          <t>伊弗腐冠</t>
        </is>
      </c>
      <c r="H246" s="348" t="inlineStr">
        <is>
          <t>头盔</t>
        </is>
      </c>
      <c r="I246" s="348" t="inlineStr">
        <is>
          <t>头盔</t>
        </is>
      </c>
      <c r="J246" s="348" t="n">
        <v>5896</v>
      </c>
      <c r="K246" s="348" t="inlineStr">
        <is>
          <t>规划锁定／旧资源待实库回读</t>
        </is>
      </c>
      <c r="L246" s="349" t="inlineStr">
        <is>
          <t>装备资源库黄金圣律·圣徽</t>
        </is>
      </c>
    </row>
    <row r="247" ht="34" customHeight="1">
      <c r="A247" s="347" t="inlineStr">
        <is>
          <t>C06-M024</t>
        </is>
      </c>
      <c r="B247" s="348" t="inlineStr">
        <is>
          <t>C06</t>
        </is>
      </c>
      <c r="C247" s="348" t="inlineStr">
        <is>
          <t>盖利德</t>
        </is>
      </c>
      <c r="D247" s="348" t="inlineStr">
        <is>
          <t>XX361</t>
        </is>
      </c>
      <c r="E247" s="348" t="inlineStr">
        <is>
          <t>熔心狱主·塞维拉</t>
        </is>
      </c>
      <c r="F247" s="348" t="inlineStr">
        <is>
          <t>地图BOSS</t>
        </is>
      </c>
      <c r="G247" s="348" t="inlineStr">
        <is>
          <t>塞维拉狱衣</t>
        </is>
      </c>
      <c r="H247" s="348" t="inlineStr">
        <is>
          <t>衣服</t>
        </is>
      </c>
      <c r="I247" s="348" t="inlineStr">
        <is>
          <t>男衣服（现行模板的衣服映射）</t>
        </is>
      </c>
      <c r="J247" s="348" t="n">
        <v>7150</v>
      </c>
      <c r="K247" s="348" t="inlineStr">
        <is>
          <t>测试三库资源已回读</t>
        </is>
      </c>
      <c r="L247" s="349" t="inlineStr">
        <is>
          <t>测试资源：0632_翠焰冥契·灾厄_男衣服.bmp；三库同码</t>
        </is>
      </c>
    </row>
    <row r="248" ht="34" customHeight="1">
      <c r="A248" s="347" t="inlineStr">
        <is>
          <t>C06-M025</t>
        </is>
      </c>
      <c r="B248" s="348" t="inlineStr">
        <is>
          <t>C06</t>
        </is>
      </c>
      <c r="C248" s="348" t="inlineStr">
        <is>
          <t>盖利德</t>
        </is>
      </c>
      <c r="D248" s="348" t="inlineStr">
        <is>
          <t>XX485</t>
        </is>
      </c>
      <c r="E248" s="348" t="inlineStr">
        <is>
          <t>龙窟烬鳞兽</t>
        </is>
      </c>
      <c r="F248" s="348" t="inlineStr">
        <is>
          <t>普通</t>
        </is>
      </c>
      <c r="G248" s="348" t="inlineStr">
        <is>
          <t>烬鳞护腕</t>
        </is>
      </c>
      <c r="H248" s="348" t="inlineStr">
        <is>
          <t>手镯</t>
        </is>
      </c>
      <c r="I248" s="348" t="inlineStr">
        <is>
          <t>手镯</t>
        </is>
      </c>
      <c r="J248" s="348" t="n">
        <v>5888</v>
      </c>
      <c r="K248" s="348" t="inlineStr">
        <is>
          <t>规划锁定／旧资源待实库回读</t>
        </is>
      </c>
      <c r="L248" s="349" t="inlineStr">
        <is>
          <t>装备资源库黄金圣律·执火</t>
        </is>
      </c>
    </row>
    <row r="249" ht="34" customHeight="1">
      <c r="A249" s="347" t="inlineStr">
        <is>
          <t>C06-M026</t>
        </is>
      </c>
      <c r="B249" s="348" t="inlineStr">
        <is>
          <t>C06</t>
        </is>
      </c>
      <c r="C249" s="348" t="inlineStr">
        <is>
          <t>盖利德</t>
        </is>
      </c>
      <c r="D249" s="348" t="inlineStr">
        <is>
          <t>XX484</t>
        </is>
      </c>
      <c r="E249" s="348" t="inlineStr">
        <is>
          <t>崎路红狮兵</t>
        </is>
      </c>
      <c r="F249" s="348" t="inlineStr">
        <is>
          <t>普通</t>
        </is>
      </c>
      <c r="G249" s="348" t="inlineStr">
        <is>
          <t>崎路狮盔</t>
        </is>
      </c>
      <c r="H249" s="348" t="inlineStr">
        <is>
          <t>头盔</t>
        </is>
      </c>
      <c r="I249" s="348" t="inlineStr">
        <is>
          <t>头盔</t>
        </is>
      </c>
      <c r="J249" s="348" t="n">
        <v>5905</v>
      </c>
      <c r="K249" s="348" t="inlineStr">
        <is>
          <t>规划锁定／旧资源待实库回读</t>
        </is>
      </c>
      <c r="L249" s="349" t="inlineStr">
        <is>
          <t>装备资源库黄金圣律·璨金</t>
        </is>
      </c>
    </row>
    <row r="250" ht="34" customHeight="1">
      <c r="A250" s="347" t="inlineStr">
        <is>
          <t>C06-M027</t>
        </is>
      </c>
      <c r="B250" s="348" t="inlineStr">
        <is>
          <t>C06</t>
        </is>
      </c>
      <c r="C250" s="348" t="inlineStr">
        <is>
          <t>盖利德</t>
        </is>
      </c>
      <c r="D250" s="348" t="inlineStr">
        <is>
          <t>XX483</t>
        </is>
      </c>
      <c r="E250" s="348" t="inlineStr">
        <is>
          <t>回廊火弩卫</t>
        </is>
      </c>
      <c r="F250" s="348" t="inlineStr">
        <is>
          <t>普通</t>
        </is>
      </c>
      <c r="G250" s="348" t="inlineStr">
        <is>
          <t>火弩指环</t>
        </is>
      </c>
      <c r="H250" s="348" t="inlineStr">
        <is>
          <t>戒指</t>
        </is>
      </c>
      <c r="I250" s="348" t="inlineStr">
        <is>
          <t>戒指</t>
        </is>
      </c>
      <c r="J250" s="348" t="n">
        <v>5907</v>
      </c>
      <c r="K250" s="348" t="inlineStr">
        <is>
          <t>规划锁定／旧资源待实库回读</t>
        </is>
      </c>
      <c r="L250" s="349" t="inlineStr">
        <is>
          <t>装备资源库黄金圣律·璨金</t>
        </is>
      </c>
    </row>
    <row r="251" ht="34" customHeight="1">
      <c r="A251" s="347" t="inlineStr">
        <is>
          <t>C06-M028</t>
        </is>
      </c>
      <c r="B251" s="348" t="inlineStr">
        <is>
          <t>C06</t>
        </is>
      </c>
      <c r="C251" s="348" t="inlineStr">
        <is>
          <t>盖利德</t>
        </is>
      </c>
      <c r="D251" s="348" t="inlineStr">
        <is>
          <t>XX482</t>
        </is>
      </c>
      <c r="E251" s="348" t="inlineStr">
        <is>
          <t>龙巢护卵兽</t>
        </is>
      </c>
      <c r="F251" s="348" t="inlineStr">
        <is>
          <t>普通</t>
        </is>
      </c>
      <c r="G251" s="348" t="inlineStr">
        <is>
          <t>护卵鳞衣</t>
        </is>
      </c>
      <c r="H251" s="348" t="inlineStr">
        <is>
          <t>衣服</t>
        </is>
      </c>
      <c r="I251" s="348" t="inlineStr">
        <is>
          <t>男衣服（现行模板的衣服映射）</t>
        </is>
      </c>
      <c r="J251" s="348" t="n">
        <v>7151</v>
      </c>
      <c r="K251" s="348" t="inlineStr">
        <is>
          <t>测试三库资源已回读</t>
        </is>
      </c>
      <c r="L251" s="349" t="inlineStr">
        <is>
          <t>测试资源：0667_翠焰冥契·永夜_男衣服.bmp；三库同码</t>
        </is>
      </c>
    </row>
    <row r="252" ht="34" customHeight="1">
      <c r="A252" s="347" t="inlineStr">
        <is>
          <t>C06-M029</t>
        </is>
      </c>
      <c r="B252" s="348" t="inlineStr">
        <is>
          <t>C06</t>
        </is>
      </c>
      <c r="C252" s="348" t="inlineStr">
        <is>
          <t>盖利德</t>
        </is>
      </c>
      <c r="D252" s="348" t="inlineStr">
        <is>
          <t>XX481</t>
        </is>
      </c>
      <c r="E252" s="348" t="inlineStr">
        <is>
          <t>神殿执矛僧</t>
        </is>
      </c>
      <c r="F252" s="348" t="inlineStr">
        <is>
          <t>普通</t>
        </is>
      </c>
      <c r="G252" s="348" t="inlineStr">
        <is>
          <t>神殿焰矛</t>
        </is>
      </c>
      <c r="H252" s="348" t="inlineStr">
        <is>
          <t>武器</t>
        </is>
      </c>
      <c r="I252" s="348" t="inlineStr">
        <is>
          <t>武器</t>
        </is>
      </c>
      <c r="J252" s="348" t="n">
        <v>7152</v>
      </c>
      <c r="K252" s="348" t="inlineStr">
        <is>
          <t>测试三库资源已回读</t>
        </is>
      </c>
      <c r="L252" s="349" t="inlineStr">
        <is>
          <t>测试资源：0281_血月荆棘·弑王_武器.bmp；三库同码</t>
        </is>
      </c>
    </row>
    <row r="253" ht="34" customHeight="1">
      <c r="A253" s="347" t="inlineStr">
        <is>
          <t>C06-M030</t>
        </is>
      </c>
      <c r="B253" s="348" t="inlineStr">
        <is>
          <t>C06</t>
        </is>
      </c>
      <c r="C253" s="348" t="inlineStr">
        <is>
          <t>盖利德</t>
        </is>
      </c>
      <c r="D253" s="348" t="inlineStr">
        <is>
          <t>XX485</t>
        </is>
      </c>
      <c r="E253" s="348" t="inlineStr">
        <is>
          <t>赤鬃巡巢者</t>
        </is>
      </c>
      <c r="F253" s="348" t="inlineStr">
        <is>
          <t>普通</t>
        </is>
      </c>
      <c r="G253" s="348" t="inlineStr">
        <is>
          <t>赤鬃战靴</t>
        </is>
      </c>
      <c r="H253" s="348" t="inlineStr">
        <is>
          <t>鞋子</t>
        </is>
      </c>
      <c r="I253" s="348" t="inlineStr">
        <is>
          <t>鞋子</t>
        </is>
      </c>
      <c r="J253" s="348" t="n">
        <v>5874</v>
      </c>
      <c r="K253" s="348" t="inlineStr">
        <is>
          <t>规划锁定／旧资源待实库回读</t>
        </is>
      </c>
      <c r="L253" s="349" t="inlineStr">
        <is>
          <t>装备资源库黄金圣律·初誓</t>
        </is>
      </c>
    </row>
    <row r="254" ht="34" customHeight="1">
      <c r="A254" s="347" t="inlineStr">
        <is>
          <t>C06-M031</t>
        </is>
      </c>
      <c r="B254" s="348" t="inlineStr">
        <is>
          <t>C06</t>
        </is>
      </c>
      <c r="C254" s="348" t="inlineStr">
        <is>
          <t>盖利德</t>
        </is>
      </c>
      <c r="D254" s="348" t="inlineStr">
        <is>
          <t>XX485</t>
        </is>
      </c>
      <c r="E254" s="348" t="inlineStr">
        <is>
          <t>龙火驯兽师</t>
        </is>
      </c>
      <c r="F254" s="348" t="inlineStr">
        <is>
          <t>稀有</t>
        </is>
      </c>
      <c r="G254" s="348" t="inlineStr">
        <is>
          <t>驯火锁链</t>
        </is>
      </c>
      <c r="H254" s="348" t="inlineStr">
        <is>
          <t>项链</t>
        </is>
      </c>
      <c r="I254" s="348" t="inlineStr">
        <is>
          <t>项链</t>
        </is>
      </c>
      <c r="J254" s="348" t="n">
        <v>5922</v>
      </c>
      <c r="K254" s="348" t="inlineStr">
        <is>
          <t>规划锁定／旧资源待实库回读</t>
        </is>
      </c>
      <c r="L254" s="349" t="inlineStr">
        <is>
          <t>装备资源库黄金圣律·王权</t>
        </is>
      </c>
    </row>
    <row r="255" ht="34" customHeight="1">
      <c r="A255" s="347" t="inlineStr">
        <is>
          <t>C06-M032</t>
        </is>
      </c>
      <c r="B255" s="348" t="inlineStr">
        <is>
          <t>C06</t>
        </is>
      </c>
      <c r="C255" s="348" t="inlineStr">
        <is>
          <t>盖利德</t>
        </is>
      </c>
      <c r="D255" s="348" t="inlineStr">
        <is>
          <t>XX484</t>
        </is>
      </c>
      <c r="E255" s="348" t="inlineStr">
        <is>
          <t>红狮斩翼骑</t>
        </is>
      </c>
      <c r="F255" s="348" t="inlineStr">
        <is>
          <t>稀有</t>
        </is>
      </c>
      <c r="G255" s="348" t="inlineStr">
        <is>
          <t>斩翼腰封</t>
        </is>
      </c>
      <c r="H255" s="348" t="inlineStr">
        <is>
          <t>腰带</t>
        </is>
      </c>
      <c r="I255" s="348" t="inlineStr">
        <is>
          <t>腰带</t>
        </is>
      </c>
      <c r="J255" s="348" t="n">
        <v>7073</v>
      </c>
      <c r="K255" s="348" t="inlineStr">
        <is>
          <t>预检通过资源／规划锁定／待入库</t>
        </is>
      </c>
      <c r="L255" s="349" t="inlineStr">
        <is>
          <t>装备资源库翠焰冥契·永夜</t>
        </is>
      </c>
    </row>
    <row r="256" ht="34" customHeight="1">
      <c r="A256" s="347" t="inlineStr">
        <is>
          <t>C06-M033</t>
        </is>
      </c>
      <c r="B256" s="348" t="inlineStr">
        <is>
          <t>C06</t>
        </is>
      </c>
      <c r="C256" s="348" t="inlineStr">
        <is>
          <t>盖利德</t>
        </is>
      </c>
      <c r="D256" s="348" t="inlineStr">
        <is>
          <t>XX483</t>
        </is>
      </c>
      <c r="E256" s="348" t="inlineStr">
        <is>
          <t>赤焰鳞甲将</t>
        </is>
      </c>
      <c r="F256" s="348" t="inlineStr">
        <is>
          <t>稀有</t>
        </is>
      </c>
      <c r="G256" s="348" t="inlineStr">
        <is>
          <t>赤焰塔盾</t>
        </is>
      </c>
      <c r="H256" s="348" t="inlineStr">
        <is>
          <t>盾牌</t>
        </is>
      </c>
      <c r="I256" s="348" t="inlineStr">
        <is>
          <t>盾牌</t>
        </is>
      </c>
      <c r="J256" s="348" t="n">
        <v>5872</v>
      </c>
      <c r="K256" s="348" t="inlineStr">
        <is>
          <t>规划锁定／旧资源待实库回读</t>
        </is>
      </c>
      <c r="L256" s="349" t="inlineStr">
        <is>
          <t>装备资源库黄金圣律·初誓</t>
        </is>
      </c>
    </row>
    <row r="257" ht="34" customHeight="1">
      <c r="A257" s="347" t="inlineStr">
        <is>
          <t>C06-M034</t>
        </is>
      </c>
      <c r="B257" s="348" t="inlineStr">
        <is>
          <t>C06</t>
        </is>
      </c>
      <c r="C257" s="348" t="inlineStr">
        <is>
          <t>盖利德</t>
        </is>
      </c>
      <c r="D257" s="348" t="inlineStr">
        <is>
          <t>XX482</t>
        </is>
      </c>
      <c r="E257" s="348" t="inlineStr">
        <is>
          <t>龙巢血祭司</t>
        </is>
      </c>
      <c r="F257" s="348" t="inlineStr">
        <is>
          <t>稀有</t>
        </is>
      </c>
      <c r="G257" s="348" t="inlineStr">
        <is>
          <t>血祭徽章</t>
        </is>
      </c>
      <c r="H257" s="348" t="inlineStr">
        <is>
          <t>勋章</t>
        </is>
      </c>
      <c r="I257" s="348" t="inlineStr">
        <is>
          <t>勋章</t>
        </is>
      </c>
      <c r="J257" s="348" t="n">
        <v>6964</v>
      </c>
      <c r="K257" s="348" t="inlineStr">
        <is>
          <t>预检通过资源／规划锁定／待入库</t>
        </is>
      </c>
      <c r="L257" s="349" t="inlineStr">
        <is>
          <t>装备资源库翠焰冥契·腐痕</t>
        </is>
      </c>
    </row>
    <row r="258" ht="34" customHeight="1">
      <c r="A258" s="347" t="inlineStr">
        <is>
          <t>C06-M035</t>
        </is>
      </c>
      <c r="B258" s="348" t="inlineStr">
        <is>
          <t>C06</t>
        </is>
      </c>
      <c r="C258" s="348" t="inlineStr">
        <is>
          <t>盖利德</t>
        </is>
      </c>
      <c r="D258" s="348" t="inlineStr">
        <is>
          <t>XX482</t>
        </is>
      </c>
      <c r="E258" s="348" t="inlineStr">
        <is>
          <t>焚翼古龙·阿格纳</t>
        </is>
      </c>
      <c r="F258" s="348" t="inlineStr">
        <is>
          <t>地图BOSS</t>
        </is>
      </c>
      <c r="G258" s="348" t="inlineStr">
        <is>
          <t>阿格纳龙牙</t>
        </is>
      </c>
      <c r="H258" s="348" t="inlineStr">
        <is>
          <t>武器</t>
        </is>
      </c>
      <c r="I258" s="348" t="inlineStr">
        <is>
          <t>武器</t>
        </is>
      </c>
      <c r="J258" s="348" t="n">
        <v>7153</v>
      </c>
      <c r="K258" s="348" t="inlineStr">
        <is>
          <t>测试三库资源已回读</t>
        </is>
      </c>
      <c r="L258" s="349" t="inlineStr">
        <is>
          <t>测试资源：0316_血月荆棘·血月_武器.bmp；三库同码</t>
        </is>
      </c>
    </row>
    <row r="259" ht="34" customHeight="1">
      <c r="A259" s="347" t="inlineStr">
        <is>
          <t>C06-M036</t>
        </is>
      </c>
      <c r="B259" s="348" t="inlineStr">
        <is>
          <t>C06</t>
        </is>
      </c>
      <c r="C259" s="348" t="inlineStr">
        <is>
          <t>盖利德</t>
        </is>
      </c>
      <c r="D259" s="348" t="inlineStr">
        <is>
          <t>XX481</t>
        </is>
      </c>
      <c r="E259" s="348" t="inlineStr">
        <is>
          <t>红狮圣兽·雷奥尼斯</t>
        </is>
      </c>
      <c r="F259" s="348" t="inlineStr">
        <is>
          <t>地图BOSS</t>
        </is>
      </c>
      <c r="G259" s="348" t="inlineStr">
        <is>
          <t>雷奥尼斯狮铠</t>
        </is>
      </c>
      <c r="H259" s="348" t="inlineStr">
        <is>
          <t>衣服</t>
        </is>
      </c>
      <c r="I259" s="348" t="inlineStr">
        <is>
          <t>男衣服（现行模板的衣服映射）</t>
        </is>
      </c>
      <c r="J259" s="348" t="n">
        <v>7154</v>
      </c>
      <c r="K259" s="348" t="inlineStr">
        <is>
          <t>测试三库资源已回读</t>
        </is>
      </c>
      <c r="L259" s="349" t="inlineStr">
        <is>
          <t>测试资源：0002_黄金圣树·初誓_男衣服.bmp；三库同码</t>
        </is>
      </c>
    </row>
    <row r="260" ht="34" customHeight="1">
      <c r="A260" s="347" t="inlineStr">
        <is>
          <t>C06-M037</t>
        </is>
      </c>
      <c r="B260" s="348" t="inlineStr">
        <is>
          <t>C06</t>
        </is>
      </c>
      <c r="C260" s="348" t="inlineStr">
        <is>
          <t>盖利德</t>
        </is>
      </c>
      <c r="D260" s="348" t="inlineStr">
        <is>
          <t>XX481</t>
        </is>
      </c>
      <c r="E260" s="348" t="inlineStr">
        <is>
          <t>碎星狮王·拉塔恩</t>
        </is>
      </c>
      <c r="F260" s="348" t="inlineStr">
        <is>
          <t>守关BOSS</t>
        </is>
      </c>
      <c r="G260" s="348" t="inlineStr">
        <is>
          <t>拉塔恩碎星巨刃</t>
        </is>
      </c>
      <c r="H260" s="348" t="inlineStr">
        <is>
          <t>武器</t>
        </is>
      </c>
      <c r="I260" s="348" t="inlineStr">
        <is>
          <t>武器</t>
        </is>
      </c>
      <c r="J260" s="348" t="n">
        <v>6956</v>
      </c>
      <c r="K260" s="348" t="inlineStr">
        <is>
          <t>预检通过资源／规划锁定／待入库</t>
        </is>
      </c>
      <c r="L260" s="349" t="inlineStr">
        <is>
          <t>装备资源库翠焰冥契·腐痕</t>
        </is>
      </c>
    </row>
    <row r="261" ht="34" customHeight="1">
      <c r="A261" s="347" t="inlineStr">
        <is>
          <t>C07-M001</t>
        </is>
      </c>
      <c r="B261" s="348" t="inlineStr">
        <is>
          <t>C07</t>
        </is>
      </c>
      <c r="C261" s="348" t="inlineStr">
        <is>
          <t>化圣雪原</t>
        </is>
      </c>
      <c r="D261" s="348" t="inlineStr">
        <is>
          <t>XX149</t>
        </is>
      </c>
      <c r="E261" s="348" t="inlineStr">
        <is>
          <t>雪原冻角鹿</t>
        </is>
      </c>
      <c r="F261" s="348" t="inlineStr">
        <is>
          <t>普通</t>
        </is>
      </c>
      <c r="G261" s="348" t="inlineStr">
        <is>
          <t>冻角护腕</t>
        </is>
      </c>
      <c r="H261" s="348" t="inlineStr">
        <is>
          <t>手镯</t>
        </is>
      </c>
      <c r="I261" s="348" t="inlineStr">
        <is>
          <t>手镯</t>
        </is>
      </c>
      <c r="J261" s="348" t="n">
        <v>5897</v>
      </c>
      <c r="K261" s="348" t="inlineStr">
        <is>
          <t>规划锁定／旧资源待实库回读</t>
        </is>
      </c>
      <c r="L261" s="349" t="inlineStr">
        <is>
          <t>装备资源库黄金圣律·圣徽</t>
        </is>
      </c>
    </row>
    <row r="262" ht="34" customHeight="1">
      <c r="A262" s="347" t="inlineStr">
        <is>
          <t>C07-M002</t>
        </is>
      </c>
      <c r="B262" s="348" t="inlineStr">
        <is>
          <t>C07</t>
        </is>
      </c>
      <c r="C262" s="348" t="inlineStr">
        <is>
          <t>化圣雪原</t>
        </is>
      </c>
      <c r="D262" s="348" t="inlineStr">
        <is>
          <t>XX148</t>
        </is>
      </c>
      <c r="E262" s="348" t="inlineStr">
        <is>
          <t>霜风放逐兵</t>
        </is>
      </c>
      <c r="F262" s="348" t="inlineStr">
        <is>
          <t>普通</t>
        </is>
      </c>
      <c r="G262" s="348" t="inlineStr">
        <is>
          <t>放逐雪刃</t>
        </is>
      </c>
      <c r="H262" s="348" t="inlineStr">
        <is>
          <t>武器</t>
        </is>
      </c>
      <c r="I262" s="348" t="inlineStr">
        <is>
          <t>武器</t>
        </is>
      </c>
      <c r="J262" s="348" t="n">
        <v>7155</v>
      </c>
      <c r="K262" s="348" t="inlineStr">
        <is>
          <t>测试三库资源已回读</t>
        </is>
      </c>
      <c r="L262" s="349" t="inlineStr">
        <is>
          <t>测试资源：0351_星渊龙息·星痕_武器.bmp；三库同码</t>
        </is>
      </c>
    </row>
    <row r="263" ht="34" customHeight="1">
      <c r="A263" s="347" t="inlineStr">
        <is>
          <t>C07-M003</t>
        </is>
      </c>
      <c r="B263" s="348" t="inlineStr">
        <is>
          <t>C07</t>
        </is>
      </c>
      <c r="C263" s="348" t="inlineStr">
        <is>
          <t>化圣雪原</t>
        </is>
      </c>
      <c r="D263" s="348" t="inlineStr">
        <is>
          <t>XX147</t>
        </is>
      </c>
      <c r="E263" s="348" t="inlineStr">
        <is>
          <t>冻土掘冰徒</t>
        </is>
      </c>
      <c r="F263" s="348" t="inlineStr">
        <is>
          <t>普通</t>
        </is>
      </c>
      <c r="G263" s="348" t="inlineStr">
        <is>
          <t>掘冰腰带</t>
        </is>
      </c>
      <c r="H263" s="348" t="inlineStr">
        <is>
          <t>腰带</t>
        </is>
      </c>
      <c r="I263" s="348" t="inlineStr">
        <is>
          <t>腰带</t>
        </is>
      </c>
      <c r="J263" s="348" t="n">
        <v>5875</v>
      </c>
      <c r="K263" s="348" t="inlineStr">
        <is>
          <t>规划锁定／旧资源待实库回读</t>
        </is>
      </c>
      <c r="L263" s="349" t="inlineStr">
        <is>
          <t>装备资源库黄金圣律·初誓</t>
        </is>
      </c>
    </row>
    <row r="264" ht="34" customHeight="1">
      <c r="A264" s="347" t="inlineStr">
        <is>
          <t>C07-M004</t>
        </is>
      </c>
      <c r="B264" s="348" t="inlineStr">
        <is>
          <t>C07</t>
        </is>
      </c>
      <c r="C264" s="348" t="inlineStr">
        <is>
          <t>化圣雪原</t>
        </is>
      </c>
      <c r="D264" s="348" t="inlineStr">
        <is>
          <t>XX150</t>
        </is>
      </c>
      <c r="E264" s="348" t="inlineStr">
        <is>
          <t>祭场白烛侍</t>
        </is>
      </c>
      <c r="F264" s="348" t="inlineStr">
        <is>
          <t>普通</t>
        </is>
      </c>
      <c r="G264" s="348" t="inlineStr">
        <is>
          <t>白烛礼冠</t>
        </is>
      </c>
      <c r="H264" s="348" t="inlineStr">
        <is>
          <t>头盔</t>
        </is>
      </c>
      <c r="I264" s="348" t="inlineStr">
        <is>
          <t>头盔</t>
        </is>
      </c>
      <c r="J264" s="348" t="n">
        <v>5914</v>
      </c>
      <c r="K264" s="348" t="inlineStr">
        <is>
          <t>规划锁定／旧资源待实库回读</t>
        </is>
      </c>
      <c r="L264" s="349" t="inlineStr">
        <is>
          <t>装备资源库黄金圣律·蓝辉</t>
        </is>
      </c>
    </row>
    <row r="265" ht="34" customHeight="1">
      <c r="A265" s="347" t="inlineStr">
        <is>
          <t>C07-M005</t>
        </is>
      </c>
      <c r="B265" s="348" t="inlineStr">
        <is>
          <t>C07</t>
        </is>
      </c>
      <c r="C265" s="348" t="inlineStr">
        <is>
          <t>化圣雪原</t>
        </is>
      </c>
      <c r="D265" s="348" t="inlineStr">
        <is>
          <t>XX149</t>
        </is>
      </c>
      <c r="E265" s="348" t="inlineStr">
        <is>
          <t>苍鬃雪狼</t>
        </is>
      </c>
      <c r="F265" s="348" t="inlineStr">
        <is>
          <t>普通</t>
        </is>
      </c>
      <c r="G265" s="348" t="inlineStr">
        <is>
          <t>苍鬃牙戒</t>
        </is>
      </c>
      <c r="H265" s="348" t="inlineStr">
        <is>
          <t>戒指</t>
        </is>
      </c>
      <c r="I265" s="348" t="inlineStr">
        <is>
          <t>戒指</t>
        </is>
      </c>
      <c r="J265" s="348" t="n">
        <v>5916</v>
      </c>
      <c r="K265" s="348" t="inlineStr">
        <is>
          <t>规划锁定／旧资源待实库回读</t>
        </is>
      </c>
      <c r="L265" s="349" t="inlineStr">
        <is>
          <t>装备资源库黄金圣律·蓝辉</t>
        </is>
      </c>
    </row>
    <row r="266" ht="34" customHeight="1">
      <c r="A266" s="347" t="inlineStr">
        <is>
          <t>C07-M006</t>
        </is>
      </c>
      <c r="B266" s="348" t="inlineStr">
        <is>
          <t>C07</t>
        </is>
      </c>
      <c r="C266" s="348" t="inlineStr">
        <is>
          <t>化圣雪原</t>
        </is>
      </c>
      <c r="D266" s="348" t="inlineStr">
        <is>
          <t>XX148</t>
        </is>
      </c>
      <c r="E266" s="348" t="inlineStr">
        <is>
          <t>寒羽巡猎鹰</t>
        </is>
      </c>
      <c r="F266" s="348" t="inlineStr">
        <is>
          <t>普通</t>
        </is>
      </c>
      <c r="G266" s="348" t="inlineStr">
        <is>
          <t>寒羽猎链</t>
        </is>
      </c>
      <c r="H266" s="348" t="inlineStr">
        <is>
          <t>项链</t>
        </is>
      </c>
      <c r="I266" s="348" t="inlineStr">
        <is>
          <t>项链</t>
        </is>
      </c>
      <c r="J266" s="348" t="n">
        <v>5931</v>
      </c>
      <c r="K266" s="348" t="inlineStr">
        <is>
          <t>规划锁定／旧资源待实库回读</t>
        </is>
      </c>
      <c r="L266" s="349" t="inlineStr">
        <is>
          <t>装备资源库黄金圣律·日冕</t>
        </is>
      </c>
    </row>
    <row r="267" ht="34" customHeight="1">
      <c r="A267" s="347" t="inlineStr">
        <is>
          <t>C07-M007</t>
        </is>
      </c>
      <c r="B267" s="348" t="inlineStr">
        <is>
          <t>C07</t>
        </is>
      </c>
      <c r="C267" s="348" t="inlineStr">
        <is>
          <t>化圣雪原</t>
        </is>
      </c>
      <c r="D267" s="348" t="inlineStr">
        <is>
          <t>XX149</t>
        </is>
      </c>
      <c r="E267" s="348" t="inlineStr">
        <is>
          <t>白霜重甲卫</t>
        </is>
      </c>
      <c r="F267" s="348" t="inlineStr">
        <is>
          <t>稀有</t>
        </is>
      </c>
      <c r="G267" s="348" t="inlineStr">
        <is>
          <t>白霜重衣</t>
        </is>
      </c>
      <c r="H267" s="348" t="inlineStr">
        <is>
          <t>衣服</t>
        </is>
      </c>
      <c r="I267" s="348" t="inlineStr">
        <is>
          <t>男衣服（现行模板的衣服映射）</t>
        </is>
      </c>
      <c r="J267" s="348" t="n">
        <v>7156</v>
      </c>
      <c r="K267" s="348" t="inlineStr">
        <is>
          <t>测试三库资源已回读</t>
        </is>
      </c>
      <c r="L267" s="349" t="inlineStr">
        <is>
          <t>测试资源：0037_黄金圣树·圣枝_男衣服.bmp；三库同码</t>
        </is>
      </c>
    </row>
    <row r="268" ht="34" customHeight="1">
      <c r="A268" s="347" t="inlineStr">
        <is>
          <t>C07-M008</t>
        </is>
      </c>
      <c r="B268" s="348" t="inlineStr">
        <is>
          <t>C07</t>
        </is>
      </c>
      <c r="C268" s="348" t="inlineStr">
        <is>
          <t>化圣雪原</t>
        </is>
      </c>
      <c r="D268" s="348" t="inlineStr">
        <is>
          <t>XX148</t>
        </is>
      </c>
      <c r="E268" s="348" t="inlineStr">
        <is>
          <t>霜风号角骑</t>
        </is>
      </c>
      <c r="F268" s="348" t="inlineStr">
        <is>
          <t>稀有</t>
        </is>
      </c>
      <c r="G268" s="348" t="inlineStr">
        <is>
          <t>霜风战靴</t>
        </is>
      </c>
      <c r="H268" s="348" t="inlineStr">
        <is>
          <t>鞋子</t>
        </is>
      </c>
      <c r="I268" s="348" t="inlineStr">
        <is>
          <t>鞋子</t>
        </is>
      </c>
      <c r="J268" s="348" t="n">
        <v>5883</v>
      </c>
      <c r="K268" s="348" t="inlineStr">
        <is>
          <t>规划锁定／旧资源待实库回读</t>
        </is>
      </c>
      <c r="L268" s="349" t="inlineStr">
        <is>
          <t>装备资源库黄金圣律·铭契</t>
        </is>
      </c>
    </row>
    <row r="269" ht="34" customHeight="1">
      <c r="A269" s="347" t="inlineStr">
        <is>
          <t>C07-M009</t>
        </is>
      </c>
      <c r="B269" s="348" t="inlineStr">
        <is>
          <t>C07</t>
        </is>
      </c>
      <c r="C269" s="348" t="inlineStr">
        <is>
          <t>化圣雪原</t>
        </is>
      </c>
      <c r="D269" s="348" t="inlineStr">
        <is>
          <t>XX147</t>
        </is>
      </c>
      <c r="E269" s="348" t="inlineStr">
        <is>
          <t>冻土晶背熊</t>
        </is>
      </c>
      <c r="F269" s="348" t="inlineStr">
        <is>
          <t>稀有</t>
        </is>
      </c>
      <c r="G269" s="348" t="inlineStr">
        <is>
          <t>晶背塔盾</t>
        </is>
      </c>
      <c r="H269" s="348" t="inlineStr">
        <is>
          <t>盾牌</t>
        </is>
      </c>
      <c r="I269" s="348" t="inlineStr">
        <is>
          <t>盾牌</t>
        </is>
      </c>
      <c r="J269" s="348" t="n">
        <v>5881</v>
      </c>
      <c r="K269" s="348" t="inlineStr">
        <is>
          <t>规划锁定／旧资源待实库回读</t>
        </is>
      </c>
      <c r="L269" s="349" t="inlineStr">
        <is>
          <t>装备资源库黄金圣律·铭契</t>
        </is>
      </c>
    </row>
    <row r="270" ht="34" customHeight="1">
      <c r="A270" s="347" t="inlineStr">
        <is>
          <t>C07-M010</t>
        </is>
      </c>
      <c r="B270" s="348" t="inlineStr">
        <is>
          <t>C07</t>
        </is>
      </c>
      <c r="C270" s="348" t="inlineStr">
        <is>
          <t>化圣雪原</t>
        </is>
      </c>
      <c r="D270" s="348" t="inlineStr">
        <is>
          <t>XX150</t>
        </is>
      </c>
      <c r="E270" s="348" t="inlineStr">
        <is>
          <t>苍白祭司</t>
        </is>
      </c>
      <c r="F270" s="348" t="inlineStr">
        <is>
          <t>稀有</t>
        </is>
      </c>
      <c r="G270" s="348" t="inlineStr">
        <is>
          <t>苍白圣徽</t>
        </is>
      </c>
      <c r="H270" s="348" t="inlineStr">
        <is>
          <t>勋章</t>
        </is>
      </c>
      <c r="I270" s="348" t="inlineStr">
        <is>
          <t>勋章</t>
        </is>
      </c>
      <c r="J270" s="348" t="n">
        <v>6999</v>
      </c>
      <c r="K270" s="348" t="inlineStr">
        <is>
          <t>预检通过资源／规划锁定／待入库</t>
        </is>
      </c>
      <c r="L270" s="349" t="inlineStr">
        <is>
          <t>装备资源库翠焰冥契·冥契</t>
        </is>
      </c>
    </row>
    <row r="271" ht="34" customHeight="1">
      <c r="A271" s="347" t="inlineStr">
        <is>
          <t>C07-M011</t>
        </is>
      </c>
      <c r="B271" s="348" t="inlineStr">
        <is>
          <t>C07</t>
        </is>
      </c>
      <c r="C271" s="348" t="inlineStr">
        <is>
          <t>化圣雪原</t>
        </is>
      </c>
      <c r="D271" s="348" t="inlineStr">
        <is>
          <t>XX147</t>
        </is>
      </c>
      <c r="E271" s="348" t="inlineStr">
        <is>
          <t>雪墓巨人·赫洛</t>
        </is>
      </c>
      <c r="F271" s="348" t="inlineStr">
        <is>
          <t>地图BOSS</t>
        </is>
      </c>
      <c r="G271" s="348" t="inlineStr">
        <is>
          <t>赫洛冻拳</t>
        </is>
      </c>
      <c r="H271" s="348" t="inlineStr">
        <is>
          <t>武器</t>
        </is>
      </c>
      <c r="I271" s="348" t="inlineStr">
        <is>
          <t>武器</t>
        </is>
      </c>
      <c r="J271" s="348" t="n">
        <v>7157</v>
      </c>
      <c r="K271" s="348" t="inlineStr">
        <is>
          <t>测试三库资源已回读</t>
        </is>
      </c>
      <c r="L271" s="349" t="inlineStr">
        <is>
          <t>测试资源：0386_星渊龙息·龙鳞_武器.bmp；三库同码</t>
        </is>
      </c>
    </row>
    <row r="272" ht="34" customHeight="1">
      <c r="A272" s="347" t="inlineStr">
        <is>
          <t>C07-M012</t>
        </is>
      </c>
      <c r="B272" s="348" t="inlineStr">
        <is>
          <t>C07</t>
        </is>
      </c>
      <c r="C272" s="348" t="inlineStr">
        <is>
          <t>化圣雪原</t>
        </is>
      </c>
      <c r="D272" s="348" t="inlineStr">
        <is>
          <t>XX150</t>
        </is>
      </c>
      <c r="E272" s="348" t="inlineStr">
        <is>
          <t>苍白鹿王·艾尔维</t>
        </is>
      </c>
      <c r="F272" s="348" t="inlineStr">
        <is>
          <t>地图BOSS</t>
        </is>
      </c>
      <c r="G272" s="348" t="inlineStr">
        <is>
          <t>艾尔维霜冠</t>
        </is>
      </c>
      <c r="H272" s="348" t="inlineStr">
        <is>
          <t>头盔</t>
        </is>
      </c>
      <c r="I272" s="348" t="inlineStr">
        <is>
          <t>头盔</t>
        </is>
      </c>
      <c r="J272" s="348" t="n">
        <v>5923</v>
      </c>
      <c r="K272" s="348" t="inlineStr">
        <is>
          <t>规划锁定／旧资源待实库回读</t>
        </is>
      </c>
      <c r="L272" s="349" t="inlineStr">
        <is>
          <t>装备资源库黄金圣律·王权</t>
        </is>
      </c>
    </row>
    <row r="273" ht="34" customHeight="1">
      <c r="A273" s="347" t="inlineStr">
        <is>
          <t>C07-M013</t>
        </is>
      </c>
      <c r="B273" s="348" t="inlineStr">
        <is>
          <t>C07</t>
        </is>
      </c>
      <c r="C273" s="348" t="inlineStr">
        <is>
          <t>化圣雪原</t>
        </is>
      </c>
      <c r="D273" s="348" t="inlineStr">
        <is>
          <t>XX904</t>
        </is>
      </c>
      <c r="E273" s="348" t="inlineStr">
        <is>
          <t>荒境雪壳虫</t>
        </is>
      </c>
      <c r="F273" s="348" t="inlineStr">
        <is>
          <t>普通</t>
        </is>
      </c>
      <c r="G273" s="348" t="inlineStr">
        <is>
          <t>雪壳腕甲</t>
        </is>
      </c>
      <c r="H273" s="348" t="inlineStr">
        <is>
          <t>手镯</t>
        </is>
      </c>
      <c r="I273" s="348" t="inlineStr">
        <is>
          <t>手镯</t>
        </is>
      </c>
      <c r="J273" s="348" t="n">
        <v>5906</v>
      </c>
      <c r="K273" s="348" t="inlineStr">
        <is>
          <t>规划锁定／旧资源待实库回读</t>
        </is>
      </c>
      <c r="L273" s="349" t="inlineStr">
        <is>
          <t>装备资源库黄金圣律·璨金</t>
        </is>
      </c>
    </row>
    <row r="274" ht="34" customHeight="1">
      <c r="A274" s="347" t="inlineStr">
        <is>
          <t>C07-M014</t>
        </is>
      </c>
      <c r="B274" s="348" t="inlineStr">
        <is>
          <t>C07</t>
        </is>
      </c>
      <c r="C274" s="348" t="inlineStr">
        <is>
          <t>化圣雪原</t>
        </is>
      </c>
      <c r="D274" s="348" t="inlineStr">
        <is>
          <t>XX906</t>
        </is>
      </c>
      <c r="E274" s="348" t="inlineStr">
        <is>
          <t>冰封流亡者</t>
        </is>
      </c>
      <c r="F274" s="348" t="inlineStr">
        <is>
          <t>普通</t>
        </is>
      </c>
      <c r="G274" s="348" t="inlineStr">
        <is>
          <t>流亡冰刀</t>
        </is>
      </c>
      <c r="H274" s="348" t="inlineStr">
        <is>
          <t>武器</t>
        </is>
      </c>
      <c r="I274" s="348" t="inlineStr">
        <is>
          <t>武器</t>
        </is>
      </c>
      <c r="J274" s="348" t="n">
        <v>7158</v>
      </c>
      <c r="K274" s="348" t="inlineStr">
        <is>
          <t>测试三库资源已回读</t>
        </is>
      </c>
      <c r="L274" s="349" t="inlineStr">
        <is>
          <t>测试资源：0421_星渊龙息·渊辉_武器.bmp；三库同码</t>
        </is>
      </c>
    </row>
    <row r="275" ht="34" customHeight="1">
      <c r="A275" s="347" t="inlineStr">
        <is>
          <t>C07-M015</t>
        </is>
      </c>
      <c r="B275" s="348" t="inlineStr">
        <is>
          <t>C07</t>
        </is>
      </c>
      <c r="C275" s="348" t="inlineStr">
        <is>
          <t>化圣雪原</t>
        </is>
      </c>
      <c r="D275" s="348" t="inlineStr">
        <is>
          <t>XX907</t>
        </is>
      </c>
      <c r="E275" s="348" t="inlineStr">
        <is>
          <t>极昼逐光兽</t>
        </is>
      </c>
      <c r="F275" s="348" t="inlineStr">
        <is>
          <t>普通</t>
        </is>
      </c>
      <c r="G275" s="348" t="inlineStr">
        <is>
          <t>逐光雪衣</t>
        </is>
      </c>
      <c r="H275" s="348" t="inlineStr">
        <is>
          <t>衣服</t>
        </is>
      </c>
      <c r="I275" s="348" t="inlineStr">
        <is>
          <t>男衣服（现行模板的衣服映射）</t>
        </is>
      </c>
      <c r="J275" s="348" t="n">
        <v>7159</v>
      </c>
      <c r="K275" s="348" t="inlineStr">
        <is>
          <t>测试三库资源已回读</t>
        </is>
      </c>
      <c r="L275" s="349" t="inlineStr">
        <is>
          <t>测试资源：0072_黄金圣树·王权_男衣服.bmp；三库同码</t>
        </is>
      </c>
    </row>
    <row r="276" ht="34" customHeight="1">
      <c r="A276" s="347" t="inlineStr">
        <is>
          <t>C07-M016</t>
        </is>
      </c>
      <c r="B276" s="348" t="inlineStr">
        <is>
          <t>C07</t>
        </is>
      </c>
      <c r="C276" s="348" t="inlineStr">
        <is>
          <t>化圣雪原</t>
        </is>
      </c>
      <c r="D276" s="348" t="inlineStr">
        <is>
          <t>XX905</t>
        </is>
      </c>
      <c r="E276" s="348" t="inlineStr">
        <is>
          <t>圣域守碑人</t>
        </is>
      </c>
      <c r="F276" s="348" t="inlineStr">
        <is>
          <t>普通</t>
        </is>
      </c>
      <c r="G276" s="348" t="inlineStr">
        <is>
          <t>守碑斗笠</t>
        </is>
      </c>
      <c r="H276" s="348" t="inlineStr">
        <is>
          <t>斗笠</t>
        </is>
      </c>
      <c r="I276" s="348" t="inlineStr">
        <is>
          <t>面巾（位置13，对应斗笠）</t>
        </is>
      </c>
      <c r="J276" s="348" t="n">
        <v>7160</v>
      </c>
      <c r="K276" s="348" t="inlineStr">
        <is>
          <t>测试三库资源已回读</t>
        </is>
      </c>
      <c r="L276" s="349" t="inlineStr">
        <is>
          <t>测试资源：0285_血月荆棘·弑王_面巾.bmp；三库同码</t>
        </is>
      </c>
    </row>
    <row r="277" ht="34" customHeight="1">
      <c r="A277" s="347" t="inlineStr">
        <is>
          <t>C07-M017</t>
        </is>
      </c>
      <c r="B277" s="348" t="inlineStr">
        <is>
          <t>C07</t>
        </is>
      </c>
      <c r="C277" s="348" t="inlineStr">
        <is>
          <t>化圣雪原</t>
        </is>
      </c>
      <c r="D277" s="348" t="inlineStr">
        <is>
          <t>XX904</t>
        </is>
      </c>
      <c r="E277" s="348" t="inlineStr">
        <is>
          <t>永冻霜牙狼</t>
        </is>
      </c>
      <c r="F277" s="348" t="inlineStr">
        <is>
          <t>普通</t>
        </is>
      </c>
      <c r="G277" s="348" t="inlineStr">
        <is>
          <t>霜牙指环</t>
        </is>
      </c>
      <c r="H277" s="348" t="inlineStr">
        <is>
          <t>戒指</t>
        </is>
      </c>
      <c r="I277" s="348" t="inlineStr">
        <is>
          <t>戒指</t>
        </is>
      </c>
      <c r="J277" s="348" t="n">
        <v>5934</v>
      </c>
      <c r="K277" s="348" t="inlineStr">
        <is>
          <t>规划锁定／旧资源待实库回读</t>
        </is>
      </c>
      <c r="L277" s="349" t="inlineStr">
        <is>
          <t>装备资源库黄金圣律·日冕</t>
        </is>
      </c>
    </row>
    <row r="278" ht="34" customHeight="1">
      <c r="A278" s="347" t="inlineStr">
        <is>
          <t>C07-M018</t>
        </is>
      </c>
      <c r="B278" s="348" t="inlineStr">
        <is>
          <t>C07</t>
        </is>
      </c>
      <c r="C278" s="348" t="inlineStr">
        <is>
          <t>化圣雪原</t>
        </is>
      </c>
      <c r="D278" s="348" t="inlineStr">
        <is>
          <t>XX906</t>
        </is>
      </c>
      <c r="E278" s="348" t="inlineStr">
        <is>
          <t>旷野寒弓手</t>
        </is>
      </c>
      <c r="F278" s="348" t="inlineStr">
        <is>
          <t>普通</t>
        </is>
      </c>
      <c r="G278" s="348" t="inlineStr">
        <is>
          <t>寒弓束带</t>
        </is>
      </c>
      <c r="H278" s="348" t="inlineStr">
        <is>
          <t>腰带</t>
        </is>
      </c>
      <c r="I278" s="348" t="inlineStr">
        <is>
          <t>腰带</t>
        </is>
      </c>
      <c r="J278" s="348" t="n">
        <v>5884</v>
      </c>
      <c r="K278" s="348" t="inlineStr">
        <is>
          <t>规划锁定／旧资源待实库回读</t>
        </is>
      </c>
      <c r="L278" s="349" t="inlineStr">
        <is>
          <t>装备资源库黄金圣律·铭契</t>
        </is>
      </c>
    </row>
    <row r="279" ht="34" customHeight="1">
      <c r="A279" s="347" t="inlineStr">
        <is>
          <t>C07-M019</t>
        </is>
      </c>
      <c r="B279" s="348" t="inlineStr">
        <is>
          <t>C07</t>
        </is>
      </c>
      <c r="C279" s="348" t="inlineStr">
        <is>
          <t>化圣雪原</t>
        </is>
      </c>
      <c r="D279" s="348" t="inlineStr">
        <is>
          <t>XX904</t>
        </is>
      </c>
      <c r="E279" s="348" t="inlineStr">
        <is>
          <t>荒境冰甲犀</t>
        </is>
      </c>
      <c r="F279" s="348" t="inlineStr">
        <is>
          <t>稀有</t>
        </is>
      </c>
      <c r="G279" s="348" t="inlineStr">
        <is>
          <t>冰甲重盾</t>
        </is>
      </c>
      <c r="H279" s="348" t="inlineStr">
        <is>
          <t>盾牌</t>
        </is>
      </c>
      <c r="I279" s="348" t="inlineStr">
        <is>
          <t>盾牌</t>
        </is>
      </c>
      <c r="J279" s="348" t="n">
        <v>5890</v>
      </c>
      <c r="K279" s="348" t="inlineStr">
        <is>
          <t>规划锁定／旧资源待实库回读</t>
        </is>
      </c>
      <c r="L279" s="349" t="inlineStr">
        <is>
          <t>装备资源库黄金圣律·执火</t>
        </is>
      </c>
    </row>
    <row r="280" ht="34" customHeight="1">
      <c r="A280" s="347" t="inlineStr">
        <is>
          <t>C07-M020</t>
        </is>
      </c>
      <c r="B280" s="348" t="inlineStr">
        <is>
          <t>C07</t>
        </is>
      </c>
      <c r="C280" s="348" t="inlineStr">
        <is>
          <t>化圣雪原</t>
        </is>
      </c>
      <c r="D280" s="348" t="inlineStr">
        <is>
          <t>XX906</t>
        </is>
      </c>
      <c r="E280" s="348" t="inlineStr">
        <is>
          <t>冰封审判骑</t>
        </is>
      </c>
      <c r="F280" s="348" t="inlineStr">
        <is>
          <t>稀有</t>
        </is>
      </c>
      <c r="G280" s="348" t="inlineStr">
        <is>
          <t>审判长靴</t>
        </is>
      </c>
      <c r="H280" s="348" t="inlineStr">
        <is>
          <t>鞋子</t>
        </is>
      </c>
      <c r="I280" s="348" t="inlineStr">
        <is>
          <t>鞋子</t>
        </is>
      </c>
      <c r="J280" s="348" t="n">
        <v>5892</v>
      </c>
      <c r="K280" s="348" t="inlineStr">
        <is>
          <t>规划锁定／旧资源待实库回读</t>
        </is>
      </c>
      <c r="L280" s="349" t="inlineStr">
        <is>
          <t>装备资源库黄金圣律·执火</t>
        </is>
      </c>
    </row>
    <row r="281" ht="34" customHeight="1">
      <c r="A281" s="347" t="inlineStr">
        <is>
          <t>C07-M021</t>
        </is>
      </c>
      <c r="B281" s="348" t="inlineStr">
        <is>
          <t>C07</t>
        </is>
      </c>
      <c r="C281" s="348" t="inlineStr">
        <is>
          <t>化圣雪原</t>
        </is>
      </c>
      <c r="D281" s="348" t="inlineStr">
        <is>
          <t>XX907</t>
        </is>
      </c>
      <c r="E281" s="348" t="inlineStr">
        <is>
          <t>极昼白翼鹫</t>
        </is>
      </c>
      <c r="F281" s="348" t="inlineStr">
        <is>
          <t>稀有</t>
        </is>
      </c>
      <c r="G281" s="348" t="inlineStr">
        <is>
          <t>白翼颈链</t>
        </is>
      </c>
      <c r="H281" s="348" t="inlineStr">
        <is>
          <t>项链</t>
        </is>
      </c>
      <c r="I281" s="348" t="inlineStr">
        <is>
          <t>项链</t>
        </is>
      </c>
      <c r="J281" s="348" t="n">
        <v>5940</v>
      </c>
      <c r="K281" s="348" t="inlineStr">
        <is>
          <t>规划锁定／旧资源待实库回读</t>
        </is>
      </c>
      <c r="L281" s="349" t="inlineStr">
        <is>
          <t>装备资源库黄金圣律·神律</t>
        </is>
      </c>
    </row>
    <row r="282" ht="34" customHeight="1">
      <c r="A282" s="347" t="inlineStr">
        <is>
          <t>C07-M022</t>
        </is>
      </c>
      <c r="B282" s="348" t="inlineStr">
        <is>
          <t>C07</t>
        </is>
      </c>
      <c r="C282" s="348" t="inlineStr">
        <is>
          <t>化圣雪原</t>
        </is>
      </c>
      <c r="D282" s="348" t="inlineStr">
        <is>
          <t>XX905</t>
        </is>
      </c>
      <c r="E282" s="348" t="inlineStr">
        <is>
          <t>圣域默祷师</t>
        </is>
      </c>
      <c r="F282" s="348" t="inlineStr">
        <is>
          <t>稀有</t>
        </is>
      </c>
      <c r="G282" s="348" t="inlineStr">
        <is>
          <t>默祷雪章</t>
        </is>
      </c>
      <c r="H282" s="348" t="inlineStr">
        <is>
          <t>勋章</t>
        </is>
      </c>
      <c r="I282" s="348" t="inlineStr">
        <is>
          <t>勋章</t>
        </is>
      </c>
      <c r="J282" s="348" t="n">
        <v>7034</v>
      </c>
      <c r="K282" s="348" t="inlineStr">
        <is>
          <t>预检通过资源／规划锁定／待入库</t>
        </is>
      </c>
      <c r="L282" s="349" t="inlineStr">
        <is>
          <t>装备资源库翠焰冥契·灾厄</t>
        </is>
      </c>
    </row>
    <row r="283" ht="34" customHeight="1">
      <c r="A283" s="347" t="inlineStr">
        <is>
          <t>C07-M023</t>
        </is>
      </c>
      <c r="B283" s="348" t="inlineStr">
        <is>
          <t>C07</t>
        </is>
      </c>
      <c r="C283" s="348" t="inlineStr">
        <is>
          <t>化圣雪原</t>
        </is>
      </c>
      <c r="D283" s="348" t="inlineStr">
        <is>
          <t>XX907</t>
        </is>
      </c>
      <c r="E283" s="348" t="inlineStr">
        <is>
          <t>极昼雪后·芙蕾</t>
        </is>
      </c>
      <c r="F283" s="348" t="inlineStr">
        <is>
          <t>地图BOSS</t>
        </is>
      </c>
      <c r="G283" s="348" t="inlineStr">
        <is>
          <t>芙蕾冰冠</t>
        </is>
      </c>
      <c r="H283" s="348" t="inlineStr">
        <is>
          <t>头盔</t>
        </is>
      </c>
      <c r="I283" s="348" t="inlineStr">
        <is>
          <t>头盔</t>
        </is>
      </c>
      <c r="J283" s="348" t="n">
        <v>5941</v>
      </c>
      <c r="K283" s="348" t="inlineStr">
        <is>
          <t>规划锁定／旧资源待实库回读</t>
        </is>
      </c>
      <c r="L283" s="349" t="inlineStr">
        <is>
          <t>装备资源库黄金圣律·神律</t>
        </is>
      </c>
    </row>
    <row r="284" ht="34" customHeight="1">
      <c r="A284" s="347" t="inlineStr">
        <is>
          <t>C07-M024</t>
        </is>
      </c>
      <c r="B284" s="348" t="inlineStr">
        <is>
          <t>C07</t>
        </is>
      </c>
      <c r="C284" s="348" t="inlineStr">
        <is>
          <t>化圣雪原</t>
        </is>
      </c>
      <c r="D284" s="348" t="inlineStr">
        <is>
          <t>XX905</t>
        </is>
      </c>
      <c r="E284" s="348" t="inlineStr">
        <is>
          <t>永冻圣兽·乌尔</t>
        </is>
      </c>
      <c r="F284" s="348" t="inlineStr">
        <is>
          <t>地图BOSS</t>
        </is>
      </c>
      <c r="G284" s="348" t="inlineStr">
        <is>
          <t>乌尔寒铠</t>
        </is>
      </c>
      <c r="H284" s="348" t="inlineStr">
        <is>
          <t>衣服</t>
        </is>
      </c>
      <c r="I284" s="348" t="inlineStr">
        <is>
          <t>男衣服（现行模板的衣服映射）</t>
        </is>
      </c>
      <c r="J284" s="348" t="n">
        <v>7161</v>
      </c>
      <c r="K284" s="348" t="inlineStr">
        <is>
          <t>测试三库资源已回读</t>
        </is>
      </c>
      <c r="L284" s="349" t="inlineStr">
        <is>
          <t>测试资源：0107_黄金圣树·律法_男衣服.bmp；三库同码</t>
        </is>
      </c>
    </row>
    <row r="285" ht="34" customHeight="1">
      <c r="A285" s="347" t="inlineStr">
        <is>
          <t>C07-M025</t>
        </is>
      </c>
      <c r="B285" s="348" t="inlineStr">
        <is>
          <t>C07</t>
        </is>
      </c>
      <c r="C285" s="348" t="inlineStr">
        <is>
          <t>化圣雪原</t>
        </is>
      </c>
      <c r="D285" s="348" t="inlineStr">
        <is>
          <t>XX912</t>
        </is>
      </c>
      <c r="E285" s="348" t="inlineStr">
        <is>
          <t>禁域冻喉兽</t>
        </is>
      </c>
      <c r="F285" s="348" t="inlineStr">
        <is>
          <t>普通</t>
        </is>
      </c>
      <c r="G285" s="348" t="inlineStr">
        <is>
          <t>冻喉牙刃</t>
        </is>
      </c>
      <c r="H285" s="348" t="inlineStr">
        <is>
          <t>武器</t>
        </is>
      </c>
      <c r="I285" s="348" t="inlineStr">
        <is>
          <t>武器</t>
        </is>
      </c>
      <c r="J285" s="348" t="n">
        <v>7162</v>
      </c>
      <c r="K285" s="348" t="inlineStr">
        <is>
          <t>测试三库资源已回读</t>
        </is>
      </c>
      <c r="L285" s="349" t="inlineStr">
        <is>
          <t>测试资源：0456_星渊龙息·天穹_武器.bmp；三库同码</t>
        </is>
      </c>
    </row>
    <row r="286" ht="34" customHeight="1">
      <c r="A286" s="347" t="inlineStr">
        <is>
          <t>C07-M026</t>
        </is>
      </c>
      <c r="B286" s="348" t="inlineStr">
        <is>
          <t>C07</t>
        </is>
      </c>
      <c r="C286" s="348" t="inlineStr">
        <is>
          <t>化圣雪原</t>
        </is>
      </c>
      <c r="D286" s="348" t="inlineStr">
        <is>
          <t>XX908</t>
        </is>
      </c>
      <c r="E286" s="348" t="inlineStr">
        <is>
          <t>雾界迷途兵</t>
        </is>
      </c>
      <c r="F286" s="348" t="inlineStr">
        <is>
          <t>普通</t>
        </is>
      </c>
      <c r="G286" s="348" t="inlineStr">
        <is>
          <t>雾界斗笠</t>
        </is>
      </c>
      <c r="H286" s="348" t="inlineStr">
        <is>
          <t>斗笠</t>
        </is>
      </c>
      <c r="I286" s="348" t="inlineStr">
        <is>
          <t>面巾（位置13，对应斗笠）</t>
        </is>
      </c>
      <c r="J286" s="348" t="n">
        <v>7163</v>
      </c>
      <c r="K286" s="348" t="inlineStr">
        <is>
          <t>测试三库资源已回读</t>
        </is>
      </c>
      <c r="L286" s="349" t="inlineStr">
        <is>
          <t>测试资源：0320_血月荆棘·血月_面巾.bmp；三库同码</t>
        </is>
      </c>
    </row>
    <row r="287" ht="34" customHeight="1">
      <c r="A287" s="347" t="inlineStr">
        <is>
          <t>C07-M027</t>
        </is>
      </c>
      <c r="B287" s="348" t="inlineStr">
        <is>
          <t>C07</t>
        </is>
      </c>
      <c r="C287" s="348" t="inlineStr">
        <is>
          <t>化圣雪原</t>
        </is>
      </c>
      <c r="D287" s="348" t="inlineStr">
        <is>
          <t>XX909</t>
        </is>
      </c>
      <c r="E287" s="348" t="inlineStr">
        <is>
          <t>寒狱锁链卒</t>
        </is>
      </c>
      <c r="F287" s="348" t="inlineStr">
        <is>
          <t>普通</t>
        </is>
      </c>
      <c r="G287" s="348" t="inlineStr">
        <is>
          <t>寒狱铁镯</t>
        </is>
      </c>
      <c r="H287" s="348" t="inlineStr">
        <is>
          <t>手镯</t>
        </is>
      </c>
      <c r="I287" s="348" t="inlineStr">
        <is>
          <t>手镯</t>
        </is>
      </c>
      <c r="J287" s="348" t="n">
        <v>5915</v>
      </c>
      <c r="K287" s="348" t="inlineStr">
        <is>
          <t>规划锁定／旧资源待实库回读</t>
        </is>
      </c>
      <c r="L287" s="349" t="inlineStr">
        <is>
          <t>装备资源库黄金圣律·蓝辉</t>
        </is>
      </c>
    </row>
    <row r="288" ht="34" customHeight="1">
      <c r="A288" s="347" t="inlineStr">
        <is>
          <t>C07-M028</t>
        </is>
      </c>
      <c r="B288" s="348" t="inlineStr">
        <is>
          <t>C07</t>
        </is>
      </c>
      <c r="C288" s="348" t="inlineStr">
        <is>
          <t>化圣雪原</t>
        </is>
      </c>
      <c r="D288" s="348" t="inlineStr">
        <is>
          <t>XX910</t>
        </is>
      </c>
      <c r="E288" s="348" t="inlineStr">
        <is>
          <t>祭坛守烛女</t>
        </is>
      </c>
      <c r="F288" s="348" t="inlineStr">
        <is>
          <t>普通</t>
        </is>
      </c>
      <c r="G288" s="348" t="inlineStr">
        <is>
          <t>守烛项链</t>
        </is>
      </c>
      <c r="H288" s="348" t="inlineStr">
        <is>
          <t>项链</t>
        </is>
      </c>
      <c r="I288" s="348" t="inlineStr">
        <is>
          <t>项链</t>
        </is>
      </c>
      <c r="J288" s="348" t="n">
        <v>5949</v>
      </c>
      <c r="K288" s="348" t="inlineStr">
        <is>
          <t>规划锁定／旧资源待实库回读</t>
        </is>
      </c>
      <c r="L288" s="349" t="inlineStr">
        <is>
          <t>装备资源库黄金圣律·永耀</t>
        </is>
      </c>
    </row>
    <row r="289" ht="34" customHeight="1">
      <c r="A289" s="347" t="inlineStr">
        <is>
          <t>C07-M029</t>
        </is>
      </c>
      <c r="B289" s="348" t="inlineStr">
        <is>
          <t>C07</t>
        </is>
      </c>
      <c r="C289" s="348" t="inlineStr">
        <is>
          <t>化圣雪原</t>
        </is>
      </c>
      <c r="D289" s="348" t="inlineStr">
        <is>
          <t>XX911</t>
        </is>
      </c>
      <c r="E289" s="348" t="inlineStr">
        <is>
          <t>圣所白甲卫</t>
        </is>
      </c>
      <c r="F289" s="348" t="inlineStr">
        <is>
          <t>普通</t>
        </is>
      </c>
      <c r="G289" s="348" t="inlineStr">
        <is>
          <t>白甲战衣</t>
        </is>
      </c>
      <c r="H289" s="348" t="inlineStr">
        <is>
          <t>衣服</t>
        </is>
      </c>
      <c r="I289" s="348" t="inlineStr">
        <is>
          <t>男衣服（现行模板的衣服映射）</t>
        </is>
      </c>
      <c r="J289" s="348" t="n">
        <v>7164</v>
      </c>
      <c r="K289" s="348" t="inlineStr">
        <is>
          <t>测试三库资源已回读</t>
        </is>
      </c>
      <c r="L289" s="349" t="inlineStr">
        <is>
          <t>测试资源：0142_黄金圣树·永恒_男衣服.bmp；三库同码</t>
        </is>
      </c>
    </row>
    <row r="290" ht="34" customHeight="1">
      <c r="A290" s="347" t="inlineStr">
        <is>
          <t>C07-M030</t>
        </is>
      </c>
      <c r="B290" s="348" t="inlineStr">
        <is>
          <t>C07</t>
        </is>
      </c>
      <c r="C290" s="348" t="inlineStr">
        <is>
          <t>化圣雪原</t>
        </is>
      </c>
      <c r="D290" s="348" t="inlineStr">
        <is>
          <t>XX912</t>
        </is>
      </c>
      <c r="E290" s="348" t="inlineStr">
        <is>
          <t>极寒巡界狼</t>
        </is>
      </c>
      <c r="F290" s="348" t="inlineStr">
        <is>
          <t>普通</t>
        </is>
      </c>
      <c r="G290" s="348" t="inlineStr">
        <is>
          <t>巡界牙戒</t>
        </is>
      </c>
      <c r="H290" s="348" t="inlineStr">
        <is>
          <t>戒指</t>
        </is>
      </c>
      <c r="I290" s="348" t="inlineStr">
        <is>
          <t>戒指</t>
        </is>
      </c>
      <c r="J290" s="348" t="n">
        <v>5943</v>
      </c>
      <c r="K290" s="348" t="inlineStr">
        <is>
          <t>规划锁定／旧资源待实库回读</t>
        </is>
      </c>
      <c r="L290" s="349" t="inlineStr">
        <is>
          <t>装备资源库黄金圣律·神律</t>
        </is>
      </c>
    </row>
    <row r="291" ht="34" customHeight="1">
      <c r="A291" s="347" t="inlineStr">
        <is>
          <t>C07-M031</t>
        </is>
      </c>
      <c r="B291" s="348" t="inlineStr">
        <is>
          <t>C07</t>
        </is>
      </c>
      <c r="C291" s="348" t="inlineStr">
        <is>
          <t>化圣雪原</t>
        </is>
      </c>
      <c r="D291" s="348" t="inlineStr">
        <is>
          <t>XX908</t>
        </is>
      </c>
      <c r="E291" s="348" t="inlineStr">
        <is>
          <t>冻雾幻刃客</t>
        </is>
      </c>
      <c r="F291" s="348" t="inlineStr">
        <is>
          <t>稀有</t>
        </is>
      </c>
      <c r="G291" s="348" t="inlineStr">
        <is>
          <t>幻刃腰封</t>
        </is>
      </c>
      <c r="H291" s="348" t="inlineStr">
        <is>
          <t>腰带</t>
        </is>
      </c>
      <c r="I291" s="348" t="inlineStr">
        <is>
          <t>腰带</t>
        </is>
      </c>
      <c r="J291" s="348" t="n">
        <v>5893</v>
      </c>
      <c r="K291" s="348" t="inlineStr">
        <is>
          <t>规划锁定／旧资源待实库回读</t>
        </is>
      </c>
      <c r="L291" s="349" t="inlineStr">
        <is>
          <t>装备资源库黄金圣律·执火</t>
        </is>
      </c>
    </row>
    <row r="292" ht="34" customHeight="1">
      <c r="A292" s="347" t="inlineStr">
        <is>
          <t>C07-M032</t>
        </is>
      </c>
      <c r="B292" s="348" t="inlineStr">
        <is>
          <t>C07</t>
        </is>
      </c>
      <c r="C292" s="348" t="inlineStr">
        <is>
          <t>化圣雪原</t>
        </is>
      </c>
      <c r="D292" s="348" t="inlineStr">
        <is>
          <t>XX909</t>
        </is>
      </c>
      <c r="E292" s="348" t="inlineStr">
        <is>
          <t>寒狱冰骨将</t>
        </is>
      </c>
      <c r="F292" s="348" t="inlineStr">
        <is>
          <t>稀有</t>
        </is>
      </c>
      <c r="G292" s="348" t="inlineStr">
        <is>
          <t>冰骨战靴</t>
        </is>
      </c>
      <c r="H292" s="348" t="inlineStr">
        <is>
          <t>鞋子</t>
        </is>
      </c>
      <c r="I292" s="348" t="inlineStr">
        <is>
          <t>鞋子</t>
        </is>
      </c>
      <c r="J292" s="348" t="n">
        <v>5901</v>
      </c>
      <c r="K292" s="348" t="inlineStr">
        <is>
          <t>规划锁定／旧资源待实库回读</t>
        </is>
      </c>
      <c r="L292" s="349" t="inlineStr">
        <is>
          <t>装备资源库黄金圣律·圣徽</t>
        </is>
      </c>
    </row>
    <row r="293" ht="34" customHeight="1">
      <c r="A293" s="347" t="inlineStr">
        <is>
          <t>C07-M033</t>
        </is>
      </c>
      <c r="B293" s="348" t="inlineStr">
        <is>
          <t>C07</t>
        </is>
      </c>
      <c r="C293" s="348" t="inlineStr">
        <is>
          <t>化圣雪原</t>
        </is>
      </c>
      <c r="D293" s="348" t="inlineStr">
        <is>
          <t>XX910</t>
        </is>
      </c>
      <c r="E293" s="348" t="inlineStr">
        <is>
          <t>祭坛霜钟僧</t>
        </is>
      </c>
      <c r="F293" s="348" t="inlineStr">
        <is>
          <t>稀有</t>
        </is>
      </c>
      <c r="G293" s="348" t="inlineStr">
        <is>
          <t>霜钟罪章</t>
        </is>
      </c>
      <c r="H293" s="348" t="inlineStr">
        <is>
          <t>勋章</t>
        </is>
      </c>
      <c r="I293" s="348" t="inlineStr">
        <is>
          <t>勋章</t>
        </is>
      </c>
      <c r="J293" s="348" t="n">
        <v>7069</v>
      </c>
      <c r="K293" s="348" t="inlineStr">
        <is>
          <t>预检通过资源／规划锁定／待入库</t>
        </is>
      </c>
      <c r="L293" s="349" t="inlineStr">
        <is>
          <t>装备资源库翠焰冥契·永夜</t>
        </is>
      </c>
    </row>
    <row r="294" ht="34" customHeight="1">
      <c r="A294" s="347" t="inlineStr">
        <is>
          <t>C07-M034</t>
        </is>
      </c>
      <c r="B294" s="348" t="inlineStr">
        <is>
          <t>C07</t>
        </is>
      </c>
      <c r="C294" s="348" t="inlineStr">
        <is>
          <t>化圣雪原</t>
        </is>
      </c>
      <c r="D294" s="348" t="inlineStr">
        <is>
          <t>XX911</t>
        </is>
      </c>
      <c r="E294" s="348" t="inlineStr">
        <is>
          <t>圣所银角兽</t>
        </is>
      </c>
      <c r="F294" s="348" t="inlineStr">
        <is>
          <t>稀有</t>
        </is>
      </c>
      <c r="G294" s="348" t="inlineStr">
        <is>
          <t>银角塔盾</t>
        </is>
      </c>
      <c r="H294" s="348" t="inlineStr">
        <is>
          <t>盾牌</t>
        </is>
      </c>
      <c r="I294" s="348" t="inlineStr">
        <is>
          <t>盾牌</t>
        </is>
      </c>
      <c r="J294" s="348" t="n">
        <v>5899</v>
      </c>
      <c r="K294" s="348" t="inlineStr">
        <is>
          <t>规划锁定／旧资源待实库回读</t>
        </is>
      </c>
      <c r="L294" s="349" t="inlineStr">
        <is>
          <t>装备资源库黄金圣律·圣徽</t>
        </is>
      </c>
    </row>
    <row r="295" ht="34" customHeight="1">
      <c r="A295" s="347" t="inlineStr">
        <is>
          <t>C07-M035</t>
        </is>
      </c>
      <c r="B295" s="348" t="inlineStr">
        <is>
          <t>C07</t>
        </is>
      </c>
      <c r="C295" s="348" t="inlineStr">
        <is>
          <t>化圣雪原</t>
        </is>
      </c>
      <c r="D295" s="348" t="inlineStr">
        <is>
          <t>XX910</t>
        </is>
      </c>
      <c r="E295" s="348" t="inlineStr">
        <is>
          <t>冰祭审判者·诺薇</t>
        </is>
      </c>
      <c r="F295" s="348" t="inlineStr">
        <is>
          <t>地图BOSS</t>
        </is>
      </c>
      <c r="G295" s="348" t="inlineStr">
        <is>
          <t>诺薇霜镰</t>
        </is>
      </c>
      <c r="H295" s="348" t="inlineStr">
        <is>
          <t>武器</t>
        </is>
      </c>
      <c r="I295" s="348" t="inlineStr">
        <is>
          <t>武器</t>
        </is>
      </c>
      <c r="J295" s="348" t="n">
        <v>7165</v>
      </c>
      <c r="K295" s="348" t="inlineStr">
        <is>
          <t>测试三库资源已回读</t>
        </is>
      </c>
      <c r="L295" s="349" t="inlineStr">
        <is>
          <t>测试资源：0491_星渊龙息·无垠_武器.bmp；三库同码</t>
        </is>
      </c>
    </row>
    <row r="296" ht="34" customHeight="1">
      <c r="A296" s="347" t="inlineStr">
        <is>
          <t>C07-M036</t>
        </is>
      </c>
      <c r="B296" s="348" t="inlineStr">
        <is>
          <t>C07</t>
        </is>
      </c>
      <c r="C296" s="348" t="inlineStr">
        <is>
          <t>化圣雪原</t>
        </is>
      </c>
      <c r="D296" s="348" t="inlineStr">
        <is>
          <t>XX911</t>
        </is>
      </c>
      <c r="E296" s="348" t="inlineStr">
        <is>
          <t>极寒圣女·希尔达</t>
        </is>
      </c>
      <c r="F296" s="348" t="inlineStr">
        <is>
          <t>地图BOSS</t>
        </is>
      </c>
      <c r="G296" s="348" t="inlineStr">
        <is>
          <t>希尔达圣冠</t>
        </is>
      </c>
      <c r="H296" s="348" t="inlineStr">
        <is>
          <t>头盔</t>
        </is>
      </c>
      <c r="I296" s="348" t="inlineStr">
        <is>
          <t>头盔</t>
        </is>
      </c>
      <c r="J296" s="348" t="n">
        <v>5950</v>
      </c>
      <c r="K296" s="348" t="inlineStr">
        <is>
          <t>规划锁定／旧资源待实库回读</t>
        </is>
      </c>
      <c r="L296" s="349" t="inlineStr">
        <is>
          <t>装备资源库黄金圣律·永耀</t>
        </is>
      </c>
    </row>
    <row r="297" ht="34" customHeight="1">
      <c r="A297" s="347" t="inlineStr">
        <is>
          <t>C07-M037</t>
        </is>
      </c>
      <c r="B297" s="348" t="inlineStr">
        <is>
          <t>C07</t>
        </is>
      </c>
      <c r="C297" s="348" t="inlineStr">
        <is>
          <t>化圣雪原</t>
        </is>
      </c>
      <c r="D297" s="348" t="inlineStr">
        <is>
          <t>XX911</t>
        </is>
      </c>
      <c r="E297" s="348" t="inlineStr">
        <is>
          <t>化圣霜王·埃琉斯</t>
        </is>
      </c>
      <c r="F297" s="348" t="inlineStr">
        <is>
          <t>守关BOSS</t>
        </is>
      </c>
      <c r="G297" s="348" t="inlineStr">
        <is>
          <t>埃琉斯永霜铠</t>
        </is>
      </c>
      <c r="H297" s="348" t="inlineStr">
        <is>
          <t>衣服</t>
        </is>
      </c>
      <c r="I297" s="348" t="inlineStr">
        <is>
          <t>男衣服（现行模板的衣服映射）</t>
        </is>
      </c>
      <c r="J297" s="348" t="n">
        <v>7062</v>
      </c>
      <c r="K297" s="348" t="inlineStr">
        <is>
          <t>预检通过资源／规划锁定／待入库</t>
        </is>
      </c>
      <c r="L297" s="349" t="inlineStr">
        <is>
          <t>按现行装备模板映射男衣服StdMode10；翠焰冥契·永夜</t>
        </is>
      </c>
    </row>
    <row r="298" ht="34" customHeight="1">
      <c r="A298" s="347" t="inlineStr">
        <is>
          <t>C08-M001</t>
        </is>
      </c>
      <c r="B298" s="348" t="inlineStr">
        <is>
          <t>C08</t>
        </is>
      </c>
      <c r="C298" s="348" t="inlineStr">
        <is>
          <t>巨人山顶</t>
        </is>
      </c>
      <c r="D298" s="348" t="inlineStr">
        <is>
          <t>XX900</t>
        </is>
      </c>
      <c r="E298" s="348" t="inlineStr">
        <is>
          <t>霜蹄岩羊</t>
        </is>
      </c>
      <c r="F298" s="348" t="inlineStr">
        <is>
          <t>普通</t>
        </is>
      </c>
      <c r="G298" s="348" t="inlineStr">
        <is>
          <t>霜蹄踏雪靴</t>
        </is>
      </c>
      <c r="H298" s="348" t="inlineStr">
        <is>
          <t>鞋子</t>
        </is>
      </c>
      <c r="I298" s="348" t="inlineStr">
        <is>
          <t>鞋子</t>
        </is>
      </c>
      <c r="J298" s="348" t="n">
        <v>5910</v>
      </c>
      <c r="K298" s="348" t="inlineStr">
        <is>
          <t>规划锁定／旧资源待实库回读</t>
        </is>
      </c>
      <c r="L298" s="349" t="inlineStr">
        <is>
          <t>装备资源库黄金圣律·璨金</t>
        </is>
      </c>
    </row>
    <row r="299" ht="34" customHeight="1">
      <c r="A299" s="347" t="inlineStr">
        <is>
          <t>C08-M002</t>
        </is>
      </c>
      <c r="B299" s="348" t="inlineStr">
        <is>
          <t>C08</t>
        </is>
      </c>
      <c r="C299" s="348" t="inlineStr">
        <is>
          <t>巨人山顶</t>
        </is>
      </c>
      <c r="D299" s="348" t="inlineStr">
        <is>
          <t>XX900</t>
        </is>
      </c>
      <c r="E299" s="348" t="inlineStr">
        <is>
          <t>背冰拾荒者</t>
        </is>
      </c>
      <c r="F299" s="348" t="inlineStr">
        <is>
          <t>普通</t>
        </is>
      </c>
      <c r="G299" s="348" t="inlineStr">
        <is>
          <t>拾荒冰镐</t>
        </is>
      </c>
      <c r="H299" s="348" t="inlineStr">
        <is>
          <t>武器</t>
        </is>
      </c>
      <c r="I299" s="348" t="inlineStr">
        <is>
          <t>武器</t>
        </is>
      </c>
      <c r="J299" s="348" t="n">
        <v>7166</v>
      </c>
      <c r="K299" s="348" t="inlineStr">
        <is>
          <t>测试三库资源已回读</t>
        </is>
      </c>
      <c r="L299" s="349" t="inlineStr">
        <is>
          <t>测试资源：0526_翠焰冥契·幽焰_武器.bmp；三库同码</t>
        </is>
      </c>
    </row>
    <row r="300" ht="34" customHeight="1">
      <c r="A300" s="347" t="inlineStr">
        <is>
          <t>C08-M003</t>
        </is>
      </c>
      <c r="B300" s="348" t="inlineStr">
        <is>
          <t>C08</t>
        </is>
      </c>
      <c r="C300" s="348" t="inlineStr">
        <is>
          <t>巨人山顶</t>
        </is>
      </c>
      <c r="D300" s="348" t="inlineStr">
        <is>
          <t>XX901</t>
        </is>
      </c>
      <c r="E300" s="348" t="inlineStr">
        <is>
          <t>冰脊雪猿</t>
        </is>
      </c>
      <c r="F300" s="348" t="inlineStr">
        <is>
          <t>普通</t>
        </is>
      </c>
      <c r="G300" s="348" t="inlineStr">
        <is>
          <t>雪猿鬃甲</t>
        </is>
      </c>
      <c r="H300" s="348" t="inlineStr">
        <is>
          <t>衣服</t>
        </is>
      </c>
      <c r="I300" s="348" t="inlineStr">
        <is>
          <t>男衣服（现行模板的衣服映射）</t>
        </is>
      </c>
      <c r="J300" s="348" t="n">
        <v>7167</v>
      </c>
      <c r="K300" s="348" t="inlineStr">
        <is>
          <t>测试三库资源已回读</t>
        </is>
      </c>
      <c r="L300" s="349" t="inlineStr">
        <is>
          <t>测试资源：0177_血月荆棘·血痕_男衣服.bmp；三库同码</t>
        </is>
      </c>
    </row>
    <row r="301" ht="34" customHeight="1">
      <c r="A301" s="347" t="inlineStr">
        <is>
          <t>C08-M004</t>
        </is>
      </c>
      <c r="B301" s="348" t="inlineStr">
        <is>
          <t>C08</t>
        </is>
      </c>
      <c r="C301" s="348" t="inlineStr">
        <is>
          <t>巨人山顶</t>
        </is>
      </c>
      <c r="D301" s="348" t="inlineStr">
        <is>
          <t>XX901</t>
        </is>
      </c>
      <c r="E301" s="348" t="inlineStr">
        <is>
          <t>古道冻骸</t>
        </is>
      </c>
      <c r="F301" s="348" t="inlineStr">
        <is>
          <t>普通</t>
        </is>
      </c>
      <c r="G301" s="348" t="inlineStr">
        <is>
          <t>冻骨圆盾</t>
        </is>
      </c>
      <c r="H301" s="348" t="inlineStr">
        <is>
          <t>盾牌</t>
        </is>
      </c>
      <c r="I301" s="348" t="inlineStr">
        <is>
          <t>盾牌</t>
        </is>
      </c>
      <c r="J301" s="348" t="n">
        <v>5908</v>
      </c>
      <c r="K301" s="348" t="inlineStr">
        <is>
          <t>规划锁定／旧资源待实库回读</t>
        </is>
      </c>
      <c r="L301" s="349" t="inlineStr">
        <is>
          <t>装备资源库黄金圣律·璨金</t>
        </is>
      </c>
    </row>
    <row r="302" ht="34" customHeight="1">
      <c r="A302" s="347" t="inlineStr">
        <is>
          <t>C08-M005</t>
        </is>
      </c>
      <c r="B302" s="348" t="inlineStr">
        <is>
          <t>C08</t>
        </is>
      </c>
      <c r="C302" s="348" t="inlineStr">
        <is>
          <t>巨人山顶</t>
        </is>
      </c>
      <c r="D302" s="348" t="inlineStr">
        <is>
          <t>XX902</t>
        </is>
      </c>
      <c r="E302" s="348" t="inlineStr">
        <is>
          <t>暴雪青隼</t>
        </is>
      </c>
      <c r="F302" s="348" t="inlineStr">
        <is>
          <t>普通</t>
        </is>
      </c>
      <c r="G302" s="348" t="inlineStr">
        <is>
          <t>青隼翎盔</t>
        </is>
      </c>
      <c r="H302" s="348" t="inlineStr">
        <is>
          <t>头盔</t>
        </is>
      </c>
      <c r="I302" s="348" t="inlineStr">
        <is>
          <t>头盔</t>
        </is>
      </c>
      <c r="J302" s="348" t="n">
        <v>5959</v>
      </c>
      <c r="K302" s="348" t="inlineStr">
        <is>
          <t>规划锁定／旧资源待实库回读</t>
        </is>
      </c>
      <c r="L302" s="349" t="inlineStr">
        <is>
          <t>装备资源库血月荆棘·暗芽</t>
        </is>
      </c>
    </row>
    <row r="303" ht="34" customHeight="1">
      <c r="A303" s="347" t="inlineStr">
        <is>
          <t>C08-M006</t>
        </is>
      </c>
      <c r="B303" s="348" t="inlineStr">
        <is>
          <t>C08</t>
        </is>
      </c>
      <c r="C303" s="348" t="inlineStr">
        <is>
          <t>巨人山顶</t>
        </is>
      </c>
      <c r="D303" s="348" t="inlineStr">
        <is>
          <t>XX903</t>
        </is>
      </c>
      <c r="E303" s="348" t="inlineStr">
        <is>
          <t>祭台霜烛灵</t>
        </is>
      </c>
      <c r="F303" s="348" t="inlineStr">
        <is>
          <t>普通</t>
        </is>
      </c>
      <c r="G303" s="348" t="inlineStr">
        <is>
          <t>霜烛垂链</t>
        </is>
      </c>
      <c r="H303" s="348" t="inlineStr">
        <is>
          <t>项链</t>
        </is>
      </c>
      <c r="I303" s="348" t="inlineStr">
        <is>
          <t>项链</t>
        </is>
      </c>
      <c r="J303" s="348" t="n">
        <v>5958</v>
      </c>
      <c r="K303" s="348" t="inlineStr">
        <is>
          <t>规划锁定／旧资源待实库回读</t>
        </is>
      </c>
      <c r="L303" s="349" t="inlineStr">
        <is>
          <t>装备资源库血月荆棘·暗芽</t>
        </is>
      </c>
    </row>
    <row r="304" ht="34" customHeight="1">
      <c r="A304" s="347" t="inlineStr">
        <is>
          <t>C08-M007</t>
        </is>
      </c>
      <c r="B304" s="348" t="inlineStr">
        <is>
          <t>C08</t>
        </is>
      </c>
      <c r="C304" s="348" t="inlineStr">
        <is>
          <t>巨人山顶</t>
        </is>
      </c>
      <c r="D304" s="348" t="inlineStr">
        <is>
          <t>XX900</t>
        </is>
      </c>
      <c r="E304" s="348" t="inlineStr">
        <is>
          <t>雾凇引路人</t>
        </is>
      </c>
      <c r="F304" s="348" t="inlineStr">
        <is>
          <t>稀有</t>
        </is>
      </c>
      <c r="G304" s="348" t="inlineStr">
        <is>
          <t>雾凇引路笠</t>
        </is>
      </c>
      <c r="H304" s="348" t="inlineStr">
        <is>
          <t>斗笠</t>
        </is>
      </c>
      <c r="I304" s="348" t="inlineStr">
        <is>
          <t>面巾（位置13，对应斗笠）</t>
        </is>
      </c>
      <c r="J304" s="348" t="n">
        <v>6645</v>
      </c>
      <c r="K304" s="348" t="inlineStr">
        <is>
          <t>预检通过资源／规划锁定／待入库</t>
        </is>
      </c>
      <c r="L304" s="349" t="inlineStr">
        <is>
          <t>StdMode16/位置13；血月荆棘·猩月</t>
        </is>
      </c>
    </row>
    <row r="305" ht="34" customHeight="1">
      <c r="A305" s="347" t="inlineStr">
        <is>
          <t>C08-M008</t>
        </is>
      </c>
      <c r="B305" s="348" t="inlineStr">
        <is>
          <t>C08</t>
        </is>
      </c>
      <c r="C305" s="348" t="inlineStr">
        <is>
          <t>巨人山顶</t>
        </is>
      </c>
      <c r="D305" s="348" t="inlineStr">
        <is>
          <t>XX901</t>
        </is>
      </c>
      <c r="E305" s="348" t="inlineStr">
        <is>
          <t>冰脊驮碑兽</t>
        </is>
      </c>
      <c r="F305" s="348" t="inlineStr">
        <is>
          <t>稀有</t>
        </is>
      </c>
      <c r="G305" s="348" t="inlineStr">
        <is>
          <t>驮碑束腰</t>
        </is>
      </c>
      <c r="H305" s="348" t="inlineStr">
        <is>
          <t>腰带</t>
        </is>
      </c>
      <c r="I305" s="348" t="inlineStr">
        <is>
          <t>腰带</t>
        </is>
      </c>
      <c r="J305" s="348" t="n">
        <v>5902</v>
      </c>
      <c r="K305" s="348" t="inlineStr">
        <is>
          <t>规划锁定／旧资源待实库回读</t>
        </is>
      </c>
      <c r="L305" s="349" t="inlineStr">
        <is>
          <t>装备资源库黄金圣律·圣徽</t>
        </is>
      </c>
    </row>
    <row r="306" ht="34" customHeight="1">
      <c r="A306" s="347" t="inlineStr">
        <is>
          <t>C08-M009</t>
        </is>
      </c>
      <c r="B306" s="348" t="inlineStr">
        <is>
          <t>C08</t>
        </is>
      </c>
      <c r="C306" s="348" t="inlineStr">
        <is>
          <t>巨人山顶</t>
        </is>
      </c>
      <c r="D306" s="348" t="inlineStr">
        <is>
          <t>XX902</t>
        </is>
      </c>
      <c r="E306" s="348" t="inlineStr">
        <is>
          <t>啸峰白魈</t>
        </is>
      </c>
      <c r="F306" s="348" t="inlineStr">
        <is>
          <t>稀有</t>
        </is>
      </c>
      <c r="G306" s="348" t="inlineStr">
        <is>
          <t>白魈啸风镯</t>
        </is>
      </c>
      <c r="H306" s="348" t="inlineStr">
        <is>
          <t>手镯</t>
        </is>
      </c>
      <c r="I306" s="348" t="inlineStr">
        <is>
          <t>手镯</t>
        </is>
      </c>
      <c r="J306" s="348" t="n">
        <v>5924</v>
      </c>
      <c r="K306" s="348" t="inlineStr">
        <is>
          <t>规划锁定／旧资源待实库回读</t>
        </is>
      </c>
      <c r="L306" s="349" t="inlineStr">
        <is>
          <t>装备资源库黄金圣律·王权</t>
        </is>
      </c>
    </row>
    <row r="307" ht="34" customHeight="1">
      <c r="A307" s="347" t="inlineStr">
        <is>
          <t>C08-M010</t>
        </is>
      </c>
      <c r="B307" s="348" t="inlineStr">
        <is>
          <t>C08</t>
        </is>
      </c>
      <c r="C307" s="348" t="inlineStr">
        <is>
          <t>巨人山顶</t>
        </is>
      </c>
      <c r="D307" s="348" t="inlineStr">
        <is>
          <t>XX903</t>
        </is>
      </c>
      <c r="E307" s="348" t="inlineStr">
        <is>
          <t>祭台封誓者</t>
        </is>
      </c>
      <c r="F307" s="348" t="inlineStr">
        <is>
          <t>稀有</t>
        </is>
      </c>
      <c r="G307" s="348" t="inlineStr">
        <is>
          <t>封誓霜纹戒</t>
        </is>
      </c>
      <c r="H307" s="348" t="inlineStr">
        <is>
          <t>戒指</t>
        </is>
      </c>
      <c r="I307" s="348" t="inlineStr">
        <is>
          <t>戒指</t>
        </is>
      </c>
      <c r="J307" s="348" t="n">
        <v>5952</v>
      </c>
      <c r="K307" s="348" t="inlineStr">
        <is>
          <t>规划锁定／旧资源待实库回读</t>
        </is>
      </c>
      <c r="L307" s="349" t="inlineStr">
        <is>
          <t>装备资源库黄金圣律·永耀</t>
        </is>
      </c>
    </row>
    <row r="308" ht="34" customHeight="1">
      <c r="A308" s="347" t="inlineStr">
        <is>
          <t>C08-M011</t>
        </is>
      </c>
      <c r="B308" s="348" t="inlineStr">
        <is>
          <t>C08</t>
        </is>
      </c>
      <c r="C308" s="348" t="inlineStr">
        <is>
          <t>巨人山顶</t>
        </is>
      </c>
      <c r="D308" s="348" t="inlineStr">
        <is>
          <t>XX902</t>
        </is>
      </c>
      <c r="E308" s="348" t="inlineStr">
        <is>
          <t>雪崩号角·赫罗姆</t>
        </is>
      </c>
      <c r="F308" s="348" t="inlineStr">
        <is>
          <t>地图BOSS</t>
        </is>
      </c>
      <c r="G308" s="348" t="inlineStr">
        <is>
          <t>赫罗姆凿峰槌</t>
        </is>
      </c>
      <c r="H308" s="348" t="inlineStr">
        <is>
          <t>武器</t>
        </is>
      </c>
      <c r="I308" s="348" t="inlineStr">
        <is>
          <t>武器</t>
        </is>
      </c>
      <c r="J308" s="348" t="n">
        <v>7168</v>
      </c>
      <c r="K308" s="348" t="inlineStr">
        <is>
          <t>测试三库资源已回读</t>
        </is>
      </c>
      <c r="L308" s="349" t="inlineStr">
        <is>
          <t>测试资源：0561_翠焰冥契·腐痕_武器.bmp；三库同码</t>
        </is>
      </c>
    </row>
    <row r="309" ht="34" customHeight="1">
      <c r="A309" s="347" t="inlineStr">
        <is>
          <t>C08-M012</t>
        </is>
      </c>
      <c r="B309" s="348" t="inlineStr">
        <is>
          <t>C08</t>
        </is>
      </c>
      <c r="C309" s="348" t="inlineStr">
        <is>
          <t>巨人山顶</t>
        </is>
      </c>
      <c r="D309" s="348" t="inlineStr">
        <is>
          <t>XX903</t>
        </is>
      </c>
      <c r="E309" s="348" t="inlineStr">
        <is>
          <t>山巅霜祀·伊芙迦</t>
        </is>
      </c>
      <c r="F309" s="348" t="inlineStr">
        <is>
          <t>地图BOSS</t>
        </is>
      </c>
      <c r="G309" s="348" t="inlineStr">
        <is>
          <t>伊芙迦霜祀衣</t>
        </is>
      </c>
      <c r="H309" s="348" t="inlineStr">
        <is>
          <t>衣服</t>
        </is>
      </c>
      <c r="I309" s="348" t="inlineStr">
        <is>
          <t>男衣服（现行模板的衣服映射）</t>
        </is>
      </c>
      <c r="J309" s="348" t="n">
        <v>7169</v>
      </c>
      <c r="K309" s="348" t="inlineStr">
        <is>
          <t>测试三库资源已回读</t>
        </is>
      </c>
      <c r="L309" s="349" t="inlineStr">
        <is>
          <t>测试资源：0212_血月荆棘·荆冠_男衣服.bmp；三库同码</t>
        </is>
      </c>
    </row>
    <row r="310" ht="34" customHeight="1">
      <c r="A310" s="347" t="inlineStr">
        <is>
          <t>C08-M013</t>
        </is>
      </c>
      <c r="B310" s="348" t="inlineStr">
        <is>
          <t>C08</t>
        </is>
      </c>
      <c r="C310" s="348" t="inlineStr">
        <is>
          <t>巨人山顶</t>
        </is>
      </c>
      <c r="D310" s="348" t="inlineStr">
        <is>
          <t>XX320</t>
        </is>
      </c>
      <c r="E310" s="348" t="inlineStr">
        <is>
          <t>断峰岩獾</t>
        </is>
      </c>
      <c r="F310" s="348" t="inlineStr">
        <is>
          <t>普通</t>
        </is>
      </c>
      <c r="G310" s="348" t="inlineStr">
        <is>
          <t>岩獾碎石履</t>
        </is>
      </c>
      <c r="H310" s="348" t="inlineStr">
        <is>
          <t>鞋子</t>
        </is>
      </c>
      <c r="I310" s="348" t="inlineStr">
        <is>
          <t>鞋子</t>
        </is>
      </c>
      <c r="J310" s="348" t="n">
        <v>5919</v>
      </c>
      <c r="K310" s="348" t="inlineStr">
        <is>
          <t>规划锁定／旧资源待实库回读</t>
        </is>
      </c>
      <c r="L310" s="349" t="inlineStr">
        <is>
          <t>装备资源库黄金圣律·蓝辉</t>
        </is>
      </c>
    </row>
    <row r="311" ht="34" customHeight="1">
      <c r="A311" s="347" t="inlineStr">
        <is>
          <t>C08-M014</t>
        </is>
      </c>
      <c r="B311" s="348" t="inlineStr">
        <is>
          <t>C08</t>
        </is>
      </c>
      <c r="C311" s="348" t="inlineStr">
        <is>
          <t>巨人山顶</t>
        </is>
      </c>
      <c r="D311" s="348" t="inlineStr">
        <is>
          <t>XX320</t>
        </is>
      </c>
      <c r="E311" s="348" t="inlineStr">
        <is>
          <t>负霜矿奴</t>
        </is>
      </c>
      <c r="F311" s="348" t="inlineStr">
        <is>
          <t>普通</t>
        </is>
      </c>
      <c r="G311" s="348" t="inlineStr">
        <is>
          <t>负霜钉腰带</t>
        </is>
      </c>
      <c r="H311" s="348" t="inlineStr">
        <is>
          <t>腰带</t>
        </is>
      </c>
      <c r="I311" s="348" t="inlineStr">
        <is>
          <t>腰带</t>
        </is>
      </c>
      <c r="J311" s="348" t="n">
        <v>5911</v>
      </c>
      <c r="K311" s="348" t="inlineStr">
        <is>
          <t>规划锁定／旧资源待实库回读</t>
        </is>
      </c>
      <c r="L311" s="349" t="inlineStr">
        <is>
          <t>装备资源库黄金圣律·璨金</t>
        </is>
      </c>
    </row>
    <row r="312" ht="34" customHeight="1">
      <c r="A312" s="347" t="inlineStr">
        <is>
          <t>C08-M015</t>
        </is>
      </c>
      <c r="B312" s="348" t="inlineStr">
        <is>
          <t>C08</t>
        </is>
      </c>
      <c r="C312" s="348" t="inlineStr">
        <is>
          <t>巨人山顶</t>
        </is>
      </c>
      <c r="D312" s="348" t="inlineStr">
        <is>
          <t>XX318</t>
        </is>
      </c>
      <c r="E312" s="348" t="inlineStr">
        <is>
          <t>碎冰桥弩卒</t>
        </is>
      </c>
      <c r="F312" s="348" t="inlineStr">
        <is>
          <t>普通</t>
        </is>
      </c>
      <c r="G312" s="348" t="inlineStr">
        <is>
          <t>桥卒破冰弩</t>
        </is>
      </c>
      <c r="H312" s="348" t="inlineStr">
        <is>
          <t>武器</t>
        </is>
      </c>
      <c r="I312" s="348" t="inlineStr">
        <is>
          <t>武器</t>
        </is>
      </c>
      <c r="J312" s="348" t="n">
        <v>7170</v>
      </c>
      <c r="K312" s="348" t="inlineStr">
        <is>
          <t>测试三库资源已回读</t>
        </is>
      </c>
      <c r="L312" s="349" t="inlineStr">
        <is>
          <t>测试资源：0596_翠焰冥契·冥契_武器.bmp；三库同码</t>
        </is>
      </c>
    </row>
    <row r="313" ht="34" customHeight="1">
      <c r="A313" s="347" t="inlineStr">
        <is>
          <t>C08-M016</t>
        </is>
      </c>
      <c r="B313" s="348" t="inlineStr">
        <is>
          <t>C08</t>
        </is>
      </c>
      <c r="C313" s="348" t="inlineStr">
        <is>
          <t>巨人山顶</t>
        </is>
      </c>
      <c r="D313" s="348" t="inlineStr">
        <is>
          <t>XX318</t>
        </is>
      </c>
      <c r="E313" s="348" t="inlineStr">
        <is>
          <t>天桥冰甲虫</t>
        </is>
      </c>
      <c r="F313" s="348" t="inlineStr">
        <is>
          <t>普通</t>
        </is>
      </c>
      <c r="G313" s="348" t="inlineStr">
        <is>
          <t>冰甲棱盾</t>
        </is>
      </c>
      <c r="H313" s="348" t="inlineStr">
        <is>
          <t>盾牌</t>
        </is>
      </c>
      <c r="I313" s="348" t="inlineStr">
        <is>
          <t>盾牌</t>
        </is>
      </c>
      <c r="J313" s="348" t="n">
        <v>5926</v>
      </c>
      <c r="K313" s="348" t="inlineStr">
        <is>
          <t>规划锁定／旧资源待实库回读</t>
        </is>
      </c>
      <c r="L313" s="349" t="inlineStr">
        <is>
          <t>装备资源库黄金圣律·王权</t>
        </is>
      </c>
    </row>
    <row r="314" ht="34" customHeight="1">
      <c r="A314" s="347" t="inlineStr">
        <is>
          <t>C08-M017</t>
        </is>
      </c>
      <c r="B314" s="348" t="inlineStr">
        <is>
          <t>C08</t>
        </is>
      </c>
      <c r="C314" s="348" t="inlineStr">
        <is>
          <t>巨人山顶</t>
        </is>
      </c>
      <c r="D314" s="348" t="inlineStr">
        <is>
          <t>XX319</t>
        </is>
      </c>
      <c r="E314" s="348" t="inlineStr">
        <is>
          <t>裂谷寒翼蝠</t>
        </is>
      </c>
      <c r="F314" s="348" t="inlineStr">
        <is>
          <t>普通</t>
        </is>
      </c>
      <c r="G314" s="348" t="inlineStr">
        <is>
          <t>寒翼听风坠</t>
        </is>
      </c>
      <c r="H314" s="348" t="inlineStr">
        <is>
          <t>项链</t>
        </is>
      </c>
      <c r="I314" s="348" t="inlineStr">
        <is>
          <t>项链</t>
        </is>
      </c>
      <c r="J314" s="348" t="n">
        <v>5967</v>
      </c>
      <c r="K314" s="348" t="inlineStr">
        <is>
          <t>规划锁定／旧资源待实库回读</t>
        </is>
      </c>
      <c r="L314" s="349" t="inlineStr">
        <is>
          <t>装备资源库血月荆棘·血棘</t>
        </is>
      </c>
    </row>
    <row r="315" ht="34" customHeight="1">
      <c r="A315" s="347" t="inlineStr">
        <is>
          <t>C08-M018</t>
        </is>
      </c>
      <c r="B315" s="348" t="inlineStr">
        <is>
          <t>C08</t>
        </is>
      </c>
      <c r="C315" s="348" t="inlineStr">
        <is>
          <t>巨人山顶</t>
        </is>
      </c>
      <c r="D315" s="348" t="inlineStr">
        <is>
          <t>XX316</t>
        </is>
      </c>
      <c r="E315" s="348" t="inlineStr">
        <is>
          <t>祭场残斧魂</t>
        </is>
      </c>
      <c r="F315" s="348" t="inlineStr">
        <is>
          <t>普通</t>
        </is>
      </c>
      <c r="G315" s="348" t="inlineStr">
        <is>
          <t>残斧魂腕环</t>
        </is>
      </c>
      <c r="H315" s="348" t="inlineStr">
        <is>
          <t>手镯</t>
        </is>
      </c>
      <c r="I315" s="348" t="inlineStr">
        <is>
          <t>手镯</t>
        </is>
      </c>
      <c r="J315" s="348" t="n">
        <v>5933</v>
      </c>
      <c r="K315" s="348" t="inlineStr">
        <is>
          <t>规划锁定／旧资源待实库回读</t>
        </is>
      </c>
      <c r="L315" s="349" t="inlineStr">
        <is>
          <t>装备资源库黄金圣律·日冕</t>
        </is>
      </c>
    </row>
    <row r="316" ht="34" customHeight="1">
      <c r="A316" s="347" t="inlineStr">
        <is>
          <t>C08-M019</t>
        </is>
      </c>
      <c r="B316" s="348" t="inlineStr">
        <is>
          <t>C08</t>
        </is>
      </c>
      <c r="C316" s="348" t="inlineStr">
        <is>
          <t>巨人山顶</t>
        </is>
      </c>
      <c r="D316" s="348" t="inlineStr">
        <is>
          <t>XX320</t>
        </is>
      </c>
      <c r="E316" s="348" t="inlineStr">
        <is>
          <t>断冰猎旗手</t>
        </is>
      </c>
      <c r="F316" s="348" t="inlineStr">
        <is>
          <t>稀有</t>
        </is>
      </c>
      <c r="G316" s="348" t="inlineStr">
        <is>
          <t>猎旗霜披</t>
        </is>
      </c>
      <c r="H316" s="348" t="inlineStr">
        <is>
          <t>衣服</t>
        </is>
      </c>
      <c r="I316" s="348" t="inlineStr">
        <is>
          <t>男衣服（现行模板的衣服映射）</t>
        </is>
      </c>
      <c r="J316" s="348" t="n">
        <v>7171</v>
      </c>
      <c r="K316" s="348" t="inlineStr">
        <is>
          <t>测试三库资源已回读</t>
        </is>
      </c>
      <c r="L316" s="349" t="inlineStr">
        <is>
          <t>测试资源：0247_血月荆棘·猩月_男衣服.bmp；三库同码</t>
        </is>
      </c>
    </row>
    <row r="317" ht="34" customHeight="1">
      <c r="A317" s="347" t="inlineStr">
        <is>
          <t>C08-M020</t>
        </is>
      </c>
      <c r="B317" s="348" t="inlineStr">
        <is>
          <t>C08</t>
        </is>
      </c>
      <c r="C317" s="348" t="inlineStr">
        <is>
          <t>巨人山顶</t>
        </is>
      </c>
      <c r="D317" s="348" t="inlineStr">
        <is>
          <t>XX318</t>
        </is>
      </c>
      <c r="E317" s="348" t="inlineStr">
        <is>
          <t>天桥踏索客</t>
        </is>
      </c>
      <c r="F317" s="348" t="inlineStr">
        <is>
          <t>稀有</t>
        </is>
      </c>
      <c r="G317" s="348" t="inlineStr">
        <is>
          <t>踏索雪笠</t>
        </is>
      </c>
      <c r="H317" s="348" t="inlineStr">
        <is>
          <t>斗笠</t>
        </is>
      </c>
      <c r="I317" s="348" t="inlineStr">
        <is>
          <t>面巾（位置13，对应斗笠）</t>
        </is>
      </c>
      <c r="J317" s="348" t="n">
        <v>6680</v>
      </c>
      <c r="K317" s="348" t="inlineStr">
        <is>
          <t>预检通过资源／规划锁定／待入库</t>
        </is>
      </c>
      <c r="L317" s="349" t="inlineStr">
        <is>
          <t>StdMode16/位置13；血月荆棘·弑王</t>
        </is>
      </c>
    </row>
    <row r="318" ht="34" customHeight="1">
      <c r="A318" s="347" t="inlineStr">
        <is>
          <t>C08-M021</t>
        </is>
      </c>
      <c r="B318" s="348" t="inlineStr">
        <is>
          <t>C08</t>
        </is>
      </c>
      <c r="C318" s="348" t="inlineStr">
        <is>
          <t>巨人山顶</t>
        </is>
      </c>
      <c r="D318" s="348" t="inlineStr">
        <is>
          <t>XX319</t>
        </is>
      </c>
      <c r="E318" s="348" t="inlineStr">
        <is>
          <t>裂谷雪嚎兽</t>
        </is>
      </c>
      <c r="F318" s="348" t="inlineStr">
        <is>
          <t>稀有</t>
        </is>
      </c>
      <c r="G318" s="348" t="inlineStr">
        <is>
          <t>雪嚎裂角盔</t>
        </is>
      </c>
      <c r="H318" s="348" t="inlineStr">
        <is>
          <t>头盔</t>
        </is>
      </c>
      <c r="I318" s="348" t="inlineStr">
        <is>
          <t>头盔</t>
        </is>
      </c>
      <c r="J318" s="348" t="n">
        <v>5977</v>
      </c>
      <c r="K318" s="348" t="inlineStr">
        <is>
          <t>规划锁定／旧资源待实库回读</t>
        </is>
      </c>
      <c r="L318" s="349" t="inlineStr">
        <is>
          <t>装备资源库血月荆棘·猩痕</t>
        </is>
      </c>
    </row>
    <row r="319" ht="34" customHeight="1">
      <c r="A319" s="347" t="inlineStr">
        <is>
          <t>C08-M022</t>
        </is>
      </c>
      <c r="B319" s="348" t="inlineStr">
        <is>
          <t>C08</t>
        </is>
      </c>
      <c r="C319" s="348" t="inlineStr">
        <is>
          <t>巨人山顶</t>
        </is>
      </c>
      <c r="D319" s="348" t="inlineStr">
        <is>
          <t>XX316</t>
        </is>
      </c>
      <c r="E319" s="348" t="inlineStr">
        <is>
          <t>祭场缄誓巫</t>
        </is>
      </c>
      <c r="F319" s="348" t="inlineStr">
        <is>
          <t>稀有</t>
        </is>
      </c>
      <c r="G319" s="348" t="inlineStr">
        <is>
          <t>缄誓寒铁戒</t>
        </is>
      </c>
      <c r="H319" s="348" t="inlineStr">
        <is>
          <t>戒指</t>
        </is>
      </c>
      <c r="I319" s="348" t="inlineStr">
        <is>
          <t>戒指</t>
        </is>
      </c>
      <c r="J319" s="348" t="n">
        <v>5961</v>
      </c>
      <c r="K319" s="348" t="inlineStr">
        <is>
          <t>规划锁定／旧资源待实库回读</t>
        </is>
      </c>
      <c r="L319" s="349" t="inlineStr">
        <is>
          <t>装备资源库血月荆棘·暗芽</t>
        </is>
      </c>
    </row>
    <row r="320" ht="34" customHeight="1">
      <c r="A320" s="347" t="inlineStr">
        <is>
          <t>C08-M023</t>
        </is>
      </c>
      <c r="B320" s="348" t="inlineStr">
        <is>
          <t>C08</t>
        </is>
      </c>
      <c r="C320" s="348" t="inlineStr">
        <is>
          <t>巨人山顶</t>
        </is>
      </c>
      <c r="D320" s="348" t="inlineStr">
        <is>
          <t>XX319</t>
        </is>
      </c>
      <c r="E320" s="348" t="inlineStr">
        <is>
          <t>裂谷锻峰侯·德鲁伽</t>
        </is>
      </c>
      <c r="F320" s="348" t="inlineStr">
        <is>
          <t>地图BOSS</t>
        </is>
      </c>
      <c r="G320" s="348" t="inlineStr">
        <is>
          <t>德鲁伽裂峰斧</t>
        </is>
      </c>
      <c r="H320" s="348" t="inlineStr">
        <is>
          <t>武器</t>
        </is>
      </c>
      <c r="I320" s="348" t="inlineStr">
        <is>
          <t>武器</t>
        </is>
      </c>
      <c r="J320" s="348" t="n">
        <v>7172</v>
      </c>
      <c r="K320" s="348" t="inlineStr">
        <is>
          <t>测试三库资源已回读</t>
        </is>
      </c>
      <c r="L320" s="349" t="inlineStr">
        <is>
          <t>测试资源：0631_翠焰冥契·灾厄_武器.bmp；三库同码</t>
        </is>
      </c>
    </row>
    <row r="321" ht="34" customHeight="1">
      <c r="A321" s="347" t="inlineStr">
        <is>
          <t>C08-M024</t>
        </is>
      </c>
      <c r="B321" s="348" t="inlineStr">
        <is>
          <t>C08</t>
        </is>
      </c>
      <c r="C321" s="348" t="inlineStr">
        <is>
          <t>巨人山顶</t>
        </is>
      </c>
      <c r="D321" s="348" t="inlineStr">
        <is>
          <t>XX316</t>
        </is>
      </c>
      <c r="E321" s="348" t="inlineStr">
        <is>
          <t>断峰献祭者·维瑟娅</t>
        </is>
      </c>
      <c r="F321" s="348" t="inlineStr">
        <is>
          <t>地图BOSS</t>
        </is>
      </c>
      <c r="G321" s="348" t="inlineStr">
        <is>
          <t>维瑟娅霜祭衣</t>
        </is>
      </c>
      <c r="H321" s="348" t="inlineStr">
        <is>
          <t>衣服</t>
        </is>
      </c>
      <c r="I321" s="348" t="inlineStr">
        <is>
          <t>男衣服（现行模板的衣服映射）</t>
        </is>
      </c>
      <c r="J321" s="348" t="n">
        <v>7173</v>
      </c>
      <c r="K321" s="348" t="inlineStr">
        <is>
          <t>测试三库资源已回读</t>
        </is>
      </c>
      <c r="L321" s="349" t="inlineStr">
        <is>
          <t>测试资源：0282_血月荆棘·弑王_男衣服.bmp；三库同码</t>
        </is>
      </c>
    </row>
    <row r="322" ht="34" customHeight="1">
      <c r="A322" s="347" t="inlineStr">
        <is>
          <t>C08-M025</t>
        </is>
      </c>
      <c r="B322" s="348" t="inlineStr">
        <is>
          <t>C08</t>
        </is>
      </c>
      <c r="C322" s="348" t="inlineStr">
        <is>
          <t>巨人山顶</t>
        </is>
      </c>
      <c r="D322" s="348" t="inlineStr">
        <is>
          <t>XX325</t>
        </is>
      </c>
      <c r="E322" s="348" t="inlineStr">
        <is>
          <t>冰宫雪鸦</t>
        </is>
      </c>
      <c r="F322" s="348" t="inlineStr">
        <is>
          <t>普通</t>
        </is>
      </c>
      <c r="G322" s="348" t="inlineStr">
        <is>
          <t>雪鸦冰喙坠</t>
        </is>
      </c>
      <c r="H322" s="348" t="inlineStr">
        <is>
          <t>项链</t>
        </is>
      </c>
      <c r="I322" s="348" t="inlineStr">
        <is>
          <t>项链</t>
        </is>
      </c>
      <c r="J322" s="348" t="n">
        <v>5985</v>
      </c>
      <c r="K322" s="348" t="inlineStr">
        <is>
          <t>规划锁定／旧资源待实库回读</t>
        </is>
      </c>
      <c r="L322" s="349" t="inlineStr">
        <is>
          <t>装备资源库血月荆棘·夜蔷</t>
        </is>
      </c>
    </row>
    <row r="323" ht="34" customHeight="1">
      <c r="A323" s="347" t="inlineStr">
        <is>
          <t>C08-M026</t>
        </is>
      </c>
      <c r="B323" s="348" t="inlineStr">
        <is>
          <t>C08</t>
        </is>
      </c>
      <c r="C323" s="348" t="inlineStr">
        <is>
          <t>巨人山顶</t>
        </is>
      </c>
      <c r="D323" s="348" t="inlineStr">
        <is>
          <t>XX325</t>
        </is>
      </c>
      <c r="E323" s="348" t="inlineStr">
        <is>
          <t>御阶铲雪仆</t>
        </is>
      </c>
      <c r="F323" s="348" t="inlineStr">
        <is>
          <t>普通</t>
        </is>
      </c>
      <c r="G323" s="348" t="inlineStr">
        <is>
          <t>御阶雪铲</t>
        </is>
      </c>
      <c r="H323" s="348" t="inlineStr">
        <is>
          <t>武器</t>
        </is>
      </c>
      <c r="I323" s="348" t="inlineStr">
        <is>
          <t>武器</t>
        </is>
      </c>
      <c r="J323" s="348" t="n">
        <v>7174</v>
      </c>
      <c r="K323" s="348" t="inlineStr">
        <is>
          <t>测试三库资源已回读</t>
        </is>
      </c>
      <c r="L323" s="349" t="inlineStr">
        <is>
          <t>测试资源：0666_翠焰冥契·永夜_武器.bmp；三库同码</t>
        </is>
      </c>
    </row>
    <row r="324" ht="34" customHeight="1">
      <c r="A324" s="347" t="inlineStr">
        <is>
          <t>C08-M027</t>
        </is>
      </c>
      <c r="B324" s="348" t="inlineStr">
        <is>
          <t>C08</t>
        </is>
      </c>
      <c r="C324" s="348" t="inlineStr">
        <is>
          <t>巨人山顶</t>
        </is>
      </c>
      <c r="D324" s="348" t="inlineStr">
        <is>
          <t>XX321</t>
        </is>
      </c>
      <c r="E324" s="348" t="inlineStr">
        <is>
          <t>外廊冰枪卫</t>
        </is>
      </c>
      <c r="F324" s="348" t="inlineStr">
        <is>
          <t>普通</t>
        </is>
      </c>
      <c r="G324" s="348" t="inlineStr">
        <is>
          <t>外廊纹冰盾</t>
        </is>
      </c>
      <c r="H324" s="348" t="inlineStr">
        <is>
          <t>盾牌</t>
        </is>
      </c>
      <c r="I324" s="348" t="inlineStr">
        <is>
          <t>盾牌</t>
        </is>
      </c>
      <c r="J324" s="348" t="n">
        <v>5935</v>
      </c>
      <c r="K324" s="348" t="inlineStr">
        <is>
          <t>规划锁定／旧资源待实库回读</t>
        </is>
      </c>
      <c r="L324" s="349" t="inlineStr">
        <is>
          <t>装备资源库黄金圣律·日冕</t>
        </is>
      </c>
    </row>
    <row r="325" ht="34" customHeight="1">
      <c r="A325" s="347" t="inlineStr">
        <is>
          <t>C08-M028</t>
        </is>
      </c>
      <c r="B325" s="348" t="inlineStr">
        <is>
          <t>C08</t>
        </is>
      </c>
      <c r="C325" s="348" t="inlineStr">
        <is>
          <t>巨人山顶</t>
        </is>
      </c>
      <c r="D325" s="348" t="inlineStr">
        <is>
          <t>XX322</t>
        </is>
      </c>
      <c r="E325" s="348" t="inlineStr">
        <is>
          <t>内廷霜纱侍女</t>
        </is>
      </c>
      <c r="F325" s="348" t="inlineStr">
        <is>
          <t>普通</t>
        </is>
      </c>
      <c r="G325" s="348" t="inlineStr">
        <is>
          <t>霜纱侍衣</t>
        </is>
      </c>
      <c r="H325" s="348" t="inlineStr">
        <is>
          <t>衣服</t>
        </is>
      </c>
      <c r="I325" s="348" t="inlineStr">
        <is>
          <t>男衣服（现行模板的衣服映射）</t>
        </is>
      </c>
      <c r="J325" s="348" t="n">
        <v>7175</v>
      </c>
      <c r="K325" s="348" t="inlineStr">
        <is>
          <t>测试三库资源已回读</t>
        </is>
      </c>
      <c r="L325" s="349" t="inlineStr">
        <is>
          <t>测试资源：0317_血月荆棘·血月_男衣服.bmp；三库同码</t>
        </is>
      </c>
    </row>
    <row r="326" ht="34" customHeight="1">
      <c r="A326" s="347" t="inlineStr">
        <is>
          <t>C08-M029</t>
        </is>
      </c>
      <c r="B326" s="348" t="inlineStr">
        <is>
          <t>C08</t>
        </is>
      </c>
      <c r="C326" s="348" t="inlineStr">
        <is>
          <t>巨人山顶</t>
        </is>
      </c>
      <c r="D326" s="348" t="inlineStr">
        <is>
          <t>XX323</t>
        </is>
      </c>
      <c r="E326" s="348" t="inlineStr">
        <is>
          <t>议殿石髯书记</t>
        </is>
      </c>
      <c r="F326" s="348" t="inlineStr">
        <is>
          <t>普通</t>
        </is>
      </c>
      <c r="G326" s="348" t="inlineStr">
        <is>
          <t>石髯记事镯</t>
        </is>
      </c>
      <c r="H326" s="348" t="inlineStr">
        <is>
          <t>手镯</t>
        </is>
      </c>
      <c r="I326" s="348" t="inlineStr">
        <is>
          <t>手镯</t>
        </is>
      </c>
      <c r="J326" s="348" t="n">
        <v>5942</v>
      </c>
      <c r="K326" s="348" t="inlineStr">
        <is>
          <t>规划锁定／旧资源待实库回读</t>
        </is>
      </c>
      <c r="L326" s="349" t="inlineStr">
        <is>
          <t>装备资源库黄金圣律·神律</t>
        </is>
      </c>
    </row>
    <row r="327" ht="34" customHeight="1">
      <c r="A327" s="347" t="inlineStr">
        <is>
          <t>C08-M030</t>
        </is>
      </c>
      <c r="B327" s="348" t="inlineStr">
        <is>
          <t>C08</t>
        </is>
      </c>
      <c r="C327" s="348" t="inlineStr">
        <is>
          <t>巨人山顶</t>
        </is>
      </c>
      <c r="D327" s="348" t="inlineStr">
        <is>
          <t>XX326</t>
        </is>
      </c>
      <c r="E327" s="348" t="inlineStr">
        <is>
          <t>王座寒灯侍</t>
        </is>
      </c>
      <c r="F327" s="348" t="inlineStr">
        <is>
          <t>普通</t>
        </is>
      </c>
      <c r="G327" s="348" t="inlineStr">
        <is>
          <t>寒灯侍履</t>
        </is>
      </c>
      <c r="H327" s="348" t="inlineStr">
        <is>
          <t>鞋子</t>
        </is>
      </c>
      <c r="I327" s="348" t="inlineStr">
        <is>
          <t>鞋子</t>
        </is>
      </c>
      <c r="J327" s="348" t="n">
        <v>5928</v>
      </c>
      <c r="K327" s="348" t="inlineStr">
        <is>
          <t>规划锁定／旧资源待实库回读</t>
        </is>
      </c>
      <c r="L327" s="349" t="inlineStr">
        <is>
          <t>装备资源库黄金圣律·王权</t>
        </is>
      </c>
    </row>
    <row r="328" ht="34" customHeight="1">
      <c r="A328" s="347" t="inlineStr">
        <is>
          <t>C08-M031</t>
        </is>
      </c>
      <c r="B328" s="348" t="inlineStr">
        <is>
          <t>C08</t>
        </is>
      </c>
      <c r="C328" s="348" t="inlineStr">
        <is>
          <t>巨人山顶</t>
        </is>
      </c>
      <c r="D328" s="348" t="inlineStr">
        <is>
          <t>XX321</t>
        </is>
      </c>
      <c r="E328" s="348" t="inlineStr">
        <is>
          <t>外廊镜甲将</t>
        </is>
      </c>
      <c r="F328" s="348" t="inlineStr">
        <is>
          <t>稀有</t>
        </is>
      </c>
      <c r="G328" s="348" t="inlineStr">
        <is>
          <t>镜甲将军盔</t>
        </is>
      </c>
      <c r="H328" s="348" t="inlineStr">
        <is>
          <t>头盔</t>
        </is>
      </c>
      <c r="I328" s="348" t="inlineStr">
        <is>
          <t>头盔</t>
        </is>
      </c>
      <c r="J328" s="348" t="n">
        <v>5986</v>
      </c>
      <c r="K328" s="348" t="inlineStr">
        <is>
          <t>规划锁定／旧资源待实库回读</t>
        </is>
      </c>
      <c r="L328" s="349" t="inlineStr">
        <is>
          <t>装备资源库血月荆棘·夜蔷</t>
        </is>
      </c>
    </row>
    <row r="329" ht="34" customHeight="1">
      <c r="A329" s="347" t="inlineStr">
        <is>
          <t>C08-M032</t>
        </is>
      </c>
      <c r="B329" s="348" t="inlineStr">
        <is>
          <t>C08</t>
        </is>
      </c>
      <c r="C329" s="348" t="inlineStr">
        <is>
          <t>巨人山顶</t>
        </is>
      </c>
      <c r="D329" s="348" t="inlineStr">
        <is>
          <t>XX322</t>
        </is>
      </c>
      <c r="E329" s="348" t="inlineStr">
        <is>
          <t>内廷缄声女官</t>
        </is>
      </c>
      <c r="F329" s="348" t="inlineStr">
        <is>
          <t>稀有</t>
        </is>
      </c>
      <c r="G329" s="348" t="inlineStr">
        <is>
          <t>缄声霜帘笠</t>
        </is>
      </c>
      <c r="H329" s="348" t="inlineStr">
        <is>
          <t>斗笠</t>
        </is>
      </c>
      <c r="I329" s="348" t="inlineStr">
        <is>
          <t>面巾（位置13，对应斗笠）</t>
        </is>
      </c>
      <c r="J329" s="348" t="n">
        <v>6715</v>
      </c>
      <c r="K329" s="348" t="inlineStr">
        <is>
          <t>预检通过资源／规划锁定／待入库</t>
        </is>
      </c>
      <c r="L329" s="349" t="inlineStr">
        <is>
          <t>StdMode16/位置13；血月荆棘·血月</t>
        </is>
      </c>
    </row>
    <row r="330" ht="34" customHeight="1">
      <c r="A330" s="347" t="inlineStr">
        <is>
          <t>C08-M033</t>
        </is>
      </c>
      <c r="B330" s="348" t="inlineStr">
        <is>
          <t>C08</t>
        </is>
      </c>
      <c r="C330" s="348" t="inlineStr">
        <is>
          <t>巨人山顶</t>
        </is>
      </c>
      <c r="D330" s="348" t="inlineStr">
        <is>
          <t>XX323</t>
        </is>
      </c>
      <c r="E330" s="348" t="inlineStr">
        <is>
          <t>议殿古律巨人</t>
        </is>
      </c>
      <c r="F330" s="348" t="inlineStr">
        <is>
          <t>稀有</t>
        </is>
      </c>
      <c r="G330" s="348" t="inlineStr">
        <is>
          <t>古律铭板带</t>
        </is>
      </c>
      <c r="H330" s="348" t="inlineStr">
        <is>
          <t>腰带</t>
        </is>
      </c>
      <c r="I330" s="348" t="inlineStr">
        <is>
          <t>腰带</t>
        </is>
      </c>
      <c r="J330" s="348" t="n">
        <v>5920</v>
      </c>
      <c r="K330" s="348" t="inlineStr">
        <is>
          <t>规划锁定／旧资源待实库回读</t>
        </is>
      </c>
      <c r="L330" s="349" t="inlineStr">
        <is>
          <t>装备资源库黄金圣律·蓝辉</t>
        </is>
      </c>
    </row>
    <row r="331" ht="34" customHeight="1">
      <c r="A331" s="347" t="inlineStr">
        <is>
          <t>C08-M034</t>
        </is>
      </c>
      <c r="B331" s="348" t="inlineStr">
        <is>
          <t>C08</t>
        </is>
      </c>
      <c r="C331" s="348" t="inlineStr">
        <is>
          <t>巨人山顶</t>
        </is>
      </c>
      <c r="D331" s="348" t="inlineStr">
        <is>
          <t>XX326</t>
        </is>
      </c>
      <c r="E331" s="348" t="inlineStr">
        <is>
          <t>王座霜冠司礼</t>
        </is>
      </c>
      <c r="F331" s="348" t="inlineStr">
        <is>
          <t>稀有</t>
        </is>
      </c>
      <c r="G331" s="348" t="inlineStr">
        <is>
          <t>霜冠司礼戒</t>
        </is>
      </c>
      <c r="H331" s="348" t="inlineStr">
        <is>
          <t>戒指</t>
        </is>
      </c>
      <c r="I331" s="348" t="inlineStr">
        <is>
          <t>戒指</t>
        </is>
      </c>
      <c r="J331" s="348" t="n">
        <v>5970</v>
      </c>
      <c r="K331" s="348" t="inlineStr">
        <is>
          <t>规划锁定／旧资源待实库回读</t>
        </is>
      </c>
      <c r="L331" s="349" t="inlineStr">
        <is>
          <t>装备资源库血月荆棘·血棘</t>
        </is>
      </c>
    </row>
    <row r="332" ht="34" customHeight="1">
      <c r="A332" s="347" t="inlineStr">
        <is>
          <t>C08-M035</t>
        </is>
      </c>
      <c r="B332" s="348" t="inlineStr">
        <is>
          <t>C08</t>
        </is>
      </c>
      <c r="C332" s="348" t="inlineStr">
        <is>
          <t>巨人山顶</t>
        </is>
      </c>
      <c r="D332" s="348" t="inlineStr">
        <is>
          <t>XX323</t>
        </is>
      </c>
      <c r="E332" s="348" t="inlineStr">
        <is>
          <t>议殿白髯公·沃尔格</t>
        </is>
      </c>
      <c r="F332" s="348" t="inlineStr">
        <is>
          <t>地图BOSS</t>
        </is>
      </c>
      <c r="G332" s="348" t="inlineStr">
        <is>
          <t>沃尔格廷议杖</t>
        </is>
      </c>
      <c r="H332" s="348" t="inlineStr">
        <is>
          <t>武器</t>
        </is>
      </c>
      <c r="I332" s="348" t="inlineStr">
        <is>
          <t>武器</t>
        </is>
      </c>
      <c r="J332" s="348" t="n">
        <v>7176</v>
      </c>
      <c r="K332" s="348" t="inlineStr">
        <is>
          <t>测试三库资源已回读</t>
        </is>
      </c>
      <c r="L332" s="349" t="inlineStr">
        <is>
          <t>测试资源：0001_黄金圣树·初誓_武器.bmp；三库同码</t>
        </is>
      </c>
    </row>
    <row r="333" ht="34" customHeight="1">
      <c r="A333" s="347" t="inlineStr">
        <is>
          <t>C08-M036</t>
        </is>
      </c>
      <c r="B333" s="348" t="inlineStr">
        <is>
          <t>C08</t>
        </is>
      </c>
      <c r="C333" s="348" t="inlineStr">
        <is>
          <t>巨人山顶</t>
        </is>
      </c>
      <c r="D333" s="348" t="inlineStr">
        <is>
          <t>XX326</t>
        </is>
      </c>
      <c r="E333" s="348" t="inlineStr">
        <is>
          <t>冰宫摄政后·伊瑟芮</t>
        </is>
      </c>
      <c r="F333" s="348" t="inlineStr">
        <is>
          <t>地图BOSS</t>
        </is>
      </c>
      <c r="G333" s="348" t="inlineStr">
        <is>
          <t>伊瑟芮冰绡袍</t>
        </is>
      </c>
      <c r="H333" s="348" t="inlineStr">
        <is>
          <t>衣服</t>
        </is>
      </c>
      <c r="I333" s="348" t="inlineStr">
        <is>
          <t>男衣服（现行模板的衣服映射）</t>
        </is>
      </c>
      <c r="J333" s="348" t="n">
        <v>7177</v>
      </c>
      <c r="K333" s="348" t="inlineStr">
        <is>
          <t>测试三库资源已回读</t>
        </is>
      </c>
      <c r="L333" s="349" t="inlineStr">
        <is>
          <t>测试资源：0352_星渊龙息·星痕_男衣服.bmp；三库同码</t>
        </is>
      </c>
    </row>
    <row r="334" ht="34" customHeight="1">
      <c r="A334" s="347" t="inlineStr">
        <is>
          <t>C08-M037</t>
        </is>
      </c>
      <c r="B334" s="348" t="inlineStr">
        <is>
          <t>C08</t>
        </is>
      </c>
      <c r="C334" s="348" t="inlineStr">
        <is>
          <t>巨人山顶</t>
        </is>
      </c>
      <c r="D334" s="348" t="inlineStr">
        <is>
          <t>XX899</t>
        </is>
      </c>
      <c r="E334" s="348" t="inlineStr">
        <is>
          <t>王庭铸霜卫</t>
        </is>
      </c>
      <c r="F334" s="348" t="inlineStr">
        <is>
          <t>普通</t>
        </is>
      </c>
      <c r="G334" s="348" t="inlineStr">
        <is>
          <t>铸霜庭卫戟</t>
        </is>
      </c>
      <c r="H334" s="348" t="inlineStr">
        <is>
          <t>武器</t>
        </is>
      </c>
      <c r="I334" s="348" t="inlineStr">
        <is>
          <t>武器</t>
        </is>
      </c>
      <c r="J334" s="348" t="n">
        <v>7178</v>
      </c>
      <c r="K334" s="348" t="inlineStr">
        <is>
          <t>测试三库资源已回读</t>
        </is>
      </c>
      <c r="L334" s="349" t="inlineStr">
        <is>
          <t>测试资源：0036_黄金圣树·圣枝_武器.bmp；三库同码</t>
        </is>
      </c>
    </row>
    <row r="335" ht="34" customHeight="1">
      <c r="A335" s="347" t="inlineStr">
        <is>
          <t>C08-M038</t>
        </is>
      </c>
      <c r="B335" s="348" t="inlineStr">
        <is>
          <t>C08</t>
        </is>
      </c>
      <c r="C335" s="348" t="inlineStr">
        <is>
          <t>巨人山顶</t>
        </is>
      </c>
      <c r="D335" s="348" t="inlineStr">
        <is>
          <t>XX899</t>
        </is>
      </c>
      <c r="E335" s="348" t="inlineStr">
        <is>
          <t>庭阶雪鬃獒</t>
        </is>
      </c>
      <c r="F335" s="348" t="inlineStr">
        <is>
          <t>普通</t>
        </is>
      </c>
      <c r="G335" s="348" t="inlineStr">
        <is>
          <t>雪鬃獒踏靴</t>
        </is>
      </c>
      <c r="H335" s="348" t="inlineStr">
        <is>
          <t>鞋子</t>
        </is>
      </c>
      <c r="I335" s="348" t="inlineStr">
        <is>
          <t>鞋子</t>
        </is>
      </c>
      <c r="J335" s="348" t="n">
        <v>5937</v>
      </c>
      <c r="K335" s="348" t="inlineStr">
        <is>
          <t>规划锁定／旧资源待实库回读</t>
        </is>
      </c>
      <c r="L335" s="349" t="inlineStr">
        <is>
          <t>装备资源库黄金圣律·日冕</t>
        </is>
      </c>
    </row>
    <row r="336" ht="34" customHeight="1">
      <c r="A336" s="347" t="inlineStr">
        <is>
          <t>C08-M039</t>
        </is>
      </c>
      <c r="B336" s="348" t="inlineStr">
        <is>
          <t>C08</t>
        </is>
      </c>
      <c r="C336" s="348" t="inlineStr">
        <is>
          <t>巨人山顶</t>
        </is>
      </c>
      <c r="D336" s="348" t="inlineStr">
        <is>
          <t>XX898</t>
        </is>
      </c>
      <c r="E336" s="348" t="inlineStr">
        <is>
          <t>内宫白毡侍</t>
        </is>
      </c>
      <c r="F336" s="348" t="inlineStr">
        <is>
          <t>普通</t>
        </is>
      </c>
      <c r="G336" s="348" t="inlineStr">
        <is>
          <t>白毡宫衣</t>
        </is>
      </c>
      <c r="H336" s="348" t="inlineStr">
        <is>
          <t>衣服</t>
        </is>
      </c>
      <c r="I336" s="348" t="inlineStr">
        <is>
          <t>男衣服（现行模板的衣服映射）</t>
        </is>
      </c>
      <c r="J336" s="348" t="n">
        <v>7179</v>
      </c>
      <c r="K336" s="348" t="inlineStr">
        <is>
          <t>测试三库资源已回读</t>
        </is>
      </c>
      <c r="L336" s="349" t="inlineStr">
        <is>
          <t>测试资源：0387_星渊龙息·龙鳞_男衣服.bmp；三库同码</t>
        </is>
      </c>
    </row>
    <row r="337" ht="34" customHeight="1">
      <c r="A337" s="347" t="inlineStr">
        <is>
          <t>C08-M040</t>
        </is>
      </c>
      <c r="B337" s="348" t="inlineStr">
        <is>
          <t>C08</t>
        </is>
      </c>
      <c r="C337" s="348" t="inlineStr">
        <is>
          <t>巨人山顶</t>
        </is>
      </c>
      <c r="D337" s="348" t="inlineStr">
        <is>
          <t>XX898</t>
        </is>
      </c>
      <c r="E337" s="348" t="inlineStr">
        <is>
          <t>雪域巡烛官</t>
        </is>
      </c>
      <c r="F337" s="348" t="inlineStr">
        <is>
          <t>普通</t>
        </is>
      </c>
      <c r="G337" s="348" t="inlineStr">
        <is>
          <t>巡烛官灯坠</t>
        </is>
      </c>
      <c r="H337" s="348" t="inlineStr">
        <is>
          <t>项链</t>
        </is>
      </c>
      <c r="I337" s="348" t="inlineStr">
        <is>
          <t>项链</t>
        </is>
      </c>
      <c r="J337" s="348" t="n">
        <v>5994</v>
      </c>
      <c r="K337" s="348" t="inlineStr">
        <is>
          <t>规划锁定／旧资源待实库回读</t>
        </is>
      </c>
      <c r="L337" s="349" t="inlineStr">
        <is>
          <t>装备资源库血月荆棘·赤冠</t>
        </is>
      </c>
    </row>
    <row r="338" ht="34" customHeight="1">
      <c r="A338" s="347" t="inlineStr">
        <is>
          <t>C08-M041</t>
        </is>
      </c>
      <c r="B338" s="348" t="inlineStr">
        <is>
          <t>C08</t>
        </is>
      </c>
      <c r="C338" s="348" t="inlineStr">
        <is>
          <t>巨人山顶</t>
        </is>
      </c>
      <c r="D338" s="348" t="inlineStr">
        <is>
          <t>XX897</t>
        </is>
      </c>
      <c r="E338" s="348" t="inlineStr">
        <is>
          <t>王座负碑巨人</t>
        </is>
      </c>
      <c r="F338" s="348" t="inlineStr">
        <is>
          <t>普通</t>
        </is>
      </c>
      <c r="G338" s="348" t="inlineStr">
        <is>
          <t>负碑王座盾</t>
        </is>
      </c>
      <c r="H338" s="348" t="inlineStr">
        <is>
          <t>盾牌</t>
        </is>
      </c>
      <c r="I338" s="348" t="inlineStr">
        <is>
          <t>盾牌</t>
        </is>
      </c>
      <c r="J338" s="348" t="n">
        <v>5944</v>
      </c>
      <c r="K338" s="348" t="inlineStr">
        <is>
          <t>规划锁定／旧资源待实库回读</t>
        </is>
      </c>
      <c r="L338" s="349" t="inlineStr">
        <is>
          <t>装备资源库黄金圣律·神律</t>
        </is>
      </c>
    </row>
    <row r="339" ht="34" customHeight="1">
      <c r="A339" s="347" t="inlineStr">
        <is>
          <t>C08-M042</t>
        </is>
      </c>
      <c r="B339" s="348" t="inlineStr">
        <is>
          <t>C08</t>
        </is>
      </c>
      <c r="C339" s="348" t="inlineStr">
        <is>
          <t>巨人山顶</t>
        </is>
      </c>
      <c r="D339" s="348" t="inlineStr">
        <is>
          <t>XX897</t>
        </is>
      </c>
      <c r="E339" s="348" t="inlineStr">
        <is>
          <t>王座冰铃童</t>
        </is>
      </c>
      <c r="F339" s="348" t="inlineStr">
        <is>
          <t>普通</t>
        </is>
      </c>
      <c r="G339" s="348" t="inlineStr">
        <is>
          <t>冰铃童腕镯</t>
        </is>
      </c>
      <c r="H339" s="348" t="inlineStr">
        <is>
          <t>手镯</t>
        </is>
      </c>
      <c r="I339" s="348" t="inlineStr">
        <is>
          <t>手镯</t>
        </is>
      </c>
      <c r="J339" s="348" t="n">
        <v>5951</v>
      </c>
      <c r="K339" s="348" t="inlineStr">
        <is>
          <t>规划锁定／旧资源待实库回读</t>
        </is>
      </c>
      <c r="L339" s="349" t="inlineStr">
        <is>
          <t>装备资源库黄金圣律·永耀</t>
        </is>
      </c>
    </row>
    <row r="340" ht="34" customHeight="1">
      <c r="A340" s="347" t="inlineStr">
        <is>
          <t>C08-M043</t>
        </is>
      </c>
      <c r="B340" s="348" t="inlineStr">
        <is>
          <t>C08</t>
        </is>
      </c>
      <c r="C340" s="348" t="inlineStr">
        <is>
          <t>巨人山顶</t>
        </is>
      </c>
      <c r="D340" s="348" t="inlineStr">
        <is>
          <t>XX899</t>
        </is>
      </c>
      <c r="E340" s="348" t="inlineStr">
        <is>
          <t>觐庭裂盔侯</t>
        </is>
      </c>
      <c r="F340" s="348" t="inlineStr">
        <is>
          <t>稀有</t>
        </is>
      </c>
      <c r="G340" s="348" t="inlineStr">
        <is>
          <t>觐庭裂纹盔</t>
        </is>
      </c>
      <c r="H340" s="348" t="inlineStr">
        <is>
          <t>头盔</t>
        </is>
      </c>
      <c r="I340" s="348" t="inlineStr">
        <is>
          <t>头盔</t>
        </is>
      </c>
      <c r="J340" s="348" t="n">
        <v>5995</v>
      </c>
      <c r="K340" s="348" t="inlineStr">
        <is>
          <t>规划锁定／旧资源待实库回读</t>
        </is>
      </c>
      <c r="L340" s="349" t="inlineStr">
        <is>
          <t>装备资源库血月荆棘·赤冠</t>
        </is>
      </c>
    </row>
    <row r="341" ht="34" customHeight="1">
      <c r="A341" s="347" t="inlineStr">
        <is>
          <t>C08-M044</t>
        </is>
      </c>
      <c r="B341" s="348" t="inlineStr">
        <is>
          <t>C08</t>
        </is>
      </c>
      <c r="C341" s="348" t="inlineStr">
        <is>
          <t>巨人山顶</t>
        </is>
      </c>
      <c r="D341" s="348" t="inlineStr">
        <is>
          <t>XX898</t>
        </is>
      </c>
      <c r="E341" s="348" t="inlineStr">
        <is>
          <t>内宫织雪妪</t>
        </is>
      </c>
      <c r="F341" s="348" t="inlineStr">
        <is>
          <t>稀有</t>
        </is>
      </c>
      <c r="G341" s="348" t="inlineStr">
        <is>
          <t>织雪白绒笠</t>
        </is>
      </c>
      <c r="H341" s="348" t="inlineStr">
        <is>
          <t>斗笠</t>
        </is>
      </c>
      <c r="I341" s="348" t="inlineStr">
        <is>
          <t>面巾（位置13，对应斗笠）</t>
        </is>
      </c>
      <c r="J341" s="348" t="n">
        <v>6750</v>
      </c>
      <c r="K341" s="348" t="inlineStr">
        <is>
          <t>预检通过资源／规划锁定／待入库</t>
        </is>
      </c>
      <c r="L341" s="349" t="inlineStr">
        <is>
          <t>StdMode16/位置13；星渊龙息·星痕</t>
        </is>
      </c>
    </row>
    <row r="342" ht="34" customHeight="1">
      <c r="A342" s="347" t="inlineStr">
        <is>
          <t>C08-M045</t>
        </is>
      </c>
      <c r="B342" s="348" t="inlineStr">
        <is>
          <t>C08</t>
        </is>
      </c>
      <c r="C342" s="348" t="inlineStr">
        <is>
          <t>巨人山顶</t>
        </is>
      </c>
      <c r="D342" s="348" t="inlineStr">
        <is>
          <t>XX898</t>
        </is>
      </c>
      <c r="E342" s="348" t="inlineStr">
        <is>
          <t>雪域封门将</t>
        </is>
      </c>
      <c r="F342" s="348" t="inlineStr">
        <is>
          <t>稀有</t>
        </is>
      </c>
      <c r="G342" s="348" t="inlineStr">
        <is>
          <t>封门玄冰带</t>
        </is>
      </c>
      <c r="H342" s="348" t="inlineStr">
        <is>
          <t>腰带</t>
        </is>
      </c>
      <c r="I342" s="348" t="inlineStr">
        <is>
          <t>腰带</t>
        </is>
      </c>
      <c r="J342" s="348" t="n">
        <v>5929</v>
      </c>
      <c r="K342" s="348" t="inlineStr">
        <is>
          <t>规划锁定／旧资源待实库回读</t>
        </is>
      </c>
      <c r="L342" s="349" t="inlineStr">
        <is>
          <t>装备资源库黄金圣律·王权</t>
        </is>
      </c>
    </row>
    <row r="343" ht="34" customHeight="1">
      <c r="A343" s="347" t="inlineStr">
        <is>
          <t>C08-M046</t>
        </is>
      </c>
      <c r="B343" s="348" t="inlineStr">
        <is>
          <t>C08</t>
        </is>
      </c>
      <c r="C343" s="348" t="inlineStr">
        <is>
          <t>巨人山顶</t>
        </is>
      </c>
      <c r="D343" s="348" t="inlineStr">
        <is>
          <t>XX897</t>
        </is>
      </c>
      <c r="E343" s="348" t="inlineStr">
        <is>
          <t>王座守梦巫</t>
        </is>
      </c>
      <c r="F343" s="348" t="inlineStr">
        <is>
          <t>稀有</t>
        </is>
      </c>
      <c r="G343" s="348" t="inlineStr">
        <is>
          <t>守梦霜瞳戒</t>
        </is>
      </c>
      <c r="H343" s="348" t="inlineStr">
        <is>
          <t>戒指</t>
        </is>
      </c>
      <c r="I343" s="348" t="inlineStr">
        <is>
          <t>戒指</t>
        </is>
      </c>
      <c r="J343" s="348" t="n">
        <v>5979</v>
      </c>
      <c r="K343" s="348" t="inlineStr">
        <is>
          <t>规划锁定／旧资源待实库回读</t>
        </is>
      </c>
      <c r="L343" s="349" t="inlineStr">
        <is>
          <t>装备资源库血月荆棘·猩痕</t>
        </is>
      </c>
    </row>
    <row r="344" ht="34" customHeight="1">
      <c r="A344" s="347" t="inlineStr">
        <is>
          <t>C08-M047</t>
        </is>
      </c>
      <c r="B344" s="348" t="inlineStr">
        <is>
          <t>C08</t>
        </is>
      </c>
      <c r="C344" s="348" t="inlineStr">
        <is>
          <t>巨人山顶</t>
        </is>
      </c>
      <c r="D344" s="348" t="inlineStr">
        <is>
          <t>XX898</t>
        </is>
      </c>
      <c r="E344" s="348" t="inlineStr">
        <is>
          <t>内宫冬眠王·格罗尔</t>
        </is>
      </c>
      <c r="F344" s="348" t="inlineStr">
        <is>
          <t>地图BOSS</t>
        </is>
      </c>
      <c r="G344" s="348" t="inlineStr">
        <is>
          <t>格罗尔冬眠刃</t>
        </is>
      </c>
      <c r="H344" s="348" t="inlineStr">
        <is>
          <t>武器</t>
        </is>
      </c>
      <c r="I344" s="348" t="inlineStr">
        <is>
          <t>武器</t>
        </is>
      </c>
      <c r="J344" s="348" t="n">
        <v>7180</v>
      </c>
      <c r="K344" s="348" t="inlineStr">
        <is>
          <t>测试三库资源已回读</t>
        </is>
      </c>
      <c r="L344" s="349" t="inlineStr">
        <is>
          <t>测试资源：0071_黄金圣树·王权_武器.bmp；三库同码</t>
        </is>
      </c>
    </row>
    <row r="345" ht="34" customHeight="1">
      <c r="A345" s="347" t="inlineStr">
        <is>
          <t>C08-M048</t>
        </is>
      </c>
      <c r="B345" s="348" t="inlineStr">
        <is>
          <t>C08</t>
        </is>
      </c>
      <c r="C345" s="348" t="inlineStr">
        <is>
          <t>巨人山顶</t>
        </is>
      </c>
      <c r="D345" s="348" t="inlineStr">
        <is>
          <t>XX897</t>
        </is>
      </c>
      <c r="E345" s="348" t="inlineStr">
        <is>
          <t>巨人女王·赫芮迦</t>
        </is>
      </c>
      <c r="F345" s="348" t="inlineStr">
        <is>
          <t>地图BOSS</t>
        </is>
      </c>
      <c r="G345" s="348" t="inlineStr">
        <is>
          <t>赫芮迦穹霜王衣</t>
        </is>
      </c>
      <c r="H345" s="348" t="inlineStr">
        <is>
          <t>衣服</t>
        </is>
      </c>
      <c r="I345" s="348" t="inlineStr">
        <is>
          <t>男衣服（现行模板的衣服映射）</t>
        </is>
      </c>
      <c r="J345" s="348" t="n">
        <v>7181</v>
      </c>
      <c r="K345" s="348" t="inlineStr">
        <is>
          <t>测试三库资源已回读</t>
        </is>
      </c>
      <c r="L345" s="349" t="inlineStr">
        <is>
          <t>测试资源：0422_星渊龙息·渊辉_男衣服.bmp；三库同码</t>
        </is>
      </c>
    </row>
    <row r="346" ht="34" customHeight="1">
      <c r="A346" s="347" t="inlineStr">
        <is>
          <t>C08-M049</t>
        </is>
      </c>
      <c r="B346" s="348" t="inlineStr">
        <is>
          <t>C08</t>
        </is>
      </c>
      <c r="C346" s="348" t="inlineStr">
        <is>
          <t>巨人山顶</t>
        </is>
      </c>
      <c r="D346" s="348" t="inlineStr">
        <is>
          <t>XX897</t>
        </is>
      </c>
      <c r="E346" s="348" t="inlineStr">
        <is>
          <t>吞日霜王·乌尔迈</t>
        </is>
      </c>
      <c r="F346" s="348" t="inlineStr">
        <is>
          <t>守关BOSS</t>
        </is>
      </c>
      <c r="G346" s="348" t="inlineStr">
        <is>
          <t>乌尔迈吞日巨剑</t>
        </is>
      </c>
      <c r="H346" s="348" t="inlineStr">
        <is>
          <t>武器</t>
        </is>
      </c>
      <c r="I346" s="348" t="inlineStr">
        <is>
          <t>武器</t>
        </is>
      </c>
      <c r="J346" s="348" t="n">
        <v>6991</v>
      </c>
      <c r="K346" s="348" t="inlineStr">
        <is>
          <t>预检通过资源／规划锁定／待入库</t>
        </is>
      </c>
      <c r="L346" s="349" t="inlineStr">
        <is>
          <t>装备资源库翠焰冥契·冥契</t>
        </is>
      </c>
    </row>
    <row r="347" ht="34" customHeight="1">
      <c r="A347" s="347" t="inlineStr">
        <is>
          <t>C09-M001</t>
        </is>
      </c>
      <c r="B347" s="348" t="inlineStr">
        <is>
          <t>C09</t>
        </is>
      </c>
      <c r="C347" s="348" t="inlineStr">
        <is>
          <t>亚坛高原</t>
        </is>
      </c>
      <c r="D347" s="348" t="inlineStr">
        <is>
          <t>XX720</t>
        </is>
      </c>
      <c r="E347" s="348" t="inlineStr">
        <is>
          <t>金叶角鹿</t>
        </is>
      </c>
      <c r="F347" s="348" t="inlineStr">
        <is>
          <t>普通</t>
        </is>
      </c>
      <c r="G347" s="348" t="inlineStr">
        <is>
          <t>角鹿逐叶履</t>
        </is>
      </c>
      <c r="H347" s="348" t="inlineStr">
        <is>
          <t>鞋子</t>
        </is>
      </c>
      <c r="I347" s="348" t="inlineStr">
        <is>
          <t>鞋子</t>
        </is>
      </c>
      <c r="J347" s="348" t="n">
        <v>5946</v>
      </c>
      <c r="K347" s="348" t="inlineStr">
        <is>
          <t>规划锁定／旧资源待实库回读</t>
        </is>
      </c>
      <c r="L347" s="349" t="inlineStr">
        <is>
          <t>装备资源库黄金圣律·神律</t>
        </is>
      </c>
    </row>
    <row r="348" ht="34" customHeight="1">
      <c r="A348" s="347" t="inlineStr">
        <is>
          <t>C09-M002</t>
        </is>
      </c>
      <c r="B348" s="348" t="inlineStr">
        <is>
          <t>C09</t>
        </is>
      </c>
      <c r="C348" s="348" t="inlineStr">
        <is>
          <t>亚坛高原</t>
        </is>
      </c>
      <c r="D348" s="348" t="inlineStr">
        <is>
          <t>XX720</t>
        </is>
      </c>
      <c r="E348" s="348" t="inlineStr">
        <is>
          <t>拾穗旅盗</t>
        </is>
      </c>
      <c r="F348" s="348" t="inlineStr">
        <is>
          <t>普通</t>
        </is>
      </c>
      <c r="G348" s="348" t="inlineStr">
        <is>
          <t>拾穗弯刃</t>
        </is>
      </c>
      <c r="H348" s="348" t="inlineStr">
        <is>
          <t>武器</t>
        </is>
      </c>
      <c r="I348" s="348" t="inlineStr">
        <is>
          <t>武器</t>
        </is>
      </c>
      <c r="J348" s="348" t="n">
        <v>7182</v>
      </c>
      <c r="K348" s="348" t="inlineStr">
        <is>
          <t>测试三库资源已回读</t>
        </is>
      </c>
      <c r="L348" s="349" t="inlineStr">
        <is>
          <t>测试资源：0106_黄金圣树·律法_武器.bmp；三库同码</t>
        </is>
      </c>
    </row>
    <row r="349" ht="34" customHeight="1">
      <c r="A349" s="347" t="inlineStr">
        <is>
          <t>C09-M003</t>
        </is>
      </c>
      <c r="B349" s="348" t="inlineStr">
        <is>
          <t>C09</t>
        </is>
      </c>
      <c r="C349" s="348" t="inlineStr">
        <is>
          <t>亚坛高原</t>
        </is>
      </c>
      <c r="D349" s="348" t="inlineStr">
        <is>
          <t>XX717</t>
        </is>
      </c>
      <c r="E349" s="348" t="inlineStr">
        <is>
          <t>秋风驿卒</t>
        </is>
      </c>
      <c r="F349" s="348" t="inlineStr">
        <is>
          <t>普通</t>
        </is>
      </c>
      <c r="G349" s="348" t="inlineStr">
        <is>
          <t>驿卒挡风盔</t>
        </is>
      </c>
      <c r="H349" s="348" t="inlineStr">
        <is>
          <t>头盔</t>
        </is>
      </c>
      <c r="I349" s="348" t="inlineStr">
        <is>
          <t>头盔</t>
        </is>
      </c>
      <c r="J349" s="348" t="n">
        <v>6004</v>
      </c>
      <c r="K349" s="348" t="inlineStr">
        <is>
          <t>规划锁定／旧资源待实库回读</t>
        </is>
      </c>
      <c r="L349" s="349" t="inlineStr">
        <is>
          <t>装备资源库血月荆棘·月蚀</t>
        </is>
      </c>
    </row>
    <row r="350" ht="34" customHeight="1">
      <c r="A350" s="347" t="inlineStr">
        <is>
          <t>C09-M004</t>
        </is>
      </c>
      <c r="B350" s="348" t="inlineStr">
        <is>
          <t>C09</t>
        </is>
      </c>
      <c r="C350" s="348" t="inlineStr">
        <is>
          <t>亚坛高原</t>
        </is>
      </c>
      <c r="D350" s="348" t="inlineStr">
        <is>
          <t>XX717</t>
        </is>
      </c>
      <c r="E350" s="348" t="inlineStr">
        <is>
          <t>驿路驮甲虫</t>
        </is>
      </c>
      <c r="F350" s="348" t="inlineStr">
        <is>
          <t>普通</t>
        </is>
      </c>
      <c r="G350" s="348" t="inlineStr">
        <is>
          <t>驮甲叶纹盾</t>
        </is>
      </c>
      <c r="H350" s="348" t="inlineStr">
        <is>
          <t>盾牌</t>
        </is>
      </c>
      <c r="I350" s="348" t="inlineStr">
        <is>
          <t>盾牌</t>
        </is>
      </c>
      <c r="J350" s="348" t="n">
        <v>5962</v>
      </c>
      <c r="K350" s="348" t="inlineStr">
        <is>
          <t>规划锁定／旧资源待实库回读</t>
        </is>
      </c>
      <c r="L350" s="349" t="inlineStr">
        <is>
          <t>装备资源库血月荆棘·暗芽</t>
        </is>
      </c>
    </row>
    <row r="351" ht="34" customHeight="1">
      <c r="A351" s="347" t="inlineStr">
        <is>
          <t>C09-M005</t>
        </is>
      </c>
      <c r="B351" s="348" t="inlineStr">
        <is>
          <t>C09</t>
        </is>
      </c>
      <c r="C351" s="348" t="inlineStr">
        <is>
          <t>亚坛高原</t>
        </is>
      </c>
      <c r="D351" s="348" t="inlineStr">
        <is>
          <t>XX718</t>
        </is>
      </c>
      <c r="E351" s="348" t="inlineStr">
        <is>
          <t>陵园鎏苔像</t>
        </is>
      </c>
      <c r="F351" s="348" t="inlineStr">
        <is>
          <t>普通</t>
        </is>
      </c>
      <c r="G351" s="348" t="inlineStr">
        <is>
          <t>鎏苔守陵衣</t>
        </is>
      </c>
      <c r="H351" s="348" t="inlineStr">
        <is>
          <t>衣服</t>
        </is>
      </c>
      <c r="I351" s="348" t="inlineStr">
        <is>
          <t>男衣服（现行模板的衣服映射）</t>
        </is>
      </c>
      <c r="J351" s="348" t="n">
        <v>7183</v>
      </c>
      <c r="K351" s="348" t="inlineStr">
        <is>
          <t>测试三库资源已回读</t>
        </is>
      </c>
      <c r="L351" s="349" t="inlineStr">
        <is>
          <t>测试资源：0457_星渊龙息·天穹_男衣服.bmp；三库同码</t>
        </is>
      </c>
    </row>
    <row r="352" ht="34" customHeight="1">
      <c r="A352" s="347" t="inlineStr">
        <is>
          <t>C09-M006</t>
        </is>
      </c>
      <c r="B352" s="348" t="inlineStr">
        <is>
          <t>C09</t>
        </is>
      </c>
      <c r="C352" s="348" t="inlineStr">
        <is>
          <t>亚坛高原</t>
        </is>
      </c>
      <c r="D352" s="348" t="inlineStr">
        <is>
          <t>XX721</t>
        </is>
      </c>
      <c r="E352" s="348" t="inlineStr">
        <is>
          <t>祭坛衔烛鸦</t>
        </is>
      </c>
      <c r="F352" s="348" t="inlineStr">
        <is>
          <t>普通</t>
        </is>
      </c>
      <c r="G352" s="348" t="inlineStr">
        <is>
          <t>衔烛鸦羽坠</t>
        </is>
      </c>
      <c r="H352" s="348" t="inlineStr">
        <is>
          <t>项链</t>
        </is>
      </c>
      <c r="I352" s="348" t="inlineStr">
        <is>
          <t>项链</t>
        </is>
      </c>
      <c r="J352" s="348" t="n">
        <v>6003</v>
      </c>
      <c r="K352" s="348" t="inlineStr">
        <is>
          <t>规划锁定／旧资源待实库回读</t>
        </is>
      </c>
      <c r="L352" s="349" t="inlineStr">
        <is>
          <t>装备资源库血月荆棘·月蚀</t>
        </is>
      </c>
    </row>
    <row r="353" ht="34" customHeight="1">
      <c r="A353" s="347" t="inlineStr">
        <is>
          <t>C09-M007</t>
        </is>
      </c>
      <c r="B353" s="348" t="inlineStr">
        <is>
          <t>C09</t>
        </is>
      </c>
      <c r="C353" s="348" t="inlineStr">
        <is>
          <t>亚坛高原</t>
        </is>
      </c>
      <c r="D353" s="348" t="inlineStr">
        <is>
          <t>XX720</t>
        </is>
      </c>
      <c r="E353" s="348" t="inlineStr">
        <is>
          <t>落叶占路僧</t>
        </is>
      </c>
      <c r="F353" s="348" t="inlineStr">
        <is>
          <t>稀有</t>
        </is>
      </c>
      <c r="G353" s="348" t="inlineStr">
        <is>
          <t>占路秋叶笠</t>
        </is>
      </c>
      <c r="H353" s="348" t="inlineStr">
        <is>
          <t>斗笠</t>
        </is>
      </c>
      <c r="I353" s="348" t="inlineStr">
        <is>
          <t>面巾（位置13，对应斗笠）</t>
        </is>
      </c>
      <c r="J353" s="348" t="n">
        <v>6785</v>
      </c>
      <c r="K353" s="348" t="inlineStr">
        <is>
          <t>预检通过资源／规划锁定／待入库</t>
        </is>
      </c>
      <c r="L353" s="349" t="inlineStr">
        <is>
          <t>StdMode16/位置13；星渊龙息·龙鳞</t>
        </is>
      </c>
    </row>
    <row r="354" ht="34" customHeight="1">
      <c r="A354" s="347" t="inlineStr">
        <is>
          <t>C09-M008</t>
        </is>
      </c>
      <c r="B354" s="348" t="inlineStr">
        <is>
          <t>C09</t>
        </is>
      </c>
      <c r="C354" s="348" t="inlineStr">
        <is>
          <t>亚坛高原</t>
        </is>
      </c>
      <c r="D354" s="348" t="inlineStr">
        <is>
          <t>XX717</t>
        </is>
      </c>
      <c r="E354" s="348" t="inlineStr">
        <is>
          <t>逆风驿骑</t>
        </is>
      </c>
      <c r="F354" s="348" t="inlineStr">
        <is>
          <t>稀有</t>
        </is>
      </c>
      <c r="G354" s="348" t="inlineStr">
        <is>
          <t>逆风驿骑带</t>
        </is>
      </c>
      <c r="H354" s="348" t="inlineStr">
        <is>
          <t>腰带</t>
        </is>
      </c>
      <c r="I354" s="348" t="inlineStr">
        <is>
          <t>腰带</t>
        </is>
      </c>
      <c r="J354" s="348" t="n">
        <v>5938</v>
      </c>
      <c r="K354" s="348" t="inlineStr">
        <is>
          <t>规划锁定／旧资源待实库回读</t>
        </is>
      </c>
      <c r="L354" s="349" t="inlineStr">
        <is>
          <t>装备资源库黄金圣律·日冕</t>
        </is>
      </c>
    </row>
    <row r="355" ht="34" customHeight="1">
      <c r="A355" s="347" t="inlineStr">
        <is>
          <t>C09-M009</t>
        </is>
      </c>
      <c r="B355" s="348" t="inlineStr">
        <is>
          <t>C09</t>
        </is>
      </c>
      <c r="C355" s="348" t="inlineStr">
        <is>
          <t>亚坛高原</t>
        </is>
      </c>
      <c r="D355" s="348" t="inlineStr">
        <is>
          <t>XX718</t>
        </is>
      </c>
      <c r="E355" s="348" t="inlineStr">
        <is>
          <t>守陵金颚兽</t>
        </is>
      </c>
      <c r="F355" s="348" t="inlineStr">
        <is>
          <t>稀有</t>
        </is>
      </c>
      <c r="G355" s="348" t="inlineStr">
        <is>
          <t>金颚守陵镯</t>
        </is>
      </c>
      <c r="H355" s="348" t="inlineStr">
        <is>
          <t>手镯</t>
        </is>
      </c>
      <c r="I355" s="348" t="inlineStr">
        <is>
          <t>手镯</t>
        </is>
      </c>
      <c r="J355" s="348" t="n">
        <v>5960</v>
      </c>
      <c r="K355" s="348" t="inlineStr">
        <is>
          <t>规划锁定／旧资源待实库回读</t>
        </is>
      </c>
      <c r="L355" s="349" t="inlineStr">
        <is>
          <t>装备资源库血月荆棘·暗芽</t>
        </is>
      </c>
    </row>
    <row r="356" ht="34" customHeight="1">
      <c r="A356" s="347" t="inlineStr">
        <is>
          <t>C09-M010</t>
        </is>
      </c>
      <c r="B356" s="348" t="inlineStr">
        <is>
          <t>C09</t>
        </is>
      </c>
      <c r="C356" s="348" t="inlineStr">
        <is>
          <t>亚坛高原</t>
        </is>
      </c>
      <c r="D356" s="348" t="inlineStr">
        <is>
          <t>XX721</t>
        </is>
      </c>
      <c r="E356" s="348" t="inlineStr">
        <is>
          <t>古王献梦者</t>
        </is>
      </c>
      <c r="F356" s="348" t="inlineStr">
        <is>
          <t>稀有</t>
        </is>
      </c>
      <c r="G356" s="348" t="inlineStr">
        <is>
          <t>献梦琥金戒</t>
        </is>
      </c>
      <c r="H356" s="348" t="inlineStr">
        <is>
          <t>戒指</t>
        </is>
      </c>
      <c r="I356" s="348" t="inlineStr">
        <is>
          <t>戒指</t>
        </is>
      </c>
      <c r="J356" s="348" t="n">
        <v>5988</v>
      </c>
      <c r="K356" s="348" t="inlineStr">
        <is>
          <t>规划锁定／旧资源待实库回读</t>
        </is>
      </c>
      <c r="L356" s="349" t="inlineStr">
        <is>
          <t>装备资源库血月荆棘·夜蔷</t>
        </is>
      </c>
    </row>
    <row r="357" ht="34" customHeight="1">
      <c r="A357" s="347" t="inlineStr">
        <is>
          <t>C09-M011</t>
        </is>
      </c>
      <c r="B357" s="348" t="inlineStr">
        <is>
          <t>C09</t>
        </is>
      </c>
      <c r="C357" s="348" t="inlineStr">
        <is>
          <t>亚坛高原</t>
        </is>
      </c>
      <c r="D357" s="348" t="inlineStr">
        <is>
          <t>XX718</t>
        </is>
      </c>
      <c r="E357" s="348" t="inlineStr">
        <is>
          <t>陵园摘冠侯·阿维恩</t>
        </is>
      </c>
      <c r="F357" s="348" t="inlineStr">
        <is>
          <t>地图BOSS</t>
        </is>
      </c>
      <c r="G357" s="348" t="inlineStr">
        <is>
          <t>阿维恩摘冠剑</t>
        </is>
      </c>
      <c r="H357" s="348" t="inlineStr">
        <is>
          <t>武器</t>
        </is>
      </c>
      <c r="I357" s="348" t="inlineStr">
        <is>
          <t>武器</t>
        </is>
      </c>
      <c r="J357" s="348" t="n">
        <v>7184</v>
      </c>
      <c r="K357" s="348" t="inlineStr">
        <is>
          <t>测试三库资源已回读</t>
        </is>
      </c>
      <c r="L357" s="349" t="inlineStr">
        <is>
          <t>测试资源：0141_黄金圣树·永恒_武器.bmp；三库同码</t>
        </is>
      </c>
    </row>
    <row r="358" ht="34" customHeight="1">
      <c r="A358" s="347" t="inlineStr">
        <is>
          <t>C09-M012</t>
        </is>
      </c>
      <c r="B358" s="348" t="inlineStr">
        <is>
          <t>C09</t>
        </is>
      </c>
      <c r="C358" s="348" t="inlineStr">
        <is>
          <t>亚坛高原</t>
        </is>
      </c>
      <c r="D358" s="348" t="inlineStr">
        <is>
          <t>XX721</t>
        </is>
      </c>
      <c r="E358" s="348" t="inlineStr">
        <is>
          <t>金叶祭王·萨鲁恩</t>
        </is>
      </c>
      <c r="F358" s="348" t="inlineStr">
        <is>
          <t>地图BOSS</t>
        </is>
      </c>
      <c r="G358" s="348" t="inlineStr">
        <is>
          <t>萨鲁恩金叶祭衣</t>
        </is>
      </c>
      <c r="H358" s="348" t="inlineStr">
        <is>
          <t>衣服</t>
        </is>
      </c>
      <c r="I358" s="348" t="inlineStr">
        <is>
          <t>男衣服（现行模板的衣服映射）</t>
        </is>
      </c>
      <c r="J358" s="348" t="n">
        <v>7185</v>
      </c>
      <c r="K358" s="348" t="inlineStr">
        <is>
          <t>测试三库资源已回读</t>
        </is>
      </c>
      <c r="L358" s="349" t="inlineStr">
        <is>
          <t>测试资源：0492_星渊龙息·无垠_男衣服.bmp；三库同码</t>
        </is>
      </c>
    </row>
    <row r="359" ht="34" customHeight="1">
      <c r="A359" s="347" t="inlineStr">
        <is>
          <t>C09-M013</t>
        </is>
      </c>
      <c r="B359" s="348" t="inlineStr">
        <is>
          <t>C09</t>
        </is>
      </c>
      <c r="C359" s="348" t="inlineStr">
        <is>
          <t>亚坛高原</t>
        </is>
      </c>
      <c r="D359" s="348" t="inlineStr">
        <is>
          <t>XX820</t>
        </is>
      </c>
      <c r="E359" s="348" t="inlineStr">
        <is>
          <t>矿脉啮岩鼠</t>
        </is>
      </c>
      <c r="F359" s="348" t="inlineStr">
        <is>
          <t>普通</t>
        </is>
      </c>
      <c r="G359" s="348" t="inlineStr">
        <is>
          <t>啮岩鼠爪靴</t>
        </is>
      </c>
      <c r="H359" s="348" t="inlineStr">
        <is>
          <t>鞋子</t>
        </is>
      </c>
      <c r="I359" s="348" t="inlineStr">
        <is>
          <t>鞋子</t>
        </is>
      </c>
      <c r="J359" s="348" t="n">
        <v>5955</v>
      </c>
      <c r="K359" s="348" t="inlineStr">
        <is>
          <t>规划锁定／旧资源待实库回读</t>
        </is>
      </c>
      <c r="L359" s="349" t="inlineStr">
        <is>
          <t>装备资源库黄金圣律·永耀</t>
        </is>
      </c>
    </row>
    <row r="360" ht="34" customHeight="1">
      <c r="A360" s="347" t="inlineStr">
        <is>
          <t>C09-M014</t>
        </is>
      </c>
      <c r="B360" s="348" t="inlineStr">
        <is>
          <t>C09</t>
        </is>
      </c>
      <c r="C360" s="348" t="inlineStr">
        <is>
          <t>亚坛高原</t>
        </is>
      </c>
      <c r="D360" s="348" t="inlineStr">
        <is>
          <t>XX820</t>
        </is>
      </c>
      <c r="E360" s="348" t="inlineStr">
        <is>
          <t>高原探脉客</t>
        </is>
      </c>
      <c r="F360" s="348" t="inlineStr">
        <is>
          <t>普通</t>
        </is>
      </c>
      <c r="G360" s="348" t="inlineStr">
        <is>
          <t>探脉听石坠</t>
        </is>
      </c>
      <c r="H360" s="348" t="inlineStr">
        <is>
          <t>项链</t>
        </is>
      </c>
      <c r="I360" s="348" t="inlineStr">
        <is>
          <t>项链</t>
        </is>
      </c>
      <c r="J360" s="348" t="n">
        <v>6012</v>
      </c>
      <c r="K360" s="348" t="inlineStr">
        <is>
          <t>规划锁定／旧资源待实库回读</t>
        </is>
      </c>
      <c r="L360" s="349" t="inlineStr">
        <is>
          <t>装备资源库血月荆棘·王刺</t>
        </is>
      </c>
    </row>
    <row r="361" ht="34" customHeight="1">
      <c r="A361" s="347" t="inlineStr">
        <is>
          <t>C09-M015</t>
        </is>
      </c>
      <c r="B361" s="348" t="inlineStr">
        <is>
          <t>C09</t>
        </is>
      </c>
      <c r="C361" s="348" t="inlineStr">
        <is>
          <t>亚坛高原</t>
        </is>
      </c>
      <c r="D361" s="348" t="inlineStr">
        <is>
          <t>XX821</t>
        </is>
      </c>
      <c r="E361" s="348" t="inlineStr">
        <is>
          <t>黄金矿道凿工</t>
        </is>
      </c>
      <c r="F361" s="348" t="inlineStr">
        <is>
          <t>普通</t>
        </is>
      </c>
      <c r="G361" s="348" t="inlineStr">
        <is>
          <t>凿工尖喙镐</t>
        </is>
      </c>
      <c r="H361" s="348" t="inlineStr">
        <is>
          <t>武器</t>
        </is>
      </c>
      <c r="I361" s="348" t="inlineStr">
        <is>
          <t>武器</t>
        </is>
      </c>
      <c r="J361" s="348" t="n">
        <v>7186</v>
      </c>
      <c r="K361" s="348" t="inlineStr">
        <is>
          <t>测试三库资源已回读</t>
        </is>
      </c>
      <c r="L361" s="349" t="inlineStr">
        <is>
          <t>测试资源：0176_血月荆棘·血痕_武器.bmp；三库同码</t>
        </is>
      </c>
    </row>
    <row r="362" ht="34" customHeight="1">
      <c r="A362" s="347" t="inlineStr">
        <is>
          <t>C09-M016</t>
        </is>
      </c>
      <c r="B362" s="348" t="inlineStr">
        <is>
          <t>C09</t>
        </is>
      </c>
      <c r="C362" s="348" t="inlineStr">
        <is>
          <t>亚坛高原</t>
        </is>
      </c>
      <c r="D362" s="348" t="inlineStr">
        <is>
          <t>XX822</t>
        </is>
      </c>
      <c r="E362" s="348" t="inlineStr">
        <is>
          <t>旧营提灯尸</t>
        </is>
      </c>
      <c r="F362" s="348" t="inlineStr">
        <is>
          <t>普通</t>
        </is>
      </c>
      <c r="G362" s="348" t="inlineStr">
        <is>
          <t>提灯旧毡笠</t>
        </is>
      </c>
      <c r="H362" s="348" t="inlineStr">
        <is>
          <t>斗笠</t>
        </is>
      </c>
      <c r="I362" s="348" t="inlineStr">
        <is>
          <t>面巾（位置13，对应斗笠）</t>
        </is>
      </c>
      <c r="J362" s="348" t="n">
        <v>7187</v>
      </c>
      <c r="K362" s="348" t="inlineStr">
        <is>
          <t>测试三库资源已回读</t>
        </is>
      </c>
      <c r="L362" s="349" t="inlineStr">
        <is>
          <t>测试资源：0355_星渊龙息·星痕_面巾.bmp；三库同码</t>
        </is>
      </c>
    </row>
    <row r="363" ht="34" customHeight="1">
      <c r="A363" s="347" t="inlineStr">
        <is>
          <t>C09-M017</t>
        </is>
      </c>
      <c r="B363" s="348" t="inlineStr">
        <is>
          <t>C09</t>
        </is>
      </c>
      <c r="C363" s="348" t="inlineStr">
        <is>
          <t>亚坛高原</t>
        </is>
      </c>
      <c r="D363" s="348" t="inlineStr">
        <is>
          <t>XX823</t>
        </is>
      </c>
      <c r="E363" s="348" t="inlineStr">
        <is>
          <t>深井负筐奴</t>
        </is>
      </c>
      <c r="F363" s="348" t="inlineStr">
        <is>
          <t>普通</t>
        </is>
      </c>
      <c r="G363" s="348" t="inlineStr">
        <is>
          <t>负筐矿奴衣</t>
        </is>
      </c>
      <c r="H363" s="348" t="inlineStr">
        <is>
          <t>衣服</t>
        </is>
      </c>
      <c r="I363" s="348" t="inlineStr">
        <is>
          <t>男衣服（现行模板的衣服映射）</t>
        </is>
      </c>
      <c r="J363" s="348" t="n">
        <v>7188</v>
      </c>
      <c r="K363" s="348" t="inlineStr">
        <is>
          <t>测试三库资源已回读</t>
        </is>
      </c>
      <c r="L363" s="349" t="inlineStr">
        <is>
          <t>测试资源：0527_翠焰冥契·幽焰_男衣服.bmp；三库同码</t>
        </is>
      </c>
    </row>
    <row r="364" ht="34" customHeight="1">
      <c r="A364" s="347" t="inlineStr">
        <is>
          <t>C09-M018</t>
        </is>
      </c>
      <c r="B364" s="348" t="inlineStr">
        <is>
          <t>C09</t>
        </is>
      </c>
      <c r="C364" s="348" t="inlineStr">
        <is>
          <t>亚坛高原</t>
        </is>
      </c>
      <c r="D364" s="348" t="inlineStr">
        <is>
          <t>XX824</t>
        </is>
      </c>
      <c r="E364" s="348" t="inlineStr">
        <is>
          <t>核心晶背虫</t>
        </is>
      </c>
      <c r="F364" s="348" t="inlineStr">
        <is>
          <t>普通</t>
        </is>
      </c>
      <c r="G364" s="348" t="inlineStr">
        <is>
          <t>晶背层岩盾</t>
        </is>
      </c>
      <c r="H364" s="348" t="inlineStr">
        <is>
          <t>盾牌</t>
        </is>
      </c>
      <c r="I364" s="348" t="inlineStr">
        <is>
          <t>盾牌</t>
        </is>
      </c>
      <c r="J364" s="348" t="n">
        <v>5971</v>
      </c>
      <c r="K364" s="348" t="inlineStr">
        <is>
          <t>规划锁定／旧资源待实库回读</t>
        </is>
      </c>
      <c r="L364" s="349" t="inlineStr">
        <is>
          <t>装备资源库血月荆棘·血棘</t>
        </is>
      </c>
    </row>
    <row r="365" ht="34" customHeight="1">
      <c r="A365" s="347" t="inlineStr">
        <is>
          <t>C09-M019</t>
        </is>
      </c>
      <c r="B365" s="348" t="inlineStr">
        <is>
          <t>C09</t>
        </is>
      </c>
      <c r="C365" s="348" t="inlineStr">
        <is>
          <t>亚坛高原</t>
        </is>
      </c>
      <c r="D365" s="348" t="inlineStr">
        <is>
          <t>XX821</t>
        </is>
      </c>
      <c r="E365" s="348" t="inlineStr">
        <is>
          <t>矿道哑钟监工</t>
        </is>
      </c>
      <c r="F365" s="348" t="inlineStr">
        <is>
          <t>稀有</t>
        </is>
      </c>
      <c r="G365" s="348" t="inlineStr">
        <is>
          <t>哑钟监工盔</t>
        </is>
      </c>
      <c r="H365" s="348" t="inlineStr">
        <is>
          <t>头盔</t>
        </is>
      </c>
      <c r="I365" s="348" t="inlineStr">
        <is>
          <t>头盔</t>
        </is>
      </c>
      <c r="J365" s="348" t="n">
        <v>6013</v>
      </c>
      <c r="K365" s="348" t="inlineStr">
        <is>
          <t>规划锁定／旧资源待实库回读</t>
        </is>
      </c>
      <c r="L365" s="349" t="inlineStr">
        <is>
          <t>装备资源库血月荆棘·王刺</t>
        </is>
      </c>
    </row>
    <row r="366" ht="34" customHeight="1">
      <c r="A366" s="347" t="inlineStr">
        <is>
          <t>C09-M020</t>
        </is>
      </c>
      <c r="B366" s="348" t="inlineStr">
        <is>
          <t>C09</t>
        </is>
      </c>
      <c r="C366" s="348" t="inlineStr">
        <is>
          <t>亚坛高原</t>
        </is>
      </c>
      <c r="D366" s="348" t="inlineStr">
        <is>
          <t>XX822</t>
        </is>
      </c>
      <c r="E366" s="348" t="inlineStr">
        <is>
          <t>营地熔勺婆</t>
        </is>
      </c>
      <c r="F366" s="348" t="inlineStr">
        <is>
          <t>稀有</t>
        </is>
      </c>
      <c r="G366" s="348" t="inlineStr">
        <is>
          <t>熔勺婆铜镯</t>
        </is>
      </c>
      <c r="H366" s="348" t="inlineStr">
        <is>
          <t>手镯</t>
        </is>
      </c>
      <c r="I366" s="348" t="inlineStr">
        <is>
          <t>手镯</t>
        </is>
      </c>
      <c r="J366" s="348" t="n">
        <v>5969</v>
      </c>
      <c r="K366" s="348" t="inlineStr">
        <is>
          <t>规划锁定／旧资源待实库回读</t>
        </is>
      </c>
      <c r="L366" s="349" t="inlineStr">
        <is>
          <t>装备资源库血月荆棘·血棘</t>
        </is>
      </c>
    </row>
    <row r="367" ht="34" customHeight="1">
      <c r="A367" s="347" t="inlineStr">
        <is>
          <t>C09-M021</t>
        </is>
      </c>
      <c r="B367" s="348" t="inlineStr">
        <is>
          <t>C09</t>
        </is>
      </c>
      <c r="C367" s="348" t="inlineStr">
        <is>
          <t>亚坛高原</t>
        </is>
      </c>
      <c r="D367" s="348" t="inlineStr">
        <is>
          <t>XX823</t>
        </is>
      </c>
      <c r="E367" s="348" t="inlineStr">
        <is>
          <t>深层听岩师</t>
        </is>
      </c>
      <c r="F367" s="348" t="inlineStr">
        <is>
          <t>稀有</t>
        </is>
      </c>
      <c r="G367" s="348" t="inlineStr">
        <is>
          <t>听岩回声戒</t>
        </is>
      </c>
      <c r="H367" s="348" t="inlineStr">
        <is>
          <t>戒指</t>
        </is>
      </c>
      <c r="I367" s="348" t="inlineStr">
        <is>
          <t>戒指</t>
        </is>
      </c>
      <c r="J367" s="348" t="n">
        <v>6006</v>
      </c>
      <c r="K367" s="348" t="inlineStr">
        <is>
          <t>规划锁定／旧资源待实库回读</t>
        </is>
      </c>
      <c r="L367" s="349" t="inlineStr">
        <is>
          <t>装备资源库血月荆棘·月蚀</t>
        </is>
      </c>
    </row>
    <row r="368" ht="34" customHeight="1">
      <c r="A368" s="347" t="inlineStr">
        <is>
          <t>C09-M022</t>
        </is>
      </c>
      <c r="B368" s="348" t="inlineStr">
        <is>
          <t>C09</t>
        </is>
      </c>
      <c r="C368" s="348" t="inlineStr">
        <is>
          <t>亚坛高原</t>
        </is>
      </c>
      <c r="D368" s="348" t="inlineStr">
        <is>
          <t>XX824</t>
        </is>
      </c>
      <c r="E368" s="348" t="inlineStr">
        <is>
          <t>核心吞金蜥</t>
        </is>
      </c>
      <c r="F368" s="348" t="inlineStr">
        <is>
          <t>稀有</t>
        </is>
      </c>
      <c r="G368" s="348" t="inlineStr">
        <is>
          <t>吞金蜥尾带</t>
        </is>
      </c>
      <c r="H368" s="348" t="inlineStr">
        <is>
          <t>腰带</t>
        </is>
      </c>
      <c r="I368" s="348" t="inlineStr">
        <is>
          <t>腰带</t>
        </is>
      </c>
      <c r="J368" s="348" t="n">
        <v>5947</v>
      </c>
      <c r="K368" s="348" t="inlineStr">
        <is>
          <t>规划锁定／旧资源待实库回读</t>
        </is>
      </c>
      <c r="L368" s="349" t="inlineStr">
        <is>
          <t>装备资源库黄金圣律·神律</t>
        </is>
      </c>
    </row>
    <row r="369" ht="34" customHeight="1">
      <c r="A369" s="347" t="inlineStr">
        <is>
          <t>C09-M023</t>
        </is>
      </c>
      <c r="B369" s="348" t="inlineStr">
        <is>
          <t>C09</t>
        </is>
      </c>
      <c r="C369" s="348" t="inlineStr">
        <is>
          <t>亚坛高原</t>
        </is>
      </c>
      <c r="D369" s="348" t="inlineStr">
        <is>
          <t>XX823</t>
        </is>
      </c>
      <c r="E369" s="348" t="inlineStr">
        <is>
          <t>深井断索王·布洛克</t>
        </is>
      </c>
      <c r="F369" s="348" t="inlineStr">
        <is>
          <t>地图BOSS</t>
        </is>
      </c>
      <c r="G369" s="348" t="inlineStr">
        <is>
          <t>布洛克断索锤</t>
        </is>
      </c>
      <c r="H369" s="348" t="inlineStr">
        <is>
          <t>武器</t>
        </is>
      </c>
      <c r="I369" s="348" t="inlineStr">
        <is>
          <t>武器</t>
        </is>
      </c>
      <c r="J369" s="348" t="n">
        <v>7189</v>
      </c>
      <c r="K369" s="348" t="inlineStr">
        <is>
          <t>测试三库资源已回读</t>
        </is>
      </c>
      <c r="L369" s="349" t="inlineStr">
        <is>
          <t>测试资源：0211_血月荆棘·荆冠_武器.bmp；三库同码</t>
        </is>
      </c>
    </row>
    <row r="370" ht="34" customHeight="1">
      <c r="A370" s="347" t="inlineStr">
        <is>
          <t>C09-M024</t>
        </is>
      </c>
      <c r="B370" s="348" t="inlineStr">
        <is>
          <t>C09</t>
        </is>
      </c>
      <c r="C370" s="348" t="inlineStr">
        <is>
          <t>亚坛高原</t>
        </is>
      </c>
      <c r="D370" s="348" t="inlineStr">
        <is>
          <t>XX824</t>
        </is>
      </c>
      <c r="E370" s="348" t="inlineStr">
        <is>
          <t>矿心鎏金母·奥莉莎</t>
        </is>
      </c>
      <c r="F370" s="348" t="inlineStr">
        <is>
          <t>地图BOSS</t>
        </is>
      </c>
      <c r="G370" s="348" t="inlineStr">
        <is>
          <t>奥莉莎矿心甲</t>
        </is>
      </c>
      <c r="H370" s="348" t="inlineStr">
        <is>
          <t>衣服</t>
        </is>
      </c>
      <c r="I370" s="348" t="inlineStr">
        <is>
          <t>男衣服（现行模板的衣服映射）</t>
        </is>
      </c>
      <c r="J370" s="348" t="n">
        <v>7190</v>
      </c>
      <c r="K370" s="348" t="inlineStr">
        <is>
          <t>测试三库资源已回读</t>
        </is>
      </c>
      <c r="L370" s="349" t="inlineStr">
        <is>
          <t>测试资源：0562_翠焰冥契·腐痕_男衣服.bmp；三库同码</t>
        </is>
      </c>
    </row>
    <row r="371" ht="34" customHeight="1">
      <c r="A371" s="347" t="inlineStr">
        <is>
          <t>C09-M025</t>
        </is>
      </c>
      <c r="B371" s="348" t="inlineStr">
        <is>
          <t>C09</t>
        </is>
      </c>
      <c r="C371" s="348" t="inlineStr">
        <is>
          <t>亚坛高原</t>
        </is>
      </c>
      <c r="D371" s="348" t="inlineStr">
        <is>
          <t>XX837</t>
        </is>
      </c>
      <c r="E371" s="348" t="inlineStr">
        <is>
          <t>陵园剪枝傀</t>
        </is>
      </c>
      <c r="F371" s="348" t="inlineStr">
        <is>
          <t>普通</t>
        </is>
      </c>
      <c r="G371" s="348" t="inlineStr">
        <is>
          <t>剪枝傀镰</t>
        </is>
      </c>
      <c r="H371" s="348" t="inlineStr">
        <is>
          <t>武器</t>
        </is>
      </c>
      <c r="I371" s="348" t="inlineStr">
        <is>
          <t>武器</t>
        </is>
      </c>
      <c r="J371" s="348" t="n">
        <v>7191</v>
      </c>
      <c r="K371" s="348" t="inlineStr">
        <is>
          <t>测试三库资源已回读</t>
        </is>
      </c>
      <c r="L371" s="349" t="inlineStr">
        <is>
          <t>测试资源：0246_血月荆棘·猩月_武器.bmp；三库同码</t>
        </is>
      </c>
    </row>
    <row r="372" ht="34" customHeight="1">
      <c r="A372" s="347" t="inlineStr">
        <is>
          <t>C09-M026</t>
        </is>
      </c>
      <c r="B372" s="348" t="inlineStr">
        <is>
          <t>C09</t>
        </is>
      </c>
      <c r="C372" s="348" t="inlineStr">
        <is>
          <t>亚坛高原</t>
        </is>
      </c>
      <c r="D372" s="348" t="inlineStr">
        <is>
          <t>XX837</t>
        </is>
      </c>
      <c r="E372" s="348" t="inlineStr">
        <is>
          <t>王碑金翅蛾</t>
        </is>
      </c>
      <c r="F372" s="348" t="inlineStr">
        <is>
          <t>普通</t>
        </is>
      </c>
      <c r="G372" s="348" t="inlineStr">
        <is>
          <t>金翅碑尘履</t>
        </is>
      </c>
      <c r="H372" s="348" t="inlineStr">
        <is>
          <t>鞋子</t>
        </is>
      </c>
      <c r="I372" s="348" t="inlineStr">
        <is>
          <t>鞋子</t>
        </is>
      </c>
      <c r="J372" s="348" t="n">
        <v>5964</v>
      </c>
      <c r="K372" s="348" t="inlineStr">
        <is>
          <t>规划锁定／旧资源待实库回读</t>
        </is>
      </c>
      <c r="L372" s="349" t="inlineStr">
        <is>
          <t>装备资源库血月荆棘·暗芽</t>
        </is>
      </c>
    </row>
    <row r="373" ht="34" customHeight="1">
      <c r="A373" s="347" t="inlineStr">
        <is>
          <t>C09-M027</t>
        </is>
      </c>
      <c r="B373" s="348" t="inlineStr">
        <is>
          <t>C09</t>
        </is>
      </c>
      <c r="C373" s="348" t="inlineStr">
        <is>
          <t>亚坛高原</t>
        </is>
      </c>
      <c r="D373" s="348" t="inlineStr">
        <is>
          <t>XX836</t>
        </is>
      </c>
      <c r="E373" s="348" t="inlineStr">
        <is>
          <t>甬道扶棺卒</t>
        </is>
      </c>
      <c r="F373" s="348" t="inlineStr">
        <is>
          <t>普通</t>
        </is>
      </c>
      <c r="G373" s="348" t="inlineStr">
        <is>
          <t>扶棺铜纹盾</t>
        </is>
      </c>
      <c r="H373" s="348" t="inlineStr">
        <is>
          <t>盾牌</t>
        </is>
      </c>
      <c r="I373" s="348" t="inlineStr">
        <is>
          <t>盾牌</t>
        </is>
      </c>
      <c r="J373" s="348" t="n">
        <v>5980</v>
      </c>
      <c r="K373" s="348" t="inlineStr">
        <is>
          <t>规划锁定／旧资源待实库回读</t>
        </is>
      </c>
      <c r="L373" s="349" t="inlineStr">
        <is>
          <t>装备资源库血月荆棘·猩痕</t>
        </is>
      </c>
    </row>
    <row r="374" ht="34" customHeight="1">
      <c r="A374" s="347" t="inlineStr">
        <is>
          <t>C09-M028</t>
        </is>
      </c>
      <c r="B374" s="348" t="inlineStr">
        <is>
          <t>C09</t>
        </is>
      </c>
      <c r="C374" s="348" t="inlineStr">
        <is>
          <t>亚坛高原</t>
        </is>
      </c>
      <c r="D374" s="348" t="inlineStr">
        <is>
          <t>XX836</t>
        </is>
      </c>
      <c r="E374" s="348" t="inlineStr">
        <is>
          <t>壁龛守烛童</t>
        </is>
      </c>
      <c r="F374" s="348" t="inlineStr">
        <is>
          <t>普通</t>
        </is>
      </c>
      <c r="G374" s="348" t="inlineStr">
        <is>
          <t>壁龛守烛坠</t>
        </is>
      </c>
      <c r="H374" s="348" t="inlineStr">
        <is>
          <t>项链</t>
        </is>
      </c>
      <c r="I374" s="348" t="inlineStr">
        <is>
          <t>项链</t>
        </is>
      </c>
      <c r="J374" s="348" t="n">
        <v>6021</v>
      </c>
      <c r="K374" s="348" t="inlineStr">
        <is>
          <t>规划锁定／旧资源待实库回读</t>
        </is>
      </c>
      <c r="L374" s="349" t="inlineStr">
        <is>
          <t>装备资源库血月荆棘·灾焰</t>
        </is>
      </c>
    </row>
    <row r="375" ht="34" customHeight="1">
      <c r="A375" s="347" t="inlineStr">
        <is>
          <t>C09-M029</t>
        </is>
      </c>
      <c r="B375" s="348" t="inlineStr">
        <is>
          <t>C09</t>
        </is>
      </c>
      <c r="C375" s="348" t="inlineStr">
        <is>
          <t>亚坛高原</t>
        </is>
      </c>
      <c r="D375" s="348" t="inlineStr">
        <is>
          <t>XX838</t>
        </is>
      </c>
      <c r="E375" s="348" t="inlineStr">
        <is>
          <t>墓室敛袍侍</t>
        </is>
      </c>
      <c r="F375" s="348" t="inlineStr">
        <is>
          <t>普通</t>
        </is>
      </c>
      <c r="G375" s="348" t="inlineStr">
        <is>
          <t>敛袍侍素衣</t>
        </is>
      </c>
      <c r="H375" s="348" t="inlineStr">
        <is>
          <t>衣服</t>
        </is>
      </c>
      <c r="I375" s="348" t="inlineStr">
        <is>
          <t>男衣服（现行模板的衣服映射）</t>
        </is>
      </c>
      <c r="J375" s="348" t="n">
        <v>7192</v>
      </c>
      <c r="K375" s="348" t="inlineStr">
        <is>
          <t>测试三库资源已回读</t>
        </is>
      </c>
      <c r="L375" s="349" t="inlineStr">
        <is>
          <t>测试资源：0597_翠焰冥契·冥契_男衣服.bmp；三库同码</t>
        </is>
      </c>
    </row>
    <row r="376" ht="34" customHeight="1">
      <c r="A376" s="347" t="inlineStr">
        <is>
          <t>C09-M030</t>
        </is>
      </c>
      <c r="B376" s="348" t="inlineStr">
        <is>
          <t>C09</t>
        </is>
      </c>
      <c r="C376" s="348" t="inlineStr">
        <is>
          <t>亚坛高原</t>
        </is>
      </c>
      <c r="D376" s="348" t="inlineStr">
        <is>
          <t>XX838</t>
        </is>
      </c>
      <c r="E376" s="348" t="inlineStr">
        <is>
          <t>古王陪葬犬</t>
        </is>
      </c>
      <c r="F376" s="348" t="inlineStr">
        <is>
          <t>普通</t>
        </is>
      </c>
      <c r="G376" s="348" t="inlineStr">
        <is>
          <t>葬犬衔骨镯</t>
        </is>
      </c>
      <c r="H376" s="348" t="inlineStr">
        <is>
          <t>手镯</t>
        </is>
      </c>
      <c r="I376" s="348" t="inlineStr">
        <is>
          <t>手镯</t>
        </is>
      </c>
      <c r="J376" s="348" t="n">
        <v>5978</v>
      </c>
      <c r="K376" s="348" t="inlineStr">
        <is>
          <t>规划锁定／旧资源待实库回读</t>
        </is>
      </c>
      <c r="L376" s="349" t="inlineStr">
        <is>
          <t>装备资源库血月荆棘·猩痕</t>
        </is>
      </c>
    </row>
    <row r="377" ht="34" customHeight="1">
      <c r="A377" s="347" t="inlineStr">
        <is>
          <t>C09-M031</t>
        </is>
      </c>
      <c r="B377" s="348" t="inlineStr">
        <is>
          <t>C09</t>
        </is>
      </c>
      <c r="C377" s="348" t="inlineStr">
        <is>
          <t>亚坛高原</t>
        </is>
      </c>
      <c r="D377" s="348" t="inlineStr">
        <is>
          <t>XX837</t>
        </is>
      </c>
      <c r="E377" s="348" t="inlineStr">
        <is>
          <t>王陵问名官</t>
        </is>
      </c>
      <c r="F377" s="348" t="inlineStr">
        <is>
          <t>稀有</t>
        </is>
      </c>
      <c r="G377" s="348" t="inlineStr">
        <is>
          <t>问名官冥笠</t>
        </is>
      </c>
      <c r="H377" s="348" t="inlineStr">
        <is>
          <t>斗笠</t>
        </is>
      </c>
      <c r="I377" s="348" t="inlineStr">
        <is>
          <t>面巾（位置13，对应斗笠）</t>
        </is>
      </c>
      <c r="J377" s="348" t="n">
        <v>6820</v>
      </c>
      <c r="K377" s="348" t="inlineStr">
        <is>
          <t>预检通过资源／规划锁定／待入库</t>
        </is>
      </c>
      <c r="L377" s="349" t="inlineStr">
        <is>
          <t>StdMode16/位置13；星渊龙息·渊辉</t>
        </is>
      </c>
    </row>
    <row r="378" ht="34" customHeight="1">
      <c r="A378" s="347" t="inlineStr">
        <is>
          <t>C09-M032</t>
        </is>
      </c>
      <c r="B378" s="348" t="inlineStr">
        <is>
          <t>C09</t>
        </is>
      </c>
      <c r="C378" s="348" t="inlineStr">
        <is>
          <t>亚坛高原</t>
        </is>
      </c>
      <c r="D378" s="348" t="inlineStr">
        <is>
          <t>XX836</t>
        </is>
      </c>
      <c r="E378" s="348" t="inlineStr">
        <is>
          <t>甬道无面近卫</t>
        </is>
      </c>
      <c r="F378" s="348" t="inlineStr">
        <is>
          <t>稀有</t>
        </is>
      </c>
      <c r="G378" s="348" t="inlineStr">
        <is>
          <t>无面近卫盔</t>
        </is>
      </c>
      <c r="H378" s="348" t="inlineStr">
        <is>
          <t>头盔</t>
        </is>
      </c>
      <c r="I378" s="348" t="inlineStr">
        <is>
          <t>头盔</t>
        </is>
      </c>
      <c r="J378" s="348" t="n">
        <v>6022</v>
      </c>
      <c r="K378" s="348" t="inlineStr">
        <is>
          <t>规划锁定／旧资源待实库回读</t>
        </is>
      </c>
      <c r="L378" s="349" t="inlineStr">
        <is>
          <t>装备资源库血月荆棘·灾焰</t>
        </is>
      </c>
    </row>
    <row r="379" ht="34" customHeight="1">
      <c r="A379" s="347" t="inlineStr">
        <is>
          <t>C09-M033</t>
        </is>
      </c>
      <c r="B379" s="348" t="inlineStr">
        <is>
          <t>C09</t>
        </is>
      </c>
      <c r="C379" s="348" t="inlineStr">
        <is>
          <t>亚坛高原</t>
        </is>
      </c>
      <c r="D379" s="348" t="inlineStr">
        <is>
          <t>XX838</t>
        </is>
      </c>
      <c r="E379" s="348" t="inlineStr">
        <is>
          <t>墓室守印妃</t>
        </is>
      </c>
      <c r="F379" s="348" t="inlineStr">
        <is>
          <t>稀有</t>
        </is>
      </c>
      <c r="G379" s="348" t="inlineStr">
        <is>
          <t>守印妃金戒</t>
        </is>
      </c>
      <c r="H379" s="348" t="inlineStr">
        <is>
          <t>戒指</t>
        </is>
      </c>
      <c r="I379" s="348" t="inlineStr">
        <is>
          <t>戒指</t>
        </is>
      </c>
      <c r="J379" s="348" t="n">
        <v>6015</v>
      </c>
      <c r="K379" s="348" t="inlineStr">
        <is>
          <t>规划锁定／旧资源待实库回读</t>
        </is>
      </c>
      <c r="L379" s="349" t="inlineStr">
        <is>
          <t>装备资源库血月荆棘·王刺</t>
        </is>
      </c>
    </row>
    <row r="380" ht="34" customHeight="1">
      <c r="A380" s="347" t="inlineStr">
        <is>
          <t>C09-M034</t>
        </is>
      </c>
      <c r="B380" s="348" t="inlineStr">
        <is>
          <t>C09</t>
        </is>
      </c>
      <c r="C380" s="348" t="inlineStr">
        <is>
          <t>亚坛高原</t>
        </is>
      </c>
      <c r="D380" s="348" t="inlineStr">
        <is>
          <t>XX838</t>
        </is>
      </c>
      <c r="E380" s="348" t="inlineStr">
        <is>
          <t>墓室食梦金蝉</t>
        </is>
      </c>
      <c r="F380" s="348" t="inlineStr">
        <is>
          <t>稀有</t>
        </is>
      </c>
      <c r="G380" s="348" t="inlineStr">
        <is>
          <t>食梦蝉蜕带</t>
        </is>
      </c>
      <c r="H380" s="348" t="inlineStr">
        <is>
          <t>腰带</t>
        </is>
      </c>
      <c r="I380" s="348" t="inlineStr">
        <is>
          <t>腰带</t>
        </is>
      </c>
      <c r="J380" s="348" t="n">
        <v>5956</v>
      </c>
      <c r="K380" s="348" t="inlineStr">
        <is>
          <t>规划锁定／旧资源待实库回读</t>
        </is>
      </c>
      <c r="L380" s="349" t="inlineStr">
        <is>
          <t>装备资源库黄金圣律·永耀</t>
        </is>
      </c>
    </row>
    <row r="381" ht="34" customHeight="1">
      <c r="A381" s="347" t="inlineStr">
        <is>
          <t>C09-M035</t>
        </is>
      </c>
      <c r="B381" s="348" t="inlineStr">
        <is>
          <t>C09</t>
        </is>
      </c>
      <c r="C381" s="348" t="inlineStr">
        <is>
          <t>亚坛高原</t>
        </is>
      </c>
      <c r="D381" s="348" t="inlineStr">
        <is>
          <t>XX836</t>
        </is>
      </c>
      <c r="E381" s="348" t="inlineStr">
        <is>
          <t>封棺执政·梅尔顿</t>
        </is>
      </c>
      <c r="F381" s="348" t="inlineStr">
        <is>
          <t>地图BOSS</t>
        </is>
      </c>
      <c r="G381" s="348" t="inlineStr">
        <is>
          <t>梅尔顿封棺钺</t>
        </is>
      </c>
      <c r="H381" s="348" t="inlineStr">
        <is>
          <t>武器</t>
        </is>
      </c>
      <c r="I381" s="348" t="inlineStr">
        <is>
          <t>武器</t>
        </is>
      </c>
      <c r="J381" s="348" t="n">
        <v>7193</v>
      </c>
      <c r="K381" s="348" t="inlineStr">
        <is>
          <t>测试三库资源已回读</t>
        </is>
      </c>
      <c r="L381" s="349" t="inlineStr">
        <is>
          <t>测试资源：0281_血月荆棘·弑王_武器.bmp；三库同码</t>
        </is>
      </c>
    </row>
    <row r="382" ht="34" customHeight="1">
      <c r="A382" s="347" t="inlineStr">
        <is>
          <t>C09-M036</t>
        </is>
      </c>
      <c r="B382" s="348" t="inlineStr">
        <is>
          <t>C09</t>
        </is>
      </c>
      <c r="C382" s="348" t="inlineStr">
        <is>
          <t>亚坛高原</t>
        </is>
      </c>
      <c r="D382" s="348" t="inlineStr">
        <is>
          <t>XX838</t>
        </is>
      </c>
      <c r="E382" s="348" t="inlineStr">
        <is>
          <t>不醒古王·奥瑞昂</t>
        </is>
      </c>
      <c r="F382" s="348" t="inlineStr">
        <is>
          <t>地图BOSS</t>
        </is>
      </c>
      <c r="G382" s="348" t="inlineStr">
        <is>
          <t>奥瑞昂不醒王衣</t>
        </is>
      </c>
      <c r="H382" s="348" t="inlineStr">
        <is>
          <t>衣服</t>
        </is>
      </c>
      <c r="I382" s="348" t="inlineStr">
        <is>
          <t>男衣服（现行模板的衣服映射）</t>
        </is>
      </c>
      <c r="J382" s="348" t="n">
        <v>7194</v>
      </c>
      <c r="K382" s="348" t="inlineStr">
        <is>
          <t>测试三库资源已回读</t>
        </is>
      </c>
      <c r="L382" s="349" t="inlineStr">
        <is>
          <t>测试资源：0632_翠焰冥契·灾厄_男衣服.bmp；三库同码</t>
        </is>
      </c>
    </row>
    <row r="383" ht="34" customHeight="1">
      <c r="A383" s="347" t="inlineStr">
        <is>
          <t>C09-M037</t>
        </is>
      </c>
      <c r="B383" s="348" t="inlineStr">
        <is>
          <t>C09</t>
        </is>
      </c>
      <c r="C383" s="348" t="inlineStr">
        <is>
          <t>亚坛高原</t>
        </is>
      </c>
      <c r="D383" s="348" t="inlineStr">
        <is>
          <t>XX786</t>
        </is>
      </c>
      <c r="E383" s="348" t="inlineStr">
        <is>
          <t>圣堂扫金仆</t>
        </is>
      </c>
      <c r="F383" s="348" t="inlineStr">
        <is>
          <t>普通</t>
        </is>
      </c>
      <c r="G383" s="348" t="inlineStr">
        <is>
          <t>扫金仆软履</t>
        </is>
      </c>
      <c r="H383" s="348" t="inlineStr">
        <is>
          <t>鞋子</t>
        </is>
      </c>
      <c r="I383" s="348" t="inlineStr">
        <is>
          <t>鞋子</t>
        </is>
      </c>
      <c r="J383" s="348" t="n">
        <v>5973</v>
      </c>
      <c r="K383" s="348" t="inlineStr">
        <is>
          <t>规划锁定／旧资源待实库回读</t>
        </is>
      </c>
      <c r="L383" s="349" t="inlineStr">
        <is>
          <t>装备资源库血月荆棘·血棘</t>
        </is>
      </c>
    </row>
    <row r="384" ht="34" customHeight="1">
      <c r="A384" s="347" t="inlineStr">
        <is>
          <t>C09-M038</t>
        </is>
      </c>
      <c r="B384" s="348" t="inlineStr">
        <is>
          <t>C09</t>
        </is>
      </c>
      <c r="C384" s="348" t="inlineStr">
        <is>
          <t>亚坛高原</t>
        </is>
      </c>
      <c r="D384" s="348" t="inlineStr">
        <is>
          <t>XX786</t>
        </is>
      </c>
      <c r="E384" s="348" t="inlineStr">
        <is>
          <t>鎏檐守门士</t>
        </is>
      </c>
      <c r="F384" s="348" t="inlineStr">
        <is>
          <t>普通</t>
        </is>
      </c>
      <c r="G384" s="348" t="inlineStr">
        <is>
          <t>鎏檐拱门盾</t>
        </is>
      </c>
      <c r="H384" s="348" t="inlineStr">
        <is>
          <t>盾牌</t>
        </is>
      </c>
      <c r="I384" s="348" t="inlineStr">
        <is>
          <t>盾牌</t>
        </is>
      </c>
      <c r="J384" s="348" t="n">
        <v>5989</v>
      </c>
      <c r="K384" s="348" t="inlineStr">
        <is>
          <t>规划锁定／旧资源待实库回读</t>
        </is>
      </c>
      <c r="L384" s="349" t="inlineStr">
        <is>
          <t>装备资源库血月荆棘·夜蔷</t>
        </is>
      </c>
    </row>
    <row r="385" ht="34" customHeight="1">
      <c r="A385" s="347" t="inlineStr">
        <is>
          <t>C09-M039</t>
        </is>
      </c>
      <c r="B385" s="348" t="inlineStr">
        <is>
          <t>C09</t>
        </is>
      </c>
      <c r="C385" s="348" t="inlineStr">
        <is>
          <t>亚坛高原</t>
        </is>
      </c>
      <c r="D385" s="348" t="inlineStr">
        <is>
          <t>XX796</t>
        </is>
      </c>
      <c r="E385" s="348" t="inlineStr">
        <is>
          <t>前廊白袍唱者</t>
        </is>
      </c>
      <c r="F385" s="348" t="inlineStr">
        <is>
          <t>普通</t>
        </is>
      </c>
      <c r="G385" s="348" t="inlineStr">
        <is>
          <t>白袍唱诗衣</t>
        </is>
      </c>
      <c r="H385" s="348" t="inlineStr">
        <is>
          <t>衣服</t>
        </is>
      </c>
      <c r="I385" s="348" t="inlineStr">
        <is>
          <t>男衣服（现行模板的衣服映射）</t>
        </is>
      </c>
      <c r="J385" s="348" t="n">
        <v>7195</v>
      </c>
      <c r="K385" s="348" t="inlineStr">
        <is>
          <t>测试三库资源已回读</t>
        </is>
      </c>
      <c r="L385" s="349" t="inlineStr">
        <is>
          <t>测试资源：0667_翠焰冥契·永夜_男衣服.bmp；三库同码</t>
        </is>
      </c>
    </row>
    <row r="386" ht="34" customHeight="1">
      <c r="A386" s="347" t="inlineStr">
        <is>
          <t>C09-M040</t>
        </is>
      </c>
      <c r="B386" s="348" t="inlineStr">
        <is>
          <t>C09</t>
        </is>
      </c>
      <c r="C386" s="348" t="inlineStr">
        <is>
          <t>亚坛高原</t>
        </is>
      </c>
      <c r="D386" s="348" t="inlineStr">
        <is>
          <t>XX787</t>
        </is>
      </c>
      <c r="E386" s="348" t="inlineStr">
        <is>
          <t>祭厅焚香奴</t>
        </is>
      </c>
      <c r="F386" s="348" t="inlineStr">
        <is>
          <t>普通</t>
        </is>
      </c>
      <c r="G386" s="348" t="inlineStr">
        <is>
          <t>焚香奴腕镯</t>
        </is>
      </c>
      <c r="H386" s="348" t="inlineStr">
        <is>
          <t>手镯</t>
        </is>
      </c>
      <c r="I386" s="348" t="inlineStr">
        <is>
          <t>手镯</t>
        </is>
      </c>
      <c r="J386" s="348" t="n">
        <v>5987</v>
      </c>
      <c r="K386" s="348" t="inlineStr">
        <is>
          <t>规划锁定／旧资源待实库回读</t>
        </is>
      </c>
      <c r="L386" s="349" t="inlineStr">
        <is>
          <t>装备资源库血月荆棘·夜蔷</t>
        </is>
      </c>
    </row>
    <row r="387" ht="34" customHeight="1">
      <c r="A387" s="347" t="inlineStr">
        <is>
          <t>C09-M041</t>
        </is>
      </c>
      <c r="B387" s="348" t="inlineStr">
        <is>
          <t>C09</t>
        </is>
      </c>
      <c r="C387" s="348" t="inlineStr">
        <is>
          <t>亚坛高原</t>
        </is>
      </c>
      <c r="D387" s="348" t="inlineStr">
        <is>
          <t>XX795</t>
        </is>
      </c>
      <c r="E387" s="348" t="inlineStr">
        <is>
          <t>内殿金面僧</t>
        </is>
      </c>
      <c r="F387" s="348" t="inlineStr">
        <is>
          <t>普通</t>
        </is>
      </c>
      <c r="G387" s="348" t="inlineStr">
        <is>
          <t>金面僧宝盔</t>
        </is>
      </c>
      <c r="H387" s="348" t="inlineStr">
        <is>
          <t>头盔</t>
        </is>
      </c>
      <c r="I387" s="348" t="inlineStr">
        <is>
          <t>头盔</t>
        </is>
      </c>
      <c r="J387" s="348" t="n">
        <v>6031</v>
      </c>
      <c r="K387" s="348" t="inlineStr">
        <is>
          <t>规划锁定／旧资源待实库回读</t>
        </is>
      </c>
      <c r="L387" s="349" t="inlineStr">
        <is>
          <t>装备资源库血月荆棘·弑神</t>
        </is>
      </c>
    </row>
    <row r="388" ht="34" customHeight="1">
      <c r="A388" s="347" t="inlineStr">
        <is>
          <t>C09-M042</t>
        </is>
      </c>
      <c r="B388" s="348" t="inlineStr">
        <is>
          <t>C09</t>
        </is>
      </c>
      <c r="C388" s="348" t="inlineStr">
        <is>
          <t>亚坛高原</t>
        </is>
      </c>
      <c r="D388" s="348" t="inlineStr">
        <is>
          <t>XX791</t>
        </is>
      </c>
      <c r="E388" s="348" t="inlineStr">
        <is>
          <t>圣坛祷弓手</t>
        </is>
      </c>
      <c r="F388" s="348" t="inlineStr">
        <is>
          <t>普通</t>
        </is>
      </c>
      <c r="G388" s="348" t="inlineStr">
        <is>
          <t>祷弓手日轮弓</t>
        </is>
      </c>
      <c r="H388" s="348" t="inlineStr">
        <is>
          <t>武器</t>
        </is>
      </c>
      <c r="I388" s="348" t="inlineStr">
        <is>
          <t>武器</t>
        </is>
      </c>
      <c r="J388" s="348" t="n">
        <v>7196</v>
      </c>
      <c r="K388" s="348" t="inlineStr">
        <is>
          <t>测试三库资源已回读</t>
        </is>
      </c>
      <c r="L388" s="349" t="inlineStr">
        <is>
          <t>测试资源：0316_血月荆棘·血月_武器.bmp；三库同码</t>
        </is>
      </c>
    </row>
    <row r="389" ht="34" customHeight="1">
      <c r="A389" s="347" t="inlineStr">
        <is>
          <t>C09-M043</t>
        </is>
      </c>
      <c r="B389" s="348" t="inlineStr">
        <is>
          <t>C09</t>
        </is>
      </c>
      <c r="C389" s="348" t="inlineStr">
        <is>
          <t>亚坛高原</t>
        </is>
      </c>
      <c r="D389" s="348" t="inlineStr">
        <is>
          <t>XX796</t>
        </is>
      </c>
      <c r="E389" s="348" t="inlineStr">
        <is>
          <t>前廊裁罪使</t>
        </is>
      </c>
      <c r="F389" s="348" t="inlineStr">
        <is>
          <t>稀有</t>
        </is>
      </c>
      <c r="G389" s="348" t="inlineStr">
        <is>
          <t>裁罪使荆腰带</t>
        </is>
      </c>
      <c r="H389" s="348" t="inlineStr">
        <is>
          <t>腰带</t>
        </is>
      </c>
      <c r="I389" s="348" t="inlineStr">
        <is>
          <t>腰带</t>
        </is>
      </c>
      <c r="J389" s="348" t="n">
        <v>5974</v>
      </c>
      <c r="K389" s="348" t="inlineStr">
        <is>
          <t>规划锁定／旧资源待实库回读</t>
        </is>
      </c>
      <c r="L389" s="349" t="inlineStr">
        <is>
          <t>装备资源库血月荆棘·血棘</t>
        </is>
      </c>
    </row>
    <row r="390" ht="34" customHeight="1">
      <c r="A390" s="347" t="inlineStr">
        <is>
          <t>C09-M044</t>
        </is>
      </c>
      <c r="B390" s="348" t="inlineStr">
        <is>
          <t>C09</t>
        </is>
      </c>
      <c r="C390" s="348" t="inlineStr">
        <is>
          <t>亚坛高原</t>
        </is>
      </c>
      <c r="D390" s="348" t="inlineStr">
        <is>
          <t>XX787</t>
        </is>
      </c>
      <c r="E390" s="348" t="inlineStr">
        <is>
          <t>古神食香兽</t>
        </is>
      </c>
      <c r="F390" s="348" t="inlineStr">
        <is>
          <t>稀有</t>
        </is>
      </c>
      <c r="G390" s="348" t="inlineStr">
        <is>
          <t>食香兽烟坠</t>
        </is>
      </c>
      <c r="H390" s="348" t="inlineStr">
        <is>
          <t>项链</t>
        </is>
      </c>
      <c r="I390" s="348" t="inlineStr">
        <is>
          <t>项链</t>
        </is>
      </c>
      <c r="J390" s="348" t="n">
        <v>6030</v>
      </c>
      <c r="K390" s="348" t="inlineStr">
        <is>
          <t>规划锁定／旧资源待实库回读</t>
        </is>
      </c>
      <c r="L390" s="349" t="inlineStr">
        <is>
          <t>装备资源库血月荆棘·弑神</t>
        </is>
      </c>
    </row>
    <row r="391" ht="34" customHeight="1">
      <c r="A391" s="347" t="inlineStr">
        <is>
          <t>C09-M045</t>
        </is>
      </c>
      <c r="B391" s="348" t="inlineStr">
        <is>
          <t>C09</t>
        </is>
      </c>
      <c r="C391" s="348" t="inlineStr">
        <is>
          <t>亚坛高原</t>
        </is>
      </c>
      <c r="D391" s="348" t="inlineStr">
        <is>
          <t>XX795</t>
        </is>
      </c>
      <c r="E391" s="348" t="inlineStr">
        <is>
          <t>内殿无声司铎</t>
        </is>
      </c>
      <c r="F391" s="348" t="inlineStr">
        <is>
          <t>稀有</t>
        </is>
      </c>
      <c r="G391" s="348" t="inlineStr">
        <is>
          <t>无声司铎笠</t>
        </is>
      </c>
      <c r="H391" s="348" t="inlineStr">
        <is>
          <t>斗笠</t>
        </is>
      </c>
      <c r="I391" s="348" t="inlineStr">
        <is>
          <t>面巾（位置13，对应斗笠）</t>
        </is>
      </c>
      <c r="J391" s="348" t="n">
        <v>6855</v>
      </c>
      <c r="K391" s="348" t="inlineStr">
        <is>
          <t>预检通过资源／规划锁定／待入库</t>
        </is>
      </c>
      <c r="L391" s="349" t="inlineStr">
        <is>
          <t>StdMode16/位置13；星渊龙息·天穹</t>
        </is>
      </c>
    </row>
    <row r="392" ht="34" customHeight="1">
      <c r="A392" s="347" t="inlineStr">
        <is>
          <t>C09-M046</t>
        </is>
      </c>
      <c r="B392" s="348" t="inlineStr">
        <is>
          <t>C09</t>
        </is>
      </c>
      <c r="C392" s="348" t="inlineStr">
        <is>
          <t>亚坛高原</t>
        </is>
      </c>
      <c r="D392" s="348" t="inlineStr">
        <is>
          <t>XX791</t>
        </is>
      </c>
      <c r="E392" s="348" t="inlineStr">
        <is>
          <t>圣坛逐光姬</t>
        </is>
      </c>
      <c r="F392" s="348" t="inlineStr">
        <is>
          <t>稀有</t>
        </is>
      </c>
      <c r="G392" s="348" t="inlineStr">
        <is>
          <t>逐光姬曜戒</t>
        </is>
      </c>
      <c r="H392" s="348" t="inlineStr">
        <is>
          <t>戒指</t>
        </is>
      </c>
      <c r="I392" s="348" t="inlineStr">
        <is>
          <t>戒指</t>
        </is>
      </c>
      <c r="J392" s="348" t="n">
        <v>6024</v>
      </c>
      <c r="K392" s="348" t="inlineStr">
        <is>
          <t>规划锁定／旧资源待实库回读</t>
        </is>
      </c>
      <c r="L392" s="349" t="inlineStr">
        <is>
          <t>装备资源库血月荆棘·灾焰</t>
        </is>
      </c>
    </row>
    <row r="393" ht="34" customHeight="1">
      <c r="A393" s="347" t="inlineStr">
        <is>
          <t>C09-M047</t>
        </is>
      </c>
      <c r="B393" s="348" t="inlineStr">
        <is>
          <t>C09</t>
        </is>
      </c>
      <c r="C393" s="348" t="inlineStr">
        <is>
          <t>亚坛高原</t>
        </is>
      </c>
      <c r="D393" s="348" t="inlineStr">
        <is>
          <t>XX795</t>
        </is>
      </c>
      <c r="E393" s="348" t="inlineStr">
        <is>
          <t>黄金枢机·赛维兰</t>
        </is>
      </c>
      <c r="F393" s="348" t="inlineStr">
        <is>
          <t>地图BOSS</t>
        </is>
      </c>
      <c r="G393" s="348" t="inlineStr">
        <is>
          <t>赛维兰裁阳杖</t>
        </is>
      </c>
      <c r="H393" s="348" t="inlineStr">
        <is>
          <t>武器</t>
        </is>
      </c>
      <c r="I393" s="348" t="inlineStr">
        <is>
          <t>武器</t>
        </is>
      </c>
      <c r="J393" s="348" t="n">
        <v>7197</v>
      </c>
      <c r="K393" s="348" t="inlineStr">
        <is>
          <t>测试三库资源已回读</t>
        </is>
      </c>
      <c r="L393" s="349" t="inlineStr">
        <is>
          <t>测试资源：0351_星渊龙息·星痕_武器.bmp；三库同码</t>
        </is>
      </c>
    </row>
    <row r="394" ht="34" customHeight="1">
      <c r="A394" s="347" t="inlineStr">
        <is>
          <t>C09-M048</t>
        </is>
      </c>
      <c r="B394" s="348" t="inlineStr">
        <is>
          <t>C09</t>
        </is>
      </c>
      <c r="C394" s="348" t="inlineStr">
        <is>
          <t>亚坛高原</t>
        </is>
      </c>
      <c r="D394" s="348" t="inlineStr">
        <is>
          <t>XX791</t>
        </is>
      </c>
      <c r="E394" s="348" t="inlineStr">
        <is>
          <t>高原圣母·艾德莉雅</t>
        </is>
      </c>
      <c r="F394" s="348" t="inlineStr">
        <is>
          <t>地图BOSS</t>
        </is>
      </c>
      <c r="G394" s="348" t="inlineStr">
        <is>
          <t>艾德莉雅鎏辉圣衣</t>
        </is>
      </c>
      <c r="H394" s="348" t="inlineStr">
        <is>
          <t>衣服</t>
        </is>
      </c>
      <c r="I394" s="348" t="inlineStr">
        <is>
          <t>男衣服（现行模板的衣服映射）</t>
        </is>
      </c>
      <c r="J394" s="348" t="n">
        <v>7198</v>
      </c>
      <c r="K394" s="348" t="inlineStr">
        <is>
          <t>测试三库资源已回读</t>
        </is>
      </c>
      <c r="L394" s="349" t="inlineStr">
        <is>
          <t>测试资源：0002_黄金圣树·初誓_男衣服.bmp；三库同码</t>
        </is>
      </c>
    </row>
    <row r="395" ht="34" customHeight="1">
      <c r="A395" s="347" t="inlineStr">
        <is>
          <t>C09-M049</t>
        </is>
      </c>
      <c r="B395" s="348" t="inlineStr">
        <is>
          <t>C09</t>
        </is>
      </c>
      <c r="C395" s="348" t="inlineStr">
        <is>
          <t>亚坛高原</t>
        </is>
      </c>
      <c r="D395" s="348" t="inlineStr">
        <is>
          <t>XX690</t>
        </is>
      </c>
      <c r="E395" s="348" t="inlineStr">
        <is>
          <t>外垒铆甲兵</t>
        </is>
      </c>
      <c r="F395" s="348" t="inlineStr">
        <is>
          <t>普通</t>
        </is>
      </c>
      <c r="G395" s="348" t="inlineStr">
        <is>
          <t>铆甲兵垒盾</t>
        </is>
      </c>
      <c r="H395" s="348" t="inlineStr">
        <is>
          <t>盾牌</t>
        </is>
      </c>
      <c r="I395" s="348" t="inlineStr">
        <is>
          <t>盾牌</t>
        </is>
      </c>
      <c r="J395" s="348" t="n">
        <v>5998</v>
      </c>
      <c r="K395" s="348" t="inlineStr">
        <is>
          <t>规划锁定／旧资源待实库回读</t>
        </is>
      </c>
      <c r="L395" s="349" t="inlineStr">
        <is>
          <t>装备资源库血月荆棘·赤冠</t>
        </is>
      </c>
    </row>
    <row r="396" ht="34" customHeight="1">
      <c r="A396" s="347" t="inlineStr">
        <is>
          <t>C09-M050</t>
        </is>
      </c>
      <c r="B396" s="348" t="inlineStr">
        <is>
          <t>C09</t>
        </is>
      </c>
      <c r="C396" s="348" t="inlineStr">
        <is>
          <t>亚坛高原</t>
        </is>
      </c>
      <c r="D396" s="348" t="inlineStr">
        <is>
          <t>XX690</t>
        </is>
      </c>
      <c r="E396" s="348" t="inlineStr">
        <is>
          <t>城前拾箭童</t>
        </is>
      </c>
      <c r="F396" s="348" t="inlineStr">
        <is>
          <t>普通</t>
        </is>
      </c>
      <c r="G396" s="348" t="inlineStr">
        <is>
          <t>拾箭童疾履</t>
        </is>
      </c>
      <c r="H396" s="348" t="inlineStr">
        <is>
          <t>鞋子</t>
        </is>
      </c>
      <c r="I396" s="348" t="inlineStr">
        <is>
          <t>鞋子</t>
        </is>
      </c>
      <c r="J396" s="348" t="n">
        <v>5982</v>
      </c>
      <c r="K396" s="348" t="inlineStr">
        <is>
          <t>规划锁定／旧资源待实库回读</t>
        </is>
      </c>
      <c r="L396" s="349" t="inlineStr">
        <is>
          <t>装备资源库血月荆棘·猩痕</t>
        </is>
      </c>
    </row>
    <row r="397" ht="34" customHeight="1">
      <c r="A397" s="347" t="inlineStr">
        <is>
          <t>C09-M051</t>
        </is>
      </c>
      <c r="B397" s="348" t="inlineStr">
        <is>
          <t>C09</t>
        </is>
      </c>
      <c r="C397" s="348" t="inlineStr">
        <is>
          <t>亚坛高原</t>
        </is>
      </c>
      <c r="D397" s="348" t="inlineStr">
        <is>
          <t>XX691</t>
        </is>
      </c>
      <c r="E397" s="348" t="inlineStr">
        <is>
          <t>甬道持炬枪卒</t>
        </is>
      </c>
      <c r="F397" s="348" t="inlineStr">
        <is>
          <t>普通</t>
        </is>
      </c>
      <c r="G397" s="348" t="inlineStr">
        <is>
          <t>持炬枪卒矛</t>
        </is>
      </c>
      <c r="H397" s="348" t="inlineStr">
        <is>
          <t>武器</t>
        </is>
      </c>
      <c r="I397" s="348" t="inlineStr">
        <is>
          <t>武器</t>
        </is>
      </c>
      <c r="J397" s="348" t="n">
        <v>7199</v>
      </c>
      <c r="K397" s="348" t="inlineStr">
        <is>
          <t>测试三库资源已回读</t>
        </is>
      </c>
      <c r="L397" s="349" t="inlineStr">
        <is>
          <t>测试资源：0386_星渊龙息·龙鳞_武器.bmp；三库同码</t>
        </is>
      </c>
    </row>
    <row r="398" ht="34" customHeight="1">
      <c r="A398" s="347" t="inlineStr">
        <is>
          <t>C09-M052</t>
        </is>
      </c>
      <c r="B398" s="348" t="inlineStr">
        <is>
          <t>C09</t>
        </is>
      </c>
      <c r="C398" s="348" t="inlineStr">
        <is>
          <t>亚坛高原</t>
        </is>
      </c>
      <c r="D398" s="348" t="inlineStr">
        <is>
          <t>XX689</t>
        </is>
      </c>
      <c r="E398" s="348" t="inlineStr">
        <is>
          <t>驻军庭院炊兵</t>
        </is>
      </c>
      <c r="F398" s="348" t="inlineStr">
        <is>
          <t>普通</t>
        </is>
      </c>
      <c r="G398" s="348" t="inlineStr">
        <is>
          <t>炊兵铁勺镯</t>
        </is>
      </c>
      <c r="H398" s="348" t="inlineStr">
        <is>
          <t>手镯</t>
        </is>
      </c>
      <c r="I398" s="348" t="inlineStr">
        <is>
          <t>手镯</t>
        </is>
      </c>
      <c r="J398" s="348" t="n">
        <v>5996</v>
      </c>
      <c r="K398" s="348" t="inlineStr">
        <is>
          <t>规划锁定／旧资源待实库回读</t>
        </is>
      </c>
      <c r="L398" s="349" t="inlineStr">
        <is>
          <t>装备资源库血月荆棘·赤冠</t>
        </is>
      </c>
    </row>
    <row r="399" ht="34" customHeight="1">
      <c r="A399" s="347" t="inlineStr">
        <is>
          <t>C09-M053</t>
        </is>
      </c>
      <c r="B399" s="348" t="inlineStr">
        <is>
          <t>C09</t>
        </is>
      </c>
      <c r="C399" s="348" t="inlineStr">
        <is>
          <t>亚坛高原</t>
        </is>
      </c>
      <c r="D399" s="348" t="inlineStr">
        <is>
          <t>XX688</t>
        </is>
      </c>
      <c r="E399" s="348" t="inlineStr">
        <is>
          <t>黄金壁垒号手</t>
        </is>
      </c>
      <c r="F399" s="348" t="inlineStr">
        <is>
          <t>普通</t>
        </is>
      </c>
      <c r="G399" s="348" t="inlineStr">
        <is>
          <t>壁垒号手盔</t>
        </is>
      </c>
      <c r="H399" s="348" t="inlineStr">
        <is>
          <t>头盔</t>
        </is>
      </c>
      <c r="I399" s="348" t="inlineStr">
        <is>
          <t>头盔</t>
        </is>
      </c>
      <c r="J399" s="348" t="n">
        <v>6058</v>
      </c>
      <c r="K399" s="348" t="inlineStr">
        <is>
          <t>规划锁定／旧资源待实库回读</t>
        </is>
      </c>
      <c r="L399" s="349" t="inlineStr">
        <is>
          <t>装备资源库星渊龙息·龙痕</t>
        </is>
      </c>
    </row>
    <row r="400" ht="34" customHeight="1">
      <c r="A400" s="347" t="inlineStr">
        <is>
          <t>C09-M054</t>
        </is>
      </c>
      <c r="B400" s="348" t="inlineStr">
        <is>
          <t>C09</t>
        </is>
      </c>
      <c r="C400" s="348" t="inlineStr">
        <is>
          <t>亚坛高原</t>
        </is>
      </c>
      <c r="D400" s="348" t="inlineStr">
        <is>
          <t>XX639</t>
        </is>
      </c>
      <c r="E400" s="348" t="inlineStr">
        <is>
          <t>关门锁链卫</t>
        </is>
      </c>
      <c r="F400" s="348" t="inlineStr">
        <is>
          <t>普通</t>
        </is>
      </c>
      <c r="G400" s="348" t="inlineStr">
        <is>
          <t>锁链关门甲</t>
        </is>
      </c>
      <c r="H400" s="348" t="inlineStr">
        <is>
          <t>衣服</t>
        </is>
      </c>
      <c r="I400" s="348" t="inlineStr">
        <is>
          <t>男衣服（现行模板的衣服映射）</t>
        </is>
      </c>
      <c r="J400" s="348" t="n">
        <v>7200</v>
      </c>
      <c r="K400" s="348" t="inlineStr">
        <is>
          <t>测试三库资源已回读</t>
        </is>
      </c>
      <c r="L400" s="349" t="inlineStr">
        <is>
          <t>测试资源：0037_黄金圣树·圣枝_男衣服.bmp；三库同码</t>
        </is>
      </c>
    </row>
    <row r="401" ht="34" customHeight="1">
      <c r="A401" s="347" t="inlineStr">
        <is>
          <t>C09-M055</t>
        </is>
      </c>
      <c r="B401" s="348" t="inlineStr">
        <is>
          <t>C09</t>
        </is>
      </c>
      <c r="C401" s="348" t="inlineStr">
        <is>
          <t>亚坛高原</t>
        </is>
      </c>
      <c r="D401" s="348" t="inlineStr">
        <is>
          <t>XX691</t>
        </is>
      </c>
      <c r="E401" s="348" t="inlineStr">
        <is>
          <t>甬道潜旗客</t>
        </is>
      </c>
      <c r="F401" s="348" t="inlineStr">
        <is>
          <t>稀有</t>
        </is>
      </c>
      <c r="G401" s="348" t="inlineStr">
        <is>
          <t>潜旗客灰翎笠</t>
        </is>
      </c>
      <c r="H401" s="348" t="inlineStr">
        <is>
          <t>斗笠</t>
        </is>
      </c>
      <c r="I401" s="348" t="inlineStr">
        <is>
          <t>面巾（位置13，对应斗笠）</t>
        </is>
      </c>
      <c r="J401" s="348" t="n">
        <v>6890</v>
      </c>
      <c r="K401" s="348" t="inlineStr">
        <is>
          <t>预检通过资源／规划锁定／待入库</t>
        </is>
      </c>
      <c r="L401" s="349" t="inlineStr">
        <is>
          <t>StdMode16/位置13；星渊龙息·无垠</t>
        </is>
      </c>
    </row>
    <row r="402" ht="34" customHeight="1">
      <c r="A402" s="347" t="inlineStr">
        <is>
          <t>C09-M056</t>
        </is>
      </c>
      <c r="B402" s="348" t="inlineStr">
        <is>
          <t>C09</t>
        </is>
      </c>
      <c r="C402" s="348" t="inlineStr">
        <is>
          <t>亚坛高原</t>
        </is>
      </c>
      <c r="D402" s="348" t="inlineStr">
        <is>
          <t>XX689</t>
        </is>
      </c>
      <c r="E402" s="348" t="inlineStr">
        <is>
          <t>庭院百战旗官</t>
        </is>
      </c>
      <c r="F402" s="348" t="inlineStr">
        <is>
          <t>稀有</t>
        </is>
      </c>
      <c r="G402" s="348" t="inlineStr">
        <is>
          <t>百战旗官带</t>
        </is>
      </c>
      <c r="H402" s="348" t="inlineStr">
        <is>
          <t>腰带</t>
        </is>
      </c>
      <c r="I402" s="348" t="inlineStr">
        <is>
          <t>腰带</t>
        </is>
      </c>
      <c r="J402" s="348" t="n">
        <v>5983</v>
      </c>
      <c r="K402" s="348" t="inlineStr">
        <is>
          <t>规划锁定／旧资源待实库回读</t>
        </is>
      </c>
      <c r="L402" s="349" t="inlineStr">
        <is>
          <t>装备资源库血月荆棘·猩痕</t>
        </is>
      </c>
    </row>
    <row r="403" ht="34" customHeight="1">
      <c r="A403" s="347" t="inlineStr">
        <is>
          <t>C09-M057</t>
        </is>
      </c>
      <c r="B403" s="348" t="inlineStr">
        <is>
          <t>C09</t>
        </is>
      </c>
      <c r="C403" s="348" t="inlineStr">
        <is>
          <t>亚坛高原</t>
        </is>
      </c>
      <c r="D403" s="348" t="inlineStr">
        <is>
          <t>XX688</t>
        </is>
      </c>
      <c r="E403" s="348" t="inlineStr">
        <is>
          <t>壁垒鎏甲骑士</t>
        </is>
      </c>
      <c r="F403" s="348" t="inlineStr">
        <is>
          <t>稀有</t>
        </is>
      </c>
      <c r="G403" s="348" t="inlineStr">
        <is>
          <t>鎏甲骑士坠</t>
        </is>
      </c>
      <c r="H403" s="348" t="inlineStr">
        <is>
          <t>项链</t>
        </is>
      </c>
      <c r="I403" s="348" t="inlineStr">
        <is>
          <t>项链</t>
        </is>
      </c>
      <c r="J403" s="348" t="n">
        <v>6039</v>
      </c>
      <c r="K403" s="348" t="inlineStr">
        <is>
          <t>规划锁定／旧资源待实库回读</t>
        </is>
      </c>
      <c r="L403" s="349" t="inlineStr">
        <is>
          <t>装备资源库血月荆棘·终夜</t>
        </is>
      </c>
    </row>
    <row r="404" ht="34" customHeight="1">
      <c r="A404" s="347" t="inlineStr">
        <is>
          <t>C09-M058</t>
        </is>
      </c>
      <c r="B404" s="348" t="inlineStr">
        <is>
          <t>C09</t>
        </is>
      </c>
      <c r="C404" s="348" t="inlineStr">
        <is>
          <t>亚坛高原</t>
        </is>
      </c>
      <c r="D404" s="348" t="inlineStr">
        <is>
          <t>XX639</t>
        </is>
      </c>
      <c r="E404" s="348" t="inlineStr">
        <is>
          <t>罗德尔守门卜者</t>
        </is>
      </c>
      <c r="F404" s="348" t="inlineStr">
        <is>
          <t>稀有</t>
        </is>
      </c>
      <c r="G404" s="348" t="inlineStr">
        <is>
          <t>守门卜者戒</t>
        </is>
      </c>
      <c r="H404" s="348" t="inlineStr">
        <is>
          <t>戒指</t>
        </is>
      </c>
      <c r="I404" s="348" t="inlineStr">
        <is>
          <t>戒指</t>
        </is>
      </c>
      <c r="J404" s="348" t="n">
        <v>6033</v>
      </c>
      <c r="K404" s="348" t="inlineStr">
        <is>
          <t>规划锁定／旧资源待实库回读</t>
        </is>
      </c>
      <c r="L404" s="349" t="inlineStr">
        <is>
          <t>装备资源库血月荆棘·弑神</t>
        </is>
      </c>
    </row>
    <row r="405" ht="34" customHeight="1">
      <c r="A405" s="347" t="inlineStr">
        <is>
          <t>C09-M059</t>
        </is>
      </c>
      <c r="B405" s="348" t="inlineStr">
        <is>
          <t>C09</t>
        </is>
      </c>
      <c r="C405" s="348" t="inlineStr">
        <is>
          <t>亚坛高原</t>
        </is>
      </c>
      <c r="D405" s="348" t="inlineStr">
        <is>
          <t>XX688</t>
        </is>
      </c>
      <c r="E405" s="348" t="inlineStr">
        <is>
          <t>黄金壁垒统帅·罗梵迪</t>
        </is>
      </c>
      <c r="F405" s="348" t="inlineStr">
        <is>
          <t>地图BOSS</t>
        </is>
      </c>
      <c r="G405" s="348" t="inlineStr">
        <is>
          <t>罗梵迪壁垒长戟</t>
        </is>
      </c>
      <c r="H405" s="348" t="inlineStr">
        <is>
          <t>武器</t>
        </is>
      </c>
      <c r="I405" s="348" t="inlineStr">
        <is>
          <t>武器</t>
        </is>
      </c>
      <c r="J405" s="348" t="n">
        <v>7201</v>
      </c>
      <c r="K405" s="348" t="inlineStr">
        <is>
          <t>测试三库资源已回读</t>
        </is>
      </c>
      <c r="L405" s="349" t="inlineStr">
        <is>
          <t>测试资源：0421_星渊龙息·渊辉_武器.bmp；三库同码</t>
        </is>
      </c>
    </row>
    <row r="406" ht="34" customHeight="1">
      <c r="A406" s="347" t="inlineStr">
        <is>
          <t>C09-M060</t>
        </is>
      </c>
      <c r="B406" s="348" t="inlineStr">
        <is>
          <t>C09</t>
        </is>
      </c>
      <c r="C406" s="348" t="inlineStr">
        <is>
          <t>亚坛高原</t>
        </is>
      </c>
      <c r="D406" s="348" t="inlineStr">
        <is>
          <t>XX639</t>
        </is>
      </c>
      <c r="E406" s="348" t="inlineStr">
        <is>
          <t>王门执宪者·赫桑达</t>
        </is>
      </c>
      <c r="F406" s="348" t="inlineStr">
        <is>
          <t>地图BOSS</t>
        </is>
      </c>
      <c r="G406" s="348" t="inlineStr">
        <is>
          <t>赫桑达执宪战衣</t>
        </is>
      </c>
      <c r="H406" s="348" t="inlineStr">
        <is>
          <t>衣服</t>
        </is>
      </c>
      <c r="I406" s="348" t="inlineStr">
        <is>
          <t>男衣服（现行模板的衣服映射）</t>
        </is>
      </c>
      <c r="J406" s="348" t="n">
        <v>7202</v>
      </c>
      <c r="K406" s="348" t="inlineStr">
        <is>
          <t>测试三库资源已回读</t>
        </is>
      </c>
      <c r="L406" s="349" t="inlineStr">
        <is>
          <t>测试资源：0072_黄金圣树·王权_男衣服.bmp；三库同码</t>
        </is>
      </c>
    </row>
    <row r="407" ht="34" customHeight="1">
      <c r="A407" s="347" t="inlineStr">
        <is>
          <t>C09-M061</t>
        </is>
      </c>
      <c r="B407" s="348" t="inlineStr">
        <is>
          <t>C09</t>
        </is>
      </c>
      <c r="C407" s="348" t="inlineStr">
        <is>
          <t>亚坛高原</t>
        </is>
      </c>
      <c r="D407" s="348" t="inlineStr">
        <is>
          <t>XX639</t>
        </is>
      </c>
      <c r="E407" s="348" t="inlineStr">
        <is>
          <t>鎏日王城之影·阿尔维萨</t>
        </is>
      </c>
      <c r="F407" s="348" t="inlineStr">
        <is>
          <t>守关BOSS</t>
        </is>
      </c>
      <c r="G407" s="348" t="inlineStr">
        <is>
          <t>阿尔维萨蚀日王刃</t>
        </is>
      </c>
      <c r="H407" s="348" t="inlineStr">
        <is>
          <t>武器</t>
        </is>
      </c>
      <c r="I407" s="348" t="inlineStr">
        <is>
          <t>武器</t>
        </is>
      </c>
      <c r="J407" s="348" t="n">
        <v>7026</v>
      </c>
      <c r="K407" s="348" t="inlineStr">
        <is>
          <t>预检通过资源／规划锁定／待入库</t>
        </is>
      </c>
      <c r="L407" s="349" t="inlineStr">
        <is>
          <t>装备资源库翠焰冥契·灾厄</t>
        </is>
      </c>
    </row>
    <row r="408" ht="34" customHeight="1">
      <c r="A408" s="347" t="inlineStr">
        <is>
          <t>C10-M001</t>
        </is>
      </c>
      <c r="B408" s="348" t="inlineStr">
        <is>
          <t>C10</t>
        </is>
      </c>
      <c r="C408" s="348" t="inlineStr">
        <is>
          <t>王城罗德尔</t>
        </is>
      </c>
      <c r="D408" s="348" t="inlineStr">
        <is>
          <t>XX932</t>
        </is>
      </c>
      <c r="E408" s="348" t="inlineStr">
        <is>
          <t>檐沟拾烬徒</t>
        </is>
      </c>
      <c r="F408" s="348" t="inlineStr">
        <is>
          <t>普通</t>
        </is>
      </c>
      <c r="G408" s="348" t="inlineStr">
        <is>
          <t>拾烬钩刃</t>
        </is>
      </c>
      <c r="H408" s="348" t="inlineStr">
        <is>
          <t>武器</t>
        </is>
      </c>
      <c r="I408" s="348" t="inlineStr">
        <is>
          <t>武器</t>
        </is>
      </c>
      <c r="J408" s="348" t="n">
        <v>7203</v>
      </c>
      <c r="K408" s="348" t="inlineStr">
        <is>
          <t>测试三库资源已回读</t>
        </is>
      </c>
      <c r="L408" s="349" t="inlineStr">
        <is>
          <t>测试资源：0456_星渊龙息·天穹_武器.bmp；三库同码</t>
        </is>
      </c>
    </row>
    <row r="409" ht="34" customHeight="1">
      <c r="A409" s="347" t="inlineStr">
        <is>
          <t>C10-M002</t>
        </is>
      </c>
      <c r="B409" s="348" t="inlineStr">
        <is>
          <t>C10</t>
        </is>
      </c>
      <c r="C409" s="348" t="inlineStr">
        <is>
          <t>王城罗德尔</t>
        </is>
      </c>
      <c r="D409" s="348" t="inlineStr">
        <is>
          <t>XX932</t>
        </is>
      </c>
      <c r="E409" s="348" t="inlineStr">
        <is>
          <t>斑墙巡灯卒</t>
        </is>
      </c>
      <c r="F409" s="348" t="inlineStr">
        <is>
          <t>普通</t>
        </is>
      </c>
      <c r="G409" s="348" t="inlineStr">
        <is>
          <t>斑墙巡灯盔</t>
        </is>
      </c>
      <c r="H409" s="348" t="inlineStr">
        <is>
          <t>头盔</t>
        </is>
      </c>
      <c r="I409" s="348" t="inlineStr">
        <is>
          <t>头盔</t>
        </is>
      </c>
      <c r="J409" s="348" t="n">
        <v>6067</v>
      </c>
      <c r="K409" s="348" t="inlineStr">
        <is>
          <t>规划锁定／旧资源待实库回读</t>
        </is>
      </c>
      <c r="L409" s="349" t="inlineStr">
        <is>
          <t>装备资源库星渊龙息·星晶</t>
        </is>
      </c>
    </row>
    <row r="410" ht="34" customHeight="1">
      <c r="A410" s="347" t="inlineStr">
        <is>
          <t>C10-M003</t>
        </is>
      </c>
      <c r="B410" s="348" t="inlineStr">
        <is>
          <t>C10</t>
        </is>
      </c>
      <c r="C410" s="348" t="inlineStr">
        <is>
          <t>王城罗德尔</t>
        </is>
      </c>
      <c r="D410" s="348" t="inlineStr">
        <is>
          <t>XX933</t>
        </is>
      </c>
      <c r="E410" s="348" t="inlineStr">
        <is>
          <t>暗巷伏砖客</t>
        </is>
      </c>
      <c r="F410" s="348" t="inlineStr">
        <is>
          <t>普通</t>
        </is>
      </c>
      <c r="G410" s="348" t="inlineStr">
        <is>
          <t>伏砖旧革靴</t>
        </is>
      </c>
      <c r="H410" s="348" t="inlineStr">
        <is>
          <t>鞋子</t>
        </is>
      </c>
      <c r="I410" s="348" t="inlineStr">
        <is>
          <t>鞋子</t>
        </is>
      </c>
      <c r="J410" s="348" t="n">
        <v>5991</v>
      </c>
      <c r="K410" s="348" t="inlineStr">
        <is>
          <t>规划锁定／旧资源待实库回读</t>
        </is>
      </c>
      <c r="L410" s="349" t="inlineStr">
        <is>
          <t>装备资源库血月荆棘·夜蔷</t>
        </is>
      </c>
    </row>
    <row r="411" ht="34" customHeight="1">
      <c r="A411" s="347" t="inlineStr">
        <is>
          <t>C10-M004</t>
        </is>
      </c>
      <c r="B411" s="348" t="inlineStr">
        <is>
          <t>C10</t>
        </is>
      </c>
      <c r="C411" s="348" t="inlineStr">
        <is>
          <t>王城罗德尔</t>
        </is>
      </c>
      <c r="D411" s="348" t="inlineStr">
        <is>
          <t>XX933</t>
        </is>
      </c>
      <c r="E411" s="348" t="inlineStr">
        <is>
          <t>旧街缚铃犬</t>
        </is>
      </c>
      <c r="F411" s="348" t="inlineStr">
        <is>
          <t>普通</t>
        </is>
      </c>
      <c r="G411" s="348" t="inlineStr">
        <is>
          <t>缚铃窄项圈</t>
        </is>
      </c>
      <c r="H411" s="348" t="inlineStr">
        <is>
          <t>项链</t>
        </is>
      </c>
      <c r="I411" s="348" t="inlineStr">
        <is>
          <t>项链</t>
        </is>
      </c>
      <c r="J411" s="348" t="n">
        <v>6057</v>
      </c>
      <c r="K411" s="348" t="inlineStr">
        <is>
          <t>规划锁定／旧资源待实库回读</t>
        </is>
      </c>
      <c r="L411" s="349" t="inlineStr">
        <is>
          <t>装备资源库星渊龙息·龙痕</t>
        </is>
      </c>
    </row>
    <row r="412" ht="34" customHeight="1">
      <c r="A412" s="347" t="inlineStr">
        <is>
          <t>C10-M005</t>
        </is>
      </c>
      <c r="B412" s="348" t="inlineStr">
        <is>
          <t>C10</t>
        </is>
      </c>
      <c r="C412" s="348" t="inlineStr">
        <is>
          <t>王城罗德尔</t>
        </is>
      </c>
      <c r="D412" s="348" t="inlineStr">
        <is>
          <t>XX930</t>
        </is>
      </c>
      <c r="E412" s="348" t="inlineStr">
        <is>
          <t>闸底淤甲工</t>
        </is>
      </c>
      <c r="F412" s="348" t="inlineStr">
        <is>
          <t>普通</t>
        </is>
      </c>
      <c r="G412" s="348" t="inlineStr">
        <is>
          <t>淤甲闸工衣</t>
        </is>
      </c>
      <c r="H412" s="348" t="inlineStr">
        <is>
          <t>衣服</t>
        </is>
      </c>
      <c r="I412" s="348" t="inlineStr">
        <is>
          <t>男衣服（现行模板的衣服映射）</t>
        </is>
      </c>
      <c r="J412" s="348" t="n">
        <v>7204</v>
      </c>
      <c r="K412" s="348" t="inlineStr">
        <is>
          <t>测试三库资源已回读</t>
        </is>
      </c>
      <c r="L412" s="349" t="inlineStr">
        <is>
          <t>测试资源：0107_黄金圣树·律法_男衣服.bmp；三库同码</t>
        </is>
      </c>
    </row>
    <row r="413" ht="34" customHeight="1">
      <c r="A413" s="347" t="inlineStr">
        <is>
          <t>C10-M006</t>
        </is>
      </c>
      <c r="B413" s="348" t="inlineStr">
        <is>
          <t>C10</t>
        </is>
      </c>
      <c r="C413" s="348" t="inlineStr">
        <is>
          <t>王城罗德尔</t>
        </is>
      </c>
      <c r="D413" s="348" t="inlineStr">
        <is>
          <t>XX930</t>
        </is>
      </c>
      <c r="E413" s="348" t="inlineStr">
        <is>
          <t>链轮守栓奴</t>
        </is>
      </c>
      <c r="F413" s="348" t="inlineStr">
        <is>
          <t>普通</t>
        </is>
      </c>
      <c r="G413" s="348" t="inlineStr">
        <is>
          <t>链轮束腰</t>
        </is>
      </c>
      <c r="H413" s="348" t="inlineStr">
        <is>
          <t>腰带</t>
        </is>
      </c>
      <c r="I413" s="348" t="inlineStr">
        <is>
          <t>腰带</t>
        </is>
      </c>
      <c r="J413" s="348" t="n">
        <v>6001</v>
      </c>
      <c r="K413" s="348" t="inlineStr">
        <is>
          <t>规划锁定／旧资源待实库回读</t>
        </is>
      </c>
      <c r="L413" s="349" t="inlineStr">
        <is>
          <t>装备资源库血月荆棘·赤冠</t>
        </is>
      </c>
    </row>
    <row r="414" ht="34" customHeight="1">
      <c r="A414" s="347" t="inlineStr">
        <is>
          <t>C10-M007</t>
        </is>
      </c>
      <c r="B414" s="348" t="inlineStr">
        <is>
          <t>C10</t>
        </is>
      </c>
      <c r="C414" s="348" t="inlineStr">
        <is>
          <t>王城罗德尔</t>
        </is>
      </c>
      <c r="D414" s="348" t="inlineStr">
        <is>
          <t>XX932</t>
        </is>
      </c>
      <c r="E414" s="348" t="inlineStr">
        <is>
          <t>碎檐金羽鸦</t>
        </is>
      </c>
      <c r="F414" s="348" t="inlineStr">
        <is>
          <t>稀有</t>
        </is>
      </c>
      <c r="G414" s="348" t="inlineStr">
        <is>
          <t>碎檐金羽镯</t>
        </is>
      </c>
      <c r="H414" s="348" t="inlineStr">
        <is>
          <t>手镯</t>
        </is>
      </c>
      <c r="I414" s="348" t="inlineStr">
        <is>
          <t>手镯</t>
        </is>
      </c>
      <c r="J414" s="348" t="n">
        <v>6005</v>
      </c>
      <c r="K414" s="348" t="inlineStr">
        <is>
          <t>规划锁定／旧资源待实库回读</t>
        </is>
      </c>
      <c r="L414" s="349" t="inlineStr">
        <is>
          <t>装备资源库血月荆棘·月蚀</t>
        </is>
      </c>
    </row>
    <row r="415" ht="34" customHeight="1">
      <c r="A415" s="347" t="inlineStr">
        <is>
          <t>C10-M008</t>
        </is>
      </c>
      <c r="B415" s="348" t="inlineStr">
        <is>
          <t>C10</t>
        </is>
      </c>
      <c r="C415" s="348" t="inlineStr">
        <is>
          <t>王城罗德尔</t>
        </is>
      </c>
      <c r="D415" s="348" t="inlineStr">
        <is>
          <t>XX932</t>
        </is>
      </c>
      <c r="E415" s="348" t="inlineStr">
        <is>
          <t>缄口税契吏</t>
        </is>
      </c>
      <c r="F415" s="348" t="inlineStr">
        <is>
          <t>稀有</t>
        </is>
      </c>
      <c r="G415" s="348" t="inlineStr">
        <is>
          <t>缄契铅印戒</t>
        </is>
      </c>
      <c r="H415" s="348" t="inlineStr">
        <is>
          <t>戒指</t>
        </is>
      </c>
      <c r="I415" s="348" t="inlineStr">
        <is>
          <t>戒指</t>
        </is>
      </c>
      <c r="J415" s="348" t="n">
        <v>6042</v>
      </c>
      <c r="K415" s="348" t="inlineStr">
        <is>
          <t>规划锁定／旧资源待实库回读</t>
        </is>
      </c>
      <c r="L415" s="349" t="inlineStr">
        <is>
          <t>装备资源库血月荆棘·终夜</t>
        </is>
      </c>
    </row>
    <row r="416" ht="34" customHeight="1">
      <c r="A416" s="347" t="inlineStr">
        <is>
          <t>C10-M009</t>
        </is>
      </c>
      <c r="B416" s="348" t="inlineStr">
        <is>
          <t>C10</t>
        </is>
      </c>
      <c r="C416" s="348" t="inlineStr">
        <is>
          <t>王城罗德尔</t>
        </is>
      </c>
      <c r="D416" s="348" t="inlineStr">
        <is>
          <t>XX933</t>
        </is>
      </c>
      <c r="E416" s="348" t="inlineStr">
        <is>
          <t>巷钟剜影者</t>
        </is>
      </c>
      <c r="F416" s="348" t="inlineStr">
        <is>
          <t>稀有</t>
        </is>
      </c>
      <c r="G416" s="348" t="inlineStr">
        <is>
          <t>剜影巷钟章</t>
        </is>
      </c>
      <c r="H416" s="348" t="inlineStr">
        <is>
          <t>勋章</t>
        </is>
      </c>
      <c r="I416" s="348" t="inlineStr">
        <is>
          <t>勋章</t>
        </is>
      </c>
      <c r="J416" s="348" t="n">
        <v>5867</v>
      </c>
      <c r="K416" s="348" t="inlineStr">
        <is>
          <t>规划锁定／旧资源待实库回读</t>
        </is>
      </c>
      <c r="L416" s="349" t="inlineStr">
        <is>
          <t>装备资源库黄金圣律·初誓</t>
        </is>
      </c>
    </row>
    <row r="417" ht="34" customHeight="1">
      <c r="A417" s="347" t="inlineStr">
        <is>
          <t>C10-M010</t>
        </is>
      </c>
      <c r="B417" s="348" t="inlineStr">
        <is>
          <t>C10</t>
        </is>
      </c>
      <c r="C417" s="348" t="inlineStr">
        <is>
          <t>王城罗德尔</t>
        </is>
      </c>
      <c r="D417" s="348" t="inlineStr">
        <is>
          <t>XX930</t>
        </is>
      </c>
      <c r="E417" s="348" t="inlineStr">
        <is>
          <t>沉闸铜面监工</t>
        </is>
      </c>
      <c r="F417" s="348" t="inlineStr">
        <is>
          <t>稀有</t>
        </is>
      </c>
      <c r="G417" s="348" t="inlineStr">
        <is>
          <t>沉闸铜面盾</t>
        </is>
      </c>
      <c r="H417" s="348" t="inlineStr">
        <is>
          <t>盾牌</t>
        </is>
      </c>
      <c r="I417" s="348" t="inlineStr">
        <is>
          <t>盾牌</t>
        </is>
      </c>
      <c r="J417" s="348" t="n">
        <v>6016</v>
      </c>
      <c r="K417" s="348" t="inlineStr">
        <is>
          <t>规划锁定／旧资源待实库回读</t>
        </is>
      </c>
      <c r="L417" s="349" t="inlineStr">
        <is>
          <t>装备资源库血月荆棘·王刺</t>
        </is>
      </c>
    </row>
    <row r="418" ht="34" customHeight="1">
      <c r="A418" s="347" t="inlineStr">
        <is>
          <t>C10-M011</t>
        </is>
      </c>
      <c r="B418" s="348" t="inlineStr">
        <is>
          <t>C10</t>
        </is>
      </c>
      <c r="C418" s="348" t="inlineStr">
        <is>
          <t>王城罗德尔</t>
        </is>
      </c>
      <c r="D418" s="348" t="inlineStr">
        <is>
          <t>XX933</t>
        </is>
      </c>
      <c r="E418" s="348" t="inlineStr">
        <is>
          <t>灰巷的无灯侯</t>
        </is>
      </c>
      <c r="F418" s="348" t="inlineStr">
        <is>
          <t>地图BOSS</t>
        </is>
      </c>
      <c r="G418" s="348" t="inlineStr">
        <is>
          <t>无灯侯旧斗笠</t>
        </is>
      </c>
      <c r="H418" s="348" t="inlineStr">
        <is>
          <t>斗笠</t>
        </is>
      </c>
      <c r="I418" s="348" t="inlineStr">
        <is>
          <t>面巾（位置13，对应斗笠）</t>
        </is>
      </c>
      <c r="J418" s="348" t="n">
        <v>6925</v>
      </c>
      <c r="K418" s="348" t="inlineStr">
        <is>
          <t>预检通过资源／规划锁定／待入库</t>
        </is>
      </c>
      <c r="L418" s="349" t="inlineStr">
        <is>
          <t>StdMode16/位置13；翠焰冥契·幽焰</t>
        </is>
      </c>
    </row>
    <row r="419" ht="34" customHeight="1">
      <c r="A419" s="347" t="inlineStr">
        <is>
          <t>C10-M012</t>
        </is>
      </c>
      <c r="B419" s="348" t="inlineStr">
        <is>
          <t>C10</t>
        </is>
      </c>
      <c r="C419" s="348" t="inlineStr">
        <is>
          <t>王城罗德尔</t>
        </is>
      </c>
      <c r="D419" s="348" t="inlineStr">
        <is>
          <t>XX930</t>
        </is>
      </c>
      <c r="E419" s="348" t="inlineStr">
        <is>
          <t>千锁闸门统领</t>
        </is>
      </c>
      <c r="F419" s="348" t="inlineStr">
        <is>
          <t>地图BOSS</t>
        </is>
      </c>
      <c r="G419" s="348" t="inlineStr">
        <is>
          <t>千锁断流铡</t>
        </is>
      </c>
      <c r="H419" s="348" t="inlineStr">
        <is>
          <t>武器</t>
        </is>
      </c>
      <c r="I419" s="348" t="inlineStr">
        <is>
          <t>武器</t>
        </is>
      </c>
      <c r="J419" s="348" t="n">
        <v>7205</v>
      </c>
      <c r="K419" s="348" t="inlineStr">
        <is>
          <t>测试三库资源已回读</t>
        </is>
      </c>
      <c r="L419" s="349" t="inlineStr">
        <is>
          <t>测试资源：0491_星渊龙息·无垠_武器.bmp；三库同码</t>
        </is>
      </c>
    </row>
    <row r="420" ht="34" customHeight="1">
      <c r="A420" s="347" t="inlineStr">
        <is>
          <t>C10-M013</t>
        </is>
      </c>
      <c r="B420" s="348" t="inlineStr">
        <is>
          <t>C10</t>
        </is>
      </c>
      <c r="C420" s="348" t="inlineStr">
        <is>
          <t>王城罗德尔</t>
        </is>
      </c>
      <c r="D420" s="348" t="inlineStr">
        <is>
          <t>XX629</t>
        </is>
      </c>
      <c r="E420" s="348" t="inlineStr">
        <is>
          <t>金垢潜渠鼠</t>
        </is>
      </c>
      <c r="F420" s="348" t="inlineStr">
        <is>
          <t>普通</t>
        </is>
      </c>
      <c r="G420" s="348" t="inlineStr">
        <is>
          <t>金垢噬骨爪</t>
        </is>
      </c>
      <c r="H420" s="348" t="inlineStr">
        <is>
          <t>武器</t>
        </is>
      </c>
      <c r="I420" s="348" t="inlineStr">
        <is>
          <t>武器</t>
        </is>
      </c>
      <c r="J420" s="348" t="n">
        <v>7206</v>
      </c>
      <c r="K420" s="348" t="inlineStr">
        <is>
          <t>测试三库资源已回读</t>
        </is>
      </c>
      <c r="L420" s="349" t="inlineStr">
        <is>
          <t>测试资源：0526_翠焰冥契·幽焰_武器.bmp；三库同码</t>
        </is>
      </c>
    </row>
    <row r="421" ht="34" customHeight="1">
      <c r="A421" s="347" t="inlineStr">
        <is>
          <t>C10-M014</t>
        </is>
      </c>
      <c r="B421" s="348" t="inlineStr">
        <is>
          <t>C10</t>
        </is>
      </c>
      <c r="C421" s="348" t="inlineStr">
        <is>
          <t>王城罗德尔</t>
        </is>
      </c>
      <c r="D421" s="348" t="inlineStr">
        <is>
          <t>XX629</t>
        </is>
      </c>
      <c r="E421" s="348" t="inlineStr">
        <is>
          <t>污潮捞骨役</t>
        </is>
      </c>
      <c r="F421" s="348" t="inlineStr">
        <is>
          <t>普通</t>
        </is>
      </c>
      <c r="G421" s="348" t="inlineStr">
        <is>
          <t>捞骨防污衣</t>
        </is>
      </c>
      <c r="H421" s="348" t="inlineStr">
        <is>
          <t>衣服</t>
        </is>
      </c>
      <c r="I421" s="348" t="inlineStr">
        <is>
          <t>男衣服（现行模板的衣服映射）</t>
        </is>
      </c>
      <c r="J421" s="348" t="n">
        <v>7207</v>
      </c>
      <c r="K421" s="348" t="inlineStr">
        <is>
          <t>测试三库资源已回读</t>
        </is>
      </c>
      <c r="L421" s="349" t="inlineStr">
        <is>
          <t>测试资源：0142_黄金圣树·永恒_男衣服.bmp；三库同码</t>
        </is>
      </c>
    </row>
    <row r="422" ht="34" customHeight="1">
      <c r="A422" s="347" t="inlineStr">
        <is>
          <t>C10-M015</t>
        </is>
      </c>
      <c r="B422" s="348" t="inlineStr">
        <is>
          <t>C10</t>
        </is>
      </c>
      <c r="C422" s="348" t="inlineStr">
        <is>
          <t>王城罗德尔</t>
        </is>
      </c>
      <c r="D422" s="348" t="inlineStr">
        <is>
          <t>XX631</t>
        </is>
      </c>
      <c r="E422" s="348" t="inlineStr">
        <is>
          <t>回廊鸣管蜥</t>
        </is>
      </c>
      <c r="F422" s="348" t="inlineStr">
        <is>
          <t>普通</t>
        </is>
      </c>
      <c r="G422" s="348" t="inlineStr">
        <is>
          <t>鸣管鳞盔</t>
        </is>
      </c>
      <c r="H422" s="348" t="inlineStr">
        <is>
          <t>头盔</t>
        </is>
      </c>
      <c r="I422" s="348" t="inlineStr">
        <is>
          <t>头盔</t>
        </is>
      </c>
      <c r="J422" s="348" t="n">
        <v>6076</v>
      </c>
      <c r="K422" s="348" t="inlineStr">
        <is>
          <t>规划锁定／旧资源待实库回读</t>
        </is>
      </c>
      <c r="L422" s="349" t="inlineStr">
        <is>
          <t>装备资源库星渊龙息·霜翼</t>
        </is>
      </c>
    </row>
    <row r="423" ht="34" customHeight="1">
      <c r="A423" s="347" t="inlineStr">
        <is>
          <t>C10-M016</t>
        </is>
      </c>
      <c r="B423" s="348" t="inlineStr">
        <is>
          <t>C10</t>
        </is>
      </c>
      <c r="C423" s="348" t="inlineStr">
        <is>
          <t>王城罗德尔</t>
        </is>
      </c>
      <c r="D423" s="348" t="inlineStr">
        <is>
          <t>XX631</t>
        </is>
      </c>
      <c r="E423" s="348" t="inlineStr">
        <is>
          <t>锈槽巡污卒</t>
        </is>
      </c>
      <c r="F423" s="348" t="inlineStr">
        <is>
          <t>普通</t>
        </is>
      </c>
      <c r="G423" s="348" t="inlineStr">
        <is>
          <t>锈槽踏污靴</t>
        </is>
      </c>
      <c r="H423" s="348" t="inlineStr">
        <is>
          <t>鞋子</t>
        </is>
      </c>
      <c r="I423" s="348" t="inlineStr">
        <is>
          <t>鞋子</t>
        </is>
      </c>
      <c r="J423" s="348" t="n">
        <v>6000</v>
      </c>
      <c r="K423" s="348" t="inlineStr">
        <is>
          <t>规划锁定／旧资源待实库回读</t>
        </is>
      </c>
      <c r="L423" s="349" t="inlineStr">
        <is>
          <t>装备资源库血月荆棘·赤冠</t>
        </is>
      </c>
    </row>
    <row r="424" ht="34" customHeight="1">
      <c r="A424" s="347" t="inlineStr">
        <is>
          <t>C10-M017</t>
        </is>
      </c>
      <c r="B424" s="348" t="inlineStr">
        <is>
          <t>C10</t>
        </is>
      </c>
      <c r="C424" s="348" t="inlineStr">
        <is>
          <t>王城罗德尔</t>
        </is>
      </c>
      <c r="D424" s="348" t="inlineStr">
        <is>
          <t>XX624</t>
        </is>
      </c>
      <c r="E424" s="348" t="inlineStr">
        <is>
          <t>中枢盘阀傀</t>
        </is>
      </c>
      <c r="F424" s="348" t="inlineStr">
        <is>
          <t>普通</t>
        </is>
      </c>
      <c r="G424" s="348" t="inlineStr">
        <is>
          <t>盘阀锁流带</t>
        </is>
      </c>
      <c r="H424" s="348" t="inlineStr">
        <is>
          <t>腰带</t>
        </is>
      </c>
      <c r="I424" s="348" t="inlineStr">
        <is>
          <t>腰带</t>
        </is>
      </c>
      <c r="J424" s="348" t="n">
        <v>6010</v>
      </c>
      <c r="K424" s="348" t="inlineStr">
        <is>
          <t>规划锁定／旧资源待实库回读</t>
        </is>
      </c>
      <c r="L424" s="349" t="inlineStr">
        <is>
          <t>装备资源库血月荆棘·月蚀</t>
        </is>
      </c>
    </row>
    <row r="425" ht="34" customHeight="1">
      <c r="A425" s="347" t="inlineStr">
        <is>
          <t>C10-M018</t>
        </is>
      </c>
      <c r="B425" s="348" t="inlineStr">
        <is>
          <t>C10</t>
        </is>
      </c>
      <c r="C425" s="348" t="inlineStr">
        <is>
          <t>王城罗德尔</t>
        </is>
      </c>
      <c r="D425" s="348" t="inlineStr">
        <is>
          <t>XX624</t>
        </is>
      </c>
      <c r="E425" s="348" t="inlineStr">
        <is>
          <t>泄洪窥灯虫</t>
        </is>
      </c>
      <c r="F425" s="348" t="inlineStr">
        <is>
          <t>普通</t>
        </is>
      </c>
      <c r="G425" s="348" t="inlineStr">
        <is>
          <t>窥灯浊辉坠</t>
        </is>
      </c>
      <c r="H425" s="348" t="inlineStr">
        <is>
          <t>项链</t>
        </is>
      </c>
      <c r="I425" s="348" t="inlineStr">
        <is>
          <t>项链</t>
        </is>
      </c>
      <c r="J425" s="348" t="n">
        <v>6066</v>
      </c>
      <c r="K425" s="348" t="inlineStr">
        <is>
          <t>规划锁定／旧资源待实库回读</t>
        </is>
      </c>
      <c r="L425" s="349" t="inlineStr">
        <is>
          <t>装备资源库星渊龙息·星晶</t>
        </is>
      </c>
    </row>
    <row r="426" ht="34" customHeight="1">
      <c r="A426" s="347" t="inlineStr">
        <is>
          <t>C10-M019</t>
        </is>
      </c>
      <c r="B426" s="348" t="inlineStr">
        <is>
          <t>C10</t>
        </is>
      </c>
      <c r="C426" s="348" t="inlineStr">
        <is>
          <t>王城罗德尔</t>
        </is>
      </c>
      <c r="D426" s="348" t="inlineStr">
        <is>
          <t>XX629</t>
        </is>
      </c>
      <c r="E426" s="348" t="inlineStr">
        <is>
          <t>镀金脓潮母</t>
        </is>
      </c>
      <c r="F426" s="348" t="inlineStr">
        <is>
          <t>稀有</t>
        </is>
      </c>
      <c r="G426" s="348" t="inlineStr">
        <is>
          <t>脓潮镀金腕</t>
        </is>
      </c>
      <c r="H426" s="348" t="inlineStr">
        <is>
          <t>手镯</t>
        </is>
      </c>
      <c r="I426" s="348" t="inlineStr">
        <is>
          <t>手镯</t>
        </is>
      </c>
      <c r="J426" s="348" t="n">
        <v>6014</v>
      </c>
      <c r="K426" s="348" t="inlineStr">
        <is>
          <t>规划锁定／旧资源待实库回读</t>
        </is>
      </c>
      <c r="L426" s="349" t="inlineStr">
        <is>
          <t>装备资源库血月荆棘·王刺</t>
        </is>
      </c>
    </row>
    <row r="427" ht="34" customHeight="1">
      <c r="A427" s="347" t="inlineStr">
        <is>
          <t>C10-M020</t>
        </is>
      </c>
      <c r="B427" s="348" t="inlineStr">
        <is>
          <t>C10</t>
        </is>
      </c>
      <c r="C427" s="348" t="inlineStr">
        <is>
          <t>王城罗德尔</t>
        </is>
      </c>
      <c r="D427" s="348" t="inlineStr">
        <is>
          <t>XX631</t>
        </is>
      </c>
      <c r="E427" s="348" t="inlineStr">
        <is>
          <t>逆流剥甲人</t>
        </is>
      </c>
      <c r="F427" s="348" t="inlineStr">
        <is>
          <t>稀有</t>
        </is>
      </c>
      <c r="G427" s="348" t="inlineStr">
        <is>
          <t>逆流剥甲盾</t>
        </is>
      </c>
      <c r="H427" s="348" t="inlineStr">
        <is>
          <t>盾牌</t>
        </is>
      </c>
      <c r="I427" s="348" t="inlineStr">
        <is>
          <t>盾牌</t>
        </is>
      </c>
      <c r="J427" s="348" t="n">
        <v>6025</v>
      </c>
      <c r="K427" s="348" t="inlineStr">
        <is>
          <t>规划锁定／旧资源待实库回读</t>
        </is>
      </c>
      <c r="L427" s="349" t="inlineStr">
        <is>
          <t>装备资源库血月荆棘·灾焰</t>
        </is>
      </c>
    </row>
    <row r="428" ht="34" customHeight="1">
      <c r="A428" s="347" t="inlineStr">
        <is>
          <t>C10-M021</t>
        </is>
      </c>
      <c r="B428" s="348" t="inlineStr">
        <is>
          <t>C10</t>
        </is>
      </c>
      <c r="C428" s="348" t="inlineStr">
        <is>
          <t>王城罗德尔</t>
        </is>
      </c>
      <c r="D428" s="348" t="inlineStr">
        <is>
          <t>XX631</t>
        </is>
      </c>
      <c r="E428" s="348" t="inlineStr">
        <is>
          <t>七孔哀笛客</t>
        </is>
      </c>
      <c r="F428" s="348" t="inlineStr">
        <is>
          <t>稀有</t>
        </is>
      </c>
      <c r="G428" s="348" t="inlineStr">
        <is>
          <t>七孔哀笛戒</t>
        </is>
      </c>
      <c r="H428" s="348" t="inlineStr">
        <is>
          <t>戒指</t>
        </is>
      </c>
      <c r="I428" s="348" t="inlineStr">
        <is>
          <t>戒指</t>
        </is>
      </c>
      <c r="J428" s="348" t="n">
        <v>6060</v>
      </c>
      <c r="K428" s="348" t="inlineStr">
        <is>
          <t>规划锁定／旧资源待实库回读</t>
        </is>
      </c>
      <c r="L428" s="349" t="inlineStr">
        <is>
          <t>装备资源库星渊龙息·龙痕</t>
        </is>
      </c>
    </row>
    <row r="429" ht="34" customHeight="1">
      <c r="A429" s="347" t="inlineStr">
        <is>
          <t>C10-M022</t>
        </is>
      </c>
      <c r="B429" s="348" t="inlineStr">
        <is>
          <t>C10</t>
        </is>
      </c>
      <c r="C429" s="348" t="inlineStr">
        <is>
          <t>王城罗德尔</t>
        </is>
      </c>
      <c r="D429" s="348" t="inlineStr">
        <is>
          <t>XX624</t>
        </is>
      </c>
      <c r="E429" s="348" t="inlineStr">
        <is>
          <t>沸淤校阀官</t>
        </is>
      </c>
      <c r="F429" s="348" t="inlineStr">
        <is>
          <t>稀有</t>
        </is>
      </c>
      <c r="G429" s="348" t="inlineStr">
        <is>
          <t>沸淤校阀章</t>
        </is>
      </c>
      <c r="H429" s="348" t="inlineStr">
        <is>
          <t>勋章</t>
        </is>
      </c>
      <c r="I429" s="348" t="inlineStr">
        <is>
          <t>勋章</t>
        </is>
      </c>
      <c r="J429" s="348" t="n">
        <v>5876</v>
      </c>
      <c r="K429" s="348" t="inlineStr">
        <is>
          <t>规划锁定／旧资源待实库回读</t>
        </is>
      </c>
      <c r="L429" s="349" t="inlineStr">
        <is>
          <t>装备资源库黄金圣律·铭契</t>
        </is>
      </c>
    </row>
    <row r="430" ht="34" customHeight="1">
      <c r="A430" s="347" t="inlineStr">
        <is>
          <t>C10-M023</t>
        </is>
      </c>
      <c r="B430" s="348" t="inlineStr">
        <is>
          <t>C10</t>
        </is>
      </c>
      <c r="C430" s="348" t="inlineStr">
        <is>
          <t>王城罗德尔</t>
        </is>
      </c>
      <c r="D430" s="348" t="inlineStr">
        <is>
          <t>XX631</t>
        </is>
      </c>
      <c r="E430" s="348" t="inlineStr">
        <is>
          <t>百喉回廊吞声兽</t>
        </is>
      </c>
      <c r="F430" s="348" t="inlineStr">
        <is>
          <t>地图BOSS</t>
        </is>
      </c>
      <c r="G430" s="348" t="inlineStr">
        <is>
          <t>百喉闭音斗笠</t>
        </is>
      </c>
      <c r="H430" s="348" t="inlineStr">
        <is>
          <t>斗笠</t>
        </is>
      </c>
      <c r="I430" s="348" t="inlineStr">
        <is>
          <t>面巾（位置13，对应斗笠）</t>
        </is>
      </c>
      <c r="J430" s="348" t="n">
        <v>6960</v>
      </c>
      <c r="K430" s="348" t="inlineStr">
        <is>
          <t>预检通过资源／规划锁定／待入库</t>
        </is>
      </c>
      <c r="L430" s="349" t="inlineStr">
        <is>
          <t>StdMode16/位置13；翠焰冥契·腐痕</t>
        </is>
      </c>
    </row>
    <row r="431" ht="34" customHeight="1">
      <c r="A431" s="347" t="inlineStr">
        <is>
          <t>C10-M024</t>
        </is>
      </c>
      <c r="B431" s="348" t="inlineStr">
        <is>
          <t>C10</t>
        </is>
      </c>
      <c r="C431" s="348" t="inlineStr">
        <is>
          <t>王城罗德尔</t>
        </is>
      </c>
      <c r="D431" s="348" t="inlineStr">
        <is>
          <t>XX624</t>
        </is>
      </c>
      <c r="E431" s="348" t="inlineStr">
        <is>
          <t>鎏污大司闸</t>
        </is>
      </c>
      <c r="F431" s="348" t="inlineStr">
        <is>
          <t>地图BOSS</t>
        </is>
      </c>
      <c r="G431" s="348" t="inlineStr">
        <is>
          <t>鎏污司闸战袍</t>
        </is>
      </c>
      <c r="H431" s="348" t="inlineStr">
        <is>
          <t>衣服</t>
        </is>
      </c>
      <c r="I431" s="348" t="inlineStr">
        <is>
          <t>男衣服（现行模板的衣服映射）</t>
        </is>
      </c>
      <c r="J431" s="348" t="n">
        <v>7208</v>
      </c>
      <c r="K431" s="348" t="inlineStr">
        <is>
          <t>测试三库资源已回读</t>
        </is>
      </c>
      <c r="L431" s="349" t="inlineStr">
        <is>
          <t>测试资源：0177_血月荆棘·血痕_男衣服.bmp；三库同码</t>
        </is>
      </c>
    </row>
    <row r="432" ht="34" customHeight="1">
      <c r="A432" s="347" t="inlineStr">
        <is>
          <t>C10-M025</t>
        </is>
      </c>
      <c r="B432" s="348" t="inlineStr">
        <is>
          <t>C10</t>
        </is>
      </c>
      <c r="C432" s="348" t="inlineStr">
        <is>
          <t>王城罗德尔</t>
        </is>
      </c>
      <c r="D432" s="348" t="inlineStr">
        <is>
          <t>XX954</t>
        </is>
      </c>
      <c r="E432" s="348" t="inlineStr">
        <is>
          <t>金脉铲痕奴</t>
        </is>
      </c>
      <c r="F432" s="348" t="inlineStr">
        <is>
          <t>普通</t>
        </is>
      </c>
      <c r="G432" s="348" t="inlineStr">
        <is>
          <t>铲痕护矿盔</t>
        </is>
      </c>
      <c r="H432" s="348" t="inlineStr">
        <is>
          <t>头盔</t>
        </is>
      </c>
      <c r="I432" s="348" t="inlineStr">
        <is>
          <t>头盔</t>
        </is>
      </c>
      <c r="J432" s="348" t="n">
        <v>6085</v>
      </c>
      <c r="K432" s="348" t="inlineStr">
        <is>
          <t>规划锁定／旧资源待实库回读</t>
        </is>
      </c>
      <c r="L432" s="349" t="inlineStr">
        <is>
          <t>装备资源库星渊龙息·渊潮</t>
        </is>
      </c>
    </row>
    <row r="433" ht="34" customHeight="1">
      <c r="A433" s="347" t="inlineStr">
        <is>
          <t>C10-M026</t>
        </is>
      </c>
      <c r="B433" s="348" t="inlineStr">
        <is>
          <t>C10</t>
        </is>
      </c>
      <c r="C433" s="348" t="inlineStr">
        <is>
          <t>王城罗德尔</t>
        </is>
      </c>
      <c r="D433" s="348" t="inlineStr">
        <is>
          <t>XX954</t>
        </is>
      </c>
      <c r="E433" s="348" t="inlineStr">
        <is>
          <t>王矿负灯鼹</t>
        </is>
      </c>
      <c r="F433" s="348" t="inlineStr">
        <is>
          <t>普通</t>
        </is>
      </c>
      <c r="G433" s="348" t="inlineStr">
        <is>
          <t>负灯探脉靴</t>
        </is>
      </c>
      <c r="H433" s="348" t="inlineStr">
        <is>
          <t>鞋子</t>
        </is>
      </c>
      <c r="I433" s="348" t="inlineStr">
        <is>
          <t>鞋子</t>
        </is>
      </c>
      <c r="J433" s="348" t="n">
        <v>6009</v>
      </c>
      <c r="K433" s="348" t="inlineStr">
        <is>
          <t>规划锁定／旧资源待实库回读</t>
        </is>
      </c>
      <c r="L433" s="349" t="inlineStr">
        <is>
          <t>装备资源库血月荆棘·月蚀</t>
        </is>
      </c>
    </row>
    <row r="434" ht="34" customHeight="1">
      <c r="A434" s="347" t="inlineStr">
        <is>
          <t>C10-M027</t>
        </is>
      </c>
      <c r="B434" s="348" t="inlineStr">
        <is>
          <t>C10</t>
        </is>
      </c>
      <c r="C434" s="348" t="inlineStr">
        <is>
          <t>王城罗德尔</t>
        </is>
      </c>
      <c r="D434" s="348" t="inlineStr">
        <is>
          <t>XX955</t>
        </is>
      </c>
      <c r="E434" s="348" t="inlineStr">
        <is>
          <t>崩轨拖链卒</t>
        </is>
      </c>
      <c r="F434" s="348" t="inlineStr">
        <is>
          <t>普通</t>
        </is>
      </c>
      <c r="G434" s="348" t="inlineStr">
        <is>
          <t>崩轨拖链盾</t>
        </is>
      </c>
      <c r="H434" s="348" t="inlineStr">
        <is>
          <t>盾牌</t>
        </is>
      </c>
      <c r="I434" s="348" t="inlineStr">
        <is>
          <t>盾牌</t>
        </is>
      </c>
      <c r="J434" s="348" t="n">
        <v>6034</v>
      </c>
      <c r="K434" s="348" t="inlineStr">
        <is>
          <t>规划锁定／旧资源待实库回读</t>
        </is>
      </c>
      <c r="L434" s="349" t="inlineStr">
        <is>
          <t>装备资源库血月荆棘·弑神</t>
        </is>
      </c>
    </row>
    <row r="435" ht="34" customHeight="1">
      <c r="A435" s="347" t="inlineStr">
        <is>
          <t>C10-M028</t>
        </is>
      </c>
      <c r="B435" s="348" t="inlineStr">
        <is>
          <t>C10</t>
        </is>
      </c>
      <c r="C435" s="348" t="inlineStr">
        <is>
          <t>王城罗德尔</t>
        </is>
      </c>
      <c r="D435" s="348" t="inlineStr">
        <is>
          <t>XX953</t>
        </is>
      </c>
      <c r="E435" s="348" t="inlineStr">
        <is>
          <t>冷砧铆甲匠</t>
        </is>
      </c>
      <c r="F435" s="348" t="inlineStr">
        <is>
          <t>普通</t>
        </is>
      </c>
      <c r="G435" s="348" t="inlineStr">
        <is>
          <t>冷砧铆甲衣</t>
        </is>
      </c>
      <c r="H435" s="348" t="inlineStr">
        <is>
          <t>衣服</t>
        </is>
      </c>
      <c r="I435" s="348" t="inlineStr">
        <is>
          <t>男衣服（现行模板的衣服映射）</t>
        </is>
      </c>
      <c r="J435" s="348" t="n">
        <v>7209</v>
      </c>
      <c r="K435" s="348" t="inlineStr">
        <is>
          <t>测试三库资源已回读</t>
        </is>
      </c>
      <c r="L435" s="349" t="inlineStr">
        <is>
          <t>测试资源：0212_血月荆棘·荆冠_男衣服.bmp；三库同码</t>
        </is>
      </c>
    </row>
    <row r="436" ht="34" customHeight="1">
      <c r="A436" s="347" t="inlineStr">
        <is>
          <t>C10-M029</t>
        </is>
      </c>
      <c r="B436" s="348" t="inlineStr">
        <is>
          <t>C10</t>
        </is>
      </c>
      <c r="C436" s="348" t="inlineStr">
        <is>
          <t>王城罗德尔</t>
        </is>
      </c>
      <c r="D436" s="348" t="inlineStr">
        <is>
          <t>XX957</t>
        </is>
      </c>
      <c r="E436" s="348" t="inlineStr">
        <is>
          <t>裂晶钻颚兽</t>
        </is>
      </c>
      <c r="F436" s="348" t="inlineStr">
        <is>
          <t>普通</t>
        </is>
      </c>
      <c r="G436" s="348" t="inlineStr">
        <is>
          <t>裂晶钻颚刃</t>
        </is>
      </c>
      <c r="H436" s="348" t="inlineStr">
        <is>
          <t>武器</t>
        </is>
      </c>
      <c r="I436" s="348" t="inlineStr">
        <is>
          <t>武器</t>
        </is>
      </c>
      <c r="J436" s="348" t="n">
        <v>7210</v>
      </c>
      <c r="K436" s="348" t="inlineStr">
        <is>
          <t>测试三库资源已回读</t>
        </is>
      </c>
      <c r="L436" s="349" t="inlineStr">
        <is>
          <t>测试资源：0561_翠焰冥契·腐痕_武器.bmp；三库同码</t>
        </is>
      </c>
    </row>
    <row r="437" ht="34" customHeight="1">
      <c r="A437" s="347" t="inlineStr">
        <is>
          <t>C10-M030</t>
        </is>
      </c>
      <c r="B437" s="348" t="inlineStr">
        <is>
          <t>C10</t>
        </is>
      </c>
      <c r="C437" s="348" t="inlineStr">
        <is>
          <t>王城罗德尔</t>
        </is>
      </c>
      <c r="D437" s="348" t="inlineStr">
        <is>
          <t>XX956</t>
        </is>
      </c>
      <c r="E437" s="348" t="inlineStr">
        <is>
          <t>矿脉听金虫</t>
        </is>
      </c>
      <c r="F437" s="348" t="inlineStr">
        <is>
          <t>普通</t>
        </is>
      </c>
      <c r="G437" s="348" t="inlineStr">
        <is>
          <t>听金矿纹坠</t>
        </is>
      </c>
      <c r="H437" s="348" t="inlineStr">
        <is>
          <t>项链</t>
        </is>
      </c>
      <c r="I437" s="348" t="inlineStr">
        <is>
          <t>项链</t>
        </is>
      </c>
      <c r="J437" s="348" t="n">
        <v>6075</v>
      </c>
      <c r="K437" s="348" t="inlineStr">
        <is>
          <t>规划锁定／旧资源待实库回读</t>
        </is>
      </c>
      <c r="L437" s="349" t="inlineStr">
        <is>
          <t>装备资源库星渊龙息·霜翼</t>
        </is>
      </c>
    </row>
    <row r="438" ht="34" customHeight="1">
      <c r="A438" s="347" t="inlineStr">
        <is>
          <t>C10-M031</t>
        </is>
      </c>
      <c r="B438" s="348" t="inlineStr">
        <is>
          <t>C10</t>
        </is>
      </c>
      <c r="C438" s="348" t="inlineStr">
        <is>
          <t>王城罗德尔</t>
        </is>
      </c>
      <c r="D438" s="348" t="inlineStr">
        <is>
          <t>XX954</t>
        </is>
      </c>
      <c r="E438" s="348" t="inlineStr">
        <is>
          <t>监坑鎏面骑</t>
        </is>
      </c>
      <c r="F438" s="348" t="inlineStr">
        <is>
          <t>稀有</t>
        </is>
      </c>
      <c r="G438" s="348" t="inlineStr">
        <is>
          <t>鎏面监坑腰封</t>
        </is>
      </c>
      <c r="H438" s="348" t="inlineStr">
        <is>
          <t>腰带</t>
        </is>
      </c>
      <c r="I438" s="348" t="inlineStr">
        <is>
          <t>腰带</t>
        </is>
      </c>
      <c r="J438" s="348" t="n">
        <v>6019</v>
      </c>
      <c r="K438" s="348" t="inlineStr">
        <is>
          <t>规划锁定／旧资源待实库回读</t>
        </is>
      </c>
      <c r="L438" s="349" t="inlineStr">
        <is>
          <t>装备资源库血月荆棘·王刺</t>
        </is>
      </c>
    </row>
    <row r="439" ht="34" customHeight="1">
      <c r="A439" s="347" t="inlineStr">
        <is>
          <t>C10-M032</t>
        </is>
      </c>
      <c r="B439" s="348" t="inlineStr">
        <is>
          <t>C10</t>
        </is>
      </c>
      <c r="C439" s="348" t="inlineStr">
        <is>
          <t>王城罗德尔</t>
        </is>
      </c>
      <c r="D439" s="348" t="inlineStr">
        <is>
          <t>XX953</t>
        </is>
      </c>
      <c r="E439" s="348" t="inlineStr">
        <is>
          <t>空炉吐渣鬼</t>
        </is>
      </c>
      <c r="F439" s="348" t="inlineStr">
        <is>
          <t>稀有</t>
        </is>
      </c>
      <c r="G439" s="348" t="inlineStr">
        <is>
          <t>空炉渣火镯</t>
        </is>
      </c>
      <c r="H439" s="348" t="inlineStr">
        <is>
          <t>手镯</t>
        </is>
      </c>
      <c r="I439" s="348" t="inlineStr">
        <is>
          <t>手镯</t>
        </is>
      </c>
      <c r="J439" s="348" t="n">
        <v>6023</v>
      </c>
      <c r="K439" s="348" t="inlineStr">
        <is>
          <t>规划锁定／旧资源待实库回读</t>
        </is>
      </c>
      <c r="L439" s="349" t="inlineStr">
        <is>
          <t>装备资源库血月荆棘·灾焰</t>
        </is>
      </c>
    </row>
    <row r="440" ht="34" customHeight="1">
      <c r="A440" s="347" t="inlineStr">
        <is>
          <t>C10-M033</t>
        </is>
      </c>
      <c r="B440" s="348" t="inlineStr">
        <is>
          <t>C10</t>
        </is>
      </c>
      <c r="C440" s="348" t="inlineStr">
        <is>
          <t>王城罗德尔</t>
        </is>
      </c>
      <c r="D440" s="348" t="inlineStr">
        <is>
          <t>XX957</t>
        </is>
      </c>
      <c r="E440" s="348" t="inlineStr">
        <is>
          <t>黑晶凿梦师</t>
        </is>
      </c>
      <c r="F440" s="348" t="inlineStr">
        <is>
          <t>稀有</t>
        </is>
      </c>
      <c r="G440" s="348" t="inlineStr">
        <is>
          <t>黑晶凿梦戒</t>
        </is>
      </c>
      <c r="H440" s="348" t="inlineStr">
        <is>
          <t>戒指</t>
        </is>
      </c>
      <c r="I440" s="348" t="inlineStr">
        <is>
          <t>戒指</t>
        </is>
      </c>
      <c r="J440" s="348" t="n">
        <v>6069</v>
      </c>
      <c r="K440" s="348" t="inlineStr">
        <is>
          <t>规划锁定／旧资源待实库回读</t>
        </is>
      </c>
      <c r="L440" s="349" t="inlineStr">
        <is>
          <t>装备资源库星渊龙息·星晶</t>
        </is>
      </c>
    </row>
    <row r="441" ht="34" customHeight="1">
      <c r="A441" s="347" t="inlineStr">
        <is>
          <t>C10-M034</t>
        </is>
      </c>
      <c r="B441" s="348" t="inlineStr">
        <is>
          <t>C10</t>
        </is>
      </c>
      <c r="C441" s="348" t="inlineStr">
        <is>
          <t>王城罗德尔</t>
        </is>
      </c>
      <c r="D441" s="348" t="inlineStr">
        <is>
          <t>XX956</t>
        </is>
      </c>
      <c r="E441" s="348" t="inlineStr">
        <is>
          <t>王脉封勘使</t>
        </is>
      </c>
      <c r="F441" s="348" t="inlineStr">
        <is>
          <t>稀有</t>
        </is>
      </c>
      <c r="G441" s="348" t="inlineStr">
        <is>
          <t>封勘金衡章</t>
        </is>
      </c>
      <c r="H441" s="348" t="inlineStr">
        <is>
          <t>勋章</t>
        </is>
      </c>
      <c r="I441" s="348" t="inlineStr">
        <is>
          <t>勋章</t>
        </is>
      </c>
      <c r="J441" s="348" t="n">
        <v>5894</v>
      </c>
      <c r="K441" s="348" t="inlineStr">
        <is>
          <t>规划锁定／旧资源待实库回读</t>
        </is>
      </c>
      <c r="L441" s="349" t="inlineStr">
        <is>
          <t>装备资源库黄金圣律·圣徽</t>
        </is>
      </c>
    </row>
    <row r="442" ht="34" customHeight="1">
      <c r="A442" s="347" t="inlineStr">
        <is>
          <t>C10-M035</t>
        </is>
      </c>
      <c r="B442" s="348" t="inlineStr">
        <is>
          <t>C10</t>
        </is>
      </c>
      <c r="C442" s="348" t="inlineStr">
        <is>
          <t>王城罗德尔</t>
        </is>
      </c>
      <c r="D442" s="348" t="inlineStr">
        <is>
          <t>XX957</t>
        </is>
      </c>
      <c r="E442" s="348" t="inlineStr">
        <is>
          <t>深井百臂掘王</t>
        </is>
      </c>
      <c r="F442" s="348" t="inlineStr">
        <is>
          <t>地图BOSS</t>
        </is>
      </c>
      <c r="G442" s="348" t="inlineStr">
        <is>
          <t>深井百臂灯笠</t>
        </is>
      </c>
      <c r="H442" s="348" t="inlineStr">
        <is>
          <t>斗笠</t>
        </is>
      </c>
      <c r="I442" s="348" t="inlineStr">
        <is>
          <t>面巾（位置13，对应斗笠）</t>
        </is>
      </c>
      <c r="J442" s="348" t="n">
        <v>6995</v>
      </c>
      <c r="K442" s="348" t="inlineStr">
        <is>
          <t>预检通过资源／规划锁定／待入库</t>
        </is>
      </c>
      <c r="L442" s="349" t="inlineStr">
        <is>
          <t>StdMode16/位置13；翠焰冥契·冥契</t>
        </is>
      </c>
    </row>
    <row r="443" ht="34" customHeight="1">
      <c r="A443" s="347" t="inlineStr">
        <is>
          <t>C10-M036</t>
        </is>
      </c>
      <c r="B443" s="348" t="inlineStr">
        <is>
          <t>C10</t>
        </is>
      </c>
      <c r="C443" s="348" t="inlineStr">
        <is>
          <t>王城罗德尔</t>
        </is>
      </c>
      <c r="D443" s="348" t="inlineStr">
        <is>
          <t>XX956</t>
        </is>
      </c>
      <c r="E443" s="348" t="inlineStr">
        <is>
          <t>地脉熔冠巨像</t>
        </is>
      </c>
      <c r="F443" s="348" t="inlineStr">
        <is>
          <t>地图BOSS</t>
        </is>
      </c>
      <c r="G443" s="348" t="inlineStr">
        <is>
          <t>熔冠镇脉巨锤</t>
        </is>
      </c>
      <c r="H443" s="348" t="inlineStr">
        <is>
          <t>武器</t>
        </is>
      </c>
      <c r="I443" s="348" t="inlineStr">
        <is>
          <t>武器</t>
        </is>
      </c>
      <c r="J443" s="348" t="n">
        <v>7211</v>
      </c>
      <c r="K443" s="348" t="inlineStr">
        <is>
          <t>测试三库资源已回读</t>
        </is>
      </c>
      <c r="L443" s="349" t="inlineStr">
        <is>
          <t>测试资源：0596_翠焰冥契·冥契_武器.bmp；三库同码</t>
        </is>
      </c>
    </row>
    <row r="444" ht="34" customHeight="1">
      <c r="A444" s="347" t="inlineStr">
        <is>
          <t>C10-M037</t>
        </is>
      </c>
      <c r="B444" s="348" t="inlineStr">
        <is>
          <t>C10</t>
        </is>
      </c>
      <c r="C444" s="348" t="inlineStr">
        <is>
          <t>王城罗德尔</t>
        </is>
      </c>
      <c r="D444" s="348" t="inlineStr">
        <is>
          <t>XX707</t>
        </is>
      </c>
      <c r="E444" s="348" t="inlineStr">
        <is>
          <t>石棺刮蜡侍</t>
        </is>
      </c>
      <c r="F444" s="348" t="inlineStr">
        <is>
          <t>普通</t>
        </is>
      </c>
      <c r="G444" s="348" t="inlineStr">
        <is>
          <t>刮蜡墓烛匕</t>
        </is>
      </c>
      <c r="H444" s="348" t="inlineStr">
        <is>
          <t>武器</t>
        </is>
      </c>
      <c r="I444" s="348" t="inlineStr">
        <is>
          <t>武器</t>
        </is>
      </c>
      <c r="J444" s="348" t="n">
        <v>7212</v>
      </c>
      <c r="K444" s="348" t="inlineStr">
        <is>
          <t>测试三库资源已回读</t>
        </is>
      </c>
      <c r="L444" s="349" t="inlineStr">
        <is>
          <t>测试资源：0631_翠焰冥契·灾厄_武器.bmp；三库同码</t>
        </is>
      </c>
    </row>
    <row r="445" ht="34" customHeight="1">
      <c r="A445" s="347" t="inlineStr">
        <is>
          <t>C10-M038</t>
        </is>
      </c>
      <c r="B445" s="348" t="inlineStr">
        <is>
          <t>C10</t>
        </is>
      </c>
      <c r="C445" s="348" t="inlineStr">
        <is>
          <t>王城罗德尔</t>
        </is>
      </c>
      <c r="D445" s="348" t="inlineStr">
        <is>
          <t>XX707</t>
        </is>
      </c>
      <c r="E445" s="348" t="inlineStr">
        <is>
          <t>眠碑缝尸媪</t>
        </is>
      </c>
      <c r="F445" s="348" t="inlineStr">
        <is>
          <t>普通</t>
        </is>
      </c>
      <c r="G445" s="348" t="inlineStr">
        <is>
          <t>眠碑缝尸衣</t>
        </is>
      </c>
      <c r="H445" s="348" t="inlineStr">
        <is>
          <t>衣服</t>
        </is>
      </c>
      <c r="I445" s="348" t="inlineStr">
        <is>
          <t>男衣服（现行模板的衣服映射）</t>
        </is>
      </c>
      <c r="J445" s="348" t="n">
        <v>7213</v>
      </c>
      <c r="K445" s="348" t="inlineStr">
        <is>
          <t>测试三库资源已回读</t>
        </is>
      </c>
      <c r="L445" s="349" t="inlineStr">
        <is>
          <t>测试资源：0247_血月荆棘·猩月_男衣服.bmp；三库同码</t>
        </is>
      </c>
    </row>
    <row r="446" ht="34" customHeight="1">
      <c r="A446" s="347" t="inlineStr">
        <is>
          <t>C10-M039</t>
        </is>
      </c>
      <c r="B446" s="348" t="inlineStr">
        <is>
          <t>C10</t>
        </is>
      </c>
      <c r="C446" s="348" t="inlineStr">
        <is>
          <t>王城罗德尔</t>
        </is>
      </c>
      <c r="D446" s="348" t="inlineStr">
        <is>
          <t>XX708</t>
        </is>
      </c>
      <c r="E446" s="348" t="inlineStr">
        <is>
          <t>墓王执幡骨卫</t>
        </is>
      </c>
      <c r="F446" s="348" t="inlineStr">
        <is>
          <t>普通</t>
        </is>
      </c>
      <c r="G446" s="348" t="inlineStr">
        <is>
          <t>执幡骨纹盔</t>
        </is>
      </c>
      <c r="H446" s="348" t="inlineStr">
        <is>
          <t>头盔</t>
        </is>
      </c>
      <c r="I446" s="348" t="inlineStr">
        <is>
          <t>头盔</t>
        </is>
      </c>
      <c r="J446" s="348" t="n">
        <v>6103</v>
      </c>
      <c r="K446" s="348" t="inlineStr">
        <is>
          <t>规划锁定／旧资源待实库回读</t>
        </is>
      </c>
      <c r="L446" s="349" t="inlineStr">
        <is>
          <t>装备资源库星渊龙息·龙皇</t>
        </is>
      </c>
    </row>
    <row r="447" ht="34" customHeight="1">
      <c r="A447" s="347" t="inlineStr">
        <is>
          <t>C10-M040</t>
        </is>
      </c>
      <c r="B447" s="348" t="inlineStr">
        <is>
          <t>C10</t>
        </is>
      </c>
      <c r="C447" s="348" t="inlineStr">
        <is>
          <t>王城罗德尔</t>
        </is>
      </c>
      <c r="D447" s="348" t="inlineStr">
        <is>
          <t>XX708</t>
        </is>
      </c>
      <c r="E447" s="348" t="inlineStr">
        <is>
          <t>甬道噤歌蛾</t>
        </is>
      </c>
      <c r="F447" s="348" t="inlineStr">
        <is>
          <t>普通</t>
        </is>
      </c>
      <c r="G447" s="348" t="inlineStr">
        <is>
          <t>噤歌幽绡坠</t>
        </is>
      </c>
      <c r="H447" s="348" t="inlineStr">
        <is>
          <t>项链</t>
        </is>
      </c>
      <c r="I447" s="348" t="inlineStr">
        <is>
          <t>项链</t>
        </is>
      </c>
      <c r="J447" s="348" t="n">
        <v>6084</v>
      </c>
      <c r="K447" s="348" t="inlineStr">
        <is>
          <t>规划锁定／旧资源待实库回读</t>
        </is>
      </c>
      <c r="L447" s="349" t="inlineStr">
        <is>
          <t>装备资源库星渊龙息·渊潮</t>
        </is>
      </c>
    </row>
    <row r="448" ht="34" customHeight="1">
      <c r="A448" s="347" t="inlineStr">
        <is>
          <t>C10-M041</t>
        </is>
      </c>
      <c r="B448" s="348" t="inlineStr">
        <is>
          <t>C10</t>
        </is>
      </c>
      <c r="C448" s="348" t="inlineStr">
        <is>
          <t>王城罗德尔</t>
        </is>
      </c>
      <c r="D448" s="348" t="inlineStr">
        <is>
          <t>XX704</t>
        </is>
      </c>
      <c r="E448" s="348" t="inlineStr">
        <is>
          <t>寝室抱瓮童</t>
        </is>
      </c>
      <c r="F448" s="348" t="inlineStr">
        <is>
          <t>普通</t>
        </is>
      </c>
      <c r="G448" s="348" t="inlineStr">
        <is>
          <t>抱瓮缚灵镯</t>
        </is>
      </c>
      <c r="H448" s="348" t="inlineStr">
        <is>
          <t>手镯</t>
        </is>
      </c>
      <c r="I448" s="348" t="inlineStr">
        <is>
          <t>手镯</t>
        </is>
      </c>
      <c r="J448" s="348" t="n">
        <v>6041</v>
      </c>
      <c r="K448" s="348" t="inlineStr">
        <is>
          <t>规划锁定／旧资源待实库回读</t>
        </is>
      </c>
      <c r="L448" s="349" t="inlineStr">
        <is>
          <t>装备资源库血月荆棘·终夜</t>
        </is>
      </c>
    </row>
    <row r="449" ht="34" customHeight="1">
      <c r="A449" s="347" t="inlineStr">
        <is>
          <t>C10-M042</t>
        </is>
      </c>
      <c r="B449" s="348" t="inlineStr">
        <is>
          <t>C10</t>
        </is>
      </c>
      <c r="C449" s="348" t="inlineStr">
        <is>
          <t>王城罗德尔</t>
        </is>
      </c>
      <c r="D449" s="348" t="inlineStr">
        <is>
          <t>XX704</t>
        </is>
      </c>
      <c r="E449" s="348" t="inlineStr">
        <is>
          <t>枕陵掘指尸</t>
        </is>
      </c>
      <c r="F449" s="348" t="inlineStr">
        <is>
          <t>普通</t>
        </is>
      </c>
      <c r="G449" s="348" t="inlineStr">
        <is>
          <t>枕陵掘痕靴</t>
        </is>
      </c>
      <c r="H449" s="348" t="inlineStr">
        <is>
          <t>鞋子</t>
        </is>
      </c>
      <c r="I449" s="348" t="inlineStr">
        <is>
          <t>鞋子</t>
        </is>
      </c>
      <c r="J449" s="348" t="n">
        <v>6018</v>
      </c>
      <c r="K449" s="348" t="inlineStr">
        <is>
          <t>规划锁定／旧资源待实库回读</t>
        </is>
      </c>
      <c r="L449" s="349" t="inlineStr">
        <is>
          <t>装备资源库血月荆棘·王刺</t>
        </is>
      </c>
    </row>
    <row r="450" ht="34" customHeight="1">
      <c r="A450" s="347" t="inlineStr">
        <is>
          <t>C10-M043</t>
        </is>
      </c>
      <c r="B450" s="348" t="inlineStr">
        <is>
          <t>C10</t>
        </is>
      </c>
      <c r="C450" s="348" t="inlineStr">
        <is>
          <t>王城罗德尔</t>
        </is>
      </c>
      <c r="D450" s="348" t="inlineStr">
        <is>
          <t>XX707</t>
        </is>
      </c>
      <c r="E450" s="348" t="inlineStr">
        <is>
          <t>无烛守丧女</t>
        </is>
      </c>
      <c r="F450" s="348" t="inlineStr">
        <is>
          <t>稀有</t>
        </is>
      </c>
      <c r="G450" s="348" t="inlineStr">
        <is>
          <t>无烛哀誓戒</t>
        </is>
      </c>
      <c r="H450" s="348" t="inlineStr">
        <is>
          <t>戒指</t>
        </is>
      </c>
      <c r="I450" s="348" t="inlineStr">
        <is>
          <t>戒指</t>
        </is>
      </c>
      <c r="J450" s="348" t="n">
        <v>6078</v>
      </c>
      <c r="K450" s="348" t="inlineStr">
        <is>
          <t>规划锁定／旧资源待实库回读</t>
        </is>
      </c>
      <c r="L450" s="349" t="inlineStr">
        <is>
          <t>装备资源库星渊龙息·霜翼</t>
        </is>
      </c>
    </row>
    <row r="451" ht="34" customHeight="1">
      <c r="A451" s="347" t="inlineStr">
        <is>
          <t>C10-M044</t>
        </is>
      </c>
      <c r="B451" s="348" t="inlineStr">
        <is>
          <t>C10</t>
        </is>
      </c>
      <c r="C451" s="348" t="inlineStr">
        <is>
          <t>王城罗德尔</t>
        </is>
      </c>
      <c r="D451" s="348" t="inlineStr">
        <is>
          <t>XX708</t>
        </is>
      </c>
      <c r="E451" s="348" t="inlineStr">
        <is>
          <t>断碑驮棺兽</t>
        </is>
      </c>
      <c r="F451" s="348" t="inlineStr">
        <is>
          <t>稀有</t>
        </is>
      </c>
      <c r="G451" s="348" t="inlineStr">
        <is>
          <t>断碑驮棺带</t>
        </is>
      </c>
      <c r="H451" s="348" t="inlineStr">
        <is>
          <t>腰带</t>
        </is>
      </c>
      <c r="I451" s="348" t="inlineStr">
        <is>
          <t>腰带</t>
        </is>
      </c>
      <c r="J451" s="348" t="n">
        <v>6028</v>
      </c>
      <c r="K451" s="348" t="inlineStr">
        <is>
          <t>规划锁定／旧资源待实库回读</t>
        </is>
      </c>
      <c r="L451" s="349" t="inlineStr">
        <is>
          <t>装备资源库血月荆棘·灾焰</t>
        </is>
      </c>
    </row>
    <row r="452" ht="34" customHeight="1">
      <c r="A452" s="347" t="inlineStr">
        <is>
          <t>C10-M045</t>
        </is>
      </c>
      <c r="B452" s="348" t="inlineStr">
        <is>
          <t>C10</t>
        </is>
      </c>
      <c r="C452" s="348" t="inlineStr">
        <is>
          <t>王城罗德尔</t>
        </is>
      </c>
      <c r="D452" s="348" t="inlineStr">
        <is>
          <t>XX708</t>
        </is>
      </c>
      <c r="E452" s="348" t="inlineStr">
        <is>
          <t>王甬秤罪官</t>
        </is>
      </c>
      <c r="F452" s="348" t="inlineStr">
        <is>
          <t>稀有</t>
        </is>
      </c>
      <c r="G452" s="348" t="inlineStr">
        <is>
          <t>秤罪墓律章</t>
        </is>
      </c>
      <c r="H452" s="348" t="inlineStr">
        <is>
          <t>勋章</t>
        </is>
      </c>
      <c r="I452" s="348" t="inlineStr">
        <is>
          <t>勋章</t>
        </is>
      </c>
      <c r="J452" s="348" t="n">
        <v>5903</v>
      </c>
      <c r="K452" s="348" t="inlineStr">
        <is>
          <t>规划锁定／旧资源待实库回读</t>
        </is>
      </c>
      <c r="L452" s="349" t="inlineStr">
        <is>
          <t>装备资源库黄金圣律·璨金</t>
        </is>
      </c>
    </row>
    <row r="453" ht="34" customHeight="1">
      <c r="A453" s="347" t="inlineStr">
        <is>
          <t>C10-M046</t>
        </is>
      </c>
      <c r="B453" s="348" t="inlineStr">
        <is>
          <t>C10</t>
        </is>
      </c>
      <c r="C453" s="348" t="inlineStr">
        <is>
          <t>王城罗德尔</t>
        </is>
      </c>
      <c r="D453" s="348" t="inlineStr">
        <is>
          <t>XX704</t>
        </is>
      </c>
      <c r="E453" s="348" t="inlineStr">
        <is>
          <t>寝门返魂甲</t>
        </is>
      </c>
      <c r="F453" s="348" t="inlineStr">
        <is>
          <t>稀有</t>
        </is>
      </c>
      <c r="G453" s="348" t="inlineStr">
        <is>
          <t>返魂寝门盾</t>
        </is>
      </c>
      <c r="H453" s="348" t="inlineStr">
        <is>
          <t>盾牌</t>
        </is>
      </c>
      <c r="I453" s="348" t="inlineStr">
        <is>
          <t>盾牌</t>
        </is>
      </c>
      <c r="J453" s="348" t="n">
        <v>6043</v>
      </c>
      <c r="K453" s="348" t="inlineStr">
        <is>
          <t>规划锁定／旧资源待实库回读</t>
        </is>
      </c>
      <c r="L453" s="349" t="inlineStr">
        <is>
          <t>装备资源库血月荆棘·终夜</t>
        </is>
      </c>
    </row>
    <row r="454" ht="34" customHeight="1">
      <c r="A454" s="347" t="inlineStr">
        <is>
          <t>C10-M047</t>
        </is>
      </c>
      <c r="B454" s="348" t="inlineStr">
        <is>
          <t>C10</t>
        </is>
      </c>
      <c r="C454" s="348" t="inlineStr">
        <is>
          <t>王城罗德尔</t>
        </is>
      </c>
      <c r="D454" s="348" t="inlineStr">
        <is>
          <t>XX708</t>
        </is>
      </c>
      <c r="E454" s="348" t="inlineStr">
        <is>
          <t>不葬的甬道王妃</t>
        </is>
      </c>
      <c r="F454" s="348" t="inlineStr">
        <is>
          <t>地图BOSS</t>
        </is>
      </c>
      <c r="G454" s="348" t="inlineStr">
        <is>
          <t>不葬王妃冥笠</t>
        </is>
      </c>
      <c r="H454" s="348" t="inlineStr">
        <is>
          <t>斗笠</t>
        </is>
      </c>
      <c r="I454" s="348" t="inlineStr">
        <is>
          <t>面巾（位置13，对应斗笠）</t>
        </is>
      </c>
      <c r="J454" s="348" t="n">
        <v>7030</v>
      </c>
      <c r="K454" s="348" t="inlineStr">
        <is>
          <t>预检通过资源／规划锁定／待入库</t>
        </is>
      </c>
      <c r="L454" s="349" t="inlineStr">
        <is>
          <t>StdMode16/位置13；翠焰冥契·灾厄</t>
        </is>
      </c>
    </row>
    <row r="455" ht="34" customHeight="1">
      <c r="A455" s="347" t="inlineStr">
        <is>
          <t>C10-M048</t>
        </is>
      </c>
      <c r="B455" s="348" t="inlineStr">
        <is>
          <t>C10</t>
        </is>
      </c>
      <c r="C455" s="348" t="inlineStr">
        <is>
          <t>王城罗德尔</t>
        </is>
      </c>
      <c r="D455" s="348" t="inlineStr">
        <is>
          <t>XX704</t>
        </is>
      </c>
      <c r="E455" s="348" t="inlineStr">
        <is>
          <t>枯寝吞碑王</t>
        </is>
      </c>
      <c r="F455" s="348" t="inlineStr">
        <is>
          <t>地图BOSS</t>
        </is>
      </c>
      <c r="G455" s="348" t="inlineStr">
        <is>
          <t>吞碑枯寝大氅</t>
        </is>
      </c>
      <c r="H455" s="348" t="inlineStr">
        <is>
          <t>衣服</t>
        </is>
      </c>
      <c r="I455" s="348" t="inlineStr">
        <is>
          <t>男衣服（现行模板的衣服映射）</t>
        </is>
      </c>
      <c r="J455" s="348" t="n">
        <v>7214</v>
      </c>
      <c r="K455" s="348" t="inlineStr">
        <is>
          <t>测试三库资源已回读</t>
        </is>
      </c>
      <c r="L455" s="349" t="inlineStr">
        <is>
          <t>测试资源：0282_血月荆棘·弑王_男衣服.bmp；三库同码</t>
        </is>
      </c>
    </row>
    <row r="456" ht="34" customHeight="1">
      <c r="A456" s="347" t="inlineStr">
        <is>
          <t>C10-M049</t>
        </is>
      </c>
      <c r="B456" s="348" t="inlineStr">
        <is>
          <t>C10</t>
        </is>
      </c>
      <c r="C456" s="348" t="inlineStr">
        <is>
          <t>王城罗德尔</t>
        </is>
      </c>
      <c r="D456" s="348" t="inlineStr">
        <is>
          <t>XX371</t>
        </is>
      </c>
      <c r="E456" s="348" t="inlineStr">
        <is>
          <t>日轮扫阶侍</t>
        </is>
      </c>
      <c r="F456" s="348" t="inlineStr">
        <is>
          <t>普通</t>
        </is>
      </c>
      <c r="G456" s="348" t="inlineStr">
        <is>
          <t>扫阶日轮刃</t>
        </is>
      </c>
      <c r="H456" s="348" t="inlineStr">
        <is>
          <t>武器</t>
        </is>
      </c>
      <c r="I456" s="348" t="inlineStr">
        <is>
          <t>武器</t>
        </is>
      </c>
      <c r="J456" s="348" t="n">
        <v>7215</v>
      </c>
      <c r="K456" s="348" t="inlineStr">
        <is>
          <t>测试三库资源已回读</t>
        </is>
      </c>
      <c r="L456" s="349" t="inlineStr">
        <is>
          <t>测试资源：0666_翠焰冥契·永夜_武器.bmp；三库同码</t>
        </is>
      </c>
    </row>
    <row r="457" ht="34" customHeight="1">
      <c r="A457" s="347" t="inlineStr">
        <is>
          <t>C10-M050</t>
        </is>
      </c>
      <c r="B457" s="348" t="inlineStr">
        <is>
          <t>C10</t>
        </is>
      </c>
      <c r="C457" s="348" t="inlineStr">
        <is>
          <t>王城罗德尔</t>
        </is>
      </c>
      <c r="D457" s="348" t="inlineStr">
        <is>
          <t>XX371</t>
        </is>
      </c>
      <c r="E457" s="348" t="inlineStr">
        <is>
          <t>金桂驯狮吏</t>
        </is>
      </c>
      <c r="F457" s="348" t="inlineStr">
        <is>
          <t>普通</t>
        </is>
      </c>
      <c r="G457" s="348" t="inlineStr">
        <is>
          <t>金桂驯狮腕</t>
        </is>
      </c>
      <c r="H457" s="348" t="inlineStr">
        <is>
          <t>手镯</t>
        </is>
      </c>
      <c r="I457" s="348" t="inlineStr">
        <is>
          <t>手镯</t>
        </is>
      </c>
      <c r="J457" s="348" t="n">
        <v>6068</v>
      </c>
      <c r="K457" s="348" t="inlineStr">
        <is>
          <t>规划锁定／旧资源待实库回读</t>
        </is>
      </c>
      <c r="L457" s="349" t="inlineStr">
        <is>
          <t>装备资源库星渊龙息·星晶</t>
        </is>
      </c>
    </row>
    <row r="458" ht="34" customHeight="1">
      <c r="A458" s="347" t="inlineStr">
        <is>
          <t>C10-M051</t>
        </is>
      </c>
      <c r="B458" s="348" t="inlineStr">
        <is>
          <t>C10</t>
        </is>
      </c>
      <c r="C458" s="348" t="inlineStr">
        <is>
          <t>王城罗德尔</t>
        </is>
      </c>
      <c r="D458" s="348" t="inlineStr">
        <is>
          <t>XX372</t>
        </is>
      </c>
      <c r="E458" s="348" t="inlineStr">
        <is>
          <t>垂纱持香女</t>
        </is>
      </c>
      <c r="F458" s="348" t="inlineStr">
        <is>
          <t>普通</t>
        </is>
      </c>
      <c r="G458" s="348" t="inlineStr">
        <is>
          <t>垂纱持香衣</t>
        </is>
      </c>
      <c r="H458" s="348" t="inlineStr">
        <is>
          <t>衣服</t>
        </is>
      </c>
      <c r="I458" s="348" t="inlineStr">
        <is>
          <t>男衣服（现行模板的衣服映射）</t>
        </is>
      </c>
      <c r="J458" s="348" t="n">
        <v>7216</v>
      </c>
      <c r="K458" s="348" t="inlineStr">
        <is>
          <t>测试三库资源已回读</t>
        </is>
      </c>
      <c r="L458" s="349" t="inlineStr">
        <is>
          <t>测试资源：0317_血月荆棘·血月_男衣服.bmp；三库同码</t>
        </is>
      </c>
    </row>
    <row r="459" ht="34" customHeight="1">
      <c r="A459" s="347" t="inlineStr">
        <is>
          <t>C10-M052</t>
        </is>
      </c>
      <c r="B459" s="348" t="inlineStr">
        <is>
          <t>C10</t>
        </is>
      </c>
      <c r="C459" s="348" t="inlineStr">
        <is>
          <t>王城罗德尔</t>
        </is>
      </c>
      <c r="D459" s="348" t="inlineStr">
        <is>
          <t>XX463</t>
        </is>
      </c>
      <c r="E459" s="348" t="inlineStr">
        <is>
          <t>律烛诵壁僧</t>
        </is>
      </c>
      <c r="F459" s="348" t="inlineStr">
        <is>
          <t>普通</t>
        </is>
      </c>
      <c r="G459" s="348" t="inlineStr">
        <is>
          <t>律烛诵壁冠</t>
        </is>
      </c>
      <c r="H459" s="348" t="inlineStr">
        <is>
          <t>头盔</t>
        </is>
      </c>
      <c r="I459" s="348" t="inlineStr">
        <is>
          <t>头盔</t>
        </is>
      </c>
      <c r="J459" s="348" t="n">
        <v>6112</v>
      </c>
      <c r="K459" s="348" t="inlineStr">
        <is>
          <t>规划锁定／旧资源待实库回读</t>
        </is>
      </c>
      <c r="L459" s="349" t="inlineStr">
        <is>
          <t>装备资源库星渊龙息·天陨</t>
        </is>
      </c>
    </row>
    <row r="460" ht="34" customHeight="1">
      <c r="A460" s="347" t="inlineStr">
        <is>
          <t>C10-M053</t>
        </is>
      </c>
      <c r="B460" s="348" t="inlineStr">
        <is>
          <t>C10</t>
        </is>
      </c>
      <c r="C460" s="348" t="inlineStr">
        <is>
          <t>王城罗德尔</t>
        </is>
      </c>
      <c r="D460" s="348" t="inlineStr">
        <is>
          <t>XX370</t>
        </is>
      </c>
      <c r="E460" s="348" t="inlineStr">
        <is>
          <t>前厅捧剑灵</t>
        </is>
      </c>
      <c r="F460" s="348" t="inlineStr">
        <is>
          <t>普通</t>
        </is>
      </c>
      <c r="G460" s="348" t="inlineStr">
        <is>
          <t>捧剑护座盾</t>
        </is>
      </c>
      <c r="H460" s="348" t="inlineStr">
        <is>
          <t>盾牌</t>
        </is>
      </c>
      <c r="I460" s="348" t="inlineStr">
        <is>
          <t>盾牌</t>
        </is>
      </c>
      <c r="J460" s="348" t="n">
        <v>6070</v>
      </c>
      <c r="K460" s="348" t="inlineStr">
        <is>
          <t>规划锁定／旧资源待实库回读</t>
        </is>
      </c>
      <c r="L460" s="349" t="inlineStr">
        <is>
          <t>装备资源库星渊龙息·星晶</t>
        </is>
      </c>
    </row>
    <row r="461" ht="34" customHeight="1">
      <c r="A461" s="347" t="inlineStr">
        <is>
          <t>C10-M054</t>
        </is>
      </c>
      <c r="B461" s="348" t="inlineStr">
        <is>
          <t>C10</t>
        </is>
      </c>
      <c r="C461" s="348" t="inlineStr">
        <is>
          <t>王城罗德尔</t>
        </is>
      </c>
      <c r="D461" s="348" t="inlineStr">
        <is>
          <t>XX386</t>
        </is>
      </c>
      <c r="E461" s="348" t="inlineStr">
        <is>
          <t>王座拾辉甲</t>
        </is>
      </c>
      <c r="F461" s="348" t="inlineStr">
        <is>
          <t>普通</t>
        </is>
      </c>
      <c r="G461" s="348" t="inlineStr">
        <is>
          <t>拾辉登阶靴</t>
        </is>
      </c>
      <c r="H461" s="348" t="inlineStr">
        <is>
          <t>鞋子</t>
        </is>
      </c>
      <c r="I461" s="348" t="inlineStr">
        <is>
          <t>鞋子</t>
        </is>
      </c>
      <c r="J461" s="348" t="n">
        <v>6036</v>
      </c>
      <c r="K461" s="348" t="inlineStr">
        <is>
          <t>规划锁定／旧资源待实库回读</t>
        </is>
      </c>
      <c r="L461" s="349" t="inlineStr">
        <is>
          <t>装备资源库血月荆棘·弑神</t>
        </is>
      </c>
    </row>
    <row r="462" ht="34" customHeight="1">
      <c r="A462" s="347" t="inlineStr">
        <is>
          <t>C10-M055</t>
        </is>
      </c>
      <c r="B462" s="348" t="inlineStr">
        <is>
          <t>C10</t>
        </is>
      </c>
      <c r="C462" s="348" t="inlineStr">
        <is>
          <t>王城罗德尔</t>
        </is>
      </c>
      <c r="D462" s="348" t="inlineStr">
        <is>
          <t>XX371</t>
        </is>
      </c>
      <c r="E462" s="348" t="inlineStr">
        <is>
          <t>外庭熔桂狮</t>
        </is>
      </c>
      <c r="F462" s="348" t="inlineStr">
        <is>
          <t>稀有</t>
        </is>
      </c>
      <c r="G462" s="348" t="inlineStr">
        <is>
          <t>熔桂狮鬃坠</t>
        </is>
      </c>
      <c r="H462" s="348" t="inlineStr">
        <is>
          <t>项链</t>
        </is>
      </c>
      <c r="I462" s="348" t="inlineStr">
        <is>
          <t>项链</t>
        </is>
      </c>
      <c r="J462" s="348" t="n">
        <v>6102</v>
      </c>
      <c r="K462" s="348" t="inlineStr">
        <is>
          <t>规划锁定／旧资源待实库回读</t>
        </is>
      </c>
      <c r="L462" s="349" t="inlineStr">
        <is>
          <t>装备资源库星渊龙息·龙皇</t>
        </is>
      </c>
    </row>
    <row r="463" ht="34" customHeight="1">
      <c r="A463" s="347" t="inlineStr">
        <is>
          <t>C10-M056</t>
        </is>
      </c>
      <c r="B463" s="348" t="inlineStr">
        <is>
          <t>C10</t>
        </is>
      </c>
      <c r="C463" s="348" t="inlineStr">
        <is>
          <t>王城罗德尔</t>
        </is>
      </c>
      <c r="D463" s="348" t="inlineStr">
        <is>
          <t>XX372</t>
        </is>
      </c>
      <c r="E463" s="348" t="inlineStr">
        <is>
          <t>内庭七帷掌仪</t>
        </is>
      </c>
      <c r="F463" s="348" t="inlineStr">
        <is>
          <t>稀有</t>
        </is>
      </c>
      <c r="G463" s="348" t="inlineStr">
        <is>
          <t>七帷掌仪腰封</t>
        </is>
      </c>
      <c r="H463" s="348" t="inlineStr">
        <is>
          <t>腰带</t>
        </is>
      </c>
      <c r="I463" s="348" t="inlineStr">
        <is>
          <t>腰带</t>
        </is>
      </c>
      <c r="J463" s="348" t="n">
        <v>6037</v>
      </c>
      <c r="K463" s="348" t="inlineStr">
        <is>
          <t>规划锁定／旧资源待实库回读</t>
        </is>
      </c>
      <c r="L463" s="349" t="inlineStr">
        <is>
          <t>装备资源库血月荆棘·弑神</t>
        </is>
      </c>
    </row>
    <row r="464" ht="34" customHeight="1">
      <c r="A464" s="347" t="inlineStr">
        <is>
          <t>C10-M057</t>
        </is>
      </c>
      <c r="B464" s="348" t="inlineStr">
        <is>
          <t>C10</t>
        </is>
      </c>
      <c r="C464" s="348" t="inlineStr">
        <is>
          <t>王城罗德尔</t>
        </is>
      </c>
      <c r="D464" s="348" t="inlineStr">
        <is>
          <t>XX463</t>
        </is>
      </c>
      <c r="E464" s="348" t="inlineStr">
        <is>
          <t>深殿缄律书记</t>
        </is>
      </c>
      <c r="F464" s="348" t="inlineStr">
        <is>
          <t>稀有</t>
        </is>
      </c>
      <c r="G464" s="348" t="inlineStr">
        <is>
          <t>缄律书记戒</t>
        </is>
      </c>
      <c r="H464" s="348" t="inlineStr">
        <is>
          <t>戒指</t>
        </is>
      </c>
      <c r="I464" s="348" t="inlineStr">
        <is>
          <t>戒指</t>
        </is>
      </c>
      <c r="J464" s="348" t="n">
        <v>6087</v>
      </c>
      <c r="K464" s="348" t="inlineStr">
        <is>
          <t>规划锁定／旧资源待实库回读</t>
        </is>
      </c>
      <c r="L464" s="349" t="inlineStr">
        <is>
          <t>装备资源库星渊龙息·渊潮</t>
        </is>
      </c>
    </row>
    <row r="465" ht="34" customHeight="1">
      <c r="A465" s="347" t="inlineStr">
        <is>
          <t>C10-M058</t>
        </is>
      </c>
      <c r="B465" s="348" t="inlineStr">
        <is>
          <t>C10</t>
        </is>
      </c>
      <c r="C465" s="348" t="inlineStr">
        <is>
          <t>王城罗德尔</t>
        </is>
      </c>
      <c r="D465" s="348" t="inlineStr">
        <is>
          <t>XX370</t>
        </is>
      </c>
      <c r="E465" s="348" t="inlineStr">
        <is>
          <t>前厅无声执冠官</t>
        </is>
      </c>
      <c r="F465" s="348" t="inlineStr">
        <is>
          <t>稀有</t>
        </is>
      </c>
      <c r="G465" s="348" t="inlineStr">
        <is>
          <t>无声执冠勋章</t>
        </is>
      </c>
      <c r="H465" s="348" t="inlineStr">
        <is>
          <t>勋章</t>
        </is>
      </c>
      <c r="I465" s="348" t="inlineStr">
        <is>
          <t>勋章</t>
        </is>
      </c>
      <c r="J465" s="348" t="n">
        <v>5912</v>
      </c>
      <c r="K465" s="348" t="inlineStr">
        <is>
          <t>规划锁定／旧资源待实库回读</t>
        </is>
      </c>
      <c r="L465" s="349" t="inlineStr">
        <is>
          <t>装备资源库黄金圣律·蓝辉</t>
        </is>
      </c>
    </row>
    <row r="466" ht="34" customHeight="1">
      <c r="A466" s="347" t="inlineStr">
        <is>
          <t>C10-M059</t>
        </is>
      </c>
      <c r="B466" s="348" t="inlineStr">
        <is>
          <t>C10</t>
        </is>
      </c>
      <c r="C466" s="348" t="inlineStr">
        <is>
          <t>王城罗德尔</t>
        </is>
      </c>
      <c r="D466" s="348" t="inlineStr">
        <is>
          <t>XX370</t>
        </is>
      </c>
      <c r="E466" s="348" t="inlineStr">
        <is>
          <t>碎日门的黄金禁卫</t>
        </is>
      </c>
      <c r="F466" s="348" t="inlineStr">
        <is>
          <t>地图BOSS</t>
        </is>
      </c>
      <c r="G466" s="348" t="inlineStr">
        <is>
          <t>碎日禁卫斗笠</t>
        </is>
      </c>
      <c r="H466" s="348" t="inlineStr">
        <is>
          <t>斗笠</t>
        </is>
      </c>
      <c r="I466" s="348" t="inlineStr">
        <is>
          <t>面巾（位置13，对应斗笠）</t>
        </is>
      </c>
      <c r="J466" s="348" t="n">
        <v>7065</v>
      </c>
      <c r="K466" s="348" t="inlineStr">
        <is>
          <t>预检通过资源／规划锁定／待入库</t>
        </is>
      </c>
      <c r="L466" s="349" t="inlineStr">
        <is>
          <t>StdMode16/位置13；翠焰冥契·永夜</t>
        </is>
      </c>
    </row>
    <row r="467" ht="34" customHeight="1">
      <c r="A467" s="347" t="inlineStr">
        <is>
          <t>C10-M060</t>
        </is>
      </c>
      <c r="B467" s="348" t="inlineStr">
        <is>
          <t>C10</t>
        </is>
      </c>
      <c r="C467" s="348" t="inlineStr">
        <is>
          <t>王城罗德尔</t>
        </is>
      </c>
      <c r="D467" s="348" t="inlineStr">
        <is>
          <t>XX386</t>
        </is>
      </c>
      <c r="E467" s="348" t="inlineStr">
        <is>
          <t>永辉帷后的空王</t>
        </is>
      </c>
      <c r="F467" s="348" t="inlineStr">
        <is>
          <t>地图BOSS</t>
        </is>
      </c>
      <c r="G467" s="348" t="inlineStr">
        <is>
          <t>永辉空王礼服</t>
        </is>
      </c>
      <c r="H467" s="348" t="inlineStr">
        <is>
          <t>衣服</t>
        </is>
      </c>
      <c r="I467" s="348" t="inlineStr">
        <is>
          <t>男衣服（现行模板的衣服映射）</t>
        </is>
      </c>
      <c r="J467" s="348" t="n">
        <v>7217</v>
      </c>
      <c r="K467" s="348" t="inlineStr">
        <is>
          <t>测试三库资源已回读</t>
        </is>
      </c>
      <c r="L467" s="349" t="inlineStr">
        <is>
          <t>测试资源：0352_星渊龙息·星痕_男衣服.bmp；三库同码</t>
        </is>
      </c>
    </row>
    <row r="468" ht="34" customHeight="1">
      <c r="A468" s="350" t="inlineStr">
        <is>
          <t>C10-M061</t>
        </is>
      </c>
      <c r="B468" s="351" t="inlineStr">
        <is>
          <t>C10</t>
        </is>
      </c>
      <c r="C468" s="351" t="inlineStr">
        <is>
          <t>王城罗德尔</t>
        </is>
      </c>
      <c r="D468" s="351" t="inlineStr">
        <is>
          <t>XX386</t>
        </is>
      </c>
      <c r="E468" s="351" t="inlineStr">
        <is>
          <t>万冠终审者·萨洛恩</t>
        </is>
      </c>
      <c r="F468" s="351" t="inlineStr">
        <is>
          <t>守关BOSS</t>
        </is>
      </c>
      <c r="G468" s="351" t="inlineStr">
        <is>
          <t>万冠终律圣刃</t>
        </is>
      </c>
      <c r="H468" s="351" t="inlineStr">
        <is>
          <t>武器</t>
        </is>
      </c>
      <c r="I468" s="351" t="inlineStr">
        <is>
          <t>武器</t>
        </is>
      </c>
      <c r="J468" s="351" t="n">
        <v>7061</v>
      </c>
      <c r="K468" s="351" t="inlineStr">
        <is>
          <t>预检通过资源／规划锁定／待入库</t>
        </is>
      </c>
      <c r="L468" s="352" t="inlineStr">
        <is>
          <t>装备资源库翠焰冥契·永夜</t>
        </is>
      </c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20" customWidth="1" min="8" max="8"/>
  </cols>
  <sheetData>
    <row r="1" ht="30" customHeight="1">
      <c r="A1" s="361" t="inlineStr">
        <is>
          <t>第3—10大陆装备来源码缺口</t>
        </is>
      </c>
    </row>
    <row r="2" ht="38" customHeight="1">
      <c r="A2" s="365" t="inlineStr">
        <is>
          <t>按部位严格匹配；其他部位盈余不得代替武器、衣服或斗笠。</t>
        </is>
      </c>
    </row>
    <row r="4" ht="30" customHeight="1">
      <c r="A4" s="371" t="inlineStr">
        <is>
          <t>概念部位</t>
        </is>
      </c>
      <c r="B4" s="371" t="inlineStr">
        <is>
          <t>资源库部位</t>
        </is>
      </c>
      <c r="C4" s="371" t="inlineStr">
        <is>
          <t>需求件数</t>
        </is>
      </c>
      <c r="D4" s="371" t="inlineStr">
        <is>
          <t>账面可用</t>
        </is>
      </c>
      <c r="E4" s="371" t="inlineStr">
        <is>
          <t>已分配</t>
        </is>
      </c>
      <c r="F4" s="371" t="inlineStr">
        <is>
          <t>待分配件数</t>
        </is>
      </c>
      <c r="G4" s="371" t="inlineStr">
        <is>
          <t>需补来源码</t>
        </is>
      </c>
      <c r="H4" s="371" t="inlineStr">
        <is>
          <t>处理状态</t>
        </is>
      </c>
    </row>
    <row r="5" ht="30" customHeight="1">
      <c r="A5" s="344" t="inlineStr">
        <is>
          <t>项链</t>
        </is>
      </c>
      <c r="B5" s="345" t="inlineStr">
        <is>
          <t>项链</t>
        </is>
      </c>
      <c r="C5" s="345" t="n">
        <v>39</v>
      </c>
      <c r="D5" s="345" t="n">
        <v>46</v>
      </c>
      <c r="E5" s="345" t="n">
        <v>39</v>
      </c>
      <c r="F5" s="345" t="n">
        <v>0</v>
      </c>
      <c r="G5" s="345" t="n">
        <v>0</v>
      </c>
      <c r="H5" s="346" t="inlineStr">
        <is>
          <t>已覆盖</t>
        </is>
      </c>
    </row>
    <row r="6" ht="30" customHeight="1">
      <c r="A6" s="347" t="inlineStr">
        <is>
          <t>手镯</t>
        </is>
      </c>
      <c r="B6" s="348" t="inlineStr">
        <is>
          <t>手镯</t>
        </is>
      </c>
      <c r="C6" s="348" t="n">
        <v>38</v>
      </c>
      <c r="D6" s="348" t="n">
        <v>47</v>
      </c>
      <c r="E6" s="348" t="n">
        <v>38</v>
      </c>
      <c r="F6" s="348" t="n">
        <v>0</v>
      </c>
      <c r="G6" s="348" t="n">
        <v>0</v>
      </c>
      <c r="H6" s="349" t="inlineStr">
        <is>
          <t>已覆盖</t>
        </is>
      </c>
    </row>
    <row r="7" ht="30" customHeight="1">
      <c r="A7" s="347" t="inlineStr">
        <is>
          <t>鞋子</t>
        </is>
      </c>
      <c r="B7" s="348" t="inlineStr">
        <is>
          <t>鞋子</t>
        </is>
      </c>
      <c r="C7" s="348" t="n">
        <v>36</v>
      </c>
      <c r="D7" s="348" t="n">
        <v>49</v>
      </c>
      <c r="E7" s="348" t="n">
        <v>36</v>
      </c>
      <c r="F7" s="348" t="n">
        <v>0</v>
      </c>
      <c r="G7" s="348" t="n">
        <v>0</v>
      </c>
      <c r="H7" s="349" t="inlineStr">
        <is>
          <t>已覆盖</t>
        </is>
      </c>
    </row>
    <row r="8" ht="30" customHeight="1">
      <c r="A8" s="347" t="inlineStr">
        <is>
          <t>戒指</t>
        </is>
      </c>
      <c r="B8" s="348" t="inlineStr">
        <is>
          <t>戒指</t>
        </is>
      </c>
      <c r="C8" s="348" t="n">
        <v>39</v>
      </c>
      <c r="D8" s="348" t="n">
        <v>46</v>
      </c>
      <c r="E8" s="348" t="n">
        <v>39</v>
      </c>
      <c r="F8" s="348" t="n">
        <v>0</v>
      </c>
      <c r="G8" s="348" t="n">
        <v>0</v>
      </c>
      <c r="H8" s="349" t="inlineStr">
        <is>
          <t>已覆盖</t>
        </is>
      </c>
    </row>
    <row r="9" ht="30" customHeight="1">
      <c r="A9" s="347" t="inlineStr">
        <is>
          <t>腰带</t>
        </is>
      </c>
      <c r="B9" s="348" t="inlineStr">
        <is>
          <t>腰带</t>
        </is>
      </c>
      <c r="C9" s="348" t="n">
        <v>35</v>
      </c>
      <c r="D9" s="348" t="n">
        <v>49</v>
      </c>
      <c r="E9" s="348" t="n">
        <v>35</v>
      </c>
      <c r="F9" s="348" t="n">
        <v>0</v>
      </c>
      <c r="G9" s="348" t="n">
        <v>0</v>
      </c>
      <c r="H9" s="349" t="inlineStr">
        <is>
          <t>已覆盖</t>
        </is>
      </c>
    </row>
    <row r="10" ht="30" customHeight="1">
      <c r="A10" s="347" t="inlineStr">
        <is>
          <t>头盔</t>
        </is>
      </c>
      <c r="B10" s="348" t="inlineStr">
        <is>
          <t>头盔</t>
        </is>
      </c>
      <c r="C10" s="348" t="n">
        <v>40</v>
      </c>
      <c r="D10" s="348" t="n">
        <v>46</v>
      </c>
      <c r="E10" s="348" t="n">
        <v>40</v>
      </c>
      <c r="F10" s="348" t="n">
        <v>0</v>
      </c>
      <c r="G10" s="348" t="n">
        <v>0</v>
      </c>
      <c r="H10" s="349" t="inlineStr">
        <is>
          <t>已覆盖</t>
        </is>
      </c>
    </row>
    <row r="11" ht="30" customHeight="1">
      <c r="A11" s="347" t="inlineStr">
        <is>
          <t>勋章</t>
        </is>
      </c>
      <c r="B11" s="348" t="inlineStr">
        <is>
          <t>勋章</t>
        </is>
      </c>
      <c r="C11" s="348" t="n">
        <v>23</v>
      </c>
      <c r="D11" s="348" t="n">
        <v>47</v>
      </c>
      <c r="E11" s="348" t="n">
        <v>23</v>
      </c>
      <c r="F11" s="348" t="n">
        <v>0</v>
      </c>
      <c r="G11" s="348" t="n">
        <v>0</v>
      </c>
      <c r="H11" s="349" t="inlineStr">
        <is>
          <t>已覆盖</t>
        </is>
      </c>
    </row>
    <row r="12" ht="30" customHeight="1">
      <c r="A12" s="347" t="inlineStr">
        <is>
          <t>盾牌</t>
        </is>
      </c>
      <c r="B12" s="348" t="inlineStr">
        <is>
          <t>盾牌</t>
        </is>
      </c>
      <c r="C12" s="348" t="n">
        <v>36</v>
      </c>
      <c r="D12" s="348" t="n">
        <v>46</v>
      </c>
      <c r="E12" s="348" t="n">
        <v>36</v>
      </c>
      <c r="F12" s="348" t="n">
        <v>0</v>
      </c>
      <c r="G12" s="348" t="n">
        <v>0</v>
      </c>
      <c r="H12" s="349" t="inlineStr">
        <is>
          <t>已覆盖</t>
        </is>
      </c>
    </row>
    <row r="13" ht="30" customHeight="1">
      <c r="A13" s="347" t="inlineStr">
        <is>
          <t>武器</t>
        </is>
      </c>
      <c r="B13" s="348" t="inlineStr">
        <is>
          <t>武器</t>
        </is>
      </c>
      <c r="C13" s="348" t="n">
        <v>79</v>
      </c>
      <c r="D13" s="348" t="n">
        <v>19</v>
      </c>
      <c r="E13" s="348" t="n">
        <v>79</v>
      </c>
      <c r="F13" s="348" t="n">
        <v>0</v>
      </c>
      <c r="G13" s="348" t="n">
        <v>0</v>
      </c>
      <c r="H13" s="349" t="inlineStr">
        <is>
          <t>已补齐（测试资源已回读）</t>
        </is>
      </c>
    </row>
    <row r="14" ht="30" customHeight="1">
      <c r="A14" s="347" t="inlineStr">
        <is>
          <t>衣服</t>
        </is>
      </c>
      <c r="B14" s="348" t="inlineStr">
        <is>
          <t>男衣服（StdMode10）</t>
        </is>
      </c>
      <c r="C14" s="348" t="n">
        <v>70</v>
      </c>
      <c r="D14" s="348" t="n">
        <v>19</v>
      </c>
      <c r="E14" s="348" t="n">
        <v>70</v>
      </c>
      <c r="F14" s="348" t="n">
        <v>0</v>
      </c>
      <c r="G14" s="348" t="n">
        <v>0</v>
      </c>
      <c r="H14" s="349" t="inlineStr">
        <is>
          <t>已补齐（测试资源已回读）</t>
        </is>
      </c>
    </row>
    <row r="15" ht="30" customHeight="1">
      <c r="A15" s="350" t="inlineStr">
        <is>
          <t>斗笠</t>
        </is>
      </c>
      <c r="B15" s="351" t="inlineStr">
        <is>
          <t>面巾（StdMode16/位置13）</t>
        </is>
      </c>
      <c r="C15" s="351" t="n">
        <v>29</v>
      </c>
      <c r="D15" s="351" t="n">
        <v>18</v>
      </c>
      <c r="E15" s="351" t="n">
        <v>29</v>
      </c>
      <c r="F15" s="351" t="n">
        <v>0</v>
      </c>
      <c r="G15" s="351" t="n">
        <v>0</v>
      </c>
      <c r="H15" s="352" t="inlineStr">
        <is>
          <t>已补齐（测试资源已回读）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2026-09-02T14:47:36Z</dcterms:created>
  <dcterms:modified xsi:type="dcterms:W3CDTF">2026-09-02T14:57:18Z</dcterms:modified>
</cp:coreProperties>
</file>