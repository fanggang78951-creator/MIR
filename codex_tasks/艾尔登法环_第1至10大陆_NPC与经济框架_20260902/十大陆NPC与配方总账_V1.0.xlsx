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87106cd4b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ce4e14fa26f145e5"/>
    <x:sheet xmlns:r="http://schemas.openxmlformats.org/officeDocument/2006/relationships" name="01_NPC总览" sheetId="2" r:id="Rab6c4cbbf4aa4e3e"/>
    <x:sheet xmlns:r="http://schemas.openxmlformats.org/officeDocument/2006/relationships" name="02_配方总表" sheetId="3" r:id="R6b08532209fc415f"/>
    <x:sheet xmlns:r="http://schemas.openxmlformats.org/officeDocument/2006/relationships" name="03_材料角色" sheetId="4" r:id="R5c1221c5954541cd"/>
    <x:sheet xmlns:r="http://schemas.openxmlformats.org/officeDocument/2006/relationships" name="04_大陆经济口径" sheetId="5" r:id="R3706e2427d984920"/>
    <x:sheet xmlns:r="http://schemas.openxmlformats.org/officeDocument/2006/relationships" name="05_生肖与群攻" sheetId="6" r:id="R95f21e2a1b7541f5"/>
    <x:sheet xmlns:r="http://schemas.openxmlformats.org/officeDocument/2006/relationships" name="06_属性来源" sheetId="7" r:id="R66b02746ca274834"/>
    <x:sheet xmlns:r="http://schemas.openxmlformats.org/officeDocument/2006/relationships" name="07_玩家模型" sheetId="8" r:id="Rb073cee81c904b49"/>
    <x:sheet xmlns:r="http://schemas.openxmlformats.org/officeDocument/2006/relationships" name="08_校验" sheetId="9" r:id="R753eebfc8969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5D88D"/>
      <x:name val="Noto Sans SC Thin"/>
    </x:font>
    <x:font>
      <x:sz val="10"/>
      <x:color rgb="FF4D4A43"/>
      <x:name val="Noto Sans SC Thin"/>
    </x:font>
    <x:font>
      <x:b/>
      <x:sz val="10"/>
      <x:color rgb="FFFFFFFF"/>
      <x:name val="Noto Sans SC Thin"/>
    </x:font>
    <x:font>
      <x:sz val="10"/>
      <x:color rgb="FF25282D"/>
      <x:name val="Noto Sans SC Thin"/>
    </x:font>
  </x:fonts>
  <x:fills count="8">
    <x:fill>
      <x:patternFill patternType="none"/>
    </x:fill>
    <x:fill>
      <x:patternFill patternType="gray125"/>
    </x:fill>
    <x:fill>
      <x:patternFill patternType="solid">
        <x:fgColor rgb="FF20252B"/>
      </x:patternFill>
    </x:fill>
    <x:fill>
      <x:patternFill patternType="solid">
        <x:fgColor rgb="FFF4F1E8"/>
      </x:patternFill>
    </x:fill>
    <x:fill>
      <x:patternFill patternType="solid">
        <x:fgColor rgb="FFA87922"/>
      </x:patternFill>
    </x:fill>
    <x:fill>
      <x:patternFill patternType="solid">
        <x:fgColor rgb="FFFFF4D6"/>
      </x:patternFill>
    </x:fill>
    <x:fill>
      <x:patternFill patternType="solid">
        <x:fgColor rgb="FFE8EEF7"/>
      </x:patternFill>
    </x:fill>
    <x:fill>
      <x:patternFill patternType="solid">
        <x:fgColor rgb="FFE6F4EA"/>
      </x:patternFill>
    </x:fill>
  </x:fills>
  <x:borders count="11">
    <x:border/>
    <x:border>
      <x:left style="thin">
        <x:color rgb="FFD8C9A4"/>
      </x:left>
      <x:right style="thin">
        <x:color rgb="FFD8C9A4"/>
      </x:right>
      <x:top style="thin">
        <x:color rgb="FFD8C9A4"/>
      </x:top>
      <x:bottom style="thin">
        <x:color rgb="FFD8C9A4"/>
      </x:bottom>
    </x:border>
    <x:border>
      <x:right style="thin">
        <x:color rgb="FFE7E1D2"/>
      </x:right>
      <x:bottom style="thin">
        <x:color rgb="FFE7E1D2"/>
      </x:bottom>
    </x:border>
    <x:border>
      <x:left style="thin">
        <x:color rgb="FFE7E1D2"/>
      </x:left>
      <x:right style="thin">
        <x:color rgb="FFE7E1D2"/>
      </x:right>
      <x:bottom style="thin">
        <x:color rgb="FFE7E1D2"/>
      </x:bottom>
    </x:border>
    <x:border>
      <x:left style="thin">
        <x:color rgb="FFE7E1D2"/>
      </x:left>
      <x:bottom style="thin">
        <x:color rgb="FFE7E1D2"/>
      </x:bottom>
    </x:border>
    <x:border>
      <x:right style="thin">
        <x:color rgb="FFE7E1D2"/>
      </x:right>
      <x:top style="thin">
        <x:color rgb="FFE7E1D2"/>
      </x:top>
      <x:bottom style="thin">
        <x:color rgb="FFE7E1D2"/>
      </x:bottom>
    </x:border>
    <x:border>
      <x:left style="thin">
        <x:color rgb="FFE7E1D2"/>
      </x:left>
      <x:right style="thin">
        <x:color rgb="FFE7E1D2"/>
      </x:right>
      <x:top style="thin">
        <x:color rgb="FFE7E1D2"/>
      </x:top>
      <x:bottom style="thin">
        <x:color rgb="FFE7E1D2"/>
      </x:bottom>
    </x:border>
    <x:border>
      <x:left style="thin">
        <x:color rgb="FFE7E1D2"/>
      </x:left>
      <x:top style="thin">
        <x:color rgb="FFE7E1D2"/>
      </x:top>
      <x:bottom style="thin">
        <x:color rgb="FFE7E1D2"/>
      </x:bottom>
    </x:border>
    <x:border>
      <x:right style="thin">
        <x:color rgb="FFE7E1D2"/>
      </x:right>
      <x:top style="thin">
        <x:color rgb="FFE7E1D2"/>
      </x:top>
    </x:border>
    <x:border>
      <x:left style="thin">
        <x:color rgb="FFE7E1D2"/>
      </x:left>
      <x:right style="thin">
        <x:color rgb="FFE7E1D2"/>
      </x:right>
      <x:top style="thin">
        <x:color rgb="FFE7E1D2"/>
      </x:top>
    </x:border>
    <x:border>
      <x:left style="thin">
        <x:color rgb="FFE7E1D2"/>
      </x:left>
      <x:top style="thin">
        <x:color rgb="FFE7E1D2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ca7a766e745bd" /><Relationship Type="http://schemas.openxmlformats.org/officeDocument/2006/relationships/theme" Target="/xl/theme/theme1.xml" Id="Ra96123f5fdba4c16" /><Relationship Type="http://schemas.openxmlformats.org/officeDocument/2006/relationships/sharedStrings" Target="/xl/sharedStrings.xml" Id="R5f0fbde7d0114e1e" /><Relationship Type="http://schemas.openxmlformats.org/officeDocument/2006/relationships/worksheet" Target="/xl/worksheets/sheet1.xml" Id="Rce4e14fa26f145e5" /><Relationship Type="http://schemas.openxmlformats.org/officeDocument/2006/relationships/worksheet" Target="/xl/worksheets/sheet2.xml" Id="Rab6c4cbbf4aa4e3e" /><Relationship Type="http://schemas.openxmlformats.org/officeDocument/2006/relationships/worksheet" Target="/xl/worksheets/sheet3.xml" Id="R6b08532209fc415f" /><Relationship Type="http://schemas.openxmlformats.org/officeDocument/2006/relationships/worksheet" Target="/xl/worksheets/sheet4.xml" Id="R5c1221c5954541cd" /><Relationship Type="http://schemas.openxmlformats.org/officeDocument/2006/relationships/worksheet" Target="/xl/worksheets/sheet5.xml" Id="R3706e2427d984920" /><Relationship Type="http://schemas.openxmlformats.org/officeDocument/2006/relationships/worksheet" Target="/xl/worksheets/sheet6.xml" Id="R95f21e2a1b7541f5" /><Relationship Type="http://schemas.openxmlformats.org/officeDocument/2006/relationships/worksheet" Target="/xl/worksheets/sheet7.xml" Id="R66b02746ca274834" /><Relationship Type="http://schemas.openxmlformats.org/officeDocument/2006/relationships/worksheet" Target="/xl/worksheets/sheet8.xml" Id="Rb073cee81c904b49" /><Relationship Type="http://schemas.openxmlformats.org/officeDocument/2006/relationships/worksheet" Target="/xl/worksheets/sheet9.xml" Id="R753eebfc89694c96" /></Relationships>
</file>

<file path=xl/tables/table1.xml><?xml version="1.0" encoding="utf-8"?>
<x:table xmlns:x="http://schemas.openxmlformats.org/spreadsheetml/2006/main" id="1" name="tblGuide" displayName="tblGuide" ref="A4:D12" headerRowCount="1" totalsRowCount="0" totalsRowShown="0">
  <x:tableColumns count="4">
    <x:tableColumn id="1" name="项目"/>
    <x:tableColumn id="2" name="口径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Npc" displayName="tblNpc" ref="A4:K54" headerRowCount="1" totalsRowCount="0" totalsRowShown="0">
  <x:tableColumns count="11">
    <x:tableColumn id="1" name="NPC/入口ID"/>
    <x:tableColumn id="2" name="大陆ID"/>
    <x:tableColumn id="3" name="大陆/区域"/>
    <x:tableColumn id="4" name="正式名称"/>
    <x:tableColumn id="5" name="类型"/>
    <x:tableColumn id="6" name="状态"/>
    <x:tableColumn id="7" name="核心功能"/>
    <x:tableColumn id="8" name="简短故事"/>
    <x:tableColumn id="9" name="放置口径"/>
    <x:tableColumn id="10" name="施工动作"/>
    <x:tableColumn id="11" name="配方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Recipe" displayName="tblRecipe" ref="A4:S78" headerRowCount="1" totalsRowCount="0" totalsRowShown="0">
  <x:tableColumns count="19">
    <x:tableColumn id="1" name="配方ID"/>
    <x:tableColumn id="2" name="大陆ID"/>
    <x:tableColumn id="3" name="大陆"/>
    <x:tableColumn id="4" name="NPC ID"/>
    <x:tableColumn id="5" name="NPC正式名"/>
    <x:tableColumn id="6" name="类别"/>
    <x:tableColumn id="7" name="产物"/>
    <x:tableColumn id="8" name="部位/系统"/>
    <x:tableColumn id="9" name="基础件/前置"/>
    <x:tableColumn id="10" name="高产通用材料"/>
    <x:tableColumn id="11" name="稀有/证物材料"/>
    <x:tableColumn id="12" name="全局材料"/>
    <x:tableColumn id="13" name="金币/元宝/灵符"/>
    <x:tableColumn id="14" name="成功规则"/>
    <x:tableColumn id="15" name="属性方向"/>
    <x:tableColumn id="16" name="交易/绑定"/>
    <x:tableColumn id="17" name="数量状态"/>
    <x:tableColumn id="18" name="编码状态"/>
    <x:tableColumn id="19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MaterialRole" displayName="tblMaterialRole" ref="A4:N80" headerRowCount="1" totalsRowCount="0" totalsRowShown="0">
  <x:tableColumns count="14">
    <x:tableColumn id="1" name="Idx"/>
    <x:tableColumn id="2" name="逻辑材料ID"/>
    <x:tableColumn id="3" name="名称"/>
    <x:tableColumn id="4" name="大陆ID"/>
    <x:tableColumn id="5" name="大陆"/>
    <x:tableColumn id="6" name="原始类别"/>
    <x:tableColumn id="7" name="Looks"/>
    <x:tableColumn id="8" name="编码状态"/>
    <x:tableColumn id="9" name="掉落角色"/>
    <x:tableColumn id="10" name="配方/系统用途"/>
    <x:tableColumn id="11" name="回收口径"/>
    <x:tableColumn id="12" name="交易口径"/>
    <x:tableColumn id="13" name="高产主材"/>
    <x:tableColumn id="14" name="大陆收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Economy" displayName="tblEconomy" ref="A4:L14" headerRowCount="1" totalsRowCount="0" totalsRowShown="0">
  <x:tableColumns count="12">
    <x:tableColumn id="1" name="大陆ID"/>
    <x:tableColumn id="2" name="大陆"/>
    <x:tableColumn id="3" name="高产溢出材料"/>
    <x:tableColumn id="4" name="掉落范围"/>
    <x:tableColumn id="5" name="投放技术口径"/>
    <x:tableColumn id="6" name="回收档位"/>
    <x:tableColumn id="7" name="回收倾向"/>
    <x:tableColumn id="8" name="跨大陆递增"/>
    <x:tableColumn id="9" name="主要消耗压力"/>
    <x:tableColumn id="10" name="制式装备角色"/>
    <x:tableColumn id="11" name="交易角色"/>
    <x:tableColumn id="12" name="防套利规则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ZodiacAoe" displayName="tblZodiacAoe" ref="A4:J20" headerRowCount="1" totalsRowCount="0" totalsRowShown="0">
  <x:tableColumns count="10">
    <x:tableColumn id="1" name="类型"/>
    <x:tableColumn id="2" name="大陆ID"/>
    <x:tableColumn id="3" name="基础/前级"/>
    <x:tableColumn id="4" name="成品"/>
    <x:tableColumn id="5" name="槽位"/>
    <x:tableColumn id="6" name="范围"/>
    <x:tableColumn id="7" name="CD"/>
    <x:tableColumn id="8" name="属性/伤害"/>
    <x:tableColumn id="9" name="状态"/>
    <x:tableColumn id="1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AttributeSources" displayName="tblAttributeSources" ref="A4:G13" headerRowCount="1" totalsRowCount="0" totalsRowShown="0">
  <x:tableColumns count="7">
    <x:tableColumn id="1" name="系统"/>
    <x:tableColumn id="2" name="基础攻魔道权重"/>
    <x:tableColumn id="3" name="神力倍攻权重"/>
    <x:tableColumn id="4" name="稀有属性"/>
    <x:tableColumn id="5" name="规模"/>
    <x:tableColumn id="6" name="主要职责"/>
    <x:tableColumn id="7" name="控制规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layerModel" displayName="tblPlayerModel" ref="A4:G8" headerRowCount="1" totalsRowCount="0" totalsRowShown="0">
  <x:tableColumns count="7">
    <x:tableColumn id="1" name="模型"/>
    <x:tableColumn id="2" name="定位"/>
    <x:tableColumn id="3" name="通关基准"/>
    <x:tableColumn id="4" name="主要产出"/>
    <x:tableColumn id="5" name="主要行为"/>
    <x:tableColumn id="6" name="工期口径"/>
    <x:tableColumn id="7" name="约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Checks" displayName="tblChecks" ref="A4:F16" headerRowCount="1" totalsRowCount="0" totalsRowShown="0">
  <x:tableColumns count="6">
    <x:tableColumn id="1" name="校验项"/>
    <x:tableColumn id="2" name="期望"/>
    <x:tableColumn id="3" name="实际"/>
    <x:tableColumn id="4" name="差异"/>
    <x:tableColumn id="5" name="结论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d11549f0d54f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25f90b449c45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dc57a3a7fe45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3511bc15af43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0ded9429ba48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f7b882353f4e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f9a53fa252749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bd44b57fb9349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ebe113f889141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18" hidden="0" customWidth="1"/>
    <x:col min="4" max="4" width="82" hidden="0" customWidth="1"/>
  </x:cols>
  <x:sheetData>
    <x:row r="1" ht="32" customHeight="1">
      <x:c r="A1" s="4" t="str">
        <x:v>《艾尔登法环》传奇版·十大陆NPC与配方总账 V1.0</x:v>
      </x:c>
      <x:c r="B1" s="4" t="str">
        <x:v>《艾尔登法环》传奇版·十大陆NPC与配方总账 V1.0</x:v>
      </x:c>
      <x:c r="C1" s="4" t="str">
        <x:v>《艾尔登法环》传奇版·十大陆NPC与配方总账 V1.0</x:v>
      </x:c>
      <x:c r="D1" s="4" t="str">
        <x:v>《艾尔登法环》传奇版·十大陆NPC与配方总账 V1.0</x:v>
      </x:c>
    </x:row>
    <x:row r="2" ht="38" customHeight="1">
      <x:c r="A2" s="8" t="str">
        <x:v>用途：冻结NPC、故事、配方产物、底材与经济角色；真实属性、掉率、数量、金币/元宝金额留到总平衡阶段统一计算。</x:v>
      </x:c>
      <x:c r="B2" s="8" t="str">
        <x:v>用途：冻结NPC、故事、配方产物、底材与经济角色；真实属性、掉率、数量、金币/元宝金额留到总平衡阶段统一计算。</x:v>
      </x:c>
      <x:c r="C2" s="8" t="str">
        <x:v>用途：冻结NPC、故事、配方产物、底材与经济角色；真实属性、掉率、数量、金币/元宝金额留到总平衡阶段统一计算。</x:v>
      </x:c>
      <x:c r="D2" s="8" t="str">
        <x:v>用途：冻结NPC、故事、配方产物、底材与经济角色；真实属性、掉率、数量、金币/元宝金额留到总平衡阶段统一计算。</x:v>
      </x:c>
    </x:row>
    <x:row r="4" ht="30" customHeight="1">
      <x:c r="A4" s="14" t="str">
        <x:v>项目</x:v>
      </x:c>
      <x:c r="B4" s="14" t="str">
        <x:v>口径</x:v>
      </x:c>
      <x:c r="C4" s="14" t="str">
        <x:v>状态</x:v>
      </x:c>
      <x:c r="D4" s="14" t="str">
        <x:v>说明</x:v>
      </x:c>
    </x:row>
    <x:row r="5" ht="42" customHeight="1">
      <x:c r="A5" s="34" t="str">
        <x:v>版本</x:v>
      </x:c>
      <x:c r="B5" s="35" t="str">
        <x:v>V1.0</x:v>
      </x:c>
      <x:c r="C5" s="35" t="str">
        <x:v>正式结构</x:v>
      </x:c>
      <x:c r="D5" s="36" t="str">
        <x:v>NPC名称、故事、功能、配方产物、底材方向与经济角色已定</x:v>
      </x:c>
    </x:row>
    <x:row r="6" ht="42" customHeight="1">
      <x:c r="A6" s="37" t="str">
        <x:v>本轮已定</x:v>
      </x:c>
      <x:c r="B6" s="38" t="str">
        <x:v>NPC与配方框架</x:v>
      </x:c>
      <x:c r="C6" s="38" t="str">
        <x:v>正式</x:v>
      </x:c>
      <x:c r="D6" s="39" t="str">
        <x:v>NPC及配方由总体规划直接决定，不再逐项征求确认</x:v>
      </x:c>
    </x:row>
    <x:row r="7" ht="42" customHeight="1">
      <x:c r="A7" s="37" t="str">
        <x:v>本轮未定</x:v>
      </x:c>
      <x:c r="B7" s="38" t="str">
        <x:v>真实数量、属性、回收价、掉率</x:v>
      </x:c>
      <x:c r="C7" s="38" t="str">
        <x:v>待统一反算</x:v>
      </x:c>
      <x:c r="D7" s="39" t="str">
        <x:v>等待全部外围框架齐全后集中平衡</x:v>
      </x:c>
    </x:row>
    <x:row r="8" ht="42" customHeight="1">
      <x:c r="A8" s="37" t="str">
        <x:v>货币来源</x:v>
      </x:c>
      <x:c r="B8" s="38" t="str">
        <x:v>高产材料回收为主，制式装备回收为辅</x:v>
      </x:c>
      <x:c r="C8" s="38" t="str">
        <x:v>正式</x:v>
      </x:c>
      <x:c r="D8" s="39" t="str">
        <x:v>越高大陆回收档位越高；金币与元宝交叉使用</x:v>
      </x:c>
    </x:row>
    <x:row r="9" ht="42" customHeight="1">
      <x:c r="A9" s="37" t="str">
        <x:v>成长分工</x:v>
      </x:c>
      <x:c r="B9" s="38" t="str">
        <x:v>称号/装备=基础攻击；图鉴/命格/转生=神力；生肖=较弱装备型</x:v>
      </x:c>
      <x:c r="C9" s="38" t="str">
        <x:v>正式</x:v>
      </x:c>
      <x:c r="D9" s="39" t="str">
        <x:v>重叠允许，但全量角色快照必须可计算</x:v>
      </x:c>
    </x:row>
    <x:row r="10" ht="42" customHeight="1">
      <x:c r="A10" s="37" t="str">
        <x:v>玩家基准</x:v>
      </x:c>
      <x:c r="B10" s="38" t="str">
        <x:v>免费号供货；满赞助号全天在线仍&gt;20天</x:v>
      </x:c>
      <x:c r="C10" s="38" t="str">
        <x:v>正式</x:v>
      </x:c>
      <x:c r="D10" s="39" t="str">
        <x:v>硬下限&gt;480小时；规划中心暂用528小时</x:v>
      </x:c>
    </x:row>
    <x:row r="11" ht="42" customHeight="1">
      <x:c r="A11" s="37" t="str">
        <x:v>确定合成</x:v>
      </x:c>
      <x:c r="B11" s="38" t="str">
        <x:v>重点装备23件＋大陆生肖10件＋群攻5级＋独立称号6个</x:v>
      </x:c>
      <x:c r="C11" s="38" t="str">
        <x:v>正式</x:v>
      </x:c>
      <x:c r="D11" s="39" t="str">
        <x:v>装备/生肖需38个新资源编码；称号需6个脚本ID</x:v>
      </x:c>
    </x:row>
    <x:row r="12" ht="42" customHeight="1">
      <x:c r="A12" s="40" t="str">
        <x:v>随机边界</x:v>
      </x:c>
      <x:c r="B12" s="41" t="str">
        <x:v>仅命格、普通洗练、项链幸运、战灰结果随机</x:v>
      </x:c>
      <x:c r="C12" s="41" t="str">
        <x:v>正式</x:v>
      </x:c>
      <x:c r="D12" s="42" t="str">
        <x:v>转生与确定性合成均100%成功，不设置失败吞料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7d11549f0d54f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20" hidden="0" customWidth="1"/>
    <x:col min="4" max="4" width="28" hidden="0" customWidth="1"/>
    <x:col min="5" max="5" width="18" hidden="0" customWidth="1"/>
    <x:col min="6" max="6" width="20" hidden="0" customWidth="1"/>
    <x:col min="7" max="7" width="48" hidden="0" customWidth="1"/>
    <x:col min="8" max="8" width="62" hidden="0" customWidth="1"/>
    <x:col min="9" max="9" width="28" hidden="0" customWidth="1"/>
    <x:col min="10" max="10" width="32" hidden="0" customWidth="1"/>
    <x:col min="11" max="11" width="12" hidden="0" customWidth="1"/>
  </x:cols>
  <x:sheetData>
    <x:row r="1" ht="32" customHeight="1">
      <x:c r="A1" s="4" t="str">
        <x:v>第1—10大陆NPC与页面入口总览</x:v>
      </x:c>
      <x:c r="B1" s="4" t="str">
        <x:v>第1—10大陆NPC与页面入口总览</x:v>
      </x:c>
      <x:c r="C1" s="4" t="str">
        <x:v>第1—10大陆NPC与页面入口总览</x:v>
      </x:c>
      <x:c r="D1" s="4" t="str">
        <x:v>第1—10大陆NPC与页面入口总览</x:v>
      </x:c>
      <x:c r="E1" s="4" t="str">
        <x:v>第1—10大陆NPC与页面入口总览</x:v>
      </x:c>
      <x:c r="F1" s="4" t="str">
        <x:v>第1—10大陆NPC与页面入口总览</x:v>
      </x:c>
      <x:c r="G1" s="4" t="str">
        <x:v>第1—10大陆NPC与页面入口总览</x:v>
      </x:c>
      <x:c r="H1" s="4" t="str">
        <x:v>第1—10大陆NPC与页面入口总览</x:v>
      </x:c>
      <x:c r="I1" s="4" t="str">
        <x:v>第1—10大陆NPC与页面入口总览</x:v>
      </x:c>
      <x:c r="J1" s="4" t="str">
        <x:v>第1—10大陆NPC与页面入口总览</x:v>
      </x:c>
      <x:c r="K1" s="4" t="str">
        <x:v>第1—10大陆NPC与页面入口总览</x:v>
      </x:c>
    </x:row>
    <x:row r="2" ht="38" customHeight="1">
      <x:c r="A2" s="8" t="str">
        <x:v>地图与功能均已存在或已确认；本表只决定承载入口、菜单归属与简短故事，不新增游戏系统。</x:v>
      </x:c>
      <x:c r="B2" s="8" t="str">
        <x:v>地图与功能均已存在或已确认；本表只决定承载入口、菜单归属与简短故事，不新增游戏系统。</x:v>
      </x:c>
      <x:c r="C2" s="8" t="str">
        <x:v>地图与功能均已存在或已确认；本表只决定承载入口、菜单归属与简短故事，不新增游戏系统。</x:v>
      </x:c>
      <x:c r="D2" s="8" t="str">
        <x:v>地图与功能均已存在或已确认；本表只决定承载入口、菜单归属与简短故事，不新增游戏系统。</x:v>
      </x:c>
      <x:c r="E2" s="8" t="str">
        <x:v>地图与功能均已存在或已确认；本表只决定承载入口、菜单归属与简短故事，不新增游戏系统。</x:v>
      </x:c>
      <x:c r="F2" s="8" t="str">
        <x:v>地图与功能均已存在或已确认；本表只决定承载入口、菜单归属与简短故事，不新增游戏系统。</x:v>
      </x:c>
      <x:c r="G2" s="8" t="str">
        <x:v>地图与功能均已存在或已确认；本表只决定承载入口、菜单归属与简短故事，不新增游戏系统。</x:v>
      </x:c>
      <x:c r="H2" s="8" t="str">
        <x:v>地图与功能均已存在或已确认；本表只决定承载入口、菜单归属与简短故事，不新增游戏系统。</x:v>
      </x:c>
      <x:c r="I2" s="8" t="str">
        <x:v>地图与功能均已存在或已确认；本表只决定承载入口、菜单归属与简短故事，不新增游戏系统。</x:v>
      </x:c>
      <x:c r="J2" s="8" t="str">
        <x:v>地图与功能均已存在或已确认；本表只决定承载入口、菜单归属与简短故事，不新增游戏系统。</x:v>
      </x:c>
      <x:c r="K2" s="8" t="str">
        <x:v>地图与功能均已存在或已确认；本表只决定承载入口、菜单归属与简短故事，不新增游戏系统。</x:v>
      </x:c>
    </x:row>
    <x:row r="4" ht="30" customHeight="1">
      <x:c r="A4" s="14" t="str">
        <x:v>NPC/入口ID</x:v>
      </x:c>
      <x:c r="B4" s="14" t="str">
        <x:v>大陆ID</x:v>
      </x:c>
      <x:c r="C4" s="14" t="str">
        <x:v>大陆/区域</x:v>
      </x:c>
      <x:c r="D4" s="14" t="str">
        <x:v>正式名称</x:v>
      </x:c>
      <x:c r="E4" s="14" t="str">
        <x:v>类型</x:v>
      </x:c>
      <x:c r="F4" s="14" t="str">
        <x:v>状态</x:v>
      </x:c>
      <x:c r="G4" s="14" t="str">
        <x:v>核心功能</x:v>
      </x:c>
      <x:c r="H4" s="14" t="str">
        <x:v>简短故事</x:v>
      </x:c>
      <x:c r="I4" s="14" t="str">
        <x:v>放置口径</x:v>
      </x:c>
      <x:c r="J4" s="14" t="str">
        <x:v>施工动作</x:v>
      </x:c>
      <x:c r="K4" s="14" t="str">
        <x:v>配方数</x:v>
      </x:c>
    </x:row>
    <x:row r="5" ht="46" customHeight="1">
      <x:c r="A5" s="34" t="str">
        <x:v>PAGE-SKILL</x:v>
      </x:c>
      <x:c r="B5" s="35" t="str">
        <x:v>FULL</x:v>
      </x:c>
      <x:c r="C5" s="35" t="str">
        <x:v>全服</x:v>
      </x:c>
      <x:c r="D5" s="35" t="str">
        <x:v>技能页面</x:v>
      </x:c>
      <x:c r="E5" s="35" t="str">
        <x:v>页面入口</x:v>
      </x:c>
      <x:c r="F5" s="35" t="str">
        <x:v>已有功能／无NPC</x:v>
      </x:c>
      <x:c r="G5" s="35" t="str">
        <x:v>升级与领悟技能</x:v>
      </x:c>
      <x:c r="H5" s="35" t="str">
        <x:v>玩家在页面直接操作，不设技能导师。</x:v>
      </x:c>
      <x:c r="I5" s="35" t="str">
        <x:v>现有技能页面</x:v>
      </x:c>
      <x:c r="J5" s="35" t="str">
        <x:v>沿用并补正式材料映射</x:v>
      </x:c>
      <x:c r="K5" s="43" t="n">
        <x:f>COUNTIF('02_配方总表'!$D$5:$D$75,A5)</x:f>
        <x:v>0</x:v>
      </x:c>
    </x:row>
    <x:row r="6" ht="46" customHeight="1">
      <x:c r="A6" s="37" t="str">
        <x:v>PAGE-CODEX-EQ</x:v>
      </x:c>
      <x:c r="B6" s="38" t="str">
        <x:v>FULL</x:v>
      </x:c>
      <x:c r="C6" s="38" t="str">
        <x:v>全服</x:v>
      </x:c>
      <x:c r="D6" s="38" t="str">
        <x:v>专属装备图鉴</x:v>
      </x:c>
      <x:c r="E6" s="38" t="str">
        <x:v>命令／页面</x:v>
      </x:c>
      <x:c r="F6" s="38" t="str">
        <x:v>已有功能／无NPC</x:v>
      </x:c>
      <x:c r="G6" s="38" t="str">
        <x:v>登记专属装备并授予单件及整大陆奖励</x:v>
      </x:c>
      <x:c r="H6" s="38" t="str">
        <x:v>登记就是牺牲一件装备换永久成长，不收任何货币。</x:v>
      </x:c>
      <x:c r="I6" s="38" t="str">
        <x:v>命令触发页面</x:v>
      </x:c>
      <x:c r="J6" s="38" t="str">
        <x:v>沿用；登记消耗装备1件</x:v>
      </x:c>
      <x:c r="K6" s="44" t="n">
        <x:f>COUNTIF('02_配方总表'!$D$5:$D$75,A6)</x:f>
        <x:v>0</x:v>
      </x:c>
    </x:row>
    <x:row r="7" ht="46" customHeight="1">
      <x:c r="A7" s="37" t="str">
        <x:v>PAGE-CODEX-COLLECT</x:v>
      </x:c>
      <x:c r="B7" s="38" t="str">
        <x:v>FULL</x:v>
      </x:c>
      <x:c r="C7" s="38" t="str">
        <x:v>全服</x:v>
      </x:c>
      <x:c r="D7" s="38" t="str">
        <x:v>大陆材料图鉴</x:v>
      </x:c>
      <x:c r="E7" s="38" t="str">
        <x:v>命令／页面</x:v>
      </x:c>
      <x:c r="F7" s="38" t="str">
        <x:v>新增确认／无NPC</x:v>
      </x:c>
      <x:c r="G7" s="38" t="str">
        <x:v>登记各大陆收藏材料</x:v>
      </x:c>
      <x:c r="H7" s="38" t="str">
        <x:v>每大陆一件不可装备的高价值收藏材料，全怪均可掉落。</x:v>
      </x:c>
      <x:c r="I7" s="38" t="str">
        <x:v>命令触发页面</x:v>
      </x:c>
      <x:c r="J7" s="38" t="str">
        <x:v>待配奖励与爆率</x:v>
      </x:c>
      <x:c r="K7" s="44" t="n">
        <x:f>COUNTIF('02_配方总表'!$D$5:$D$75,A7)</x:f>
        <x:v>0</x:v>
      </x:c>
    </x:row>
    <x:row r="8" ht="46" customHeight="1">
      <x:c r="A8" s="37" t="str">
        <x:v>SYS-RECYCLE</x:v>
      </x:c>
      <x:c r="B8" s="38" t="str">
        <x:v>FULL</x:v>
      </x:c>
      <x:c r="C8" s="38" t="str">
        <x:v>全服</x:v>
      </x:c>
      <x:c r="D8" s="38" t="str">
        <x:v>全服回收入口</x:v>
      </x:c>
      <x:c r="E8" s="38" t="str">
        <x:v>系统入口</x:v>
      </x:c>
      <x:c r="F8" s="38" t="str">
        <x:v>现有功能扩展</x:v>
      </x:c>
      <x:c r="G8" s="38" t="str">
        <x:v>回收制式装备与各大陆高产溢出材料，产出金币／元宝</x:v>
      </x:c>
      <x:c r="H8" s="38" t="str">
        <x:v>将多余掉落变成下一阶段缺口所需货币。</x:v>
      </x:c>
      <x:c r="I8" s="38" t="str">
        <x:v>现有回收页面／NPC</x:v>
      </x:c>
      <x:c r="J8" s="38" t="str">
        <x:v>新增十种材料回收映射</x:v>
      </x:c>
      <x:c r="K8" s="44" t="n">
        <x:f>COUNTIF('02_配方总表'!$D$5:$D$75,A8)</x:f>
        <x:v>0</x:v>
      </x:c>
    </x:row>
    <x:row r="9" ht="46" customHeight="1">
      <x:c r="A9" s="37" t="str">
        <x:v>CAMP-SWORD-01</x:v>
      </x:c>
      <x:c r="B9" s="38" t="str">
        <x:v>CAMP</x:v>
      </x:c>
      <x:c r="C9" s="38" t="str">
        <x:v>初始营地</x:v>
      </x:c>
      <x:c r="D9" s="38" t="str">
        <x:v>圣律之剑成长入口</x:v>
      </x:c>
      <x:c r="E9" s="38" t="str">
        <x:v>成长入口</x:v>
      </x:c>
      <x:c r="F9" s="38" t="str">
        <x:v>已有保留</x:v>
      </x:c>
      <x:c r="G9" s="38" t="str">
        <x:v>传送、切割与圣律真言成长</x:v>
      </x:c>
      <x:c r="H9" s="38" t="str">
        <x:v>营地古剑只向真正投入资源的玩家显露新的律文。</x:v>
      </x:c>
      <x:c r="I9" s="38" t="str">
        <x:v>沿用现址</x:v>
      </x:c>
      <x:c r="J9" s="38" t="str">
        <x:v>不改现有脚本</x:v>
      </x:c>
      <x:c r="K9" s="44" t="n">
        <x:f>COUNTIF('02_配方总表'!$D$5:$D$75,A9)</x:f>
        <x:v>1</x:v>
      </x:c>
    </x:row>
    <x:row r="10" ht="46" customHeight="1">
      <x:c r="A10" s="37" t="str">
        <x:v>CAMP-RELIC-01</x:v>
      </x:c>
      <x:c r="B10" s="38" t="str">
        <x:v>CAMP</x:v>
      </x:c>
      <x:c r="C10" s="38" t="str">
        <x:v>初始营地</x:v>
      </x:c>
      <x:c r="D10" s="38" t="str">
        <x:v>黄金圣物成长入口</x:v>
      </x:c>
      <x:c r="E10" s="38" t="str">
        <x:v>成长入口</x:v>
      </x:c>
      <x:c r="F10" s="38" t="str">
        <x:v>已有保留</x:v>
      </x:c>
      <x:c r="G10" s="38" t="str">
        <x:v>复活、回血与黄金之心成长</x:v>
      </x:c>
      <x:c r="H10" s="38" t="str">
        <x:v>残存的黄金圣物维系冒险者最后一次呼吸。</x:v>
      </x:c>
      <x:c r="I10" s="38" t="str">
        <x:v>沿用现址</x:v>
      </x:c>
      <x:c r="J10" s="38" t="str">
        <x:v>不改现有脚本</x:v>
      </x:c>
      <x:c r="K10" s="44" t="n">
        <x:f>COUNTIF('02_配方总表'!$D$5:$D$75,A10)</x:f>
        <x:v>1</x:v>
      </x:c>
    </x:row>
    <x:row r="11" ht="46" customHeight="1">
      <x:c r="A11" s="37" t="str">
        <x:v>CAMP-TITLE-01</x:v>
      </x:c>
      <x:c r="B11" s="38" t="str">
        <x:v>CAMP</x:v>
      </x:c>
      <x:c r="C11" s="38" t="str">
        <x:v>初始营地</x:v>
      </x:c>
      <x:c r="D11" s="38" t="str">
        <x:v>贯穿式称号晋升NPC</x:v>
      </x:c>
      <x:c r="E11" s="38" t="str">
        <x:v>称号成长</x:v>
      </x:c>
      <x:c r="F11" s="38" t="str">
        <x:v>已有保留</x:v>
      </x:c>
      <x:c r="G11" s="38" t="str">
        <x:v>全主线纵向称号成长</x:v>
      </x:c>
      <x:c r="H11" s="38" t="str">
        <x:v>他记录贯穿十大陆的长期功绩，与各大陆独立合成称号分开。</x:v>
      </x:c>
      <x:c r="I11" s="38" t="str">
        <x:v>沿用现址</x:v>
      </x:c>
      <x:c r="J11" s="38" t="str">
        <x:v>核实既有脚本与价格</x:v>
      </x:c>
      <x:c r="K11" s="44" t="n">
        <x:f>COUNTIF('02_配方总表'!$D$5:$D$75,A11)</x:f>
        <x:v>1</x:v>
      </x:c>
    </x:row>
    <x:row r="12" ht="46" customHeight="1">
      <x:c r="A12" s="37" t="str">
        <x:v>CAMP-PAY-01</x:v>
      </x:c>
      <x:c r="B12" s="38" t="str">
        <x:v>CAMP</x:v>
      </x:c>
      <x:c r="C12" s="38" t="str">
        <x:v>初始营地</x:v>
      </x:c>
      <x:c r="D12" s="38" t="str">
        <x:v>赞助入口</x:v>
      </x:c>
      <x:c r="E12" s="38" t="str">
        <x:v>付费入口</x:v>
      </x:c>
      <x:c r="F12" s="38" t="str">
        <x:v>已有保留</x:v>
      </x:c>
      <x:c r="G12" s="38" t="str">
        <x:v>赞助状态</x:v>
      </x:c>
      <x:c r="H12" s="38" t="str">
        <x:v>只认现行成品属性。</x:v>
      </x:c>
      <x:c r="I12" s="38" t="str">
        <x:v>沿用现址</x:v>
      </x:c>
      <x:c r="J12" s="38" t="str">
        <x:v>不恢复旧档价格</x:v>
      </x:c>
      <x:c r="K12" s="44" t="n">
        <x:f>COUNTIF('02_配方总表'!$D$5:$D$75,A12)</x:f>
        <x:v>0</x:v>
      </x:c>
    </x:row>
    <x:row r="13" ht="46" customHeight="1">
      <x:c r="A13" s="37" t="str">
        <x:v>CAMP-RAGE-01</x:v>
      </x:c>
      <x:c r="B13" s="38" t="str">
        <x:v>CAMP</x:v>
      </x:c>
      <x:c r="C13" s="38" t="str">
        <x:v>初始营地</x:v>
      </x:c>
      <x:c r="D13" s="38" t="str">
        <x:v>狂暴入口</x:v>
      </x:c>
      <x:c r="E13" s="38" t="str">
        <x:v>付费／状态</x:v>
      </x:c>
      <x:c r="F13" s="38" t="str">
        <x:v>已有保留</x:v>
      </x:c>
      <x:c r="G13" s="38" t="str">
        <x:v>狂暴状态</x:v>
      </x:c>
      <x:c r="H13" s="38" t="str">
        <x:v>沿用现有设计。</x:v>
      </x:c>
      <x:c r="I13" s="38" t="str">
        <x:v>沿用现址</x:v>
      </x:c>
      <x:c r="J13" s="38" t="str">
        <x:v>不改现有脚本</x:v>
      </x:c>
      <x:c r="K13" s="44" t="n">
        <x:f>COUNTIF('02_配方总表'!$D$5:$D$75,A13)</x:f>
        <x:v>0</x:v>
      </x:c>
    </x:row>
    <x:row r="14" ht="46" customHeight="1">
      <x:c r="A14" s="37" t="str">
        <x:v>CAMP-SAND-01</x:v>
      </x:c>
      <x:c r="B14" s="38" t="str">
        <x:v>CAMP</x:v>
      </x:c>
      <x:c r="C14" s="38" t="str">
        <x:v>初始营地</x:v>
      </x:c>
      <x:c r="D14" s="38" t="str">
        <x:v>沙城捐献入口</x:v>
      </x:c>
      <x:c r="E14" s="38" t="str">
        <x:v>付费／状态</x:v>
      </x:c>
      <x:c r="F14" s="38" t="str">
        <x:v>已有保留</x:v>
      </x:c>
      <x:c r="G14" s="38" t="str">
        <x:v>沙城捐献状态</x:v>
      </x:c>
      <x:c r="H14" s="38" t="str">
        <x:v>沿用现有设计。</x:v>
      </x:c>
      <x:c r="I14" s="38" t="str">
        <x:v>沿用现址</x:v>
      </x:c>
      <x:c r="J14" s="38" t="str">
        <x:v>不改现有脚本</x:v>
      </x:c>
      <x:c r="K14" s="44" t="n">
        <x:f>COUNTIF('02_配方总表'!$D$5:$D$75,A14)</x:f>
        <x:v>0</x:v>
      </x:c>
    </x:row>
    <x:row r="15" ht="46" customHeight="1">
      <x:c r="A15" s="37" t="str">
        <x:v>C01-FATE-01</x:v>
      </x:c>
      <x:c r="B15" s="38" t="str">
        <x:v>C01</x:v>
      </x:c>
      <x:c r="C15" s="38" t="str">
        <x:v>漂流群岛</x:v>
      </x:c>
      <x:c r="D15" s="38" t="str">
        <x:v>司命人·玄衡</x:v>
      </x:c>
      <x:c r="E15" s="38" t="str">
        <x:v>命格</x:v>
      </x:c>
      <x:c r="F15" s="38" t="str">
        <x:v>新增确认</x:v>
      </x:c>
      <x:c r="G15" s="38" t="str">
        <x:v>8槽逐槽独立洗练、单次、十连与保底显示</x:v>
      </x:c>
      <x:c r="H15" s="38" t="str">
        <x:v>玄衡不替人改命，只让玩家选定一条命格，再承担改写它的代价。</x:v>
      </x:c>
      <x:c r="I15" s="38" t="str">
        <x:v>第一大陆主城灵玉位置</x:v>
      </x:c>
      <x:c r="J15" s="38" t="str">
        <x:v>用现有命格脚本接入</x:v>
      </x:c>
      <x:c r="K15" s="44" t="n">
        <x:f>COUNTIF('02_配方总表'!$D$5:$D$75,A15)</x:f>
        <x:v>4</x:v>
      </x:c>
    </x:row>
    <x:row r="16" ht="46" customHeight="1">
      <x:c r="A16" s="37" t="str">
        <x:v>C01-SYN-01</x:v>
      </x:c>
      <x:c r="B16" s="38" t="str">
        <x:v>C01</x:v>
      </x:c>
      <x:c r="C16" s="38" t="str">
        <x:v>漂流群岛</x:v>
      </x:c>
      <x:c r="D16" s="38" t="str">
        <x:v>拾荒匠·阿砾</x:v>
      </x:c>
      <x:c r="E16" s="38" t="str">
        <x:v>综合合成</x:v>
      </x:c>
      <x:c r="F16" s="38" t="str">
        <x:v>正式结构</x:v>
      </x:c>
      <x:c r="G16" s="38" t="str">
        <x:v>前期装备、生肖与独立称号合成</x:v>
      </x:c>
      <x:c r="H16" s="38" t="str">
        <x:v>他靠打捞沉船残件维生，愿意把破碎装备拼成第一件真正有用的成品。</x:v>
      </x:c>
      <x:c r="I16" s="38" t="str">
        <x:v>第一大陆安全区</x:v>
      </x:c>
      <x:c r="J16" s="38" t="str">
        <x:v>新增配方菜单</x:v>
      </x:c>
      <x:c r="K16" s="44" t="n">
        <x:f>COUNTIF('02_配方总表'!$D$5:$D$75,A16)</x:f>
        <x:v>3</x:v>
      </x:c>
    </x:row>
    <x:row r="17" ht="46" customHeight="1">
      <x:c r="A17" s="37" t="str">
        <x:v>C01-TASK-GROUP</x:v>
      </x:c>
      <x:c r="B17" s="38" t="str">
        <x:v>C01</x:v>
      </x:c>
      <x:c r="C17" s="38" t="str">
        <x:v>漂流群岛</x:v>
      </x:c>
      <x:c r="D17" s="38" t="str">
        <x:v>第一大陆既有任务NPC组</x:v>
      </x:c>
      <x:c r="E17" s="38" t="str">
        <x:v>任务</x:v>
      </x:c>
      <x:c r="F17" s="38" t="str">
        <x:v>已有保留</x:v>
      </x:c>
      <x:c r="G17" s="38" t="str">
        <x:v>魂魄、地图任务与称号</x:v>
      </x:c>
      <x:c r="H17" s="38" t="str">
        <x:v>既有剧情原样沿用。</x:v>
      </x:c>
      <x:c r="I17" s="38" t="str">
        <x:v>沿用现址</x:v>
      </x:c>
      <x:c r="J17" s="38" t="str">
        <x:v>不改现有脚本</x:v>
      </x:c>
      <x:c r="K17" s="44" t="n">
        <x:f>COUNTIF('02_配方总表'!$D$5:$D$75,A17)</x:f>
        <x:v>0</x:v>
      </x:c>
    </x:row>
    <x:row r="18" ht="46" customHeight="1">
      <x:c r="A18" s="37" t="str">
        <x:v>C01-GATE-01</x:v>
      </x:c>
      <x:c r="B18" s="38" t="str">
        <x:v>C01</x:v>
      </x:c>
      <x:c r="C18" s="38" t="str">
        <x:v>漂流群岛</x:v>
      </x:c>
      <x:c r="D18" s="38" t="str">
        <x:v>第一大陆守关／传送入口</x:v>
      </x:c>
      <x:c r="E18" s="38" t="str">
        <x:v>守关</x:v>
      </x:c>
      <x:c r="F18" s="38" t="str">
        <x:v>已有保留</x:v>
      </x:c>
      <x:c r="G18" s="38" t="str">
        <x:v>解锁第二大陆</x:v>
      </x:c>
      <x:c r="H18" s="38" t="str">
        <x:v>清空守关房后放行。</x:v>
      </x:c>
      <x:c r="I18" s="38" t="str">
        <x:v>沿用现址</x:v>
      </x:c>
      <x:c r="J18" s="38" t="str">
        <x:v>不改现有脚本</x:v>
      </x:c>
      <x:c r="K18" s="44" t="n">
        <x:f>COUNTIF('02_配方总表'!$D$5:$D$75,A18)</x:f>
        <x:v>0</x:v>
      </x:c>
    </x:row>
    <x:row r="19" ht="46" customHeight="1">
      <x:c r="A19" s="37" t="str">
        <x:v>C02-ASH-01</x:v>
      </x:c>
      <x:c r="B19" s="38" t="str">
        <x:v>C02</x:v>
      </x:c>
      <x:c r="C19" s="38" t="str">
        <x:v>宁姆格福</x:v>
      </x:c>
      <x:c r="D19" s="38" t="str">
        <x:v>战灰刻印师·盖尔</x:v>
      </x:c>
      <x:c r="E19" s="38" t="str">
        <x:v>战灰</x:v>
      </x:c>
      <x:c r="F19" s="38" t="str">
        <x:v>新增确认</x:v>
      </x:c>
      <x:c r="G19" s="38" t="str">
        <x:v>武器PVP附魔与随机战灰</x:v>
      </x:c>
      <x:c r="H19" s="38" t="str">
        <x:v>盖尔把战败者留下的技法刻进武器，但不会保证每次刻印都合心意。</x:v>
      </x:c>
      <x:c r="I19" s="38" t="str">
        <x:v>第二大陆安全区</x:v>
      </x:c>
      <x:c r="J19" s="38" t="str">
        <x:v>新增战灰菜单</x:v>
      </x:c>
      <x:c r="K19" s="44" t="n">
        <x:f>COUNTIF('02_配方总表'!$D$5:$D$75,A19)</x:f>
        <x:v>3</x:v>
      </x:c>
    </x:row>
    <x:row r="20" ht="46" customHeight="1">
      <x:c r="A20" s="37" t="str">
        <x:v>C02-SYN-01</x:v>
      </x:c>
      <x:c r="B20" s="38" t="str">
        <x:v>C02</x:v>
      </x:c>
      <x:c r="C20" s="38" t="str">
        <x:v>宁姆格福</x:v>
      </x:c>
      <x:c r="D20" s="38" t="str">
        <x:v>风暴工匠·洛克</x:v>
      </x:c>
      <x:c r="E20" s="38" t="str">
        <x:v>综合合成</x:v>
      </x:c>
      <x:c r="F20" s="38" t="str">
        <x:v>正式结构</x:v>
      </x:c>
      <x:c r="G20" s="38" t="str">
        <x:v>首饰、生肖与群攻生肖LV1</x:v>
      </x:c>
      <x:c r="H20" s="38" t="str">
        <x:v>他曾为守城军修补武器，城破后只认材料与手艺。</x:v>
      </x:c>
      <x:c r="I20" s="38" t="str">
        <x:v>第二大陆安全区</x:v>
      </x:c>
      <x:c r="J20" s="38" t="str">
        <x:v>新增配方菜单</x:v>
      </x:c>
      <x:c r="K20" s="44" t="n">
        <x:f>COUNTIF('02_配方总表'!$D$5:$D$75,A20)</x:f>
        <x:v>4</x:v>
      </x:c>
    </x:row>
    <x:row r="21" ht="46" customHeight="1">
      <x:c r="A21" s="37" t="str">
        <x:v>C02-SEAL-01</x:v>
      </x:c>
      <x:c r="B21" s="38" t="str">
        <x:v>C02</x:v>
      </x:c>
      <x:c r="C21" s="38" t="str">
        <x:v>宁姆格福</x:v>
      </x:c>
      <x:c r="D21" s="38" t="str">
        <x:v>神印修行／锻体入口</x:v>
      </x:c>
      <x:c r="E21" s="38" t="str">
        <x:v>成长入口</x:v>
      </x:c>
      <x:c r="F21" s="38" t="str">
        <x:v>已有保留</x:v>
      </x:c>
      <x:c r="G21" s="38" t="str">
        <x:v>255档神印修行</x:v>
      </x:c>
      <x:c r="H21" s="38" t="str">
        <x:v>沿用现行规则。</x:v>
      </x:c>
      <x:c r="I21" s="38" t="str">
        <x:v>沿用现址</x:v>
      </x:c>
      <x:c r="J21" s="38" t="str">
        <x:v>不改现有脚本</x:v>
      </x:c>
      <x:c r="K21" s="44" t="n">
        <x:f>COUNTIF('02_配方总表'!$D$5:$D$75,A21)</x:f>
        <x:v>0</x:v>
      </x:c>
    </x:row>
    <x:row r="22" ht="46" customHeight="1">
      <x:c r="A22" s="37" t="str">
        <x:v>C02-WASH-01</x:v>
      </x:c>
      <x:c r="B22" s="38" t="str">
        <x:v>C02</x:v>
      </x:c>
      <x:c r="C22" s="38" t="str">
        <x:v>宁姆格福</x:v>
      </x:c>
      <x:c r="D22" s="38" t="str">
        <x:v>普通洗练／开光入口</x:v>
      </x:c>
      <x:c r="E22" s="38" t="str">
        <x:v>洗练</x:v>
      </x:c>
      <x:c r="F22" s="38" t="str">
        <x:v>已有保留</x:v>
      </x:c>
      <x:c r="G22" s="38" t="str">
        <x:v>8词条普通洗练与开光</x:v>
      </x:c>
      <x:c r="H22" s="38" t="str">
        <x:v>沿用现行规则。</x:v>
      </x:c>
      <x:c r="I22" s="38" t="str">
        <x:v>沿用现址</x:v>
      </x:c>
      <x:c r="J22" s="38" t="str">
        <x:v>不改现有脚本</x:v>
      </x:c>
      <x:c r="K22" s="44" t="n">
        <x:f>COUNTIF('02_配方总表'!$D$5:$D$75,A22)</x:f>
        <x:v>0</x:v>
      </x:c>
    </x:row>
    <x:row r="23" ht="46" customHeight="1">
      <x:c r="A23" s="37" t="str">
        <x:v>C02-LUCK-01</x:v>
      </x:c>
      <x:c r="B23" s="38" t="str">
        <x:v>C02</x:v>
      </x:c>
      <x:c r="C23" s="38" t="str">
        <x:v>宁姆格福</x:v>
      </x:c>
      <x:c r="D23" s="38" t="str">
        <x:v>项链幸运入口</x:v>
      </x:c>
      <x:c r="E23" s="38" t="str">
        <x:v>随机成长</x:v>
      </x:c>
      <x:c r="F23" s="38" t="str">
        <x:v>已有保留</x:v>
      </x:c>
      <x:c r="G23" s="38" t="str">
        <x:v>项链幸运成长</x:v>
      </x:c>
      <x:c r="H23" s="38" t="str">
        <x:v>沿用现行规则。</x:v>
      </x:c>
      <x:c r="I23" s="38" t="str">
        <x:v>沿用现址</x:v>
      </x:c>
      <x:c r="J23" s="38" t="str">
        <x:v>不恢复旧幸运9规则</x:v>
      </x:c>
      <x:c r="K23" s="44" t="n">
        <x:f>COUNTIF('02_配方总表'!$D$5:$D$75,A23)</x:f>
        <x:v>0</x:v>
      </x:c>
    </x:row>
    <x:row r="24" ht="46" customHeight="1">
      <x:c r="A24" s="37" t="str">
        <x:v>C02-GATE-01</x:v>
      </x:c>
      <x:c r="B24" s="38" t="str">
        <x:v>C02</x:v>
      </x:c>
      <x:c r="C24" s="38" t="str">
        <x:v>宁姆格福</x:v>
      </x:c>
      <x:c r="D24" s="38" t="str">
        <x:v>第二大陆守关／传送入口</x:v>
      </x:c>
      <x:c r="E24" s="38" t="str">
        <x:v>守关</x:v>
      </x:c>
      <x:c r="F24" s="38" t="str">
        <x:v>已有保留</x:v>
      </x:c>
      <x:c r="G24" s="38" t="str">
        <x:v>解锁第三大陆</x:v>
      </x:c>
      <x:c r="H24" s="38" t="str">
        <x:v>清空守关房后放行。</x:v>
      </x:c>
      <x:c r="I24" s="38" t="str">
        <x:v>沿用现址</x:v>
      </x:c>
      <x:c r="J24" s="38" t="str">
        <x:v>不改现有脚本</x:v>
      </x:c>
      <x:c r="K24" s="44" t="n">
        <x:f>COUNTIF('02_配方总表'!$D$5:$D$75,A24)</x:f>
        <x:v>0</x:v>
      </x:c>
    </x:row>
    <x:row r="25" ht="46" customHeight="1">
      <x:c r="A25" s="37" t="str">
        <x:v>C03-AOE-01</x:v>
      </x:c>
      <x:c r="B25" s="38" t="str">
        <x:v>C03</x:v>
      </x:c>
      <x:c r="C25" s="38" t="str">
        <x:v>宁姆格福西域</x:v>
      </x:c>
      <x:c r="D25" s="38" t="str">
        <x:v>星核校准师·西境</x:v>
      </x:c>
      <x:c r="E25" s="38" t="str">
        <x:v>群攻升级</x:v>
      </x:c>
      <x:c r="F25" s="38" t="str">
        <x:v>正式结构</x:v>
      </x:c>
      <x:c r="G25" s="38" t="str">
        <x:v>把群星之核校准到LV2</x:v>
      </x:c>
      <x:c r="H25" s="38" t="str">
        <x:v>他从裂风中判断星核的偏移，只接受西境材料。</x:v>
      </x:c>
      <x:c r="I25" s="38" t="str">
        <x:v>宁姆格福西域安全区</x:v>
      </x:c>
      <x:c r="J25" s="38" t="str">
        <x:v>新增配方菜单</x:v>
      </x:c>
      <x:c r="K25" s="44" t="n">
        <x:f>COUNTIF('02_配方总表'!$D$5:$D$75,A25)</x:f>
        <x:v>1</x:v>
      </x:c>
    </x:row>
    <x:row r="26" ht="46" customHeight="1">
      <x:c r="A26" s="37" t="str">
        <x:v>C03-SYN-EQ</x:v>
      </x:c>
      <x:c r="B26" s="38" t="str">
        <x:v>C03</x:v>
      </x:c>
      <x:c r="C26" s="38" t="str">
        <x:v>宁姆格福西域</x:v>
      </x:c>
      <x:c r="D26" s="38" t="str">
        <x:v>断路铁匠·赫恩</x:v>
      </x:c>
      <x:c r="E26" s="38" t="str">
        <x:v>装备合成</x:v>
      </x:c>
      <x:c r="F26" s="38" t="str">
        <x:v>正式结构</x:v>
      </x:c>
      <x:c r="G26" s="38" t="str">
        <x:v>防具、鞋子与生肖</x:v>
      </x:c>
      <x:c r="H26" s="38" t="str">
        <x:v>他收集商队遗落的甲片，为走断路的人重铸装备。</x:v>
      </x:c>
      <x:c r="I26" s="38" t="str">
        <x:v>宁姆格福西域安全区</x:v>
      </x:c>
      <x:c r="J26" s="38" t="str">
        <x:v>新增配方菜单</x:v>
      </x:c>
      <x:c r="K26" s="44" t="n">
        <x:f>COUNTIF('02_配方总表'!$D$5:$D$75,A26)</x:f>
        <x:v>3</x:v>
      </x:c>
    </x:row>
    <x:row r="27" ht="46" customHeight="1">
      <x:c r="A27" s="37" t="str">
        <x:v>C03-SYN-TITLE</x:v>
      </x:c>
      <x:c r="B27" s="38" t="str">
        <x:v>C03</x:v>
      </x:c>
      <x:c r="C27" s="38" t="str">
        <x:v>宁姆格福西域</x:v>
      </x:c>
      <x:c r="D27" s="38" t="str">
        <x:v>无籍书记·玛尔</x:v>
      </x:c>
      <x:c r="E27" s="38" t="str">
        <x:v>称号合成</x:v>
      </x:c>
      <x:c r="F27" s="38" t="str">
        <x:v>正式结构</x:v>
      </x:c>
      <x:c r="G27" s="38" t="str">
        <x:v>第三大陆独立称号</x:v>
      </x:c>
      <x:c r="H27" s="38" t="str">
        <x:v>他替没有身份的流浪者记录真正付出过的功绩。</x:v>
      </x:c>
      <x:c r="I27" s="38" t="str">
        <x:v>宁姆格福西域安全区</x:v>
      </x:c>
      <x:c r="J27" s="38" t="str">
        <x:v>新增配方菜单</x:v>
      </x:c>
      <x:c r="K27" s="44" t="n">
        <x:f>COUNTIF('02_配方总表'!$D$5:$D$75,A27)</x:f>
        <x:v>1</x:v>
      </x:c>
    </x:row>
    <x:row r="28" ht="46" customHeight="1">
      <x:c r="A28" s="37" t="str">
        <x:v>C04-REBIRTH</x:v>
      </x:c>
      <x:c r="B28" s="38" t="str">
        <x:v>C04</x:v>
      </x:c>
      <x:c r="C28" s="38" t="str">
        <x:v>利耶尼亚海域</x:v>
      </x:c>
      <x:c r="D28" s="38" t="str">
        <x:v>潮印引渡者·洛弥</x:v>
      </x:c>
      <x:c r="E28" s="38" t="str">
        <x:v>转生</x:v>
      </x:c>
      <x:c r="F28" s="38" t="str">
        <x:v>正式结构</x:v>
      </x:c>
      <x:c r="G28" s="38" t="str">
        <x:v>1—5转</x:v>
      </x:c>
      <x:c r="H28" s="38" t="str">
        <x:v>她在沉船名册上删去旧名，让玩家以更强的躯体重新上岸。</x:v>
      </x:c>
      <x:c r="I28" s="38" t="str">
        <x:v>利耶尼亚海域安全区</x:v>
      </x:c>
      <x:c r="J28" s="38" t="str">
        <x:v>新增配方菜单</x:v>
      </x:c>
      <x:c r="K28" s="44" t="n">
        <x:f>COUNTIF('02_配方总表'!$D$5:$D$75,A28)</x:f>
        <x:v>5</x:v>
      </x:c>
    </x:row>
    <x:row r="29" ht="46" customHeight="1">
      <x:c r="A29" s="37" t="str">
        <x:v>C04-SYN-01</x:v>
      </x:c>
      <x:c r="B29" s="38" t="str">
        <x:v>C04</x:v>
      </x:c>
      <x:c r="C29" s="38" t="str">
        <x:v>利耶尼亚海域</x:v>
      </x:c>
      <x:c r="D29" s="38" t="str">
        <x:v>沉潮铸师·伊芙</x:v>
      </x:c>
      <x:c r="E29" s="38" t="str">
        <x:v>综合合成</x:v>
      </x:c>
      <x:c r="F29" s="38" t="str">
        <x:v>正式结构</x:v>
      </x:c>
      <x:c r="G29" s="38" t="str">
        <x:v>腰带、戒指、首饰盒与生肖</x:v>
      </x:c>
      <x:c r="H29" s="38" t="str">
        <x:v>她从退潮遗迹里捞出旧饰物，只把完整核心交给带回海域证物的人。</x:v>
      </x:c>
      <x:c r="I29" s="38" t="str">
        <x:v>利耶尼亚海域安全区</x:v>
      </x:c>
      <x:c r="J29" s="38" t="str">
        <x:v>新增配方菜单</x:v>
      </x:c>
      <x:c r="K29" s="44" t="n">
        <x:f>COUNTIF('02_配方总表'!$D$5:$D$75,A29)</x:f>
        <x:v>4</x:v>
      </x:c>
    </x:row>
    <x:row r="30" ht="46" customHeight="1">
      <x:c r="A30" s="37" t="str">
        <x:v>C05-AOE-01</x:v>
      </x:c>
      <x:c r="B30" s="38" t="str">
        <x:v>C05</x:v>
      </x:c>
      <x:c r="C30" s="38" t="str">
        <x:v>湖之利耶尼亚</x:v>
      </x:c>
      <x:c r="D30" s="38" t="str">
        <x:v>星核校准师·湖月</x:v>
      </x:c>
      <x:c r="E30" s="38" t="str">
        <x:v>群攻升级</x:v>
      </x:c>
      <x:c r="F30" s="38" t="str">
        <x:v>正式结构</x:v>
      </x:c>
      <x:c r="G30" s="38" t="str">
        <x:v>把群星之核校准到LV3</x:v>
      </x:c>
      <x:c r="H30" s="38" t="str">
        <x:v>她用辉石折射星核的范围与频率。</x:v>
      </x:c>
      <x:c r="I30" s="38" t="str">
        <x:v>湖之利耶尼亚安全区</x:v>
      </x:c>
      <x:c r="J30" s="38" t="str">
        <x:v>新增配方菜单</x:v>
      </x:c>
      <x:c r="K30" s="44" t="n">
        <x:f>COUNTIF('02_配方总表'!$D$5:$D$75,A30)</x:f>
        <x:v>1</x:v>
      </x:c>
    </x:row>
    <x:row r="31" ht="46" customHeight="1">
      <x:c r="A31" s="37" t="str">
        <x:v>C05-SYN-EQ</x:v>
      </x:c>
      <x:c r="B31" s="38" t="str">
        <x:v>C05</x:v>
      </x:c>
      <x:c r="C31" s="38" t="str">
        <x:v>湖之利耶尼亚</x:v>
      </x:c>
      <x:c r="D31" s="38" t="str">
        <x:v>辉石调律师·蕾娜</x:v>
      </x:c>
      <x:c r="E31" s="38" t="str">
        <x:v>装备合成</x:v>
      </x:c>
      <x:c r="F31" s="38" t="str">
        <x:v>正式结构</x:v>
      </x:c>
      <x:c r="G31" s="38" t="str">
        <x:v>武器、时装戒指与生肖</x:v>
      </x:c>
      <x:c r="H31" s="38" t="str">
        <x:v>她研究材料共鸣，力量必须由真实装备与辉石共同调成。</x:v>
      </x:c>
      <x:c r="I31" s="38" t="str">
        <x:v>湖之利耶尼亚安全区</x:v>
      </x:c>
      <x:c r="J31" s="38" t="str">
        <x:v>新增配方菜单</x:v>
      </x:c>
      <x:c r="K31" s="44" t="n">
        <x:f>COUNTIF('02_配方总表'!$D$5:$D$75,A31)</x:f>
        <x:v>3</x:v>
      </x:c>
    </x:row>
    <x:row r="32" ht="46" customHeight="1">
      <x:c r="A32" s="37" t="str">
        <x:v>C05-SYN-TITLE</x:v>
      </x:c>
      <x:c r="B32" s="38" t="str">
        <x:v>C05</x:v>
      </x:c>
      <x:c r="C32" s="38" t="str">
        <x:v>湖之利耶尼亚</x:v>
      </x:c>
      <x:c r="D32" s="38" t="str">
        <x:v>月誓见证人·瑟兰</x:v>
      </x:c>
      <x:c r="E32" s="38" t="str">
        <x:v>称号合成</x:v>
      </x:c>
      <x:c r="F32" s="38" t="str">
        <x:v>正式结构</x:v>
      </x:c>
      <x:c r="G32" s="38" t="str">
        <x:v>第五大陆独立称号</x:v>
      </x:c>
      <x:c r="H32" s="38" t="str">
        <x:v>他只记录兑现过的誓言。</x:v>
      </x:c>
      <x:c r="I32" s="38" t="str">
        <x:v>湖之利耶尼亚安全区</x:v>
      </x:c>
      <x:c r="J32" s="38" t="str">
        <x:v>新增配方菜单</x:v>
      </x:c>
      <x:c r="K32" s="44" t="n">
        <x:f>COUNTIF('02_配方总表'!$D$5:$D$75,A32)</x:f>
        <x:v>1</x:v>
      </x:c>
    </x:row>
    <x:row r="33" ht="46" customHeight="1">
      <x:c r="A33" s="37" t="str">
        <x:v>C06-REBIRTH</x:v>
      </x:c>
      <x:c r="B33" s="38" t="str">
        <x:v>C06</x:v>
      </x:c>
      <x:c r="C33" s="38" t="str">
        <x:v>盖利德</x:v>
      </x:c>
      <x:c r="D33" s="38" t="str">
        <x:v>红狮洗礼官·卡恩</x:v>
      </x:c>
      <x:c r="E33" s="38" t="str">
        <x:v>转生</x:v>
      </x:c>
      <x:c r="F33" s="38" t="str">
        <x:v>正式结构</x:v>
      </x:c>
      <x:c r="G33" s="38" t="str">
        <x:v>6—10转</x:v>
      </x:c>
      <x:c r="H33" s="38" t="str">
        <x:v>卡恩用腐焰与龙火洗去上一次转生留下的软弱。</x:v>
      </x:c>
      <x:c r="I33" s="38" t="str">
        <x:v>盖利德安全区</x:v>
      </x:c>
      <x:c r="J33" s="38" t="str">
        <x:v>新增配方菜单</x:v>
      </x:c>
      <x:c r="K33" s="44" t="n">
        <x:f>COUNTIF('02_配方总表'!$D$5:$D$75,A33)</x:f>
        <x:v>5</x:v>
      </x:c>
    </x:row>
    <x:row r="34" ht="46" customHeight="1">
      <x:c r="A34" s="37" t="str">
        <x:v>C06-SYN-01</x:v>
      </x:c>
      <x:c r="B34" s="38" t="str">
        <x:v>C06</x:v>
      </x:c>
      <x:c r="C34" s="38" t="str">
        <x:v>盖利德</x:v>
      </x:c>
      <x:c r="D34" s="38" t="str">
        <x:v>红狮残匠·伯伦</x:v>
      </x:c>
      <x:c r="E34" s="38" t="str">
        <x:v>综合合成</x:v>
      </x:c>
      <x:c r="F34" s="38" t="str">
        <x:v>正式结构</x:v>
      </x:c>
      <x:c r="G34" s="38" t="str">
        <x:v>战甲、护腕、时装衣服与生肖</x:v>
      </x:c>
      <x:c r="H34" s="38" t="str">
        <x:v>他把无法安葬的残甲熔成让活人继续战斗的装备。</x:v>
      </x:c>
      <x:c r="I34" s="38" t="str">
        <x:v>盖利德安全区</x:v>
      </x:c>
      <x:c r="J34" s="38" t="str">
        <x:v>新增配方菜单</x:v>
      </x:c>
      <x:c r="K34" s="44" t="n">
        <x:f>COUNTIF('02_配方总表'!$D$5:$D$75,A34)</x:f>
        <x:v>4</x:v>
      </x:c>
    </x:row>
    <x:row r="35" ht="46" customHeight="1">
      <x:c r="A35" s="37" t="str">
        <x:v>C07-AOE-01</x:v>
      </x:c>
      <x:c r="B35" s="38" t="str">
        <x:v>C07</x:v>
      </x:c>
      <x:c r="C35" s="38" t="str">
        <x:v>化圣雪原</x:v>
      </x:c>
      <x:c r="D35" s="38" t="str">
        <x:v>星核校准师·圣雪</x:v>
      </x:c>
      <x:c r="E35" s="38" t="str">
        <x:v>群攻升级</x:v>
      </x:c>
      <x:c r="F35" s="38" t="str">
        <x:v>正式结构</x:v>
      </x:c>
      <x:c r="G35" s="38" t="str">
        <x:v>把群星之核校准到LV4</x:v>
      </x:c>
      <x:c r="H35" s="38" t="str">
        <x:v>她用永霜稳定扩大后的星核。</x:v>
      </x:c>
      <x:c r="I35" s="38" t="str">
        <x:v>化圣雪原安全区</x:v>
      </x:c>
      <x:c r="J35" s="38" t="str">
        <x:v>新增配方菜单</x:v>
      </x:c>
      <x:c r="K35" s="44" t="n">
        <x:f>COUNTIF('02_配方总表'!$D$5:$D$75,A35)</x:f>
        <x:v>1</x:v>
      </x:c>
    </x:row>
    <x:row r="36" ht="46" customHeight="1">
      <x:c r="A36" s="37" t="str">
        <x:v>C07-SYN-EQ</x:v>
      </x:c>
      <x:c r="B36" s="38" t="str">
        <x:v>C07</x:v>
      </x:c>
      <x:c r="C36" s="38" t="str">
        <x:v>化圣雪原</x:v>
      </x:c>
      <x:c r="D36" s="38" t="str">
        <x:v>白金裁缝·弥雅</x:v>
      </x:c>
      <x:c r="E36" s="38" t="str">
        <x:v>装备合成</x:v>
      </x:c>
      <x:c r="F36" s="38" t="str">
        <x:v>正式结构</x:v>
      </x:c>
      <x:c r="G36" s="38" t="str">
        <x:v>时装武器、时装衣服与生肖</x:v>
      </x:c>
      <x:c r="H36" s="38" t="str">
        <x:v>她用雪原材料保存装备灵性。</x:v>
      </x:c>
      <x:c r="I36" s="38" t="str">
        <x:v>化圣雪原安全区</x:v>
      </x:c>
      <x:c r="J36" s="38" t="str">
        <x:v>新增配方菜单</x:v>
      </x:c>
      <x:c r="K36" s="44" t="n">
        <x:f>COUNTIF('02_配方总表'!$D$5:$D$75,A36)</x:f>
        <x:v>3</x:v>
      </x:c>
    </x:row>
    <x:row r="37" ht="46" customHeight="1">
      <x:c r="A37" s="37" t="str">
        <x:v>C07-SYN-TITLE</x:v>
      </x:c>
      <x:c r="B37" s="38" t="str">
        <x:v>C07</x:v>
      </x:c>
      <x:c r="C37" s="38" t="str">
        <x:v>化圣雪原</x:v>
      </x:c>
      <x:c r="D37" s="38" t="str">
        <x:v>无火记录官·洛萨</x:v>
      </x:c>
      <x:c r="E37" s="38" t="str">
        <x:v>称号合成</x:v>
      </x:c>
      <x:c r="F37" s="38" t="str">
        <x:v>正式结构</x:v>
      </x:c>
      <x:c r="G37" s="38" t="str">
        <x:v>第七大陆独立称号</x:v>
      </x:c>
      <x:c r="H37" s="38" t="str">
        <x:v>他只为真正穿越雪原的人留下名字。</x:v>
      </x:c>
      <x:c r="I37" s="38" t="str">
        <x:v>化圣雪原安全区</x:v>
      </x:c>
      <x:c r="J37" s="38" t="str">
        <x:v>新增配方菜单</x:v>
      </x:c>
      <x:c r="K37" s="44" t="n">
        <x:f>COUNTIF('02_配方总表'!$D$5:$D$75,A37)</x:f>
        <x:v>1</x:v>
      </x:c>
    </x:row>
    <x:row r="38" ht="46" customHeight="1">
      <x:c r="A38" s="37" t="str">
        <x:v>C08-REBIRTH</x:v>
      </x:c>
      <x:c r="B38" s="38" t="str">
        <x:v>C08</x:v>
      </x:c>
      <x:c r="C38" s="38" t="str">
        <x:v>巨人山顶</x:v>
      </x:c>
      <x:c r="D38" s="38" t="str">
        <x:v>炉脉引渡者·赫达</x:v>
      </x:c>
      <x:c r="E38" s="38" t="str">
        <x:v>转生</x:v>
      </x:c>
      <x:c r="F38" s="38" t="str">
        <x:v>正式结构</x:v>
      </x:c>
      <x:c r="G38" s="38" t="str">
        <x:v>11—15转</x:v>
      </x:c>
      <x:c r="H38" s="38" t="str">
        <x:v>赫达把巨人炉火引入血肉，让玩家在霜脊上再次成形。</x:v>
      </x:c>
      <x:c r="I38" s="38" t="str">
        <x:v>巨人山顶安全区</x:v>
      </x:c>
      <x:c r="J38" s="38" t="str">
        <x:v>新增配方菜单</x:v>
      </x:c>
      <x:c r="K38" s="44" t="n">
        <x:f>COUNTIF('02_配方总表'!$D$5:$D$75,A38)</x:f>
        <x:v>5</x:v>
      </x:c>
    </x:row>
    <x:row r="39" ht="46" customHeight="1">
      <x:c r="A39" s="37" t="str">
        <x:v>C08-SYN-01</x:v>
      </x:c>
      <x:c r="B39" s="38" t="str">
        <x:v>C08</x:v>
      </x:c>
      <x:c r="C39" s="38" t="str">
        <x:v>巨人山顶</x:v>
      </x:c>
      <x:c r="D39" s="38" t="str">
        <x:v>炉火遗民·冈特</x:v>
      </x:c>
      <x:c r="E39" s="38" t="str">
        <x:v>综合合成</x:v>
      </x:c>
      <x:c r="F39" s="38" t="str">
        <x:v>正式结构</x:v>
      </x:c>
      <x:c r="G39" s="38" t="str">
        <x:v>项链、盾牌、首饰盒与生肖</x:v>
      </x:c>
      <x:c r="H39" s="38" t="str">
        <x:v>他守着将熄的炉火，用巨人余温重铸核心装备。</x:v>
      </x:c>
      <x:c r="I39" s="38" t="str">
        <x:v>巨人山顶安全区</x:v>
      </x:c>
      <x:c r="J39" s="38" t="str">
        <x:v>新增配方菜单</x:v>
      </x:c>
      <x:c r="K39" s="44" t="n">
        <x:f>COUNTIF('02_配方总表'!$D$5:$D$75,A39)</x:f>
        <x:v>4</x:v>
      </x:c>
    </x:row>
    <x:row r="40" ht="46" customHeight="1">
      <x:c r="A40" s="37" t="str">
        <x:v>C09-AOE-01</x:v>
      </x:c>
      <x:c r="B40" s="38" t="str">
        <x:v>C09</x:v>
      </x:c>
      <x:c r="C40" s="38" t="str">
        <x:v>亚坛高原</x:v>
      </x:c>
      <x:c r="D40" s="38" t="str">
        <x:v>星核校准师·黄金律</x:v>
      </x:c>
      <x:c r="E40" s="38" t="str">
        <x:v>群攻升级</x:v>
      </x:c>
      <x:c r="F40" s="38" t="str">
        <x:v>正式结构</x:v>
      </x:c>
      <x:c r="G40" s="38" t="str">
        <x:v>把群星之核校准到LV5</x:v>
      </x:c>
      <x:c r="H40" s="38" t="str">
        <x:v>他以黄金律固定星核最终频率。</x:v>
      </x:c>
      <x:c r="I40" s="38" t="str">
        <x:v>亚坛高原安全区</x:v>
      </x:c>
      <x:c r="J40" s="38" t="str">
        <x:v>新增配方菜单</x:v>
      </x:c>
      <x:c r="K40" s="44" t="n">
        <x:f>COUNTIF('02_配方总表'!$D$5:$D$75,A40)</x:f>
        <x:v>1</x:v>
      </x:c>
    </x:row>
    <x:row r="41" ht="46" customHeight="1">
      <x:c r="A41" s="37" t="str">
        <x:v>C09-SYN-EQ</x:v>
      </x:c>
      <x:c r="B41" s="38" t="str">
        <x:v>C09</x:v>
      </x:c>
      <x:c r="C41" s="38" t="str">
        <x:v>亚坛高原</x:v>
      </x:c>
      <x:c r="D41" s="38" t="str">
        <x:v>黄金铸师·亚德</x:v>
      </x:c>
      <x:c r="E41" s="38" t="str">
        <x:v>装备合成</x:v>
      </x:c>
      <x:c r="F41" s="38" t="str">
        <x:v>正式结构</x:v>
      </x:c>
      <x:c r="G41" s="38" t="str">
        <x:v>武器、时装衣服与生肖</x:v>
      </x:c>
      <x:c r="H41" s="38" t="str">
        <x:v>亚德相信黄金也需要反复锤炼。</x:v>
      </x:c>
      <x:c r="I41" s="38" t="str">
        <x:v>亚坛高原安全区</x:v>
      </x:c>
      <x:c r="J41" s="38" t="str">
        <x:v>新增配方菜单</x:v>
      </x:c>
      <x:c r="K41" s="44" t="n">
        <x:f>COUNTIF('02_配方总表'!$D$5:$D$75,A41)</x:f>
        <x:v>3</x:v>
      </x:c>
    </x:row>
    <x:row r="42" ht="46" customHeight="1">
      <x:c r="A42" s="37" t="str">
        <x:v>C09-SYN-TITLE</x:v>
      </x:c>
      <x:c r="B42" s="38" t="str">
        <x:v>C09</x:v>
      </x:c>
      <x:c r="C42" s="38" t="str">
        <x:v>亚坛高原</x:v>
      </x:c>
      <x:c r="D42" s="38" t="str">
        <x:v>王道见证人·斐洛</x:v>
      </x:c>
      <x:c r="E42" s="38" t="str">
        <x:v>称号合成</x:v>
      </x:c>
      <x:c r="F42" s="38" t="str">
        <x:v>正式结构</x:v>
      </x:c>
      <x:c r="G42" s="38" t="str">
        <x:v>第九大陆独立称号</x:v>
      </x:c>
      <x:c r="H42" s="38" t="str">
        <x:v>称号必须用真正消耗掉的功勋换取。</x:v>
      </x:c>
      <x:c r="I42" s="38" t="str">
        <x:v>亚坛高原安全区</x:v>
      </x:c>
      <x:c r="J42" s="38" t="str">
        <x:v>新增配方菜单</x:v>
      </x:c>
      <x:c r="K42" s="44" t="n">
        <x:f>COUNTIF('02_配方总表'!$D$5:$D$75,A42)</x:f>
        <x:v>1</x:v>
      </x:c>
    </x:row>
    <x:row r="43" ht="46" customHeight="1">
      <x:c r="A43" s="37" t="str">
        <x:v>C10-REBIRTH</x:v>
      </x:c>
      <x:c r="B43" s="38" t="str">
        <x:v>C10</x:v>
      </x:c>
      <x:c r="C43" s="38" t="str">
        <x:v>王城罗德尔</x:v>
      </x:c>
      <x:c r="D43" s="38" t="str">
        <x:v>王律司转·埃伦</x:v>
      </x:c>
      <x:c r="E43" s="38" t="str">
        <x:v>转生</x:v>
      </x:c>
      <x:c r="F43" s="38" t="str">
        <x:v>正式结构</x:v>
      </x:c>
      <x:c r="G43" s="38" t="str">
        <x:v>16—20转</x:v>
      </x:c>
      <x:c r="H43" s="38" t="str">
        <x:v>埃伦把四次大陆转生归入最后的王律。</x:v>
      </x:c>
      <x:c r="I43" s="38" t="str">
        <x:v>王城罗德尔安全区</x:v>
      </x:c>
      <x:c r="J43" s="38" t="str">
        <x:v>新增配方菜单</x:v>
      </x:c>
      <x:c r="K43" s="44" t="n">
        <x:f>COUNTIF('02_配方总表'!$D$5:$D$75,A43)</x:f>
        <x:v>2</x:v>
      </x:c>
    </x:row>
    <x:row r="44" ht="46" customHeight="1">
      <x:c r="A44" s="37" t="str">
        <x:v>C10-SYN-WEAPON</x:v>
      </x:c>
      <x:c r="B44" s="38" t="str">
        <x:v>C10</x:v>
      </x:c>
      <x:c r="C44" s="38" t="str">
        <x:v>王城罗德尔</x:v>
      </x:c>
      <x:c r="D44" s="38" t="str">
        <x:v>王宫兵械长·奥德</x:v>
      </x:c>
      <x:c r="E44" s="38" t="str">
        <x:v>装备合成</x:v>
      </x:c>
      <x:c r="F44" s="38" t="str">
        <x:v>正式结构</x:v>
      </x:c>
      <x:c r="G44" s="38" t="str">
        <x:v>终局武器与衣服</x:v>
      </x:c>
      <x:c r="H44" s="38" t="str">
        <x:v>他保管王宫兵械，只为完成终局材料闭环的人开炉。</x:v>
      </x:c>
      <x:c r="I44" s="38" t="str">
        <x:v>王城罗德尔安全区</x:v>
      </x:c>
      <x:c r="J44" s="38" t="str">
        <x:v>新增配方菜单</x:v>
      </x:c>
      <x:c r="K44" s="44" t="n">
        <x:f>COUNTIF('02_配方总表'!$D$5:$D$75,A44)</x:f>
        <x:v>2</x:v>
      </x:c>
    </x:row>
    <x:row r="45" ht="46" customHeight="1">
      <x:c r="A45" s="37" t="str">
        <x:v>C10-SYN-BOX</x:v>
      </x:c>
      <x:c r="B45" s="38" t="str">
        <x:v>C10</x:v>
      </x:c>
      <x:c r="C45" s="38" t="str">
        <x:v>王城罗德尔</x:v>
      </x:c>
      <x:c r="D45" s="38" t="str">
        <x:v>旧王秘匣师·萨芙</x:v>
      </x:c>
      <x:c r="E45" s="38" t="str">
        <x:v>装备合成</x:v>
      </x:c>
      <x:c r="F45" s="38" t="str">
        <x:v>正式结构</x:v>
      </x:c>
      <x:c r="G45" s="38" t="str">
        <x:v>首饰盒与生肖</x:v>
      </x:c>
      <x:c r="H45" s="38" t="str">
        <x:v>她掌管旧王秘匣，让终局成长分散在不同入口。</x:v>
      </x:c>
      <x:c r="I45" s="38" t="str">
        <x:v>王城罗德尔安全区</x:v>
      </x:c>
      <x:c r="J45" s="38" t="str">
        <x:v>新增配方菜单</x:v>
      </x:c>
      <x:c r="K45" s="44" t="n">
        <x:f>COUNTIF('02_配方总表'!$D$5:$D$75,A45)</x:f>
        <x:v>2</x:v>
      </x:c>
    </x:row>
    <x:row r="46" ht="46" customHeight="1">
      <x:c r="A46" s="37" t="str">
        <x:v>C10-SYN-TITLE</x:v>
      </x:c>
      <x:c r="B46" s="38" t="str">
        <x:v>C10</x:v>
      </x:c>
      <x:c r="C46" s="38" t="str">
        <x:v>王城罗德尔</x:v>
      </x:c>
      <x:c r="D46" s="38" t="str">
        <x:v>无冕司礼官·维安</x:v>
      </x:c>
      <x:c r="E46" s="38" t="str">
        <x:v>称号合成</x:v>
      </x:c>
      <x:c r="F46" s="38" t="str">
        <x:v>正式结构</x:v>
      </x:c>
      <x:c r="G46" s="38" t="str">
        <x:v>终局独立称号</x:v>
      </x:c>
      <x:c r="H46" s="38" t="str">
        <x:v>他不授王冠，只见证玩家是否已经付出登王代价。</x:v>
      </x:c>
      <x:c r="I46" s="38" t="str">
        <x:v>王城罗德尔安全区</x:v>
      </x:c>
      <x:c r="J46" s="38" t="str">
        <x:v>新增配方菜单</x:v>
      </x:c>
      <x:c r="K46" s="44" t="n">
        <x:f>COUNTIF('02_配方总表'!$D$5:$D$75,A46)</x:f>
        <x:v>1</x:v>
      </x:c>
    </x:row>
    <x:row r="47" ht="46" customHeight="1">
      <x:c r="A47" s="37" t="str">
        <x:v>C03-GATE-01</x:v>
      </x:c>
      <x:c r="B47" s="38" t="str">
        <x:v>C03</x:v>
      </x:c>
      <x:c r="C47" s="38" t="str">
        <x:v>宁姆格福西域</x:v>
      </x:c>
      <x:c r="D47" s="38" t="str">
        <x:v>宁姆格福西域守关／传送入口</x:v>
      </x:c>
      <x:c r="E47" s="38" t="str">
        <x:v>守关</x:v>
      </x:c>
      <x:c r="F47" s="38" t="str">
        <x:v>已有保留</x:v>
      </x:c>
      <x:c r="G47" s="38" t="str">
        <x:v>解锁下一大陆</x:v>
      </x:c>
      <x:c r="H47" s="38" t="str">
        <x:v>沿用已经做好的地图与传送链。</x:v>
      </x:c>
      <x:c r="I47" s="38" t="str">
        <x:v>沿用现址</x:v>
      </x:c>
      <x:c r="J47" s="38" t="str">
        <x:v>不改地图与传送脚本</x:v>
      </x:c>
      <x:c r="K47" s="44" t="n">
        <x:f>COUNTIF('02_配方总表'!$D$5:$D$75,A47)</x:f>
        <x:v>0</x:v>
      </x:c>
    </x:row>
    <x:row r="48" ht="46" customHeight="1">
      <x:c r="A48" s="37" t="str">
        <x:v>C04-GATE-01</x:v>
      </x:c>
      <x:c r="B48" s="38" t="str">
        <x:v>C04</x:v>
      </x:c>
      <x:c r="C48" s="38" t="str">
        <x:v>利耶尼亚海域</x:v>
      </x:c>
      <x:c r="D48" s="38" t="str">
        <x:v>利耶尼亚海域守关／传送入口</x:v>
      </x:c>
      <x:c r="E48" s="38" t="str">
        <x:v>守关</x:v>
      </x:c>
      <x:c r="F48" s="38" t="str">
        <x:v>已有保留</x:v>
      </x:c>
      <x:c r="G48" s="38" t="str">
        <x:v>解锁下一大陆</x:v>
      </x:c>
      <x:c r="H48" s="38" t="str">
        <x:v>沿用已经做好的地图与传送链。</x:v>
      </x:c>
      <x:c r="I48" s="38" t="str">
        <x:v>沿用现址</x:v>
      </x:c>
      <x:c r="J48" s="38" t="str">
        <x:v>不改地图与传送脚本</x:v>
      </x:c>
      <x:c r="K48" s="44" t="n">
        <x:f>COUNTIF('02_配方总表'!$D$5:$D$75,A48)</x:f>
        <x:v>0</x:v>
      </x:c>
    </x:row>
    <x:row r="49" ht="46" customHeight="1">
      <x:c r="A49" s="37" t="str">
        <x:v>C05-GATE-01</x:v>
      </x:c>
      <x:c r="B49" s="38" t="str">
        <x:v>C05</x:v>
      </x:c>
      <x:c r="C49" s="38" t="str">
        <x:v>湖之利耶尼亚</x:v>
      </x:c>
      <x:c r="D49" s="38" t="str">
        <x:v>湖之利耶尼亚守关／传送入口</x:v>
      </x:c>
      <x:c r="E49" s="38" t="str">
        <x:v>守关</x:v>
      </x:c>
      <x:c r="F49" s="38" t="str">
        <x:v>已有保留</x:v>
      </x:c>
      <x:c r="G49" s="38" t="str">
        <x:v>解锁下一大陆</x:v>
      </x:c>
      <x:c r="H49" s="38" t="str">
        <x:v>沿用已经做好的地图与传送链。</x:v>
      </x:c>
      <x:c r="I49" s="38" t="str">
        <x:v>沿用现址</x:v>
      </x:c>
      <x:c r="J49" s="38" t="str">
        <x:v>不改地图与传送脚本</x:v>
      </x:c>
      <x:c r="K49" s="44" t="n">
        <x:f>COUNTIF('02_配方总表'!$D$5:$D$75,A49)</x:f>
        <x:v>0</x:v>
      </x:c>
    </x:row>
    <x:row r="50" ht="46" customHeight="1">
      <x:c r="A50" s="37" t="str">
        <x:v>C06-GATE-01</x:v>
      </x:c>
      <x:c r="B50" s="38" t="str">
        <x:v>C06</x:v>
      </x:c>
      <x:c r="C50" s="38" t="str">
        <x:v>盖利德</x:v>
      </x:c>
      <x:c r="D50" s="38" t="str">
        <x:v>盖利德守关／传送入口</x:v>
      </x:c>
      <x:c r="E50" s="38" t="str">
        <x:v>守关</x:v>
      </x:c>
      <x:c r="F50" s="38" t="str">
        <x:v>已有保留</x:v>
      </x:c>
      <x:c r="G50" s="38" t="str">
        <x:v>解锁下一大陆</x:v>
      </x:c>
      <x:c r="H50" s="38" t="str">
        <x:v>沿用已经做好的地图与传送链。</x:v>
      </x:c>
      <x:c r="I50" s="38" t="str">
        <x:v>沿用现址</x:v>
      </x:c>
      <x:c r="J50" s="38" t="str">
        <x:v>不改地图与传送脚本</x:v>
      </x:c>
      <x:c r="K50" s="44" t="n">
        <x:f>COUNTIF('02_配方总表'!$D$5:$D$75,A50)</x:f>
        <x:v>0</x:v>
      </x:c>
    </x:row>
    <x:row r="51" ht="46" customHeight="1">
      <x:c r="A51" s="37" t="str">
        <x:v>C07-GATE-01</x:v>
      </x:c>
      <x:c r="B51" s="38" t="str">
        <x:v>C07</x:v>
      </x:c>
      <x:c r="C51" s="38" t="str">
        <x:v>化圣雪原</x:v>
      </x:c>
      <x:c r="D51" s="38" t="str">
        <x:v>化圣雪原守关／传送入口</x:v>
      </x:c>
      <x:c r="E51" s="38" t="str">
        <x:v>守关</x:v>
      </x:c>
      <x:c r="F51" s="38" t="str">
        <x:v>已有保留</x:v>
      </x:c>
      <x:c r="G51" s="38" t="str">
        <x:v>解锁下一大陆</x:v>
      </x:c>
      <x:c r="H51" s="38" t="str">
        <x:v>沿用已经做好的地图与传送链。</x:v>
      </x:c>
      <x:c r="I51" s="38" t="str">
        <x:v>沿用现址</x:v>
      </x:c>
      <x:c r="J51" s="38" t="str">
        <x:v>不改地图与传送脚本</x:v>
      </x:c>
      <x:c r="K51" s="44" t="n">
        <x:f>COUNTIF('02_配方总表'!$D$5:$D$75,A51)</x:f>
        <x:v>0</x:v>
      </x:c>
    </x:row>
    <x:row r="52" ht="46" customHeight="1">
      <x:c r="A52" s="37" t="str">
        <x:v>C08-GATE-01</x:v>
      </x:c>
      <x:c r="B52" s="38" t="str">
        <x:v>C08</x:v>
      </x:c>
      <x:c r="C52" s="38" t="str">
        <x:v>巨人山顶</x:v>
      </x:c>
      <x:c r="D52" s="38" t="str">
        <x:v>巨人山顶守关／传送入口</x:v>
      </x:c>
      <x:c r="E52" s="38" t="str">
        <x:v>守关</x:v>
      </x:c>
      <x:c r="F52" s="38" t="str">
        <x:v>已有保留</x:v>
      </x:c>
      <x:c r="G52" s="38" t="str">
        <x:v>解锁下一大陆</x:v>
      </x:c>
      <x:c r="H52" s="38" t="str">
        <x:v>沿用已经做好的地图与传送链。</x:v>
      </x:c>
      <x:c r="I52" s="38" t="str">
        <x:v>沿用现址</x:v>
      </x:c>
      <x:c r="J52" s="38" t="str">
        <x:v>不改地图与传送脚本</x:v>
      </x:c>
      <x:c r="K52" s="44" t="n">
        <x:f>COUNTIF('02_配方总表'!$D$5:$D$75,A52)</x:f>
        <x:v>0</x:v>
      </x:c>
    </x:row>
    <x:row r="53" ht="46" customHeight="1">
      <x:c r="A53" s="37" t="str">
        <x:v>C09-GATE-01</x:v>
      </x:c>
      <x:c r="B53" s="38" t="str">
        <x:v>C09</x:v>
      </x:c>
      <x:c r="C53" s="38" t="str">
        <x:v>亚坛高原</x:v>
      </x:c>
      <x:c r="D53" s="38" t="str">
        <x:v>亚坛高原守关／传送入口</x:v>
      </x:c>
      <x:c r="E53" s="38" t="str">
        <x:v>守关</x:v>
      </x:c>
      <x:c r="F53" s="38" t="str">
        <x:v>已有保留</x:v>
      </x:c>
      <x:c r="G53" s="38" t="str">
        <x:v>解锁下一大陆</x:v>
      </x:c>
      <x:c r="H53" s="38" t="str">
        <x:v>沿用已经做好的地图与传送链。</x:v>
      </x:c>
      <x:c r="I53" s="38" t="str">
        <x:v>沿用现址</x:v>
      </x:c>
      <x:c r="J53" s="38" t="str">
        <x:v>不改地图与传送脚本</x:v>
      </x:c>
      <x:c r="K53" s="44" t="n">
        <x:f>COUNTIF('02_配方总表'!$D$5:$D$75,A53)</x:f>
        <x:v>0</x:v>
      </x:c>
    </x:row>
    <x:row r="54" ht="46" customHeight="1">
      <x:c r="A54" s="40" t="str">
        <x:v>C10-GATE-01</x:v>
      </x:c>
      <x:c r="B54" s="41" t="str">
        <x:v>C10</x:v>
      </x:c>
      <x:c r="C54" s="41" t="str">
        <x:v>王城罗德尔</x:v>
      </x:c>
      <x:c r="D54" s="41" t="str">
        <x:v>王城罗德尔守关／传送入口</x:v>
      </x:c>
      <x:c r="E54" s="41" t="str">
        <x:v>守关</x:v>
      </x:c>
      <x:c r="F54" s="41" t="str">
        <x:v>已有保留</x:v>
      </x:c>
      <x:c r="G54" s="41" t="str">
        <x:v>解锁终局结算</x:v>
      </x:c>
      <x:c r="H54" s="41" t="str">
        <x:v>沿用已经做好的地图与传送链。</x:v>
      </x:c>
      <x:c r="I54" s="41" t="str">
        <x:v>沿用现址</x:v>
      </x:c>
      <x:c r="J54" s="41" t="str">
        <x:v>不改地图与传送脚本</x:v>
      </x:c>
      <x:c r="K54" s="45" t="n">
        <x:f>COUNTIF('02_配方总表'!$D$5:$D$75,A54)</x:f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425f90b449c45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" hidden="0" customWidth="1"/>
    <x:col min="3" max="3" width="18" hidden="0" customWidth="1"/>
    <x:col min="4" max="4" width="24" hidden="0" customWidth="1"/>
    <x:col min="5" max="5" width="28" hidden="0" customWidth="1"/>
    <x:col min="6" max="6" width="18" hidden="0" customWidth="1"/>
    <x:col min="7" max="7" width="31" hidden="0" customWidth="1"/>
    <x:col min="8" max="8" width="21" hidden="0" customWidth="1"/>
    <x:col min="9" max="9" width="48" hidden="0" customWidth="1"/>
    <x:col min="10" max="10" width="24" hidden="0" customWidth="1"/>
    <x:col min="11" max="11" width="44" hidden="0" customWidth="1"/>
    <x:col min="12" max="12" width="22" hidden="0" customWidth="1"/>
    <x:col min="13" max="13" width="26" hidden="0" customWidth="1"/>
    <x:col min="14" max="14" width="44" hidden="0" customWidth="1"/>
    <x:col min="15" max="15" width="45" hidden="0" customWidth="1"/>
    <x:col min="16" max="16" width="25" hidden="0" customWidth="1"/>
    <x:col min="17" max="17" width="20" hidden="0" customWidth="1"/>
    <x:col min="18" max="18" width="26" hidden="0" customWidth="1"/>
    <x:col min="19" max="19" width="58" hidden="0" customWidth="1"/>
  </x:cols>
  <x:sheetData>
    <x:row r="1" ht="32" customHeight="1">
      <x:c r="A1" s="4" t="str">
        <x:v>十大陆NPC配方总表（74项正式结构）</x:v>
      </x:c>
      <x:c r="B1" s="4" t="str">
        <x:v>十大陆NPC配方总表（74项正式结构）</x:v>
      </x:c>
      <x:c r="C1" s="4" t="str">
        <x:v>十大陆NPC配方总表（74项正式结构）</x:v>
      </x:c>
      <x:c r="D1" s="4" t="str">
        <x:v>十大陆NPC配方总表（74项正式结构）</x:v>
      </x:c>
      <x:c r="E1" s="4" t="str">
        <x:v>十大陆NPC配方总表（74项正式结构）</x:v>
      </x:c>
      <x:c r="F1" s="4" t="str">
        <x:v>十大陆NPC配方总表（74项正式结构）</x:v>
      </x:c>
      <x:c r="G1" s="4" t="str">
        <x:v>十大陆NPC配方总表（74项正式结构）</x:v>
      </x:c>
      <x:c r="H1" s="4" t="str">
        <x:v>十大陆NPC配方总表（74项正式结构）</x:v>
      </x:c>
      <x:c r="I1" s="4" t="str">
        <x:v>十大陆NPC配方总表（74项正式结构）</x:v>
      </x:c>
      <x:c r="J1" s="4" t="str">
        <x:v>十大陆NPC配方总表（74项正式结构）</x:v>
      </x:c>
      <x:c r="K1" s="4" t="str">
        <x:v>十大陆NPC配方总表（74项正式结构）</x:v>
      </x:c>
      <x:c r="L1" s="4" t="str">
        <x:v>十大陆NPC配方总表（74项正式结构）</x:v>
      </x:c>
      <x:c r="M1" s="4" t="str">
        <x:v>十大陆NPC配方总表（74项正式结构）</x:v>
      </x:c>
      <x:c r="N1" s="4" t="str">
        <x:v>十大陆NPC配方总表（74项正式结构）</x:v>
      </x:c>
      <x:c r="O1" s="4" t="str">
        <x:v>十大陆NPC配方总表（74项正式结构）</x:v>
      </x:c>
      <x:c r="P1" s="4" t="str">
        <x:v>十大陆NPC配方总表（74项正式结构）</x:v>
      </x:c>
      <x:c r="Q1" s="4" t="str">
        <x:v>十大陆NPC配方总表（74项正式结构）</x:v>
      </x:c>
      <x:c r="R1" s="4" t="str">
        <x:v>十大陆NPC配方总表（74项正式结构）</x:v>
      </x:c>
      <x:c r="S1" s="4" t="str">
        <x:v>十大陆NPC配方总表（74项正式结构）</x:v>
      </x:c>
    </x:row>
    <x:row r="2" ht="38" customHeight="1">
      <x:c r="A2" s="8" t="str">
        <x:v>N1/N2及“待经济反算”均为有意保留：在怪物产量、掉率、回收价与属性预算齐全前，不提前伪造精确数字。</x:v>
      </x:c>
      <x:c r="B2" s="8" t="str">
        <x:v>N1/N2及“待经济反算”均为有意保留：在怪物产量、掉率、回收价与属性预算齐全前，不提前伪造精确数字。</x:v>
      </x:c>
      <x:c r="C2" s="8" t="str">
        <x:v>N1/N2及“待经济反算”均为有意保留：在怪物产量、掉率、回收价与属性预算齐全前，不提前伪造精确数字。</x:v>
      </x:c>
      <x:c r="D2" s="8" t="str">
        <x:v>N1/N2及“待经济反算”均为有意保留：在怪物产量、掉率、回收价与属性预算齐全前，不提前伪造精确数字。</x:v>
      </x:c>
      <x:c r="E2" s="8" t="str">
        <x:v>N1/N2及“待经济反算”均为有意保留：在怪物产量、掉率、回收价与属性预算齐全前，不提前伪造精确数字。</x:v>
      </x:c>
      <x:c r="F2" s="8" t="str">
        <x:v>N1/N2及“待经济反算”均为有意保留：在怪物产量、掉率、回收价与属性预算齐全前，不提前伪造精确数字。</x:v>
      </x:c>
      <x:c r="G2" s="8" t="str">
        <x:v>N1/N2及“待经济反算”均为有意保留：在怪物产量、掉率、回收价与属性预算齐全前，不提前伪造精确数字。</x:v>
      </x:c>
      <x:c r="H2" s="8" t="str">
        <x:v>N1/N2及“待经济反算”均为有意保留：在怪物产量、掉率、回收价与属性预算齐全前，不提前伪造精确数字。</x:v>
      </x:c>
      <x:c r="I2" s="8" t="str">
        <x:v>N1/N2及“待经济反算”均为有意保留：在怪物产量、掉率、回收价与属性预算齐全前，不提前伪造精确数字。</x:v>
      </x:c>
      <x:c r="J2" s="8" t="str">
        <x:v>N1/N2及“待经济反算”均为有意保留：在怪物产量、掉率、回收价与属性预算齐全前，不提前伪造精确数字。</x:v>
      </x:c>
      <x:c r="K2" s="8" t="str">
        <x:v>N1/N2及“待经济反算”均为有意保留：在怪物产量、掉率、回收价与属性预算齐全前，不提前伪造精确数字。</x:v>
      </x:c>
      <x:c r="L2" s="8" t="str">
        <x:v>N1/N2及“待经济反算”均为有意保留：在怪物产量、掉率、回收价与属性预算齐全前，不提前伪造精确数字。</x:v>
      </x:c>
      <x:c r="M2" s="8" t="str">
        <x:v>N1/N2及“待经济反算”均为有意保留：在怪物产量、掉率、回收价与属性预算齐全前，不提前伪造精确数字。</x:v>
      </x:c>
      <x:c r="N2" s="8" t="str">
        <x:v>N1/N2及“待经济反算”均为有意保留：在怪物产量、掉率、回收价与属性预算齐全前，不提前伪造精确数字。</x:v>
      </x:c>
      <x:c r="O2" s="8" t="str">
        <x:v>N1/N2及“待经济反算”均为有意保留：在怪物产量、掉率、回收价与属性预算齐全前，不提前伪造精确数字。</x:v>
      </x:c>
      <x:c r="P2" s="8" t="str">
        <x:v>N1/N2及“待经济反算”均为有意保留：在怪物产量、掉率、回收价与属性预算齐全前，不提前伪造精确数字。</x:v>
      </x:c>
      <x:c r="Q2" s="8" t="str">
        <x:v>N1/N2及“待经济反算”均为有意保留：在怪物产量、掉率、回收价与属性预算齐全前，不提前伪造精确数字。</x:v>
      </x:c>
      <x:c r="R2" s="8" t="str">
        <x:v>N1/N2及“待经济反算”均为有意保留：在怪物产量、掉率、回收价与属性预算齐全前，不提前伪造精确数字。</x:v>
      </x:c>
      <x:c r="S2" s="8" t="str">
        <x:v>N1/N2及“待经济反算”均为有意保留：在怪物产量、掉率、回收价与属性预算齐全前，不提前伪造精确数字。</x:v>
      </x:c>
    </x:row>
    <x:row r="4" ht="30" customHeight="1">
      <x:c r="A4" s="14" t="str">
        <x:v>配方ID</x:v>
      </x:c>
      <x:c r="B4" s="14" t="str">
        <x:v>大陆ID</x:v>
      </x:c>
      <x:c r="C4" s="14" t="str">
        <x:v>大陆</x:v>
      </x:c>
      <x:c r="D4" s="14" t="str">
        <x:v>NPC ID</x:v>
      </x:c>
      <x:c r="E4" s="14" t="str">
        <x:v>NPC正式名</x:v>
      </x:c>
      <x:c r="F4" s="14" t="str">
        <x:v>类别</x:v>
      </x:c>
      <x:c r="G4" s="14" t="str">
        <x:v>产物</x:v>
      </x:c>
      <x:c r="H4" s="14" t="str">
        <x:v>部位/系统</x:v>
      </x:c>
      <x:c r="I4" s="14" t="str">
        <x:v>基础件/前置</x:v>
      </x:c>
      <x:c r="J4" s="14" t="str">
        <x:v>高产通用材料</x:v>
      </x:c>
      <x:c r="K4" s="14" t="str">
        <x:v>稀有/证物材料</x:v>
      </x:c>
      <x:c r="L4" s="14" t="str">
        <x:v>全局材料</x:v>
      </x:c>
      <x:c r="M4" s="14" t="str">
        <x:v>金币/元宝/灵符</x:v>
      </x:c>
      <x:c r="N4" s="14" t="str">
        <x:v>成功规则</x:v>
      </x:c>
      <x:c r="O4" s="14" t="str">
        <x:v>属性方向</x:v>
      </x:c>
      <x:c r="P4" s="14" t="str">
        <x:v>交易/绑定</x:v>
      </x:c>
      <x:c r="Q4" s="14" t="str">
        <x:v>数量状态</x:v>
      </x:c>
      <x:c r="R4" s="14" t="str">
        <x:v>编码状态</x:v>
      </x:c>
      <x:c r="S4" s="14" t="str">
        <x:v>备注</x:v>
      </x:c>
    </x:row>
    <x:row r="5" ht="52" customHeight="1">
      <x:c r="A5" s="34" t="str">
        <x:v>CAMP-SWORD-GROWTH</x:v>
      </x:c>
      <x:c r="B5" s="35" t="str">
        <x:v>CAMP</x:v>
      </x:c>
      <x:c r="C5" s="35" t="str">
        <x:v>初始营地</x:v>
      </x:c>
      <x:c r="D5" s="35" t="str">
        <x:v>CAMP-SWORD-01</x:v>
      </x:c>
      <x:c r="E5" s="35" t="str">
        <x:f>IFERROR(VLOOKUP(D5,'01_NPC总览'!$A$5:$D$54,4,FALSE),"未登记")</x:f>
        <x:v>圣律之剑成长入口</x:v>
      </x:c>
      <x:c r="F5" s="35" t="str">
        <x:v>既有成长</x:v>
      </x:c>
      <x:c r="G5" s="35" t="str">
        <x:v>圣律之剑LV1—10／圣律真言</x:v>
      </x:c>
      <x:c r="H5" s="35" t="str">
        <x:v>系统成长</x:v>
      </x:c>
      <x:c r="I5" s="35" t="str">
        <x:v>现有脚本条件</x:v>
      </x:c>
      <x:c r="J5" s="35" t="str">
        <x:v>—</x:v>
      </x:c>
      <x:c r="K5" s="35" t="str">
        <x:v>—</x:v>
      </x:c>
      <x:c r="L5" s="35" t="str">
        <x:v>—</x:v>
      </x:c>
      <x:c r="M5" s="35" t="str">
        <x:v>既有灵符成本</x:v>
      </x:c>
      <x:c r="N5" s="35" t="str">
        <x:v>100%确定成功；不失败吞料</x:v>
      </x:c>
      <x:c r="O5" s="35" t="str">
        <x:v>切割与辅助成长；不在本表改值</x:v>
      </x:c>
      <x:c r="P5" s="35" t="str">
        <x:v>角色绑定</x:v>
      </x:c>
      <x:c r="Q5" s="46" t="str">
        <x:v>沿用既有值</x:v>
      </x:c>
      <x:c r="R5" s="49" t="str">
        <x:v>无需新物品编码</x:v>
      </x:c>
      <x:c r="S5" s="36" t="str">
        <x:v>只做入口登记</x:v>
      </x:c>
    </x:row>
    <x:row r="6" ht="52" customHeight="1">
      <x:c r="A6" s="37" t="str">
        <x:v>CAMP-RELIC-GROWTH</x:v>
      </x:c>
      <x:c r="B6" s="38" t="str">
        <x:v>CAMP</x:v>
      </x:c>
      <x:c r="C6" s="38" t="str">
        <x:v>初始营地</x:v>
      </x:c>
      <x:c r="D6" s="38" t="str">
        <x:v>CAMP-RELIC-01</x:v>
      </x:c>
      <x:c r="E6" s="38" t="str">
        <x:f>IFERROR(VLOOKUP(D6,'01_NPC总览'!$A$5:$D$54,4,FALSE),"未登记")</x:f>
        <x:v>黄金圣物成长入口</x:v>
      </x:c>
      <x:c r="F6" s="38" t="str">
        <x:v>既有成长</x:v>
      </x:c>
      <x:c r="G6" s="38" t="str">
        <x:v>黄金圣物LV1—10／黄金之心</x:v>
      </x:c>
      <x:c r="H6" s="38" t="str">
        <x:v>系统成长</x:v>
      </x:c>
      <x:c r="I6" s="38" t="str">
        <x:v>现有脚本条件</x:v>
      </x:c>
      <x:c r="J6" s="38" t="str">
        <x:v>—</x:v>
      </x:c>
      <x:c r="K6" s="38" t="str">
        <x:v>—</x:v>
      </x:c>
      <x:c r="L6" s="38" t="str">
        <x:v>—</x:v>
      </x:c>
      <x:c r="M6" s="38" t="str">
        <x:v>既有灵符成本</x:v>
      </x:c>
      <x:c r="N6" s="38" t="str">
        <x:v>100%确定成功；不失败吞料</x:v>
      </x:c>
      <x:c r="O6" s="38" t="str">
        <x:v>复活与回血成长；不在本表改值</x:v>
      </x:c>
      <x:c r="P6" s="38" t="str">
        <x:v>角色绑定</x:v>
      </x:c>
      <x:c r="Q6" s="47" t="str">
        <x:v>沿用既有值</x:v>
      </x:c>
      <x:c r="R6" s="50" t="str">
        <x:v>无需新物品编码</x:v>
      </x:c>
      <x:c r="S6" s="39" t="str">
        <x:v>只做入口登记</x:v>
      </x:c>
    </x:row>
    <x:row r="7" ht="52" customHeight="1">
      <x:c r="A7" s="37" t="str">
        <x:v>CAMP-TITLE-GROWTH</x:v>
      </x:c>
      <x:c r="B7" s="38" t="str">
        <x:v>CAMP</x:v>
      </x:c>
      <x:c r="C7" s="38" t="str">
        <x:v>初始营地</x:v>
      </x:c>
      <x:c r="D7" s="38" t="str">
        <x:v>CAMP-TITLE-01</x:v>
      </x:c>
      <x:c r="E7" s="38" t="str">
        <x:f>IFERROR(VLOOKUP(D7,'01_NPC总览'!$A$5:$D$54,4,FALSE),"未登记")</x:f>
        <x:v>贯穿式称号晋升NPC</x:v>
      </x:c>
      <x:c r="F7" s="38" t="str">
        <x:v>贯穿称号</x:v>
      </x:c>
      <x:c r="G7" s="38" t="str">
        <x:v>贯穿式主线称号各阶段</x:v>
      </x:c>
      <x:c r="H7" s="38" t="str">
        <x:v>称号</x:v>
      </x:c>
      <x:c r="I7" s="38" t="str">
        <x:v>上一阶段称号</x:v>
      </x:c>
      <x:c r="J7" s="38" t="str">
        <x:v>—</x:v>
      </x:c>
      <x:c r="K7" s="38" t="str">
        <x:v>—</x:v>
      </x:c>
      <x:c r="L7" s="38" t="str">
        <x:v>—</x:v>
      </x:c>
      <x:c r="M7" s="38" t="str">
        <x:v>金币／灵符按既有脚本</x:v>
      </x:c>
      <x:c r="N7" s="38" t="str">
        <x:v>100%确定成功；不失败吞料</x:v>
      </x:c>
      <x:c r="O7" s="38" t="str">
        <x:v>基础攻魔道主来源</x:v>
      </x:c>
      <x:c r="P7" s="38" t="str">
        <x:v>角色绑定</x:v>
      </x:c>
      <x:c r="Q7" s="47" t="str">
        <x:v>待全线平衡</x:v>
      </x:c>
      <x:c r="R7" s="50" t="str">
        <x:v>沿用现有称号脚本ID</x:v>
      </x:c>
      <x:c r="S7" s="39" t="str">
        <x:v>与大陆合成称号互不替代</x:v>
      </x:c>
    </x:row>
    <x:row r="8" ht="52" customHeight="1">
      <x:c r="A8" s="37" t="str">
        <x:v>C01-FATE-SINGLE</x:v>
      </x:c>
      <x:c r="B8" s="38" t="str">
        <x:v>C01</x:v>
      </x:c>
      <x:c r="C8" s="38" t="str">
        <x:v>漂流群岛</x:v>
      </x:c>
      <x:c r="D8" s="38" t="str">
        <x:v>C01-FATE-01</x:v>
      </x:c>
      <x:c r="E8" s="38" t="str">
        <x:f>IFERROR(VLOOKUP(D8,'01_NPC总览'!$A$5:$D$54,4,FALSE),"未登记")</x:f>
        <x:v>司命人·玄衡</x:v>
      </x:c>
      <x:c r="F8" s="38" t="str">
        <x:v>命格洗练</x:v>
      </x:c>
      <x:c r="G8" s="38" t="str">
        <x:v>当前选中槽命格×1次</x:v>
      </x:c>
      <x:c r="H8" s="38" t="str">
        <x:v>命格第X槽</x:v>
      </x:c>
      <x:c r="I8" s="38" t="str">
        <x:v>—</x:v>
      </x:c>
      <x:c r="J8" s="38" t="str">
        <x:v>神秘符文×N1</x:v>
      </x:c>
      <x:c r="K8" s="38" t="str">
        <x:v>—</x:v>
      </x:c>
      <x:c r="L8" s="38" t="str">
        <x:v>—</x:v>
      </x:c>
      <x:c r="M8" s="38" t="str">
        <x:v>元宝×N1</x:v>
      </x:c>
      <x:c r="N8" s="38" t="str">
        <x:v>随机；只洗当前槽；独立保底</x:v>
      </x:c>
      <x:c r="O8" s="38" t="str">
        <x:v>神力倍攻为主；可出现受控稀有词条</x:v>
      </x:c>
      <x:c r="P8" s="38" t="str">
        <x:v>结果角色绑定</x:v>
      </x:c>
      <x:c r="Q8" s="47" t="str">
        <x:v>待经济反算</x:v>
      </x:c>
      <x:c r="R8" s="50" t="str">
        <x:v>沿用现有命格脚本</x:v>
      </x:c>
      <x:c r="S8" s="39" t="str">
        <x:v>一次洗练只作用于玩家选定的第X条</x:v>
      </x:c>
    </x:row>
    <x:row r="9" ht="52" customHeight="1">
      <x:c r="A9" s="37" t="str">
        <x:v>C01-FATE-TEN</x:v>
      </x:c>
      <x:c r="B9" s="38" t="str">
        <x:v>C01</x:v>
      </x:c>
      <x:c r="C9" s="38" t="str">
        <x:v>漂流群岛</x:v>
      </x:c>
      <x:c r="D9" s="38" t="str">
        <x:v>C01-FATE-01</x:v>
      </x:c>
      <x:c r="E9" s="38" t="str">
        <x:f>IFERROR(VLOOKUP(D9,'01_NPC总览'!$A$5:$D$54,4,FALSE),"未登记")</x:f>
        <x:v>司命人·玄衡</x:v>
      </x:c>
      <x:c r="F9" s="38" t="str">
        <x:v>命格洗练</x:v>
      </x:c>
      <x:c r="G9" s="38" t="str">
        <x:v>当前选中槽命格×10次</x:v>
      </x:c>
      <x:c r="H9" s="38" t="str">
        <x:v>命格第X槽</x:v>
      </x:c>
      <x:c r="I9" s="38" t="str">
        <x:v>—</x:v>
      </x:c>
      <x:c r="J9" s="38" t="str">
        <x:v>神秘符文×N2</x:v>
      </x:c>
      <x:c r="K9" s="38" t="str">
        <x:v>—</x:v>
      </x:c>
      <x:c r="L9" s="38" t="str">
        <x:v>—</x:v>
      </x:c>
      <x:c r="M9" s="38" t="str">
        <x:v>元宝×N2</x:v>
      </x:c>
      <x:c r="N9" s="38" t="str">
        <x:v>随机；沿用界面20次必出红色、每10次判彩、100次必彩</x:v>
      </x:c>
      <x:c r="O9" s="38" t="str">
        <x:v>神力倍攻为主；橙色以上可带受控稀有词条</x:v>
      </x:c>
      <x:c r="P9" s="38" t="str">
        <x:v>结果角色绑定</x:v>
      </x:c>
      <x:c r="Q9" s="47" t="str">
        <x:v>待经济反算</x:v>
      </x:c>
      <x:c r="R9" s="50" t="str">
        <x:v>沿用现有命格脚本</x:v>
      </x:c>
      <x:c r="S9" s="39" t="str">
        <x:v>保底数字只影响投放速度，不改命格属性预算</x:v>
      </x:c>
    </x:row>
    <x:row r="10" ht="52" customHeight="1">
      <x:c r="A10" s="37" t="str">
        <x:v>C01-FATE-SHOP</x:v>
      </x:c>
      <x:c r="B10" s="38" t="str">
        <x:v>C01</x:v>
      </x:c>
      <x:c r="C10" s="38" t="str">
        <x:v>漂流群岛</x:v>
      </x:c>
      <x:c r="D10" s="38" t="str">
        <x:v>C01-FATE-01</x:v>
      </x:c>
      <x:c r="E10" s="38" t="str">
        <x:f>IFERROR(VLOOKUP(D10,'01_NPC总览'!$A$5:$D$54,4,FALSE),"未登记")</x:f>
        <x:v>司命人·玄衡</x:v>
      </x:c>
      <x:c r="F10" s="38" t="str">
        <x:v>命格商店</x:v>
      </x:c>
      <x:c r="G10" s="38" t="str">
        <x:v>神秘符文</x:v>
      </x:c>
      <x:c r="H10" s="38" t="str">
        <x:v>材料</x:v>
      </x:c>
      <x:c r="I10" s="38" t="str">
        <x:v>—</x:v>
      </x:c>
      <x:c r="J10" s="38" t="str">
        <x:v>—</x:v>
      </x:c>
      <x:c r="K10" s="38" t="str">
        <x:v>—</x:v>
      </x:c>
      <x:c r="L10" s="38" t="str">
        <x:v>—</x:v>
      </x:c>
      <x:c r="M10" s="38" t="str">
        <x:v>灵符</x:v>
      </x:c>
      <x:c r="N10" s="38" t="str">
        <x:v>100%</x:v>
      </x:c>
      <x:c r="O10" s="38" t="str">
        <x:v>付费补充洗练次数，不直接售卖红／彩结果</x:v>
      </x:c>
      <x:c r="P10" s="38" t="str">
        <x:v>灵符购买部分绑定；怪物掉落部分可交易</x:v>
      </x:c>
      <x:c r="Q10" s="47" t="str">
        <x:v>待付费节奏反算</x:v>
      </x:c>
      <x:c r="R10" s="50" t="str">
        <x:v>沿用Idx 802</x:v>
      </x:c>
      <x:c r="S10" s="39" t="str">
        <x:v>若引擎不能同名区分绑定，商店直接增加绑定洗练计数</x:v>
      </x:c>
    </x:row>
    <x:row r="11" ht="52" customHeight="1">
      <x:c r="A11" s="37" t="str">
        <x:v>C01-FATE-SLOT</x:v>
      </x:c>
      <x:c r="B11" s="38" t="str">
        <x:v>C01</x:v>
      </x:c>
      <x:c r="C11" s="38" t="str">
        <x:v>漂流群岛</x:v>
      </x:c>
      <x:c r="D11" s="38" t="str">
        <x:v>C01-FATE-01</x:v>
      </x:c>
      <x:c r="E11" s="38" t="str">
        <x:f>IFERROR(VLOOKUP(D11,'01_NPC总览'!$A$5:$D$54,4,FALSE),"未登记")</x:f>
        <x:v>司命人·玄衡</x:v>
      </x:c>
      <x:c r="F11" s="38" t="str">
        <x:v>命格槽位</x:v>
      </x:c>
      <x:c r="G11" s="38" t="str">
        <x:v>命格槽位1—8</x:v>
      </x:c>
      <x:c r="H11" s="38" t="str">
        <x:v>命格</x:v>
      </x:c>
      <x:c r="I11" s="38" t="str">
        <x:v>等级／转生条件</x:v>
      </x:c>
      <x:c r="J11" s="38" t="str">
        <x:v>—</x:v>
      </x:c>
      <x:c r="K11" s="38" t="str">
        <x:v>—</x:v>
      </x:c>
      <x:c r="L11" s="38" t="str">
        <x:v>—</x:v>
      </x:c>
      <x:c r="M11" s="38" t="str">
        <x:v>—</x:v>
      </x:c>
      <x:c r="N11" s="38" t="str">
        <x:v>满足条件即开启</x:v>
      </x:c>
      <x:c r="O11" s="38" t="str">
        <x:v>开放可洗词条数量，不直接给属性</x:v>
      </x:c>
      <x:c r="P11" s="38" t="str">
        <x:v>角色绑定</x:v>
      </x:c>
      <x:c r="Q11" s="47" t="str">
        <x:v>沿用现有脚本条件</x:v>
      </x:c>
      <x:c r="R11" s="50" t="str">
        <x:v>沿用现有命格脚本</x:v>
      </x:c>
      <x:c r="S11" s="39" t="str">
        <x:v>不额外发明槽位材料</x:v>
      </x:c>
    </x:row>
    <x:row r="12" ht="52" customHeight="1">
      <x:c r="A12" s="37" t="str">
        <x:v>C02-ASH-NORMAL</x:v>
      </x:c>
      <x:c r="B12" s="38" t="str">
        <x:v>C02</x:v>
      </x:c>
      <x:c r="C12" s="38" t="str">
        <x:v>宁姆格福</x:v>
      </x:c>
      <x:c r="D12" s="38" t="str">
        <x:v>C02-ASH-01</x:v>
      </x:c>
      <x:c r="E12" s="38" t="str">
        <x:f>IFERROR(VLOOKUP(D12,'01_NPC总览'!$A$5:$D$54,4,FALSE),"未登记")</x:f>
        <x:v>战灰刻印师·盖尔</x:v>
      </x:c>
      <x:c r="F12" s="38" t="str">
        <x:v>战灰附魔</x:v>
      </x:c>
      <x:c r="G12" s="38" t="str">
        <x:v>普通PVP战灰</x:v>
      </x:c>
      <x:c r="H12" s="38" t="str">
        <x:v>武器附魔</x:v>
      </x:c>
      <x:c r="I12" s="38" t="str">
        <x:v>目标武器</x:v>
      </x:c>
      <x:c r="J12" s="38" t="str">
        <x:v>风暴石片</x:v>
      </x:c>
      <x:c r="K12" s="38" t="str">
        <x:v>—</x:v>
      </x:c>
      <x:c r="L12" s="38" t="str">
        <x:v>失色锻造石</x:v>
      </x:c>
      <x:c r="M12" s="38" t="str">
        <x:v>元宝</x:v>
      </x:c>
      <x:c r="N12" s="38" t="str">
        <x:v>随机获得普通战灰；覆盖前二次确认</x:v>
      </x:c>
      <x:c r="O12" s="38" t="str">
        <x:v>大多数为PVP属性；PVE难度计算忽略</x:v>
      </x:c>
      <x:c r="P12" s="38" t="str">
        <x:v>随武器状态</x:v>
      </x:c>
      <x:c r="Q12" s="47" t="str">
        <x:v>待经济反算</x:v>
      </x:c>
      <x:c r="R12" s="50" t="str">
        <x:v>沿用战灰脚本</x:v>
      </x:c>
      <x:c r="S12" s="39" t="str">
        <x:v>不计入主线TTK预算</x:v>
      </x:c>
    </x:row>
    <x:row r="13" ht="52" customHeight="1">
      <x:c r="A13" s="37" t="str">
        <x:v>C02-ASH-HIGH</x:v>
      </x:c>
      <x:c r="B13" s="38" t="str">
        <x:v>C02</x:v>
      </x:c>
      <x:c r="C13" s="38" t="str">
        <x:v>宁姆格福</x:v>
      </x:c>
      <x:c r="D13" s="38" t="str">
        <x:v>C02-ASH-01</x:v>
      </x:c>
      <x:c r="E13" s="38" t="str">
        <x:f>IFERROR(VLOOKUP(D13,'01_NPC总览'!$A$5:$D$54,4,FALSE),"未登记")</x:f>
        <x:v>战灰刻印师·盖尔</x:v>
      </x:c>
      <x:c r="F13" s="38" t="str">
        <x:v>战灰附魔</x:v>
      </x:c>
      <x:c r="G13" s="38" t="str">
        <x:v>稀有PVP战灰</x:v>
      </x:c>
      <x:c r="H13" s="38" t="str">
        <x:v>武器附魔</x:v>
      </x:c>
      <x:c r="I13" s="38" t="str">
        <x:v>目标武器</x:v>
      </x:c>
      <x:c r="J13" s="38" t="str">
        <x:v>风暴石片</x:v>
      </x:c>
      <x:c r="K13" s="38" t="str">
        <x:v>黄金树芽＋接肢王印</x:v>
      </x:c>
      <x:c r="L13" s="38" t="str">
        <x:v>失色锻造石</x:v>
      </x:c>
      <x:c r="M13" s="38" t="str">
        <x:v>元宝</x:v>
      </x:c>
      <x:c r="N13" s="38" t="str">
        <x:v>随机获得高阶战灰；覆盖前二次确认</x:v>
      </x:c>
      <x:c r="O13" s="38" t="str">
        <x:v>PVP稀有效果；PVE难度计算忽略</x:v>
      </x:c>
      <x:c r="P13" s="38" t="str">
        <x:v>随武器状态</x:v>
      </x:c>
      <x:c r="Q13" s="47" t="str">
        <x:v>待经济反算</x:v>
      </x:c>
      <x:c r="R13" s="50" t="str">
        <x:v>沿用战灰脚本</x:v>
      </x:c>
      <x:c r="S13" s="39" t="str"/>
    </x:row>
    <x:row r="14" ht="52" customHeight="1">
      <x:c r="A14" s="37" t="str">
        <x:v>C02-ASH-OVERWRITE</x:v>
      </x:c>
      <x:c r="B14" s="38" t="str">
        <x:v>C02</x:v>
      </x:c>
      <x:c r="C14" s="38" t="str">
        <x:v>宁姆格福</x:v>
      </x:c>
      <x:c r="D14" s="38" t="str">
        <x:v>C02-ASH-01</x:v>
      </x:c>
      <x:c r="E14" s="38" t="str">
        <x:f>IFERROR(VLOOKUP(D14,'01_NPC总览'!$A$5:$D$54,4,FALSE),"未登记")</x:f>
        <x:v>战灰刻印师·盖尔</x:v>
      </x:c>
      <x:c r="F14" s="38" t="str">
        <x:v>战灰操作</x:v>
      </x:c>
      <x:c r="G14" s="38" t="str">
        <x:v>覆盖／清除战灰</x:v>
      </x:c>
      <x:c r="H14" s="38" t="str">
        <x:v>武器附魔</x:v>
      </x:c>
      <x:c r="I14" s="38" t="str">
        <x:v>目标武器</x:v>
      </x:c>
      <x:c r="J14" s="38" t="str">
        <x:v>—</x:v>
      </x:c>
      <x:c r="K14" s="38" t="str">
        <x:v>—</x:v>
      </x:c>
      <x:c r="L14" s="38" t="str">
        <x:v>失色锻造石</x:v>
      </x:c>
      <x:c r="M14" s="38" t="str">
        <x:v>金币</x:v>
      </x:c>
      <x:c r="N14" s="38" t="str">
        <x:v>100%执行；清除前确认</x:v>
      </x:c>
      <x:c r="O14" s="38" t="str">
        <x:v>功能操作</x:v>
      </x:c>
      <x:c r="P14" s="38" t="str">
        <x:v>随武器状态</x:v>
      </x:c>
      <x:c r="Q14" s="47" t="str">
        <x:v>待经济反算</x:v>
      </x:c>
      <x:c r="R14" s="50" t="str">
        <x:v>沿用战灰脚本</x:v>
      </x:c>
      <x:c r="S14" s="39" t="str"/>
    </x:row>
    <x:row r="15" ht="52" customHeight="1">
      <x:c r="A15" s="37" t="str">
        <x:v>C01-SYN-EQ-01</x:v>
      </x:c>
      <x:c r="B15" s="38" t="str">
        <x:v>C01</x:v>
      </x:c>
      <x:c r="C15" s="38" t="str">
        <x:v>漂流群岛</x:v>
      </x:c>
      <x:c r="D15" s="38" t="str">
        <x:v>C01-SYN-01</x:v>
      </x:c>
      <x:c r="E15" s="38" t="str">
        <x:f>IFERROR(VLOOKUP(D15,'01_NPC总览'!$A$5:$D$54,4,FALSE),"未登记")</x:f>
        <x:v>拾荒匠·阿砾</x:v>
      </x:c>
      <x:c r="F15" s="38" t="str">
        <x:v>装备合成</x:v>
      </x:c>
      <x:c r="G15" s="38" t="str">
        <x:v>潮归秘戒</x:v>
      </x:c>
      <x:c r="H15" s="38" t="str">
        <x:v>戒指</x:v>
      </x:c>
      <x:c r="I15" s="38" t="str">
        <x:v>猎犬骨戒＋王庭秘戒</x:v>
      </x:c>
      <x:c r="J15" s="38" t="str">
        <x:v>海蚀铁片</x:v>
      </x:c>
      <x:c r="K15" s="38" t="str">
        <x:v>潮痕结晶＋漂流大陆印记</x:v>
      </x:c>
      <x:c r="L15" s="38" t="str">
        <x:v>失色锻造石</x:v>
      </x:c>
      <x:c r="M15" s="38" t="str">
        <x:v>金币</x:v>
      </x:c>
      <x:c r="N15" s="38" t="str">
        <x:v>100%确定成功；不失败吞料</x:v>
      </x:c>
      <x:c r="O15" s="38" t="str">
        <x:v>基础攻魔道主来源；成品明显优于同期普通掉落</x:v>
      </x:c>
      <x:c r="P15" s="38" t="str">
        <x:v>成品可交易</x:v>
      </x:c>
      <x:c r="Q15" s="47" t="str">
        <x:v>待经济反算</x:v>
      </x:c>
      <x:c r="R15" s="50" t="str">
        <x:v>需新装备资源编码</x:v>
      </x:c>
      <x:c r="S15" s="39" t="str">
        <x:v>具体属性、数量与成品回收价后算</x:v>
      </x:c>
    </x:row>
    <x:row r="16" ht="52" customHeight="1">
      <x:c r="A16" s="37" t="str">
        <x:v>C02-SYN-EQ-01</x:v>
      </x:c>
      <x:c r="B16" s="38" t="str">
        <x:v>C02</x:v>
      </x:c>
      <x:c r="C16" s="38" t="str">
        <x:v>宁姆格福</x:v>
      </x:c>
      <x:c r="D16" s="38" t="str">
        <x:v>C02-SYN-01</x:v>
      </x:c>
      <x:c r="E16" s="38" t="str">
        <x:f>IFERROR(VLOOKUP(D16,'01_NPC总览'!$A$5:$D$54,4,FALSE),"未登记")</x:f>
        <x:v>风暴工匠·洛克</x:v>
      </x:c>
      <x:c r="F16" s="38" t="str">
        <x:v>装备合成</x:v>
      </x:c>
      <x:c r="G16" s="38" t="str">
        <x:v>风暴王庭链</x:v>
      </x:c>
      <x:c r="H16" s="38" t="str">
        <x:v>项链</x:v>
      </x:c>
      <x:c r="I16" s="38" t="str">
        <x:v>破垒鹰链＋古树祷链</x:v>
      </x:c>
      <x:c r="J16" s="38" t="str">
        <x:v>风暴石片</x:v>
      </x:c>
      <x:c r="K16" s="38" t="str">
        <x:v>黄金树芽＋接肢王印</x:v>
      </x:c>
      <x:c r="L16" s="38" t="str">
        <x:v>失色锻造石</x:v>
      </x:c>
      <x:c r="M16" s="38" t="str">
        <x:v>元宝</x:v>
      </x:c>
      <x:c r="N16" s="38" t="str">
        <x:v>100%确定成功；不失败吞料</x:v>
      </x:c>
      <x:c r="O16" s="38" t="str">
        <x:v>基础攻魔道主来源；成品明显优于同期普通掉落</x:v>
      </x:c>
      <x:c r="P16" s="38" t="str">
        <x:v>成品可交易</x:v>
      </x:c>
      <x:c r="Q16" s="47" t="str">
        <x:v>待经济反算</x:v>
      </x:c>
      <x:c r="R16" s="50" t="str">
        <x:v>需新装备资源编码</x:v>
      </x:c>
      <x:c r="S16" s="39" t="str">
        <x:v>具体属性、数量与成品回收价后算</x:v>
      </x:c>
    </x:row>
    <x:row r="17" ht="52" customHeight="1">
      <x:c r="A17" s="37" t="str">
        <x:v>C02-SYN-EQ-02</x:v>
      </x:c>
      <x:c r="B17" s="38" t="str">
        <x:v>C02</x:v>
      </x:c>
      <x:c r="C17" s="38" t="str">
        <x:v>宁姆格福</x:v>
      </x:c>
      <x:c r="D17" s="38" t="str">
        <x:v>C02-SYN-01</x:v>
      </x:c>
      <x:c r="E17" s="38" t="str">
        <x:f>IFERROR(VLOOKUP(D17,'01_NPC总览'!$A$5:$D$54,4,FALSE),"未登记")</x:f>
        <x:v>风暴工匠·洛克</x:v>
      </x:c>
      <x:c r="F17" s="38" t="str">
        <x:v>装备合成</x:v>
      </x:c>
      <x:c r="G17" s="38" t="str">
        <x:v>百指接肢腕</x:v>
      </x:c>
      <x:c r="H17" s="38" t="str">
        <x:v>手镯</x:v>
      </x:c>
      <x:c r="I17" s="38" t="str">
        <x:v>流放腕铠＋百指腕甲</x:v>
      </x:c>
      <x:c r="J17" s="38" t="str">
        <x:v>风暴石片</x:v>
      </x:c>
      <x:c r="K17" s="38" t="str">
        <x:v>黄金树芽＋接肢王印</x:v>
      </x:c>
      <x:c r="L17" s="38" t="str">
        <x:v>失色锻造石</x:v>
      </x:c>
      <x:c r="M17" s="38" t="str">
        <x:v>金币＋元宝</x:v>
      </x:c>
      <x:c r="N17" s="38" t="str">
        <x:v>100%确定成功；不失败吞料</x:v>
      </x:c>
      <x:c r="O17" s="38" t="str">
        <x:v>基础攻魔道主来源；成品明显优于同期普通掉落</x:v>
      </x:c>
      <x:c r="P17" s="38" t="str">
        <x:v>成品可交易</x:v>
      </x:c>
      <x:c r="Q17" s="47" t="str">
        <x:v>待经济反算</x:v>
      </x:c>
      <x:c r="R17" s="50" t="str">
        <x:v>需新装备资源编码</x:v>
      </x:c>
      <x:c r="S17" s="39" t="str">
        <x:v>具体属性、数量与成品回收价后算</x:v>
      </x:c>
    </x:row>
    <x:row r="18" ht="52" customHeight="1">
      <x:c r="A18" s="37" t="str">
        <x:v>C03-SYN-EQ-01</x:v>
      </x:c>
      <x:c r="B18" s="38" t="str">
        <x:v>C03</x:v>
      </x:c>
      <x:c r="C18" s="38" t="str">
        <x:v>宁姆格福西域</x:v>
      </x:c>
      <x:c r="D18" s="38" t="str">
        <x:v>C03-SYN-EQ</x:v>
      </x:c>
      <x:c r="E18" s="38" t="str">
        <x:f>IFERROR(VLOOKUP(D18,'01_NPC总览'!$A$5:$D$54,4,FALSE),"未登记")</x:f>
        <x:v>断路铁匠·赫恩</x:v>
      </x:c>
      <x:c r="F18" s="38" t="str">
        <x:v>装备合成</x:v>
      </x:c>
      <x:c r="G18" s="38" t="str">
        <x:v>断途战冠</x:v>
      </x:c>
      <x:c r="H18" s="38" t="str">
        <x:v>头盔</x:v>
      </x:c>
      <x:c r="I18" s="38" t="str">
        <x:v>西境军盔＋西境征服冠</x:v>
      </x:c>
      <x:c r="J18" s="38" t="str">
        <x:v>风蚀铁片</x:v>
      </x:c>
      <x:c r="K18" s="38" t="str">
        <x:v>西境战旗印＋守垒铜钥</x:v>
      </x:c>
      <x:c r="L18" s="38" t="str">
        <x:v>失色锻造石</x:v>
      </x:c>
      <x:c r="M18" s="38" t="str">
        <x:v>金币</x:v>
      </x:c>
      <x:c r="N18" s="38" t="str">
        <x:v>100%确定成功；不失败吞料</x:v>
      </x:c>
      <x:c r="O18" s="38" t="str">
        <x:v>基础攻魔道主来源；成品明显优于同期普通掉落</x:v>
      </x:c>
      <x:c r="P18" s="38" t="str">
        <x:v>成品可交易</x:v>
      </x:c>
      <x:c r="Q18" s="47" t="str">
        <x:v>待经济反算</x:v>
      </x:c>
      <x:c r="R18" s="50" t="str">
        <x:v>需新装备资源编码</x:v>
      </x:c>
      <x:c r="S18" s="39" t="str">
        <x:v>具体属性、数量与成品回收价后算</x:v>
      </x:c>
    </x:row>
    <x:row r="19" ht="52" customHeight="1">
      <x:c r="A19" s="37" t="str">
        <x:v>C03-SYN-EQ-02</x:v>
      </x:c>
      <x:c r="B19" s="38" t="str">
        <x:v>C03</x:v>
      </x:c>
      <x:c r="C19" s="38" t="str">
        <x:v>宁姆格福西域</x:v>
      </x:c>
      <x:c r="D19" s="38" t="str">
        <x:v>C03-SYN-EQ</x:v>
      </x:c>
      <x:c r="E19" s="38" t="str">
        <x:f>IFERROR(VLOOKUP(D19,'01_NPC总览'!$A$5:$D$54,4,FALSE),"未登记")</x:f>
        <x:v>断路铁匠·赫恩</x:v>
      </x:c>
      <x:c r="F19" s="38" t="str">
        <x:v>装备合成</x:v>
      </x:c>
      <x:c r="G19" s="38" t="str">
        <x:v>逐风征靴</x:v>
      </x:c>
      <x:c r="H19" s="38" t="str">
        <x:v>鞋子</x:v>
      </x:c>
      <x:c r="I19" s="38" t="str">
        <x:v>百夫战靴＋赐福战靴</x:v>
      </x:c>
      <x:c r="J19" s="38" t="str">
        <x:v>风蚀铁片</x:v>
      </x:c>
      <x:c r="K19" s="38" t="str">
        <x:v>裂风崖羽＋哨垒旗冠</x:v>
      </x:c>
      <x:c r="L19" s="38" t="str">
        <x:v>失色锻造石</x:v>
      </x:c>
      <x:c r="M19" s="38" t="str">
        <x:v>金币</x:v>
      </x:c>
      <x:c r="N19" s="38" t="str">
        <x:v>100%确定成功；不失败吞料</x:v>
      </x:c>
      <x:c r="O19" s="38" t="str">
        <x:v>基础攻魔道主来源；成品明显优于同期普通掉落</x:v>
      </x:c>
      <x:c r="P19" s="38" t="str">
        <x:v>成品可交易</x:v>
      </x:c>
      <x:c r="Q19" s="47" t="str">
        <x:v>待经济反算</x:v>
      </x:c>
      <x:c r="R19" s="50" t="str">
        <x:v>需新装备资源编码</x:v>
      </x:c>
      <x:c r="S19" s="39" t="str">
        <x:v>具体属性、数量与成品回收价后算</x:v>
      </x:c>
    </x:row>
    <x:row r="20" ht="52" customHeight="1">
      <x:c r="A20" s="37" t="str">
        <x:v>C04-SYN-EQ-01</x:v>
      </x:c>
      <x:c r="B20" s="38" t="str">
        <x:v>C04</x:v>
      </x:c>
      <x:c r="C20" s="38" t="str">
        <x:v>利耶尼亚海域</x:v>
      </x:c>
      <x:c r="D20" s="38" t="str">
        <x:v>C04-SYN-01</x:v>
      </x:c>
      <x:c r="E20" s="38" t="str">
        <x:f>IFERROR(VLOOKUP(D20,'01_NPC总览'!$A$5:$D$54,4,FALSE),"未登记")</x:f>
        <x:v>沉潮铸师·伊芙</x:v>
      </x:c>
      <x:c r="F20" s="38" t="str">
        <x:v>装备合成</x:v>
      </x:c>
      <x:c r="G20" s="38" t="str">
        <x:v>闭潮王带</x:v>
      </x:c>
      <x:c r="H20" s="38" t="str">
        <x:v>腰带</x:v>
      </x:c>
      <x:c r="I20" s="38" t="str">
        <x:v>孢母菌带＋缝舱腰箍</x:v>
      </x:c>
      <x:c r="J20" s="38" t="str">
        <x:v>湖盐结晶</x:v>
      </x:c>
      <x:c r="K20" s="38" t="str">
        <x:v>沉船缆扣＋沉湖王印</x:v>
      </x:c>
      <x:c r="L20" s="38" t="str">
        <x:v>失色锻造石</x:v>
      </x:c>
      <x:c r="M20" s="38" t="str">
        <x:v>金币＋元宝</x:v>
      </x:c>
      <x:c r="N20" s="38" t="str">
        <x:v>100%确定成功；不失败吞料</x:v>
      </x:c>
      <x:c r="O20" s="38" t="str">
        <x:v>基础攻魔道主来源；成品明显优于同期普通掉落</x:v>
      </x:c>
      <x:c r="P20" s="38" t="str">
        <x:v>成品可交易</x:v>
      </x:c>
      <x:c r="Q20" s="47" t="str">
        <x:v>待经济反算</x:v>
      </x:c>
      <x:c r="R20" s="50" t="str">
        <x:v>需新装备资源编码</x:v>
      </x:c>
      <x:c r="S20" s="39" t="str">
        <x:v>具体属性、数量与成品回收价后算</x:v>
      </x:c>
    </x:row>
    <x:row r="21" ht="52" customHeight="1">
      <x:c r="A21" s="37" t="str">
        <x:v>C04-SYN-EQ-02</x:v>
      </x:c>
      <x:c r="B21" s="38" t="str">
        <x:v>C04</x:v>
      </x:c>
      <x:c r="C21" s="38" t="str">
        <x:v>利耶尼亚海域</x:v>
      </x:c>
      <x:c r="D21" s="38" t="str">
        <x:v>C04-SYN-01</x:v>
      </x:c>
      <x:c r="E21" s="38" t="str">
        <x:f>IFERROR(VLOOKUP(D21,'01_NPC总览'!$A$5:$D$54,4,FALSE),"未登记")</x:f>
        <x:v>沉潮铸师·伊芙</x:v>
      </x:c>
      <x:c r="F21" s="38" t="str">
        <x:v>装备合成</x:v>
      </x:c>
      <x:c r="G21" s="38" t="str">
        <x:v>月渊秘戒</x:v>
      </x:c>
      <x:c r="H21" s="38" t="str">
        <x:v>戒指</x:v>
      </x:c>
      <x:c r="I21" s="38" t="str">
        <x:v>蓝焰祷戒＋湖尸钥戒</x:v>
      </x:c>
      <x:c r="J21" s="38" t="str">
        <x:v>湖盐结晶</x:v>
      </x:c>
      <x:c r="K21" s="38" t="str">
        <x:v>雾潮银鳞＋湖底封门珠</x:v>
      </x:c>
      <x:c r="L21" s="38" t="str">
        <x:v>失色锻造石</x:v>
      </x:c>
      <x:c r="M21" s="38" t="str">
        <x:v>金币＋元宝</x:v>
      </x:c>
      <x:c r="N21" s="38" t="str">
        <x:v>100%确定成功；不失败吞料</x:v>
      </x:c>
      <x:c r="O21" s="38" t="str">
        <x:v>基础攻魔道主来源；成品明显优于同期普通掉落</x:v>
      </x:c>
      <x:c r="P21" s="38" t="str">
        <x:v>成品可交易</x:v>
      </x:c>
      <x:c r="Q21" s="47" t="str">
        <x:v>待经济反算</x:v>
      </x:c>
      <x:c r="R21" s="50" t="str">
        <x:v>需新装备资源编码</x:v>
      </x:c>
      <x:c r="S21" s="39" t="str">
        <x:v>具体属性、数量与成品回收价后算</x:v>
      </x:c>
    </x:row>
    <x:row r="22" ht="52" customHeight="1">
      <x:c r="A22" s="37" t="str">
        <x:v>C04-SYN-EQ-03</x:v>
      </x:c>
      <x:c r="B22" s="38" t="str">
        <x:v>C04</x:v>
      </x:c>
      <x:c r="C22" s="38" t="str">
        <x:v>利耶尼亚海域</x:v>
      </x:c>
      <x:c r="D22" s="38" t="str">
        <x:v>C04-SYN-01</x:v>
      </x:c>
      <x:c r="E22" s="38" t="str">
        <x:f>IFERROR(VLOOKUP(D22,'01_NPC总览'!$A$5:$D$54,4,FALSE),"未登记")</x:f>
        <x:v>沉潮铸师·伊芙</x:v>
      </x:c>
      <x:c r="F22" s="38" t="str">
        <x:v>装备合成</x:v>
      </x:c>
      <x:c r="G22" s="38" t="str">
        <x:v>闭潮秘饰</x:v>
      </x:c>
      <x:c r="H22" s="38" t="str">
        <x:v>时装首饰盒</x:v>
      </x:c>
      <x:c r="I22" s="38" t="str">
        <x:v>塞芙拉无声衣＋莱弥恩的封湖巨剑</x:v>
      </x:c>
      <x:c r="J22" s="38" t="str">
        <x:v>湖盐结晶</x:v>
      </x:c>
      <x:c r="K22" s="38" t="str">
        <x:v>深湖压舱印＋沉湖王印</x:v>
      </x:c>
      <x:c r="L22" s="38" t="str">
        <x:v>失色锻造石</x:v>
      </x:c>
      <x:c r="M22" s="38" t="str">
        <x:v>元宝</x:v>
      </x:c>
      <x:c r="N22" s="38" t="str">
        <x:v>100%确定成功；不失败吞料</x:v>
      </x:c>
      <x:c r="O22" s="38" t="str">
        <x:v>基础攻魔道主来源；成品明显优于同期普通掉落</x:v>
      </x:c>
      <x:c r="P22" s="38" t="str">
        <x:v>成品可交易</x:v>
      </x:c>
      <x:c r="Q22" s="47" t="str">
        <x:v>待经济反算</x:v>
      </x:c>
      <x:c r="R22" s="50" t="str">
        <x:v>需新装备资源编码</x:v>
      </x:c>
      <x:c r="S22" s="39" t="str">
        <x:v>具体属性、数量与成品回收价后算</x:v>
      </x:c>
    </x:row>
    <x:row r="23" ht="52" customHeight="1">
      <x:c r="A23" s="37" t="str">
        <x:v>C05-SYN-EQ-01</x:v>
      </x:c>
      <x:c r="B23" s="38" t="str">
        <x:v>C05</x:v>
      </x:c>
      <x:c r="C23" s="38" t="str">
        <x:v>湖之利耶尼亚</x:v>
      </x:c>
      <x:c r="D23" s="38" t="str">
        <x:v>C05-SYN-EQ</x:v>
      </x:c>
      <x:c r="E23" s="38" t="str">
        <x:f>IFERROR(VLOOKUP(D23,'01_NPC总览'!$A$5:$D$54,4,FALSE),"未登记")</x:f>
        <x:v>辉石调律师·蕾娜</x:v>
      </x:c>
      <x:c r="F23" s="38" t="str">
        <x:v>装备合成</x:v>
      </x:c>
      <x:c r="G23" s="38" t="str">
        <x:v>卡利亚月裁长刃</x:v>
      </x:c>
      <x:c r="H23" s="38" t="str">
        <x:v>武器</x:v>
      </x:c>
      <x:c r="I23" s="38" t="str">
        <x:v>深潮王女权杖＋终誓月裁剑</x:v>
      </x:c>
      <x:c r="J23" s="38" t="str">
        <x:v>辉石碎晶</x:v>
      </x:c>
      <x:c r="K23" s="38" t="str">
        <x:v>月蚀镜片＋满月王室印</x:v>
      </x:c>
      <x:c r="L23" s="38" t="str">
        <x:v>失色锻造石</x:v>
      </x:c>
      <x:c r="M23" s="38" t="str">
        <x:v>元宝</x:v>
      </x:c>
      <x:c r="N23" s="38" t="str">
        <x:v>100%确定成功；不失败吞料</x:v>
      </x:c>
      <x:c r="O23" s="38" t="str">
        <x:v>基础攻魔道主来源；成品明显优于同期普通掉落</x:v>
      </x:c>
      <x:c r="P23" s="38" t="str">
        <x:v>成品可交易</x:v>
      </x:c>
      <x:c r="Q23" s="47" t="str">
        <x:v>待经济反算</x:v>
      </x:c>
      <x:c r="R23" s="50" t="str">
        <x:v>需新装备资源编码</x:v>
      </x:c>
      <x:c r="S23" s="39" t="str">
        <x:v>具体属性、数量与成品回收价后算</x:v>
      </x:c>
    </x:row>
    <x:row r="24" ht="52" customHeight="1">
      <x:c r="A24" s="37" t="str">
        <x:v>C05-SYN-EQ-02</x:v>
      </x:c>
      <x:c r="B24" s="38" t="str">
        <x:v>C05</x:v>
      </x:c>
      <x:c r="C24" s="38" t="str">
        <x:v>湖之利耶尼亚</x:v>
      </x:c>
      <x:c r="D24" s="38" t="str">
        <x:v>C05-SYN-EQ</x:v>
      </x:c>
      <x:c r="E24" s="38" t="str">
        <x:f>IFERROR(VLOOKUP(D24,'01_NPC总览'!$A$5:$D$54,4,FALSE),"未登记")</x:f>
        <x:v>辉石调律师·蕾娜</x:v>
      </x:c>
      <x:c r="F24" s="38" t="str">
        <x:v>装备合成</x:v>
      </x:c>
      <x:c r="G24" s="38" t="str">
        <x:v>辉月镜戒</x:v>
      </x:c>
      <x:c r="H24" s="38" t="str">
        <x:v>时装戒指</x:v>
      </x:c>
      <x:c r="I24" s="38" t="str">
        <x:v>黄金树戒＋青曜噬光戒</x:v>
      </x:c>
      <x:c r="J24" s="38" t="str">
        <x:v>辉石碎晶</x:v>
      </x:c>
      <x:c r="K24" s="38" t="str">
        <x:v>雾月星砂＋禁域星钥</x:v>
      </x:c>
      <x:c r="L24" s="38" t="str">
        <x:v>失色锻造石</x:v>
      </x:c>
      <x:c r="M24" s="38" t="str">
        <x:v>元宝</x:v>
      </x:c>
      <x:c r="N24" s="38" t="str">
        <x:v>100%确定成功；不失败吞料</x:v>
      </x:c>
      <x:c r="O24" s="38" t="str">
        <x:v>基础攻魔道主来源；成品明显优于同期普通掉落</x:v>
      </x:c>
      <x:c r="P24" s="38" t="str">
        <x:v>成品可交易</x:v>
      </x:c>
      <x:c r="Q24" s="47" t="str">
        <x:v>待经济反算</x:v>
      </x:c>
      <x:c r="R24" s="50" t="str">
        <x:v>需新装备资源编码</x:v>
      </x:c>
      <x:c r="S24" s="39" t="str">
        <x:v>具体属性、数量与成品回收价后算</x:v>
      </x:c>
    </x:row>
    <x:row r="25" ht="52" customHeight="1">
      <x:c r="A25" s="37" t="str">
        <x:v>C06-SYN-EQ-01</x:v>
      </x:c>
      <x:c r="B25" s="38" t="str">
        <x:v>C06</x:v>
      </x:c>
      <x:c r="C25" s="38" t="str">
        <x:v>盖利德</x:v>
      </x:c>
      <x:c r="D25" s="38" t="str">
        <x:v>C06-SYN-01</x:v>
      </x:c>
      <x:c r="E25" s="38" t="str">
        <x:f>IFERROR(VLOOKUP(D25,'01_NPC总览'!$A$5:$D$54,4,FALSE),"未登记")</x:f>
        <x:v>红狮残匠·伯伦</x:v>
      </x:c>
      <x:c r="F25" s="38" t="str">
        <x:v>装备合成</x:v>
      </x:c>
      <x:c r="G25" s="38" t="str">
        <x:v>碎星红狮战甲</x:v>
      </x:c>
      <x:c r="H25" s="38" t="str">
        <x:v>衣服</x:v>
      </x:c>
      <x:c r="I25" s="38" t="str">
        <x:v>雷奥尼斯狮铠＋瑟芮血衣</x:v>
      </x:c>
      <x:c r="J25" s="38" t="str">
        <x:v>猩红矿渣</x:v>
      </x:c>
      <x:c r="K25" s="38" t="str">
        <x:v>红狮断箭＋红狮战印</x:v>
      </x:c>
      <x:c r="L25" s="38" t="str">
        <x:v>失色锻造石</x:v>
      </x:c>
      <x:c r="M25" s="38" t="str">
        <x:v>金币</x:v>
      </x:c>
      <x:c r="N25" s="38" t="str">
        <x:v>100%确定成功；不失败吞料</x:v>
      </x:c>
      <x:c r="O25" s="38" t="str">
        <x:v>基础攻魔道主来源；成品明显优于同期普通掉落</x:v>
      </x:c>
      <x:c r="P25" s="38" t="str">
        <x:v>成品可交易</x:v>
      </x:c>
      <x:c r="Q25" s="47" t="str">
        <x:v>待经济反算</x:v>
      </x:c>
      <x:c r="R25" s="50" t="str">
        <x:v>需新装备资源编码</x:v>
      </x:c>
      <x:c r="S25" s="39" t="str">
        <x:v>具体属性、数量与成品回收价后算</x:v>
      </x:c>
    </x:row>
    <x:row r="26" ht="52" customHeight="1">
      <x:c r="A26" s="37" t="str">
        <x:v>C06-SYN-EQ-02</x:v>
      </x:c>
      <x:c r="B26" s="38" t="str">
        <x:v>C06</x:v>
      </x:c>
      <x:c r="C26" s="38" t="str">
        <x:v>盖利德</x:v>
      </x:c>
      <x:c r="D26" s="38" t="str">
        <x:v>C06-SYN-01</x:v>
      </x:c>
      <x:c r="E26" s="38" t="str">
        <x:f>IFERROR(VLOOKUP(D26,'01_NPC总览'!$A$5:$D$54,4,FALSE),"未登记")</x:f>
        <x:v>红狮残匠·伯伦</x:v>
      </x:c>
      <x:c r="F26" s="38" t="str">
        <x:v>装备合成</x:v>
      </x:c>
      <x:c r="G26" s="38" t="str">
        <x:v>龙火刑腕</x:v>
      </x:c>
      <x:c r="H26" s="38" t="str">
        <x:v>手镯</x:v>
      </x:c>
      <x:c r="I26" s="38" t="str">
        <x:v>烬鳞护腕＋血菌腕轮</x:v>
      </x:c>
      <x:c r="J26" s="38" t="str">
        <x:v>猩红矿渣</x:v>
      </x:c>
      <x:c r="K26" s="38" t="str">
        <x:v>净火腺囊＋龙窟熔牙</x:v>
      </x:c>
      <x:c r="L26" s="38" t="str">
        <x:v>失色锻造石</x:v>
      </x:c>
      <x:c r="M26" s="38" t="str">
        <x:v>金币</x:v>
      </x:c>
      <x:c r="N26" s="38" t="str">
        <x:v>100%确定成功；不失败吞料</x:v>
      </x:c>
      <x:c r="O26" s="38" t="str">
        <x:v>基础攻魔道主来源；成品明显优于同期普通掉落</x:v>
      </x:c>
      <x:c r="P26" s="38" t="str">
        <x:v>成品可交易</x:v>
      </x:c>
      <x:c r="Q26" s="47" t="str">
        <x:v>待经济反算</x:v>
      </x:c>
      <x:c r="R26" s="50" t="str">
        <x:v>需新装备资源编码</x:v>
      </x:c>
      <x:c r="S26" s="39" t="str">
        <x:v>具体属性、数量与成品回收价后算</x:v>
      </x:c>
    </x:row>
    <x:row r="27" ht="52" customHeight="1">
      <x:c r="A27" s="37" t="str">
        <x:v>C06-SYN-EQ-03</x:v>
      </x:c>
      <x:c r="B27" s="38" t="str">
        <x:v>C06</x:v>
      </x:c>
      <x:c r="C27" s="38" t="str">
        <x:v>盖利德</x:v>
      </x:c>
      <x:c r="D27" s="38" t="str">
        <x:v>C06-SYN-01</x:v>
      </x:c>
      <x:c r="E27" s="38" t="str">
        <x:f>IFERROR(VLOOKUP(D27,'01_NPC总览'!$A$5:$D$54,4,FALSE),"未登记")</x:f>
        <x:v>红狮残匠·伯伦</x:v>
      </x:c>
      <x:c r="F27" s="38" t="str">
        <x:v>装备合成</x:v>
      </x:c>
      <x:c r="G27" s="38" t="str">
        <x:v>红狮余烬王衣</x:v>
      </x:c>
      <x:c r="H27" s="38" t="str">
        <x:v>时装衣服</x:v>
      </x:c>
      <x:c r="I27" s="38" t="str">
        <x:v>塞维拉狱衣＋拉塔恩碎星巨刃</x:v>
      </x:c>
      <x:c r="J27" s="38" t="str">
        <x:v>猩红矿渣</x:v>
      </x:c>
      <x:c r="K27" s="38" t="str">
        <x:v>碎星仪仗钉＋红狮战印</x:v>
      </x:c>
      <x:c r="L27" s="38" t="str">
        <x:v>失色锻造石</x:v>
      </x:c>
      <x:c r="M27" s="38" t="str">
        <x:v>金币＋元宝</x:v>
      </x:c>
      <x:c r="N27" s="38" t="str">
        <x:v>100%确定成功；不失败吞料</x:v>
      </x:c>
      <x:c r="O27" s="38" t="str">
        <x:v>基础攻魔道主来源；成品明显优于同期普通掉落</x:v>
      </x:c>
      <x:c r="P27" s="38" t="str">
        <x:v>成品可交易</x:v>
      </x:c>
      <x:c r="Q27" s="47" t="str">
        <x:v>待经济反算</x:v>
      </x:c>
      <x:c r="R27" s="50" t="str">
        <x:v>需新装备资源编码</x:v>
      </x:c>
      <x:c r="S27" s="39" t="str">
        <x:v>具体属性、数量与成品回收价后算</x:v>
      </x:c>
    </x:row>
    <x:row r="28" ht="52" customHeight="1">
      <x:c r="A28" s="37" t="str">
        <x:v>C07-SYN-EQ-01</x:v>
      </x:c>
      <x:c r="B28" s="38" t="str">
        <x:v>C07</x:v>
      </x:c>
      <x:c r="C28" s="38" t="str">
        <x:v>化圣雪原</x:v>
      </x:c>
      <x:c r="D28" s="38" t="str">
        <x:v>C07-SYN-EQ</x:v>
      </x:c>
      <x:c r="E28" s="38" t="str">
        <x:f>IFERROR(VLOOKUP(D28,'01_NPC总览'!$A$5:$D$54,4,FALSE),"未登记")</x:f>
        <x:v>白金裁缝·弥雅</x:v>
      </x:c>
      <x:c r="F28" s="38" t="str">
        <x:v>装备合成</x:v>
      </x:c>
      <x:c r="G28" s="38" t="str">
        <x:v>永霜白金刃</x:v>
      </x:c>
      <x:c r="H28" s="38" t="str">
        <x:v>时装武器</x:v>
      </x:c>
      <x:c r="I28" s="38" t="str">
        <x:v>诺薇霜镰＋赫洛冻拳</x:v>
      </x:c>
      <x:c r="J28" s="38" t="str">
        <x:v>冻晶尘</x:v>
      </x:c>
      <x:c r="K28" s="38" t="str">
        <x:v>白金路标片＋圣雪誓印</x:v>
      </x:c>
      <x:c r="L28" s="38" t="str">
        <x:v>失色锻造石</x:v>
      </x:c>
      <x:c r="M28" s="38" t="str">
        <x:v>金币＋元宝</x:v>
      </x:c>
      <x:c r="N28" s="38" t="str">
        <x:v>100%确定成功；不失败吞料</x:v>
      </x:c>
      <x:c r="O28" s="38" t="str">
        <x:v>基础攻魔道主来源；成品明显优于同期普通掉落</x:v>
      </x:c>
      <x:c r="P28" s="38" t="str">
        <x:v>成品可交易</x:v>
      </x:c>
      <x:c r="Q28" s="47" t="str">
        <x:v>待经济反算</x:v>
      </x:c>
      <x:c r="R28" s="50" t="str">
        <x:v>需新装备资源编码</x:v>
      </x:c>
      <x:c r="S28" s="39" t="str">
        <x:v>具体属性、数量与成品回收价后算</x:v>
      </x:c>
    </x:row>
    <x:row r="29" ht="52" customHeight="1">
      <x:c r="A29" s="37" t="str">
        <x:v>C07-SYN-EQ-02</x:v>
      </x:c>
      <x:c r="B29" s="38" t="str">
        <x:v>C07</x:v>
      </x:c>
      <x:c r="C29" s="38" t="str">
        <x:v>化圣雪原</x:v>
      </x:c>
      <x:c r="D29" s="38" t="str">
        <x:v>C07-SYN-EQ</x:v>
      </x:c>
      <x:c r="E29" s="38" t="str">
        <x:f>IFERROR(VLOOKUP(D29,'01_NPC总览'!$A$5:$D$54,4,FALSE),"未登记")</x:f>
        <x:v>白金裁缝·弥雅</x:v>
      </x:c>
      <x:c r="F29" s="38" t="str">
        <x:v>装备合成</x:v>
      </x:c>
      <x:c r="G29" s="38" t="str">
        <x:v>圣雪无火礼衣</x:v>
      </x:c>
      <x:c r="H29" s="38" t="str">
        <x:v>时装衣服</x:v>
      </x:c>
      <x:c r="I29" s="38" t="str">
        <x:v>乌尔寒铠＋埃琉斯永霜铠</x:v>
      </x:c>
      <x:c r="J29" s="38" t="str">
        <x:v>冻晶尘</x:v>
      </x:c>
      <x:c r="K29" s="38" t="str">
        <x:v>秘树霜芽＋圣雪门楔</x:v>
      </x:c>
      <x:c r="L29" s="38" t="str">
        <x:v>失色锻造石</x:v>
      </x:c>
      <x:c r="M29" s="38" t="str">
        <x:v>金币＋元宝</x:v>
      </x:c>
      <x:c r="N29" s="38" t="str">
        <x:v>100%确定成功；不失败吞料</x:v>
      </x:c>
      <x:c r="O29" s="38" t="str">
        <x:v>基础攻魔道主来源；成品明显优于同期普通掉落</x:v>
      </x:c>
      <x:c r="P29" s="38" t="str">
        <x:v>成品可交易</x:v>
      </x:c>
      <x:c r="Q29" s="47" t="str">
        <x:v>待经济反算</x:v>
      </x:c>
      <x:c r="R29" s="50" t="str">
        <x:v>需新装备资源编码</x:v>
      </x:c>
      <x:c r="S29" s="39" t="str">
        <x:v>具体属性、数量与成品回收价后算</x:v>
      </x:c>
    </x:row>
    <x:row r="30" ht="52" customHeight="1">
      <x:c r="A30" s="37" t="str">
        <x:v>C08-SYN-EQ-01</x:v>
      </x:c>
      <x:c r="B30" s="38" t="str">
        <x:v>C08</x:v>
      </x:c>
      <x:c r="C30" s="38" t="str">
        <x:v>巨人山顶</x:v>
      </x:c>
      <x:c r="D30" s="38" t="str">
        <x:v>C08-SYN-01</x:v>
      </x:c>
      <x:c r="E30" s="38" t="str">
        <x:f>IFERROR(VLOOKUP(D30,'01_NPC总览'!$A$5:$D$54,4,FALSE),"未登记")</x:f>
        <x:v>炉火遗民·冈特</x:v>
      </x:c>
      <x:c r="F30" s="38" t="str">
        <x:v>装备合成</x:v>
      </x:c>
      <x:c r="G30" s="38" t="str">
        <x:v>巨人炉心颈环</x:v>
      </x:c>
      <x:c r="H30" s="38" t="str">
        <x:v>项链</x:v>
      </x:c>
      <x:c r="I30" s="38" t="str">
        <x:v>雪鸦冰喙坠＋寒翼听风坠</x:v>
      </x:c>
      <x:c r="J30" s="38" t="str">
        <x:v>霜脊铁</x:v>
      </x:c>
      <x:c r="K30" s="38" t="str">
        <x:v>登山铁楔＋巨人火印</x:v>
      </x:c>
      <x:c r="L30" s="38" t="str">
        <x:v>失色锻造石</x:v>
      </x:c>
      <x:c r="M30" s="38" t="str">
        <x:v>金币</x:v>
      </x:c>
      <x:c r="N30" s="38" t="str">
        <x:v>100%确定成功；不失败吞料</x:v>
      </x:c>
      <x:c r="O30" s="38" t="str">
        <x:v>基础攻魔道主来源；成品明显优于同期普通掉落</x:v>
      </x:c>
      <x:c r="P30" s="38" t="str">
        <x:v>成品可交易</x:v>
      </x:c>
      <x:c r="Q30" s="47" t="str">
        <x:v>待经济反算</x:v>
      </x:c>
      <x:c r="R30" s="50" t="str">
        <x:v>需新装备资源编码</x:v>
      </x:c>
      <x:c r="S30" s="39" t="str">
        <x:v>具体属性、数量与成品回收价后算</x:v>
      </x:c>
    </x:row>
    <x:row r="31" ht="52" customHeight="1">
      <x:c r="A31" s="37" t="str">
        <x:v>C08-SYN-EQ-02</x:v>
      </x:c>
      <x:c r="B31" s="38" t="str">
        <x:v>C08</x:v>
      </x:c>
      <x:c r="C31" s="38" t="str">
        <x:v>巨人山顶</x:v>
      </x:c>
      <x:c r="D31" s="38" t="str">
        <x:v>C08-SYN-01</x:v>
      </x:c>
      <x:c r="E31" s="38" t="str">
        <x:f>IFERROR(VLOOKUP(D31,'01_NPC总览'!$A$5:$D$54,4,FALSE),"未登记")</x:f>
        <x:v>炉火遗民·冈特</x:v>
      </x:c>
      <x:c r="F31" s="38" t="str">
        <x:v>装备合成</x:v>
      </x:c>
      <x:c r="G31" s="38" t="str">
        <x:v>吞日霜壁</x:v>
      </x:c>
      <x:c r="H31" s="38" t="str">
        <x:v>盾牌</x:v>
      </x:c>
      <x:c r="I31" s="38" t="str">
        <x:v>负碑王座盾＋外廊纹冰盾</x:v>
      </x:c>
      <x:c r="J31" s="38" t="str">
        <x:v>霜脊铁</x:v>
      </x:c>
      <x:c r="K31" s="38" t="str">
        <x:v>裂峰号角片＋冰宫守门铃</x:v>
      </x:c>
      <x:c r="L31" s="38" t="str">
        <x:v>失色锻造石</x:v>
      </x:c>
      <x:c r="M31" s="38" t="str">
        <x:v>金币</x:v>
      </x:c>
      <x:c r="N31" s="38" t="str">
        <x:v>100%确定成功；不失败吞料</x:v>
      </x:c>
      <x:c r="O31" s="38" t="str">
        <x:v>基础攻魔道主来源；成品明显优于同期普通掉落</x:v>
      </x:c>
      <x:c r="P31" s="38" t="str">
        <x:v>成品可交易</x:v>
      </x:c>
      <x:c r="Q31" s="47" t="str">
        <x:v>待经济反算</x:v>
      </x:c>
      <x:c r="R31" s="50" t="str">
        <x:v>需新装备资源编码</x:v>
      </x:c>
      <x:c r="S31" s="39" t="str">
        <x:v>具体属性、数量与成品回收价后算</x:v>
      </x:c>
    </x:row>
    <x:row r="32" ht="52" customHeight="1">
      <x:c r="A32" s="37" t="str">
        <x:v>C08-SYN-EQ-03</x:v>
      </x:c>
      <x:c r="B32" s="38" t="str">
        <x:v>C08</x:v>
      </x:c>
      <x:c r="C32" s="38" t="str">
        <x:v>巨人山顶</x:v>
      </x:c>
      <x:c r="D32" s="38" t="str">
        <x:v>C08-SYN-01</x:v>
      </x:c>
      <x:c r="E32" s="38" t="str">
        <x:f>IFERROR(VLOOKUP(D32,'01_NPC总览'!$A$5:$D$54,4,FALSE),"未登记")</x:f>
        <x:v>炉火遗民·冈特</x:v>
      </x:c>
      <x:c r="F32" s="38" t="str">
        <x:v>装备合成</x:v>
      </x:c>
      <x:c r="G32" s="38" t="str">
        <x:v>穹霜炉心秘饰</x:v>
      </x:c>
      <x:c r="H32" s="38" t="str">
        <x:v>时装首饰盒</x:v>
      </x:c>
      <x:c r="I32" s="38" t="str">
        <x:v>赫芮迦穹霜王衣＋乌尔迈吞日巨剑</x:v>
      </x:c>
      <x:c r="J32" s="38" t="str">
        <x:v>霜脊铁</x:v>
      </x:c>
      <x:c r="K32" s="38" t="str">
        <x:v>王庭炉冠＋巨人火印</x:v>
      </x:c>
      <x:c r="L32" s="38" t="str">
        <x:v>失色锻造石</x:v>
      </x:c>
      <x:c r="M32" s="38" t="str">
        <x:v>金币＋元宝</x:v>
      </x:c>
      <x:c r="N32" s="38" t="str">
        <x:v>100%确定成功；不失败吞料</x:v>
      </x:c>
      <x:c r="O32" s="38" t="str">
        <x:v>基础攻魔道主来源；成品明显优于同期普通掉落</x:v>
      </x:c>
      <x:c r="P32" s="38" t="str">
        <x:v>成品可交易</x:v>
      </x:c>
      <x:c r="Q32" s="47" t="str">
        <x:v>待经济反算</x:v>
      </x:c>
      <x:c r="R32" s="50" t="str">
        <x:v>需新装备资源编码</x:v>
      </x:c>
      <x:c r="S32" s="39" t="str">
        <x:v>具体属性、数量与成品回收价后算</x:v>
      </x:c>
    </x:row>
    <x:row r="33" ht="52" customHeight="1">
      <x:c r="A33" s="37" t="str">
        <x:v>C09-SYN-EQ-01</x:v>
      </x:c>
      <x:c r="B33" s="38" t="str">
        <x:v>C09</x:v>
      </x:c>
      <x:c r="C33" s="38" t="str">
        <x:v>亚坛高原</x:v>
      </x:c>
      <x:c r="D33" s="38" t="str">
        <x:v>C09-SYN-EQ</x:v>
      </x:c>
      <x:c r="E33" s="38" t="str">
        <x:f>IFERROR(VLOOKUP(D33,'01_NPC总览'!$A$5:$D$54,4,FALSE),"未登记")</x:f>
        <x:v>黄金铸师·亚德</x:v>
      </x:c>
      <x:c r="F33" s="38" t="str">
        <x:v>装备合成</x:v>
      </x:c>
      <x:c r="G33" s="38" t="str">
        <x:v>黄金律裁阳刃</x:v>
      </x:c>
      <x:c r="H33" s="38" t="str">
        <x:v>武器</x:v>
      </x:c>
      <x:c r="I33" s="38" t="str">
        <x:v>罗梵迪壁垒长戟＋阿尔维萨蚀日王刃</x:v>
      </x:c>
      <x:c r="J33" s="38" t="str">
        <x:v>黄金叶脉</x:v>
      </x:c>
      <x:c r="K33" s="38" t="str">
        <x:v>裁文蜡封＋黄金律印</x:v>
      </x:c>
      <x:c r="L33" s="38" t="str">
        <x:v>失色锻造石</x:v>
      </x:c>
      <x:c r="M33" s="38" t="str">
        <x:v>元宝</x:v>
      </x:c>
      <x:c r="N33" s="38" t="str">
        <x:v>100%确定成功；不失败吞料</x:v>
      </x:c>
      <x:c r="O33" s="38" t="str">
        <x:v>基础攻魔道主来源；成品明显优于同期普通掉落</x:v>
      </x:c>
      <x:c r="P33" s="38" t="str">
        <x:v>成品可交易</x:v>
      </x:c>
      <x:c r="Q33" s="47" t="str">
        <x:v>待经济反算</x:v>
      </x:c>
      <x:c r="R33" s="50" t="str">
        <x:v>需新装备资源编码</x:v>
      </x:c>
      <x:c r="S33" s="39" t="str">
        <x:v>具体属性、数量与成品回收价后算</x:v>
      </x:c>
    </x:row>
    <x:row r="34" ht="52" customHeight="1">
      <x:c r="A34" s="37" t="str">
        <x:v>C09-SYN-EQ-02</x:v>
      </x:c>
      <x:c r="B34" s="38" t="str">
        <x:v>C09</x:v>
      </x:c>
      <x:c r="C34" s="38" t="str">
        <x:v>亚坛高原</x:v>
      </x:c>
      <x:c r="D34" s="38" t="str">
        <x:v>C09-SYN-EQ</x:v>
      </x:c>
      <x:c r="E34" s="38" t="str">
        <x:f>IFERROR(VLOOKUP(D34,'01_NPC总览'!$A$5:$D$54,4,FALSE),"未登记")</x:f>
        <x:v>黄金铸师·亚德</x:v>
      </x:c>
      <x:c r="F34" s="38" t="str">
        <x:v>装备合成</x:v>
      </x:c>
      <x:c r="G34" s="38" t="str">
        <x:v>鎏日王仪战衣</x:v>
      </x:c>
      <x:c r="H34" s="38" t="str">
        <x:v>时装衣服</x:v>
      </x:c>
      <x:c r="I34" s="38" t="str">
        <x:v>艾德莉雅鎏辉圣衣＋赫桑达执宪战衣</x:v>
      </x:c>
      <x:c r="J34" s="38" t="str">
        <x:v>黄金叶脉</x:v>
      </x:c>
      <x:c r="K34" s="38" t="str">
        <x:v>高原王诏金版＋黄金律印</x:v>
      </x:c>
      <x:c r="L34" s="38" t="str">
        <x:v>失色锻造石</x:v>
      </x:c>
      <x:c r="M34" s="38" t="str">
        <x:v>元宝</x:v>
      </x:c>
      <x:c r="N34" s="38" t="str">
        <x:v>100%确定成功；不失败吞料</x:v>
      </x:c>
      <x:c r="O34" s="38" t="str">
        <x:v>基础攻魔道主来源；成品明显优于同期普通掉落</x:v>
      </x:c>
      <x:c r="P34" s="38" t="str">
        <x:v>成品可交易</x:v>
      </x:c>
      <x:c r="Q34" s="47" t="str">
        <x:v>待经济反算</x:v>
      </x:c>
      <x:c r="R34" s="50" t="str">
        <x:v>需新装备资源编码</x:v>
      </x:c>
      <x:c r="S34" s="39" t="str">
        <x:v>具体属性、数量与成品回收价后算</x:v>
      </x:c>
    </x:row>
    <x:row r="35" ht="52" customHeight="1">
      <x:c r="A35" s="37" t="str">
        <x:v>C10-SYN-EQ-01</x:v>
      </x:c>
      <x:c r="B35" s="38" t="str">
        <x:v>C10</x:v>
      </x:c>
      <x:c r="C35" s="38" t="str">
        <x:v>王城罗德尔</x:v>
      </x:c>
      <x:c r="D35" s="38" t="str">
        <x:v>C10-SYN-WEAPON</x:v>
      </x:c>
      <x:c r="E35" s="38" t="str">
        <x:f>IFERROR(VLOOKUP(D35,'01_NPC总览'!$A$5:$D$54,4,FALSE),"未登记")</x:f>
        <x:v>王宫兵械长·奥德</x:v>
      </x:c>
      <x:c r="F35" s="38" t="str">
        <x:v>装备合成</x:v>
      </x:c>
      <x:c r="G35" s="38" t="str">
        <x:v>王座终裁圣刃</x:v>
      </x:c>
      <x:c r="H35" s="38" t="str">
        <x:v>武器</x:v>
      </x:c>
      <x:c r="I35" s="38" t="str">
        <x:v>千锁断流铡＋万冠终律圣刃</x:v>
      </x:c>
      <x:c r="J35" s="38" t="str">
        <x:v>王城金屑</x:v>
      </x:c>
      <x:c r="K35" s="38" t="str">
        <x:v>王宫断冠片＋艾尔登王印</x:v>
      </x:c>
      <x:c r="L35" s="38" t="str">
        <x:v>失色锻造石</x:v>
      </x:c>
      <x:c r="M35" s="38" t="str">
        <x:v>金币＋元宝</x:v>
      </x:c>
      <x:c r="N35" s="38" t="str">
        <x:v>100%确定成功；不失败吞料</x:v>
      </x:c>
      <x:c r="O35" s="38" t="str">
        <x:v>基础攻魔道主来源；成品明显优于同期普通掉落</x:v>
      </x:c>
      <x:c r="P35" s="38" t="str">
        <x:v>成品可交易</x:v>
      </x:c>
      <x:c r="Q35" s="47" t="str">
        <x:v>待经济反算</x:v>
      </x:c>
      <x:c r="R35" s="50" t="str">
        <x:v>需新装备资源编码</x:v>
      </x:c>
      <x:c r="S35" s="39" t="str">
        <x:v>具体属性、数量与成品回收价后算</x:v>
      </x:c>
    </x:row>
    <x:row r="36" ht="52" customHeight="1">
      <x:c r="A36" s="37" t="str">
        <x:v>C10-SYN-EQ-02</x:v>
      </x:c>
      <x:c r="B36" s="38" t="str">
        <x:v>C10</x:v>
      </x:c>
      <x:c r="C36" s="38" t="str">
        <x:v>王城罗德尔</x:v>
      </x:c>
      <x:c r="D36" s="38" t="str">
        <x:v>C10-SYN-WEAPON</x:v>
      </x:c>
      <x:c r="E36" s="38" t="str">
        <x:f>IFERROR(VLOOKUP(D36,'01_NPC总览'!$A$5:$D$54,4,FALSE),"未登记")</x:f>
        <x:v>王宫兵械长·奥德</x:v>
      </x:c>
      <x:c r="F36" s="38" t="str">
        <x:v>装备合成</x:v>
      </x:c>
      <x:c r="G36" s="38" t="str">
        <x:v>艾尔登无冕王衣</x:v>
      </x:c>
      <x:c r="H36" s="38" t="str">
        <x:v>时装衣服</x:v>
      </x:c>
      <x:c r="I36" s="38" t="str">
        <x:v>永辉空王礼服＋吞碑枯寝大氅</x:v>
      </x:c>
      <x:c r="J36" s="38" t="str">
        <x:v>王城金屑</x:v>
      </x:c>
      <x:c r="K36" s="38" t="str">
        <x:v>无名墓钉＋艾尔登王印</x:v>
      </x:c>
      <x:c r="L36" s="38" t="str">
        <x:v>失色锻造石</x:v>
      </x:c>
      <x:c r="M36" s="38" t="str">
        <x:v>金币＋元宝</x:v>
      </x:c>
      <x:c r="N36" s="38" t="str">
        <x:v>100%确定成功；不失败吞料</x:v>
      </x:c>
      <x:c r="O36" s="38" t="str">
        <x:v>基础攻魔道主来源；成品明显优于同期普通掉落</x:v>
      </x:c>
      <x:c r="P36" s="38" t="str">
        <x:v>成品可交易</x:v>
      </x:c>
      <x:c r="Q36" s="47" t="str">
        <x:v>待经济反算</x:v>
      </x:c>
      <x:c r="R36" s="50" t="str">
        <x:v>需新装备资源编码</x:v>
      </x:c>
      <x:c r="S36" s="39" t="str">
        <x:v>具体属性、数量与成品回收价后算</x:v>
      </x:c>
    </x:row>
    <x:row r="37" ht="52" customHeight="1">
      <x:c r="A37" s="37" t="str">
        <x:v>C10-SYN-EQ-03</x:v>
      </x:c>
      <x:c r="B37" s="38" t="str">
        <x:v>C10</x:v>
      </x:c>
      <x:c r="C37" s="38" t="str">
        <x:v>王城罗德尔</x:v>
      </x:c>
      <x:c r="D37" s="38" t="str">
        <x:v>C10-SYN-BOX</x:v>
      </x:c>
      <x:c r="E37" s="38" t="str">
        <x:f>IFERROR(VLOOKUP(D37,'01_NPC总览'!$A$5:$D$54,4,FALSE),"未登记")</x:f>
        <x:v>旧王秘匣师·萨芙</x:v>
      </x:c>
      <x:c r="F37" s="38" t="str">
        <x:v>装备合成</x:v>
      </x:c>
      <x:c r="G37" s="38" t="str">
        <x:v>无上王徽秘饰</x:v>
      </x:c>
      <x:c r="H37" s="38" t="str">
        <x:v>时装首饰盒</x:v>
      </x:c>
      <x:c r="I37" s="38" t="str">
        <x:v>无声执冠勋章＋碎日禁卫斗笠</x:v>
      </x:c>
      <x:c r="J37" s="38" t="str">
        <x:v>王城金屑</x:v>
      </x:c>
      <x:c r="K37" s="38" t="str">
        <x:v>旧渠阀芯＋失温熔炉楔＋艾尔登王印</x:v>
      </x:c>
      <x:c r="L37" s="38" t="str">
        <x:v>失色锻造石</x:v>
      </x:c>
      <x:c r="M37" s="38" t="str">
        <x:v>金币＋元宝</x:v>
      </x:c>
      <x:c r="N37" s="38" t="str">
        <x:v>100%确定成功；不失败吞料</x:v>
      </x:c>
      <x:c r="O37" s="38" t="str">
        <x:v>基础攻魔道主来源；成品明显优于同期普通掉落</x:v>
      </x:c>
      <x:c r="P37" s="38" t="str">
        <x:v>成品可交易</x:v>
      </x:c>
      <x:c r="Q37" s="47" t="str">
        <x:v>待经济反算</x:v>
      </x:c>
      <x:c r="R37" s="50" t="str">
        <x:v>需新装备资源编码</x:v>
      </x:c>
      <x:c r="S37" s="39" t="str">
        <x:v>具体属性、数量与成品回收价后算</x:v>
      </x:c>
    </x:row>
    <x:row r="38" ht="52" customHeight="1">
      <x:c r="A38" s="37" t="str">
        <x:v>C01-SYN-ZD-01</x:v>
      </x:c>
      <x:c r="B38" s="38" t="str">
        <x:v>C01</x:v>
      </x:c>
      <x:c r="C38" s="38" t="str">
        <x:v>漂流群岛</x:v>
      </x:c>
      <x:c r="D38" s="38" t="str">
        <x:v>C01-SYN-01</x:v>
      </x:c>
      <x:c r="E38" s="38" t="str">
        <x:f>IFERROR(VLOOKUP(D38,'01_NPC总览'!$A$5:$D$54,4,FALSE),"未登记")</x:f>
        <x:v>拾荒匠·阿砾</x:v>
      </x:c>
      <x:c r="F38" s="38" t="str">
        <x:v>生肖合成</x:v>
      </x:c>
      <x:c r="G38" s="38" t="str">
        <x:v>子鼠·潮舱寻金</x:v>
      </x:c>
      <x:c r="H38" s="38" t="str">
        <x:v>生肖</x:v>
      </x:c>
      <x:c r="I38" s="38" t="str">
        <x:v>腐树子鼠＋唤潮旧勋</x:v>
      </x:c>
      <x:c r="J38" s="38" t="str">
        <x:v>海蚀铁片</x:v>
      </x:c>
      <x:c r="K38" s="38" t="str">
        <x:v>漂流见证·潮</x:v>
      </x:c>
      <x:c r="L38" s="38" t="str">
        <x:v>—</x:v>
      </x:c>
      <x:c r="M38" s="38" t="str">
        <x:v>金币</x:v>
      </x:c>
      <x:c r="N38" s="38" t="str">
        <x:v>100%确定成功；不失败吞料</x:v>
      </x:c>
      <x:c r="O38" s="38" t="str">
        <x:v>基础攻魔道；强度低于同期重点装备</x:v>
      </x:c>
      <x:c r="P38" s="38" t="str">
        <x:v>成品可交易</x:v>
      </x:c>
      <x:c r="Q38" s="47" t="str">
        <x:v>待经济反算</x:v>
      </x:c>
      <x:c r="R38" s="50" t="str">
        <x:v>需新生肖资源编码</x:v>
      </x:c>
      <x:c r="S38" s="39" t="str">
        <x:v>到达第二大陆取得基础生肖后回头完成</x:v>
      </x:c>
    </x:row>
    <x:row r="39" ht="52" customHeight="1">
      <x:c r="A39" s="37" t="str">
        <x:v>C02-SYN-ZD-01</x:v>
      </x:c>
      <x:c r="B39" s="38" t="str">
        <x:v>C02</x:v>
      </x:c>
      <x:c r="C39" s="38" t="str">
        <x:v>宁姆格福</x:v>
      </x:c>
      <x:c r="D39" s="38" t="str">
        <x:v>C02-SYN-01</x:v>
      </x:c>
      <x:c r="E39" s="38" t="str">
        <x:f>IFERROR(VLOOKUP(D39,'01_NPC总览'!$A$5:$D$54,4,FALSE),"未登记")</x:f>
        <x:v>风暴工匠·洛克</x:v>
      </x:c>
      <x:c r="F39" s="38" t="str">
        <x:v>生肖合成</x:v>
      </x:c>
      <x:c r="G39" s="38" t="str">
        <x:v>丑牛·风暴负山</x:v>
      </x:c>
      <x:c r="H39" s="38" t="str">
        <x:v>生肖</x:v>
      </x:c>
      <x:c r="I39" s="38" t="str">
        <x:v>百臂丑牛＋关隘铁甲</x:v>
      </x:c>
      <x:c r="J39" s="38" t="str">
        <x:v>风暴石片</x:v>
      </x:c>
      <x:c r="K39" s="38" t="str">
        <x:v>接肢王印</x:v>
      </x:c>
      <x:c r="L39" s="38" t="str">
        <x:v>—</x:v>
      </x:c>
      <x:c r="M39" s="38" t="str">
        <x:v>元宝</x:v>
      </x:c>
      <x:c r="N39" s="38" t="str">
        <x:v>100%确定成功；不失败吞料</x:v>
      </x:c>
      <x:c r="O39" s="38" t="str">
        <x:v>基础攻魔道；强度低于同期重点装备</x:v>
      </x:c>
      <x:c r="P39" s="38" t="str">
        <x:v>成品可交易</x:v>
      </x:c>
      <x:c r="Q39" s="47" t="str">
        <x:v>待经济反算</x:v>
      </x:c>
      <x:c r="R39" s="50" t="str">
        <x:v>需新生肖资源编码</x:v>
      </x:c>
      <x:c r="S39" s="39" t="str"/>
    </x:row>
    <x:row r="40" ht="52" customHeight="1">
      <x:c r="A40" s="37" t="str">
        <x:v>C03-SYN-ZD-01</x:v>
      </x:c>
      <x:c r="B40" s="38" t="str">
        <x:v>C03</x:v>
      </x:c>
      <x:c r="C40" s="38" t="str">
        <x:v>宁姆格福西域</x:v>
      </x:c>
      <x:c r="D40" s="38" t="str">
        <x:v>C03-SYN-EQ</x:v>
      </x:c>
      <x:c r="E40" s="38" t="str">
        <x:f>IFERROR(VLOOKUP(D40,'01_NPC总览'!$A$5:$D$54,4,FALSE),"未登记")</x:f>
        <x:v>断路铁匠·赫恩</x:v>
      </x:c>
      <x:c r="F40" s="38" t="str">
        <x:v>生肖合成</x:v>
      </x:c>
      <x:c r="G40" s="38" t="str">
        <x:v>辰龙·荒原逐风</x:v>
      </x:c>
      <x:c r="H40" s="38" t="str">
        <x:v>生肖</x:v>
      </x:c>
      <x:c r="I40" s="38" t="str">
        <x:v>猎犬辰龙＋裂风战旗刃</x:v>
      </x:c>
      <x:c r="J40" s="38" t="str">
        <x:v>风蚀铁片</x:v>
      </x:c>
      <x:c r="K40" s="38" t="str">
        <x:v>西境战旗印</x:v>
      </x:c>
      <x:c r="L40" s="38" t="str">
        <x:v>—</x:v>
      </x:c>
      <x:c r="M40" s="38" t="str">
        <x:v>金币</x:v>
      </x:c>
      <x:c r="N40" s="38" t="str">
        <x:v>100%确定成功；不失败吞料</x:v>
      </x:c>
      <x:c r="O40" s="38" t="str">
        <x:v>基础攻魔道；强度低于同期重点装备</x:v>
      </x:c>
      <x:c r="P40" s="38" t="str">
        <x:v>成品可交易</x:v>
      </x:c>
      <x:c r="Q40" s="47" t="str">
        <x:v>待经济反算</x:v>
      </x:c>
      <x:c r="R40" s="50" t="str">
        <x:v>需新生肖资源编码</x:v>
      </x:c>
      <x:c r="S40" s="39" t="str"/>
    </x:row>
    <x:row r="41" ht="52" customHeight="1">
      <x:c r="A41" s="37" t="str">
        <x:v>C04-SYN-ZD-01</x:v>
      </x:c>
      <x:c r="B41" s="38" t="str">
        <x:v>C04</x:v>
      </x:c>
      <x:c r="C41" s="38" t="str">
        <x:v>利耶尼亚海域</x:v>
      </x:c>
      <x:c r="D41" s="38" t="str">
        <x:v>C04-SYN-01</x:v>
      </x:c>
      <x:c r="E41" s="38" t="str">
        <x:f>IFERROR(VLOOKUP(D41,'01_NPC总览'!$A$5:$D$54,4,FALSE),"未登记")</x:f>
        <x:v>沉潮铸师·伊芙</x:v>
      </x:c>
      <x:c r="F41" s="38" t="str">
        <x:v>生肖合成</x:v>
      </x:c>
      <x:c r="G41" s="38" t="str">
        <x:v>巳蛇·沉潮缚月</x:v>
      </x:c>
      <x:c r="H41" s="38" t="str">
        <x:v>生肖</x:v>
      </x:c>
      <x:c r="I41" s="38" t="str">
        <x:v>祖魂巳蛇＋罗缇的回流剑</x:v>
      </x:c>
      <x:c r="J41" s="38" t="str">
        <x:v>湖盐结晶</x:v>
      </x:c>
      <x:c r="K41" s="38" t="str">
        <x:v>沉湖王印</x:v>
      </x:c>
      <x:c r="L41" s="38" t="str">
        <x:v>—</x:v>
      </x:c>
      <x:c r="M41" s="38" t="str">
        <x:v>金币＋元宝</x:v>
      </x:c>
      <x:c r="N41" s="38" t="str">
        <x:v>100%确定成功；不失败吞料</x:v>
      </x:c>
      <x:c r="O41" s="38" t="str">
        <x:v>基础攻魔道；强度低于同期重点装备</x:v>
      </x:c>
      <x:c r="P41" s="38" t="str">
        <x:v>成品可交易</x:v>
      </x:c>
      <x:c r="Q41" s="47" t="str">
        <x:v>待经济反算</x:v>
      </x:c>
      <x:c r="R41" s="50" t="str">
        <x:v>需新生肖资源编码</x:v>
      </x:c>
      <x:c r="S41" s="39" t="str"/>
    </x:row>
    <x:row r="42" ht="52" customHeight="1">
      <x:c r="A42" s="37" t="str">
        <x:v>C05-SYN-ZD-01</x:v>
      </x:c>
      <x:c r="B42" s="38" t="str">
        <x:v>C05</x:v>
      </x:c>
      <x:c r="C42" s="38" t="str">
        <x:v>湖之利耶尼亚</x:v>
      </x:c>
      <x:c r="D42" s="38" t="str">
        <x:v>C05-SYN-EQ</x:v>
      </x:c>
      <x:c r="E42" s="38" t="str">
        <x:f>IFERROR(VLOOKUP(D42,'01_NPC总览'!$A$5:$D$54,4,FALSE),"未登记")</x:f>
        <x:v>辉石调律师·蕾娜</x:v>
      </x:c>
      <x:c r="F42" s="38" t="str">
        <x:v>生肖合成</x:v>
      </x:c>
      <x:c r="G42" s="38" t="str">
        <x:v>卯兔·镜月折辉</x:v>
      </x:c>
      <x:c r="H42" s="38" t="str">
        <x:v>生肖</x:v>
      </x:c>
      <x:c r="I42" s="38" t="str">
        <x:v>无月卯兔＋月契封印带</x:v>
      </x:c>
      <x:c r="J42" s="38" t="str">
        <x:v>辉石碎晶</x:v>
      </x:c>
      <x:c r="K42" s="38" t="str">
        <x:v>满月王室印</x:v>
      </x:c>
      <x:c r="L42" s="38" t="str">
        <x:v>—</x:v>
      </x:c>
      <x:c r="M42" s="38" t="str">
        <x:v>元宝</x:v>
      </x:c>
      <x:c r="N42" s="38" t="str">
        <x:v>100%确定成功；不失败吞料</x:v>
      </x:c>
      <x:c r="O42" s="38" t="str">
        <x:v>基础攻魔道；强度低于同期重点装备</x:v>
      </x:c>
      <x:c r="P42" s="38" t="str">
        <x:v>成品可交易</x:v>
      </x:c>
      <x:c r="Q42" s="47" t="str">
        <x:v>待经济反算</x:v>
      </x:c>
      <x:c r="R42" s="50" t="str">
        <x:v>需新生肖资源编码</x:v>
      </x:c>
      <x:c r="S42" s="39" t="str"/>
    </x:row>
    <x:row r="43" ht="52" customHeight="1">
      <x:c r="A43" s="37" t="str">
        <x:v>C06-SYN-ZD-01</x:v>
      </x:c>
      <x:c r="B43" s="38" t="str">
        <x:v>C06</x:v>
      </x:c>
      <x:c r="C43" s="38" t="str">
        <x:v>盖利德</x:v>
      </x:c>
      <x:c r="D43" s="38" t="str">
        <x:v>C06-SYN-01</x:v>
      </x:c>
      <x:c r="E43" s="38" t="str">
        <x:f>IFERROR(VLOOKUP(D43,'01_NPC总览'!$A$5:$D$54,4,FALSE),"未登记")</x:f>
        <x:v>红狮残匠·伯伦</x:v>
      </x:c>
      <x:c r="F43" s="38" t="str">
        <x:v>生肖合成</x:v>
      </x:c>
      <x:c r="G43" s="38" t="str">
        <x:v>寅虎·红狮焚原</x:v>
      </x:c>
      <x:c r="H43" s="38" t="str">
        <x:v>生肖</x:v>
      </x:c>
      <x:c r="I43" s="38" t="str">
        <x:v>长戟寅虎＋阿格纳龙牙</x:v>
      </x:c>
      <x:c r="J43" s="38" t="str">
        <x:v>猩红矿渣</x:v>
      </x:c>
      <x:c r="K43" s="38" t="str">
        <x:v>红狮战印</x:v>
      </x:c>
      <x:c r="L43" s="38" t="str">
        <x:v>—</x:v>
      </x:c>
      <x:c r="M43" s="38" t="str">
        <x:v>金币</x:v>
      </x:c>
      <x:c r="N43" s="38" t="str">
        <x:v>100%确定成功；不失败吞料</x:v>
      </x:c>
      <x:c r="O43" s="38" t="str">
        <x:v>基础攻魔道；强度低于同期重点装备</x:v>
      </x:c>
      <x:c r="P43" s="38" t="str">
        <x:v>成品可交易</x:v>
      </x:c>
      <x:c r="Q43" s="47" t="str">
        <x:v>待经济反算</x:v>
      </x:c>
      <x:c r="R43" s="50" t="str">
        <x:v>需新生肖资源编码</x:v>
      </x:c>
      <x:c r="S43" s="39" t="str"/>
    </x:row>
    <x:row r="44" ht="52" customHeight="1">
      <x:c r="A44" s="37" t="str">
        <x:v>C07-SYN-ZD-01</x:v>
      </x:c>
      <x:c r="B44" s="38" t="str">
        <x:v>C07</x:v>
      </x:c>
      <x:c r="C44" s="38" t="str">
        <x:v>化圣雪原</x:v>
      </x:c>
      <x:c r="D44" s="38" t="str">
        <x:v>C07-SYN-EQ</x:v>
      </x:c>
      <x:c r="E44" s="38" t="str">
        <x:f>IFERROR(VLOOKUP(D44,'01_NPC总览'!$A$5:$D$54,4,FALSE),"未登记")</x:f>
        <x:v>白金裁缝·弥雅</x:v>
      </x:c>
      <x:c r="F44" s="38" t="str">
        <x:v>生肖合成</x:v>
      </x:c>
      <x:c r="G44" s="38" t="str">
        <x:v>未羊·永霜引路</x:v>
      </x:c>
      <x:c r="H44" s="38" t="str">
        <x:v>生肖</x:v>
      </x:c>
      <x:c r="I44" s="38" t="str">
        <x:v>葬日未羊＋芙蕾冰冠</x:v>
      </x:c>
      <x:c r="J44" s="38" t="str">
        <x:v>冻晶尘</x:v>
      </x:c>
      <x:c r="K44" s="38" t="str">
        <x:v>圣雪誓印</x:v>
      </x:c>
      <x:c r="L44" s="38" t="str">
        <x:v>—</x:v>
      </x:c>
      <x:c r="M44" s="38" t="str">
        <x:v>金币＋元宝</x:v>
      </x:c>
      <x:c r="N44" s="38" t="str">
        <x:v>100%确定成功；不失败吞料</x:v>
      </x:c>
      <x:c r="O44" s="38" t="str">
        <x:v>基础攻魔道；强度低于同期重点装备</x:v>
      </x:c>
      <x:c r="P44" s="38" t="str">
        <x:v>成品可交易</x:v>
      </x:c>
      <x:c r="Q44" s="47" t="str">
        <x:v>待经济反算</x:v>
      </x:c>
      <x:c r="R44" s="50" t="str">
        <x:v>需新生肖资源编码</x:v>
      </x:c>
      <x:c r="S44" s="39" t="str"/>
    </x:row>
    <x:row r="45" ht="52" customHeight="1">
      <x:c r="A45" s="37" t="str">
        <x:v>C08-SYN-ZD-01</x:v>
      </x:c>
      <x:c r="B45" s="38" t="str">
        <x:v>C08</x:v>
      </x:c>
      <x:c r="C45" s="38" t="str">
        <x:v>巨人山顶</x:v>
      </x:c>
      <x:c r="D45" s="38" t="str">
        <x:v>C08-SYN-01</x:v>
      </x:c>
      <x:c r="E45" s="38" t="str">
        <x:f>IFERROR(VLOOKUP(D45,'01_NPC总览'!$A$5:$D$54,4,FALSE),"未登记")</x:f>
        <x:v>炉火遗民·冈特</x:v>
      </x:c>
      <x:c r="F45" s="38" t="str">
        <x:v>生肖合成</x:v>
      </x:c>
      <x:c r="G45" s="38" t="str">
        <x:v>午马·霜脊踏天</x:v>
      </x:c>
      <x:c r="H45" s="38" t="str">
        <x:v>生肖</x:v>
      </x:c>
      <x:c r="I45" s="38" t="str">
        <x:v>死水午马＋赫罗姆凿峰槌</x:v>
      </x:c>
      <x:c r="J45" s="38" t="str">
        <x:v>霜脊铁</x:v>
      </x:c>
      <x:c r="K45" s="38" t="str">
        <x:v>巨人火印</x:v>
      </x:c>
      <x:c r="L45" s="38" t="str">
        <x:v>—</x:v>
      </x:c>
      <x:c r="M45" s="38" t="str">
        <x:v>金币</x:v>
      </x:c>
      <x:c r="N45" s="38" t="str">
        <x:v>100%确定成功；不失败吞料</x:v>
      </x:c>
      <x:c r="O45" s="38" t="str">
        <x:v>基础攻魔道；强度低于同期重点装备</x:v>
      </x:c>
      <x:c r="P45" s="38" t="str">
        <x:v>成品可交易</x:v>
      </x:c>
      <x:c r="Q45" s="47" t="str">
        <x:v>待经济反算</x:v>
      </x:c>
      <x:c r="R45" s="50" t="str">
        <x:v>需新生肖资源编码</x:v>
      </x:c>
      <x:c r="S45" s="39" t="str"/>
    </x:row>
    <x:row r="46" ht="52" customHeight="1">
      <x:c r="A46" s="37" t="str">
        <x:v>C09-SYN-ZD-01</x:v>
      </x:c>
      <x:c r="B46" s="38" t="str">
        <x:v>C09</x:v>
      </x:c>
      <x:c r="C46" s="38" t="str">
        <x:v>亚坛高原</x:v>
      </x:c>
      <x:c r="D46" s="38" t="str">
        <x:v>C09-SYN-EQ</x:v>
      </x:c>
      <x:c r="E46" s="38" t="str">
        <x:f>IFERROR(VLOOKUP(D46,'01_NPC总览'!$A$5:$D$54,4,FALSE),"未登记")</x:f>
        <x:v>黄金铸师·亚德</x:v>
      </x:c>
      <x:c r="F46" s="38" t="str">
        <x:v>生肖合成</x:v>
      </x:c>
      <x:c r="G46" s="38" t="str">
        <x:v>酉鸡·鎏日司晨</x:v>
      </x:c>
      <x:c r="H46" s="38" t="str">
        <x:v>生肖</x:v>
      </x:c>
      <x:c r="I46" s="38" t="str">
        <x:v>恶兆酉鸡＋赛维兰裁阳杖</x:v>
      </x:c>
      <x:c r="J46" s="38" t="str">
        <x:v>黄金叶脉</x:v>
      </x:c>
      <x:c r="K46" s="38" t="str">
        <x:v>黄金律印</x:v>
      </x:c>
      <x:c r="L46" s="38" t="str">
        <x:v>—</x:v>
      </x:c>
      <x:c r="M46" s="38" t="str">
        <x:v>元宝</x:v>
      </x:c>
      <x:c r="N46" s="38" t="str">
        <x:v>100%确定成功；不失败吞料</x:v>
      </x:c>
      <x:c r="O46" s="38" t="str">
        <x:v>基础攻魔道；强度低于同期重点装备</x:v>
      </x:c>
      <x:c r="P46" s="38" t="str">
        <x:v>成品可交易</x:v>
      </x:c>
      <x:c r="Q46" s="47" t="str">
        <x:v>待经济反算</x:v>
      </x:c>
      <x:c r="R46" s="50" t="str">
        <x:v>需新生肖资源编码</x:v>
      </x:c>
      <x:c r="S46" s="39" t="str"/>
    </x:row>
    <x:row r="47" ht="52" customHeight="1">
      <x:c r="A47" s="37" t="str">
        <x:v>C10-SYN-ZD-01</x:v>
      </x:c>
      <x:c r="B47" s="38" t="str">
        <x:v>C10</x:v>
      </x:c>
      <x:c r="C47" s="38" t="str">
        <x:v>王城罗德尔</x:v>
      </x:c>
      <x:c r="D47" s="38" t="str">
        <x:v>C10-SYN-BOX</x:v>
      </x:c>
      <x:c r="E47" s="38" t="str">
        <x:f>IFERROR(VLOOKUP(D47,'01_NPC总览'!$A$5:$D$54,4,FALSE),"未登记")</x:f>
        <x:v>旧王秘匣师·萨芙</x:v>
      </x:c>
      <x:c r="F47" s="38" t="str">
        <x:v>生肖合成</x:v>
      </x:c>
      <x:c r="G47" s="38" t="str">
        <x:v>戌狗·王座守门</x:v>
      </x:c>
      <x:c r="H47" s="38" t="str">
        <x:v>生肖</x:v>
      </x:c>
      <x:c r="I47" s="38" t="str">
        <x:v>失乡戌狗＋返魂寝门盾</x:v>
      </x:c>
      <x:c r="J47" s="38" t="str">
        <x:v>王城金屑</x:v>
      </x:c>
      <x:c r="K47" s="38" t="str">
        <x:v>艾尔登王印</x:v>
      </x:c>
      <x:c r="L47" s="38" t="str">
        <x:v>—</x:v>
      </x:c>
      <x:c r="M47" s="38" t="str">
        <x:v>金币＋元宝</x:v>
      </x:c>
      <x:c r="N47" s="38" t="str">
        <x:v>100%确定成功；不失败吞料</x:v>
      </x:c>
      <x:c r="O47" s="38" t="str">
        <x:v>基础攻魔道；强度低于同期重点装备</x:v>
      </x:c>
      <x:c r="P47" s="38" t="str">
        <x:v>成品可交易</x:v>
      </x:c>
      <x:c r="Q47" s="47" t="str">
        <x:v>待经济反算</x:v>
      </x:c>
      <x:c r="R47" s="50" t="str">
        <x:v>需新生肖资源编码</x:v>
      </x:c>
      <x:c r="S47" s="39" t="str"/>
    </x:row>
    <x:row r="48" ht="52" customHeight="1">
      <x:c r="A48" s="37" t="str">
        <x:v>C01-SYN-TT-01</x:v>
      </x:c>
      <x:c r="B48" s="38" t="str">
        <x:v>C01</x:v>
      </x:c>
      <x:c r="C48" s="38" t="str">
        <x:v>漂流群岛</x:v>
      </x:c>
      <x:c r="D48" s="38" t="str">
        <x:v>C01-SYN-01</x:v>
      </x:c>
      <x:c r="E48" s="38" t="str">
        <x:f>IFERROR(VLOOKUP(D48,'01_NPC总览'!$A$5:$D$54,4,FALSE),"未登记")</x:f>
        <x:v>拾荒匠·阿砾</x:v>
      </x:c>
      <x:c r="F48" s="38" t="str">
        <x:v>独立称号</x:v>
      </x:c>
      <x:c r="G48" s="38" t="str">
        <x:v>[称号]海岸初誓</x:v>
      </x:c>
      <x:c r="H48" s="38" t="str">
        <x:v>称号</x:v>
      </x:c>
      <x:c r="I48" s="38" t="str">
        <x:v>—</x:v>
      </x:c>
      <x:c r="J48" s="38" t="str">
        <x:v>—</x:v>
      </x:c>
      <x:c r="K48" s="38" t="str">
        <x:v>漂流大陆印记＋漂流见证·潮＋漂流见证·雷</x:v>
      </x:c>
      <x:c r="L48" s="38" t="str">
        <x:v>—</x:v>
      </x:c>
      <x:c r="M48" s="38" t="str">
        <x:v>金币＋元宝</x:v>
      </x:c>
      <x:c r="N48" s="38" t="str">
        <x:v>100%确定成功；不失败吞料</x:v>
      </x:c>
      <x:c r="O48" s="38" t="str">
        <x:v>基础攻魔道主来源；属性必须可感知</x:v>
      </x:c>
      <x:c r="P48" s="38" t="str">
        <x:v>角色绑定</x:v>
      </x:c>
      <x:c r="Q48" s="47" t="str">
        <x:v>待经济反算</x:v>
      </x:c>
      <x:c r="R48" s="50" t="str">
        <x:v>需新称号脚本ID</x:v>
      </x:c>
      <x:c r="S48" s="39" t="str">
        <x:v>不与贯穿式称号合并</x:v>
      </x:c>
    </x:row>
    <x:row r="49" ht="52" customHeight="1">
      <x:c r="A49" s="37" t="str">
        <x:v>C03-SYN-TT-01</x:v>
      </x:c>
      <x:c r="B49" s="38" t="str">
        <x:v>C03</x:v>
      </x:c>
      <x:c r="C49" s="38" t="str">
        <x:v>宁姆格福西域</x:v>
      </x:c>
      <x:c r="D49" s="38" t="str">
        <x:v>C03-SYN-TITLE</x:v>
      </x:c>
      <x:c r="E49" s="38" t="str">
        <x:f>IFERROR(VLOOKUP(D49,'01_NPC总览'!$A$5:$D$54,4,FALSE),"未登记")</x:f>
        <x:v>无籍书记·玛尔</x:v>
      </x:c>
      <x:c r="F49" s="38" t="str">
        <x:v>独立称号</x:v>
      </x:c>
      <x:c r="G49" s="38" t="str">
        <x:v>[称号]西境拓荒者</x:v>
      </x:c>
      <x:c r="H49" s="38" t="str">
        <x:v>称号</x:v>
      </x:c>
      <x:c r="I49" s="38" t="str">
        <x:v>—</x:v>
      </x:c>
      <x:c r="J49" s="38" t="str">
        <x:v>—</x:v>
      </x:c>
      <x:c r="K49" s="38" t="str">
        <x:v>西境战旗＋西境战旗印＋哨垒旗冠</x:v>
      </x:c>
      <x:c r="L49" s="38" t="str">
        <x:v>—</x:v>
      </x:c>
      <x:c r="M49" s="38" t="str">
        <x:v>金币</x:v>
      </x:c>
      <x:c r="N49" s="38" t="str">
        <x:v>100%确定成功；不失败吞料</x:v>
      </x:c>
      <x:c r="O49" s="38" t="str">
        <x:v>基础攻魔道主来源；属性必须可感知</x:v>
      </x:c>
      <x:c r="P49" s="38" t="str">
        <x:v>角色绑定</x:v>
      </x:c>
      <x:c r="Q49" s="47" t="str">
        <x:v>待经济反算</x:v>
      </x:c>
      <x:c r="R49" s="50" t="str">
        <x:v>需新称号脚本ID</x:v>
      </x:c>
      <x:c r="S49" s="39" t="str">
        <x:v>不与贯穿式称号合并</x:v>
      </x:c>
    </x:row>
    <x:row r="50" ht="52" customHeight="1">
      <x:c r="A50" s="37" t="str">
        <x:v>C05-SYN-TT-01</x:v>
      </x:c>
      <x:c r="B50" s="38" t="str">
        <x:v>C05</x:v>
      </x:c>
      <x:c r="C50" s="38" t="str">
        <x:v>湖之利耶尼亚</x:v>
      </x:c>
      <x:c r="D50" s="38" t="str">
        <x:v>C05-SYN-TITLE</x:v>
      </x:c>
      <x:c r="E50" s="38" t="str">
        <x:f>IFERROR(VLOOKUP(D50,'01_NPC总览'!$A$5:$D$54,4,FALSE),"未登记")</x:f>
        <x:v>月誓见证人·瑟兰</x:v>
      </x:c>
      <x:c r="F50" s="38" t="str">
        <x:v>独立称号</x:v>
      </x:c>
      <x:c r="G50" s="38" t="str">
        <x:v>[称号]满月见证者</x:v>
      </x:c>
      <x:c r="H50" s="38" t="str">
        <x:v>称号</x:v>
      </x:c>
      <x:c r="I50" s="38" t="str">
        <x:v>—</x:v>
      </x:c>
      <x:c r="J50" s="38" t="str">
        <x:v>—</x:v>
      </x:c>
      <x:c r="K50" s="38" t="str">
        <x:v>卡利亚月露＋满月王室印＋禁域星钥</x:v>
      </x:c>
      <x:c r="L50" s="38" t="str">
        <x:v>—</x:v>
      </x:c>
      <x:c r="M50" s="38" t="str">
        <x:v>元宝</x:v>
      </x:c>
      <x:c r="N50" s="38" t="str">
        <x:v>100%确定成功；不失败吞料</x:v>
      </x:c>
      <x:c r="O50" s="38" t="str">
        <x:v>基础攻魔道主来源；属性必须可感知</x:v>
      </x:c>
      <x:c r="P50" s="38" t="str">
        <x:v>角色绑定</x:v>
      </x:c>
      <x:c r="Q50" s="47" t="str">
        <x:v>待经济反算</x:v>
      </x:c>
      <x:c r="R50" s="50" t="str">
        <x:v>需新称号脚本ID</x:v>
      </x:c>
      <x:c r="S50" s="39" t="str">
        <x:v>不与贯穿式称号合并</x:v>
      </x:c>
    </x:row>
    <x:row r="51" ht="52" customHeight="1">
      <x:c r="A51" s="37" t="str">
        <x:v>C07-SYN-TT-01</x:v>
      </x:c>
      <x:c r="B51" s="38" t="str">
        <x:v>C07</x:v>
      </x:c>
      <x:c r="C51" s="38" t="str">
        <x:v>化圣雪原</x:v>
      </x:c>
      <x:c r="D51" s="38" t="str">
        <x:v>C07-SYN-TITLE</x:v>
      </x:c>
      <x:c r="E51" s="38" t="str">
        <x:f>IFERROR(VLOOKUP(D51,'01_NPC总览'!$A$5:$D$54,4,FALSE),"未登记")</x:f>
        <x:v>无火记录官·洛萨</x:v>
      </x:c>
      <x:c r="F51" s="38" t="str">
        <x:v>独立称号</x:v>
      </x:c>
      <x:c r="G51" s="38" t="str">
        <x:v>[称号]永霜朝圣者</x:v>
      </x:c>
      <x:c r="H51" s="38" t="str">
        <x:v>称号</x:v>
      </x:c>
      <x:c r="I51" s="38" t="str">
        <x:v>—</x:v>
      </x:c>
      <x:c r="J51" s="38" t="str">
        <x:v>—</x:v>
      </x:c>
      <x:c r="K51" s="38" t="str">
        <x:v>白金纺线＋圣雪誓印＋圣雪门楔</x:v>
      </x:c>
      <x:c r="L51" s="38" t="str">
        <x:v>—</x:v>
      </x:c>
      <x:c r="M51" s="38" t="str">
        <x:v>金币＋元宝</x:v>
      </x:c>
      <x:c r="N51" s="38" t="str">
        <x:v>100%确定成功；不失败吞料</x:v>
      </x:c>
      <x:c r="O51" s="38" t="str">
        <x:v>基础攻魔道主来源；属性必须可感知</x:v>
      </x:c>
      <x:c r="P51" s="38" t="str">
        <x:v>角色绑定</x:v>
      </x:c>
      <x:c r="Q51" s="47" t="str">
        <x:v>待经济反算</x:v>
      </x:c>
      <x:c r="R51" s="50" t="str">
        <x:v>需新称号脚本ID</x:v>
      </x:c>
      <x:c r="S51" s="39" t="str">
        <x:v>不与贯穿式称号合并</x:v>
      </x:c>
    </x:row>
    <x:row r="52" ht="52" customHeight="1">
      <x:c r="A52" s="37" t="str">
        <x:v>C09-SYN-TT-01</x:v>
      </x:c>
      <x:c r="B52" s="38" t="str">
        <x:v>C09</x:v>
      </x:c>
      <x:c r="C52" s="38" t="str">
        <x:v>亚坛高原</x:v>
      </x:c>
      <x:c r="D52" s="38" t="str">
        <x:v>C09-SYN-TITLE</x:v>
      </x:c>
      <x:c r="E52" s="38" t="str">
        <x:f>IFERROR(VLOOKUP(D52,'01_NPC总览'!$A$5:$D$54,4,FALSE),"未登记")</x:f>
        <x:v>王道见证人·斐洛</x:v>
      </x:c>
      <x:c r="F52" s="38" t="str">
        <x:v>独立称号</x:v>
      </x:c>
      <x:c r="G52" s="38" t="str">
        <x:v>[称号]黄金律见证者</x:v>
      </x:c>
      <x:c r="H52" s="38" t="str">
        <x:v>称号</x:v>
      </x:c>
      <x:c r="I52" s="38" t="str">
        <x:v>—</x:v>
      </x:c>
      <x:c r="J52" s="38" t="str">
        <x:v>—</x:v>
      </x:c>
      <x:c r="K52" s="38" t="str">
        <x:v>古王律页＋黄金律印＋高原王诏金版</x:v>
      </x:c>
      <x:c r="L52" s="38" t="str">
        <x:v>—</x:v>
      </x:c>
      <x:c r="M52" s="38" t="str">
        <x:v>元宝</x:v>
      </x:c>
      <x:c r="N52" s="38" t="str">
        <x:v>100%确定成功；不失败吞料</x:v>
      </x:c>
      <x:c r="O52" s="38" t="str">
        <x:v>基础攻魔道主来源；属性必须可感知</x:v>
      </x:c>
      <x:c r="P52" s="38" t="str">
        <x:v>角色绑定</x:v>
      </x:c>
      <x:c r="Q52" s="47" t="str">
        <x:v>待经济反算</x:v>
      </x:c>
      <x:c r="R52" s="50" t="str">
        <x:v>需新称号脚本ID</x:v>
      </x:c>
      <x:c r="S52" s="39" t="str">
        <x:v>不与贯穿式称号合并</x:v>
      </x:c>
    </x:row>
    <x:row r="53" ht="52" customHeight="1">
      <x:c r="A53" s="37" t="str">
        <x:v>C10-SYN-TT-01</x:v>
      </x:c>
      <x:c r="B53" s="38" t="str">
        <x:v>C10</x:v>
      </x:c>
      <x:c r="C53" s="38" t="str">
        <x:v>王城罗德尔</x:v>
      </x:c>
      <x:c r="D53" s="38" t="str">
        <x:v>C10-SYN-TITLE</x:v>
      </x:c>
      <x:c r="E53" s="38" t="str">
        <x:f>IFERROR(VLOOKUP(D53,'01_NPC总览'!$A$5:$D$54,4,FALSE),"未登记")</x:f>
        <x:v>无冕司礼官·维安</x:v>
      </x:c>
      <x:c r="F53" s="38" t="str">
        <x:v>独立称号</x:v>
      </x:c>
      <x:c r="G53" s="38" t="str">
        <x:v>[称号]艾尔登之王</x:v>
      </x:c>
      <x:c r="H53" s="38" t="str">
        <x:v>称号</x:v>
      </x:c>
      <x:c r="I53" s="38" t="str">
        <x:v>—</x:v>
      </x:c>
      <x:c r="J53" s="38" t="str">
        <x:v>—</x:v>
      </x:c>
      <x:c r="K53" s="38" t="str">
        <x:v>王宫律文＋艾尔登王印＋王宫断冠片＋穹律鎏痕拓片</x:v>
      </x:c>
      <x:c r="L53" s="38" t="str">
        <x:v>—</x:v>
      </x:c>
      <x:c r="M53" s="38" t="str">
        <x:v>金币＋元宝</x:v>
      </x:c>
      <x:c r="N53" s="38" t="str">
        <x:v>100%确定成功；不失败吞料</x:v>
      </x:c>
      <x:c r="O53" s="38" t="str">
        <x:v>基础攻魔道主来源；属性必须可感知</x:v>
      </x:c>
      <x:c r="P53" s="38" t="str">
        <x:v>角色绑定</x:v>
      </x:c>
      <x:c r="Q53" s="47" t="str">
        <x:v>待经济反算</x:v>
      </x:c>
      <x:c r="R53" s="50" t="str">
        <x:v>需新称号脚本ID</x:v>
      </x:c>
      <x:c r="S53" s="39" t="str">
        <x:v>不与贯穿式称号合并</x:v>
      </x:c>
    </x:row>
    <x:row r="54" ht="52" customHeight="1">
      <x:c r="A54" s="37" t="str">
        <x:v>C02-AOE-LV1</x:v>
      </x:c>
      <x:c r="B54" s="38" t="str">
        <x:v>C02</x:v>
      </x:c>
      <x:c r="C54" s="38" t="str">
        <x:v>宁姆格福</x:v>
      </x:c>
      <x:c r="D54" s="38" t="str">
        <x:v>C02-SYN-01</x:v>
      </x:c>
      <x:c r="E54" s="38" t="str">
        <x:f>IFERROR(VLOOKUP(D54,'01_NPC总览'!$A$5:$D$54,4,FALSE),"未登记")</x:f>
        <x:v>风暴工匠·洛克</x:v>
      </x:c>
      <x:c r="F54" s="38" t="str">
        <x:v>群攻生肖</x:v>
      </x:c>
      <x:c r="G54" s="38" t="str">
        <x:v>群星之核LV1</x:v>
      </x:c>
      <x:c r="H54" s="38" t="str">
        <x:v>生肖9／宝石显示位</x:v>
      </x:c>
      <x:c r="I54" s="38" t="str">
        <x:v>雷冠申猴</x:v>
      </x:c>
      <x:c r="J54" s="38" t="str">
        <x:v>风暴石片</x:v>
      </x:c>
      <x:c r="K54" s="38" t="str">
        <x:v>黄金树芽＋接肢王印</x:v>
      </x:c>
      <x:c r="L54" s="38" t="str">
        <x:v>—</x:v>
      </x:c>
      <x:c r="M54" s="38" t="str">
        <x:v>元宝</x:v>
      </x:c>
      <x:c r="N54" s="38" t="str">
        <x:v>100%确定成功；不失败吞料</x:v>
      </x:c>
      <x:c r="O54" s="38" t="str">
        <x:v>每次伤害=自身面板攻击；2×2；2.00秒触发</x:v>
      </x:c>
      <x:c r="P54" s="38" t="str">
        <x:v>成品可交易</x:v>
      </x:c>
      <x:c r="Q54" s="47" t="str">
        <x:v>待经济反算</x:v>
      </x:c>
      <x:c r="R54" s="50" t="str">
        <x:v>需新生肖资源编码</x:v>
      </x:c>
      <x:c r="S54" s="39" t="str">
        <x:v>不暴击、不吸血、不触发处决/斩杀；不吃神力、伤害系数或其他乘区</x:v>
      </x:c>
    </x:row>
    <x:row r="55" ht="52" customHeight="1">
      <x:c r="A55" s="37" t="str">
        <x:v>C03-AOE-LV2</x:v>
      </x:c>
      <x:c r="B55" s="38" t="str">
        <x:v>C03</x:v>
      </x:c>
      <x:c r="C55" s="38" t="str">
        <x:v>宁姆格福西域</x:v>
      </x:c>
      <x:c r="D55" s="38" t="str">
        <x:v>C03-AOE-01</x:v>
      </x:c>
      <x:c r="E55" s="38" t="str">
        <x:f>IFERROR(VLOOKUP(D55,'01_NPC总览'!$A$5:$D$54,4,FALSE),"未登记")</x:f>
        <x:v>星核校准师·西境</x:v>
      </x:c>
      <x:c r="F55" s="38" t="str">
        <x:v>群攻生肖</x:v>
      </x:c>
      <x:c r="G55" s="38" t="str">
        <x:v>群星之核LV2</x:v>
      </x:c>
      <x:c r="H55" s="38" t="str">
        <x:v>生肖9／宝石显示位</x:v>
      </x:c>
      <x:c r="I55" s="38" t="str">
        <x:v>群星之核LV1</x:v>
      </x:c>
      <x:c r="J55" s="38" t="str">
        <x:v>风蚀铁片</x:v>
      </x:c>
      <x:c r="K55" s="38" t="str">
        <x:v>裂风崖羽＋西境战旗印</x:v>
      </x:c>
      <x:c r="L55" s="38" t="str">
        <x:v>—</x:v>
      </x:c>
      <x:c r="M55" s="38" t="str">
        <x:v>金币</x:v>
      </x:c>
      <x:c r="N55" s="38" t="str">
        <x:v>100%确定成功；不失败吞料</x:v>
      </x:c>
      <x:c r="O55" s="38" t="str">
        <x:v>每次伤害=自身面板攻击；2×2；1.75秒触发</x:v>
      </x:c>
      <x:c r="P55" s="38" t="str">
        <x:v>成品可交易</x:v>
      </x:c>
      <x:c r="Q55" s="47" t="str">
        <x:v>待经济反算</x:v>
      </x:c>
      <x:c r="R55" s="50" t="str">
        <x:v>需新生肖资源编码</x:v>
      </x:c>
      <x:c r="S55" s="39" t="str">
        <x:v>不暴击、不吸血、不触发处决/斩杀；不吃神力、伤害系数或其他乘区</x:v>
      </x:c>
    </x:row>
    <x:row r="56" ht="52" customHeight="1">
      <x:c r="A56" s="37" t="str">
        <x:v>C05-AOE-LV3</x:v>
      </x:c>
      <x:c r="B56" s="38" t="str">
        <x:v>C05</x:v>
      </x:c>
      <x:c r="C56" s="38" t="str">
        <x:v>湖之利耶尼亚</x:v>
      </x:c>
      <x:c r="D56" s="38" t="str">
        <x:v>C05-AOE-01</x:v>
      </x:c>
      <x:c r="E56" s="38" t="str">
        <x:f>IFERROR(VLOOKUP(D56,'01_NPC总览'!$A$5:$D$54,4,FALSE),"未登记")</x:f>
        <x:v>星核校准师·湖月</x:v>
      </x:c>
      <x:c r="F56" s="38" t="str">
        <x:v>群攻生肖</x:v>
      </x:c>
      <x:c r="G56" s="38" t="str">
        <x:v>群星之核LV3</x:v>
      </x:c>
      <x:c r="H56" s="38" t="str">
        <x:v>生肖9／宝石显示位</x:v>
      </x:c>
      <x:c r="I56" s="38" t="str">
        <x:v>群星之核LV2</x:v>
      </x:c>
      <x:c r="J56" s="38" t="str">
        <x:v>辉石碎晶</x:v>
      </x:c>
      <x:c r="K56" s="38" t="str">
        <x:v>雾月星砂＋满月王室印</x:v>
      </x:c>
      <x:c r="L56" s="38" t="str">
        <x:v>—</x:v>
      </x:c>
      <x:c r="M56" s="38" t="str">
        <x:v>元宝</x:v>
      </x:c>
      <x:c r="N56" s="38" t="str">
        <x:v>100%确定成功；不失败吞料</x:v>
      </x:c>
      <x:c r="O56" s="38" t="str">
        <x:v>每次伤害=自身面板攻击；2×2；1.50秒触发</x:v>
      </x:c>
      <x:c r="P56" s="38" t="str">
        <x:v>成品可交易</x:v>
      </x:c>
      <x:c r="Q56" s="47" t="str">
        <x:v>待经济反算</x:v>
      </x:c>
      <x:c r="R56" s="50" t="str">
        <x:v>需新生肖资源编码</x:v>
      </x:c>
      <x:c r="S56" s="39" t="str">
        <x:v>不暴击、不吸血、不触发处决/斩杀；不吃神力、伤害系数或其他乘区</x:v>
      </x:c>
    </x:row>
    <x:row r="57" ht="52" customHeight="1">
      <x:c r="A57" s="37" t="str">
        <x:v>C07-AOE-LV4</x:v>
      </x:c>
      <x:c r="B57" s="38" t="str">
        <x:v>C07</x:v>
      </x:c>
      <x:c r="C57" s="38" t="str">
        <x:v>化圣雪原</x:v>
      </x:c>
      <x:c r="D57" s="38" t="str">
        <x:v>C07-AOE-01</x:v>
      </x:c>
      <x:c r="E57" s="38" t="str">
        <x:f>IFERROR(VLOOKUP(D57,'01_NPC总览'!$A$5:$D$54,4,FALSE),"未登记")</x:f>
        <x:v>星核校准师·圣雪</x:v>
      </x:c>
      <x:c r="F57" s="38" t="str">
        <x:v>群攻生肖</x:v>
      </x:c>
      <x:c r="G57" s="38" t="str">
        <x:v>群星之核LV4</x:v>
      </x:c>
      <x:c r="H57" s="38" t="str">
        <x:v>生肖9／宝石显示位</x:v>
      </x:c>
      <x:c r="I57" s="38" t="str">
        <x:v>群星之核LV3</x:v>
      </x:c>
      <x:c r="J57" s="38" t="str">
        <x:v>冻晶尘</x:v>
      </x:c>
      <x:c r="K57" s="38" t="str">
        <x:v>秘树霜芽＋圣雪誓印</x:v>
      </x:c>
      <x:c r="L57" s="38" t="str">
        <x:v>—</x:v>
      </x:c>
      <x:c r="M57" s="38" t="str">
        <x:v>金币＋元宝</x:v>
      </x:c>
      <x:c r="N57" s="38" t="str">
        <x:v>100%确定成功；不失败吞料</x:v>
      </x:c>
      <x:c r="O57" s="38" t="str">
        <x:v>每次伤害=自身面板攻击；3×3；1.25秒触发</x:v>
      </x:c>
      <x:c r="P57" s="38" t="str">
        <x:v>成品可交易</x:v>
      </x:c>
      <x:c r="Q57" s="47" t="str">
        <x:v>待经济反算</x:v>
      </x:c>
      <x:c r="R57" s="50" t="str">
        <x:v>需新生肖资源编码</x:v>
      </x:c>
      <x:c r="S57" s="39" t="str">
        <x:v>不暴击、不吸血、不触发处决/斩杀；不吃神力、伤害系数或其他乘区</x:v>
      </x:c>
    </x:row>
    <x:row r="58" ht="52" customHeight="1">
      <x:c r="A58" s="37" t="str">
        <x:v>C09-AOE-LV5</x:v>
      </x:c>
      <x:c r="B58" s="38" t="str">
        <x:v>C09</x:v>
      </x:c>
      <x:c r="C58" s="38" t="str">
        <x:v>亚坛高原</x:v>
      </x:c>
      <x:c r="D58" s="38" t="str">
        <x:v>C09-AOE-01</x:v>
      </x:c>
      <x:c r="E58" s="38" t="str">
        <x:f>IFERROR(VLOOKUP(D58,'01_NPC总览'!$A$5:$D$54,4,FALSE),"未登记")</x:f>
        <x:v>星核校准师·黄金律</x:v>
      </x:c>
      <x:c r="F58" s="38" t="str">
        <x:v>群攻生肖</x:v>
      </x:c>
      <x:c r="G58" s="38" t="str">
        <x:v>群星之核LV5</x:v>
      </x:c>
      <x:c r="H58" s="38" t="str">
        <x:v>生肖9／宝石显示位</x:v>
      </x:c>
      <x:c r="I58" s="38" t="str">
        <x:v>群星之核LV4</x:v>
      </x:c>
      <x:c r="J58" s="38" t="str">
        <x:v>黄金叶脉</x:v>
      </x:c>
      <x:c r="K58" s="38" t="str">
        <x:v>裁文蜡封＋黄金律印</x:v>
      </x:c>
      <x:c r="L58" s="38" t="str">
        <x:v>—</x:v>
      </x:c>
      <x:c r="M58" s="38" t="str">
        <x:v>元宝</x:v>
      </x:c>
      <x:c r="N58" s="38" t="str">
        <x:v>100%确定成功；不失败吞料</x:v>
      </x:c>
      <x:c r="O58" s="38" t="str">
        <x:v>每次伤害=自身面板攻击；3×3；1.00秒触发</x:v>
      </x:c>
      <x:c r="P58" s="38" t="str">
        <x:v>成品可交易</x:v>
      </x:c>
      <x:c r="Q58" s="47" t="str">
        <x:v>待经济反算</x:v>
      </x:c>
      <x:c r="R58" s="50" t="str">
        <x:v>需新生肖资源编码</x:v>
      </x:c>
      <x:c r="S58" s="39" t="str">
        <x:v>不暴击、不吸血、不触发处决/斩杀；不吃神力、伤害系数或其他乘区</x:v>
      </x:c>
    </x:row>
    <x:row r="59" ht="52" customHeight="1">
      <x:c r="A59" s="37" t="str">
        <x:v>C04-REBIRTH-01</x:v>
      </x:c>
      <x:c r="B59" s="38" t="str">
        <x:v>C04</x:v>
      </x:c>
      <x:c r="C59" s="38" t="str">
        <x:v>利耶尼亚海域</x:v>
      </x:c>
      <x:c r="D59" s="38" t="str">
        <x:v>C04-REBIRTH</x:v>
      </x:c>
      <x:c r="E59" s="38" t="str">
        <x:f>IFERROR(VLOOKUP(D59,'01_NPC总览'!$A$5:$D$54,4,FALSE),"未登记")</x:f>
        <x:v>潮印引渡者·洛弥</x:v>
      </x:c>
      <x:c r="F59" s="38" t="str">
        <x:v>转生</x:v>
      </x:c>
      <x:c r="G59" s="38" t="str">
        <x:v>第1转·雾潮初醒</x:v>
      </x:c>
      <x:c r="H59" s="38" t="str">
        <x:v>转生状态</x:v>
      </x:c>
      <x:c r="I59" s="38" t="str">
        <x:v>角色等级与前置条件</x:v>
      </x:c>
      <x:c r="J59" s="38" t="str">
        <x:v>湖盐结晶</x:v>
      </x:c>
      <x:c r="K59" s="38" t="str">
        <x:v>雾潮银鳞＋幽船铆钉＋沉湖王印</x:v>
      </x:c>
      <x:c r="L59" s="38" t="str">
        <x:v>小卢恩</x:v>
      </x:c>
      <x:c r="M59" s="38" t="str">
        <x:v>金币＋元宝</x:v>
      </x:c>
      <x:c r="N59" s="38" t="str">
        <x:v>100%确定成功；不失败吞料</x:v>
      </x:c>
      <x:c r="O59" s="38" t="str">
        <x:v>神力倍攻主来源；逐转提高</x:v>
      </x:c>
      <x:c r="P59" s="38" t="str">
        <x:v>角色绑定</x:v>
      </x:c>
      <x:c r="Q59" s="47" t="str">
        <x:v>待经济反算</x:v>
      </x:c>
      <x:c r="R59" s="50" t="str">
        <x:v>脚本状态，无装备编码</x:v>
      </x:c>
      <x:c r="S59" s="39" t="str">
        <x:v>每个转生NPC承接连续5级；具体神力与数量后算</x:v>
      </x:c>
    </x:row>
    <x:row r="60" ht="52" customHeight="1">
      <x:c r="A60" s="37" t="str">
        <x:v>C04-REBIRTH-02</x:v>
      </x:c>
      <x:c r="B60" s="38" t="str">
        <x:v>C04</x:v>
      </x:c>
      <x:c r="C60" s="38" t="str">
        <x:v>利耶尼亚海域</x:v>
      </x:c>
      <x:c r="D60" s="38" t="str">
        <x:v>C04-REBIRTH</x:v>
      </x:c>
      <x:c r="E60" s="38" t="str">
        <x:f>IFERROR(VLOOKUP(D60,'01_NPC总览'!$A$5:$D$54,4,FALSE),"未登记")</x:f>
        <x:v>潮印引渡者·洛弥</x:v>
      </x:c>
      <x:c r="F60" s="38" t="str">
        <x:v>转生</x:v>
      </x:c>
      <x:c r="G60" s="38" t="str">
        <x:v>第2转·沉舟回魂</x:v>
      </x:c>
      <x:c r="H60" s="38" t="str">
        <x:v>转生状态</x:v>
      </x:c>
      <x:c r="I60" s="38" t="str">
        <x:v>第1转</x:v>
      </x:c>
      <x:c r="J60" s="38" t="str">
        <x:v>湖盐结晶</x:v>
      </x:c>
      <x:c r="K60" s="38" t="str">
        <x:v>雾潮银鳞＋幽船铆钉＋沉湖王印</x:v>
      </x:c>
      <x:c r="L60" s="38" t="str">
        <x:v>小卢恩</x:v>
      </x:c>
      <x:c r="M60" s="38" t="str">
        <x:v>金币＋元宝</x:v>
      </x:c>
      <x:c r="N60" s="38" t="str">
        <x:v>100%确定成功；不失败吞料</x:v>
      </x:c>
      <x:c r="O60" s="38" t="str">
        <x:v>神力倍攻主来源；逐转提高</x:v>
      </x:c>
      <x:c r="P60" s="38" t="str">
        <x:v>角色绑定</x:v>
      </x:c>
      <x:c r="Q60" s="47" t="str">
        <x:v>待经济反算</x:v>
      </x:c>
      <x:c r="R60" s="50" t="str">
        <x:v>脚本状态，无装备编码</x:v>
      </x:c>
      <x:c r="S60" s="39" t="str">
        <x:v>每个转生NPC承接连续5级；具体神力与数量后算</x:v>
      </x:c>
    </x:row>
    <x:row r="61" ht="52" customHeight="1">
      <x:c r="A61" s="37" t="str">
        <x:v>C04-REBIRTH-03</x:v>
      </x:c>
      <x:c r="B61" s="38" t="str">
        <x:v>C04</x:v>
      </x:c>
      <x:c r="C61" s="38" t="str">
        <x:v>利耶尼亚海域</x:v>
      </x:c>
      <x:c r="D61" s="38" t="str">
        <x:v>C04-REBIRTH</x:v>
      </x:c>
      <x:c r="E61" s="38" t="str">
        <x:f>IFERROR(VLOOKUP(D61,'01_NPC总览'!$A$5:$D$54,4,FALSE),"未登记")</x:f>
        <x:v>潮印引渡者·洛弥</x:v>
      </x:c>
      <x:c r="F61" s="38" t="str">
        <x:v>转生</x:v>
      </x:c>
      <x:c r="G61" s="38" t="str">
        <x:v>第3转·月水洗身</x:v>
      </x:c>
      <x:c r="H61" s="38" t="str">
        <x:v>转生状态</x:v>
      </x:c>
      <x:c r="I61" s="38" t="str">
        <x:v>第2转</x:v>
      </x:c>
      <x:c r="J61" s="38" t="str">
        <x:v>湖盐结晶</x:v>
      </x:c>
      <x:c r="K61" s="38" t="str">
        <x:v>雾潮银鳞＋幽船铆钉＋沉湖王印</x:v>
      </x:c>
      <x:c r="L61" s="38" t="str">
        <x:v>小卢恩</x:v>
      </x:c>
      <x:c r="M61" s="38" t="str">
        <x:v>金币＋元宝</x:v>
      </x:c>
      <x:c r="N61" s="38" t="str">
        <x:v>100%确定成功；不失败吞料</x:v>
      </x:c>
      <x:c r="O61" s="38" t="str">
        <x:v>神力倍攻主来源；逐转提高</x:v>
      </x:c>
      <x:c r="P61" s="38" t="str">
        <x:v>角色绑定</x:v>
      </x:c>
      <x:c r="Q61" s="47" t="str">
        <x:v>待经济反算</x:v>
      </x:c>
      <x:c r="R61" s="50" t="str">
        <x:v>脚本状态，无装备编码</x:v>
      </x:c>
      <x:c r="S61" s="39" t="str">
        <x:v>每个转生NPC承接连续5级；具体神力与数量后算</x:v>
      </x:c>
    </x:row>
    <x:row r="62" ht="52" customHeight="1">
      <x:c r="A62" s="37" t="str">
        <x:v>C04-REBIRTH-04</x:v>
      </x:c>
      <x:c r="B62" s="38" t="str">
        <x:v>C04</x:v>
      </x:c>
      <x:c r="C62" s="38" t="str">
        <x:v>利耶尼亚海域</x:v>
      </x:c>
      <x:c r="D62" s="38" t="str">
        <x:v>C04-REBIRTH</x:v>
      </x:c>
      <x:c r="E62" s="38" t="str">
        <x:f>IFERROR(VLOOKUP(D62,'01_NPC总览'!$A$5:$D$54,4,FALSE),"未登记")</x:f>
        <x:v>潮印引渡者·洛弥</x:v>
      </x:c>
      <x:c r="F62" s="38" t="str">
        <x:v>转生</x:v>
      </x:c>
      <x:c r="G62" s="38" t="str">
        <x:v>第4转·湖誓重铸</x:v>
      </x:c>
      <x:c r="H62" s="38" t="str">
        <x:v>转生状态</x:v>
      </x:c>
      <x:c r="I62" s="38" t="str">
        <x:v>第3转</x:v>
      </x:c>
      <x:c r="J62" s="38" t="str">
        <x:v>湖盐结晶</x:v>
      </x:c>
      <x:c r="K62" s="38" t="str">
        <x:v>雾潮银鳞＋幽船铆钉＋沉湖王印</x:v>
      </x:c>
      <x:c r="L62" s="38" t="str">
        <x:v>小卢恩</x:v>
      </x:c>
      <x:c r="M62" s="38" t="str">
        <x:v>金币＋元宝</x:v>
      </x:c>
      <x:c r="N62" s="38" t="str">
        <x:v>100%确定成功；不失败吞料</x:v>
      </x:c>
      <x:c r="O62" s="38" t="str">
        <x:v>神力倍攻主来源；逐转提高</x:v>
      </x:c>
      <x:c r="P62" s="38" t="str">
        <x:v>角色绑定</x:v>
      </x:c>
      <x:c r="Q62" s="47" t="str">
        <x:v>待经济反算</x:v>
      </x:c>
      <x:c r="R62" s="50" t="str">
        <x:v>脚本状态，无装备编码</x:v>
      </x:c>
      <x:c r="S62" s="39" t="str">
        <x:v>每个转生NPC承接连续5级；具体神力与数量后算</x:v>
      </x:c>
    </x:row>
    <x:row r="63" ht="52" customHeight="1">
      <x:c r="A63" s="37" t="str">
        <x:v>C04-REBIRTH-05</x:v>
      </x:c>
      <x:c r="B63" s="38" t="str">
        <x:v>C04</x:v>
      </x:c>
      <x:c r="C63" s="38" t="str">
        <x:v>利耶尼亚海域</x:v>
      </x:c>
      <x:c r="D63" s="38" t="str">
        <x:v>C04-REBIRTH</x:v>
      </x:c>
      <x:c r="E63" s="38" t="str">
        <x:f>IFERROR(VLOOKUP(D63,'01_NPC总览'!$A$5:$D$54,4,FALSE),"未登记")</x:f>
        <x:v>潮印引渡者·洛弥</x:v>
      </x:c>
      <x:c r="F63" s="38" t="str">
        <x:v>转生</x:v>
      </x:c>
      <x:c r="G63" s="38" t="str">
        <x:v>第5转·闭潮新生</x:v>
      </x:c>
      <x:c r="H63" s="38" t="str">
        <x:v>转生状态</x:v>
      </x:c>
      <x:c r="I63" s="38" t="str">
        <x:v>第4转</x:v>
      </x:c>
      <x:c r="J63" s="38" t="str">
        <x:v>湖盐结晶</x:v>
      </x:c>
      <x:c r="K63" s="38" t="str">
        <x:v>雾潮银鳞＋幽船铆钉＋沉湖王印</x:v>
      </x:c>
      <x:c r="L63" s="38" t="str">
        <x:v>小卢恩</x:v>
      </x:c>
      <x:c r="M63" s="38" t="str">
        <x:v>金币＋元宝</x:v>
      </x:c>
      <x:c r="N63" s="38" t="str">
        <x:v>100%确定成功；不失败吞料</x:v>
      </x:c>
      <x:c r="O63" s="38" t="str">
        <x:v>神力倍攻主来源；逐转提高</x:v>
      </x:c>
      <x:c r="P63" s="38" t="str">
        <x:v>角色绑定</x:v>
      </x:c>
      <x:c r="Q63" s="47" t="str">
        <x:v>待经济反算</x:v>
      </x:c>
      <x:c r="R63" s="50" t="str">
        <x:v>脚本状态，无装备编码</x:v>
      </x:c>
      <x:c r="S63" s="39" t="str">
        <x:v>每个转生NPC承接连续5级；具体神力与数量后算</x:v>
      </x:c>
    </x:row>
    <x:row r="64" ht="52" customHeight="1">
      <x:c r="A64" s="37" t="str">
        <x:v>C06-REBIRTH-06</x:v>
      </x:c>
      <x:c r="B64" s="38" t="str">
        <x:v>C06</x:v>
      </x:c>
      <x:c r="C64" s="38" t="str">
        <x:v>盖利德</x:v>
      </x:c>
      <x:c r="D64" s="38" t="str">
        <x:v>C06-REBIRTH</x:v>
      </x:c>
      <x:c r="E64" s="38" t="str">
        <x:f>IFERROR(VLOOKUP(D64,'01_NPC总览'!$A$5:$D$54,4,FALSE),"未登记")</x:f>
        <x:v>红狮洗礼官·卡恩</x:v>
      </x:c>
      <x:c r="F64" s="38" t="str">
        <x:v>转生</x:v>
      </x:c>
      <x:c r="G64" s="38" t="str">
        <x:v>第6转·灰原灼骨</x:v>
      </x:c>
      <x:c r="H64" s="38" t="str">
        <x:v>转生状态</x:v>
      </x:c>
      <x:c r="I64" s="38" t="str">
        <x:v>第5转</x:v>
      </x:c>
      <x:c r="J64" s="38" t="str">
        <x:v>猩红矿渣</x:v>
      </x:c>
      <x:c r="K64" s="38" t="str">
        <x:v>净火腺囊＋龙火鳞＋红狮战印</x:v>
      </x:c>
      <x:c r="L64" s="38" t="str">
        <x:v>小卢恩／大卢恩</x:v>
      </x:c>
      <x:c r="M64" s="38" t="str">
        <x:v>金币</x:v>
      </x:c>
      <x:c r="N64" s="38" t="str">
        <x:v>100%确定成功；不失败吞料</x:v>
      </x:c>
      <x:c r="O64" s="38" t="str">
        <x:v>神力倍攻主来源；逐转提高</x:v>
      </x:c>
      <x:c r="P64" s="38" t="str">
        <x:v>角色绑定</x:v>
      </x:c>
      <x:c r="Q64" s="47" t="str">
        <x:v>待经济反算</x:v>
      </x:c>
      <x:c r="R64" s="50" t="str">
        <x:v>脚本状态，无装备编码</x:v>
      </x:c>
      <x:c r="S64" s="39" t="str">
        <x:v>每个转生NPC承接连续5级；具体神力与数量后算</x:v>
      </x:c>
    </x:row>
    <x:row r="65" ht="52" customHeight="1">
      <x:c r="A65" s="37" t="str">
        <x:v>C06-REBIRTH-07</x:v>
      </x:c>
      <x:c r="B65" s="38" t="str">
        <x:v>C06</x:v>
      </x:c>
      <x:c r="C65" s="38" t="str">
        <x:v>盖利德</x:v>
      </x:c>
      <x:c r="D65" s="38" t="str">
        <x:v>C06-REBIRTH</x:v>
      </x:c>
      <x:c r="E65" s="38" t="str">
        <x:f>IFERROR(VLOOKUP(D65,'01_NPC总览'!$A$5:$D$54,4,FALSE),"未登记")</x:f>
        <x:v>红狮洗礼官·卡恩</x:v>
      </x:c>
      <x:c r="F65" s="38" t="str">
        <x:v>转生</x:v>
      </x:c>
      <x:c r="G65" s="38" t="str">
        <x:v>第7转·腐焰炼血</x:v>
      </x:c>
      <x:c r="H65" s="38" t="str">
        <x:v>转生状态</x:v>
      </x:c>
      <x:c r="I65" s="38" t="str">
        <x:v>第6转</x:v>
      </x:c>
      <x:c r="J65" s="38" t="str">
        <x:v>猩红矿渣</x:v>
      </x:c>
      <x:c r="K65" s="38" t="str">
        <x:v>净火腺囊＋龙火鳞＋红狮战印</x:v>
      </x:c>
      <x:c r="L65" s="38" t="str">
        <x:v>小卢恩／大卢恩</x:v>
      </x:c>
      <x:c r="M65" s="38" t="str">
        <x:v>金币</x:v>
      </x:c>
      <x:c r="N65" s="38" t="str">
        <x:v>100%确定成功；不失败吞料</x:v>
      </x:c>
      <x:c r="O65" s="38" t="str">
        <x:v>神力倍攻主来源；逐转提高</x:v>
      </x:c>
      <x:c r="P65" s="38" t="str">
        <x:v>角色绑定</x:v>
      </x:c>
      <x:c r="Q65" s="47" t="str">
        <x:v>待经济反算</x:v>
      </x:c>
      <x:c r="R65" s="50" t="str">
        <x:v>脚本状态，无装备编码</x:v>
      </x:c>
      <x:c r="S65" s="39" t="str">
        <x:v>每个转生NPC承接连续5级；具体神力与数量后算</x:v>
      </x:c>
    </x:row>
    <x:row r="66" ht="52" customHeight="1">
      <x:c r="A66" s="37" t="str">
        <x:v>C06-REBIRTH-08</x:v>
      </x:c>
      <x:c r="B66" s="38" t="str">
        <x:v>C06</x:v>
      </x:c>
      <x:c r="C66" s="38" t="str">
        <x:v>盖利德</x:v>
      </x:c>
      <x:c r="D66" s="38" t="str">
        <x:v>C06-REBIRTH</x:v>
      </x:c>
      <x:c r="E66" s="38" t="str">
        <x:f>IFERROR(VLOOKUP(D66,'01_NPC总览'!$A$5:$D$54,4,FALSE),"未登记")</x:f>
        <x:v>红狮洗礼官·卡恩</x:v>
      </x:c>
      <x:c r="F66" s="38" t="str">
        <x:v>转生</x:v>
      </x:c>
      <x:c r="G66" s="38" t="str">
        <x:v>第8转·红狮战心</x:v>
      </x:c>
      <x:c r="H66" s="38" t="str">
        <x:v>转生状态</x:v>
      </x:c>
      <x:c r="I66" s="38" t="str">
        <x:v>第7转</x:v>
      </x:c>
      <x:c r="J66" s="38" t="str">
        <x:v>猩红矿渣</x:v>
      </x:c>
      <x:c r="K66" s="38" t="str">
        <x:v>净火腺囊＋龙火鳞＋红狮战印</x:v>
      </x:c>
      <x:c r="L66" s="38" t="str">
        <x:v>小卢恩／大卢恩</x:v>
      </x:c>
      <x:c r="M66" s="38" t="str">
        <x:v>金币</x:v>
      </x:c>
      <x:c r="N66" s="38" t="str">
        <x:v>100%确定成功；不失败吞料</x:v>
      </x:c>
      <x:c r="O66" s="38" t="str">
        <x:v>神力倍攻主来源；逐转提高</x:v>
      </x:c>
      <x:c r="P66" s="38" t="str">
        <x:v>角色绑定</x:v>
      </x:c>
      <x:c r="Q66" s="47" t="str">
        <x:v>待经济反算</x:v>
      </x:c>
      <x:c r="R66" s="50" t="str">
        <x:v>脚本状态，无装备编码</x:v>
      </x:c>
      <x:c r="S66" s="39" t="str">
        <x:v>每个转生NPC承接连续5级；具体神力与数量后算</x:v>
      </x:c>
    </x:row>
    <x:row r="67" ht="52" customHeight="1">
      <x:c r="A67" s="37" t="str">
        <x:v>C06-REBIRTH-09</x:v>
      </x:c>
      <x:c r="B67" s="38" t="str">
        <x:v>C06</x:v>
      </x:c>
      <x:c r="C67" s="38" t="str">
        <x:v>盖利德</x:v>
      </x:c>
      <x:c r="D67" s="38" t="str">
        <x:v>C06-REBIRTH</x:v>
      </x:c>
      <x:c r="E67" s="38" t="str">
        <x:f>IFERROR(VLOOKUP(D67,'01_NPC总览'!$A$5:$D$54,4,FALSE),"未登记")</x:f>
        <x:v>红狮洗礼官·卡恩</x:v>
      </x:c>
      <x:c r="F67" s="38" t="str">
        <x:v>转生</x:v>
      </x:c>
      <x:c r="G67" s="38" t="str">
        <x:v>第9转·龙火淬魂</x:v>
      </x:c>
      <x:c r="H67" s="38" t="str">
        <x:v>转生状态</x:v>
      </x:c>
      <x:c r="I67" s="38" t="str">
        <x:v>第8转</x:v>
      </x:c>
      <x:c r="J67" s="38" t="str">
        <x:v>猩红矿渣</x:v>
      </x:c>
      <x:c r="K67" s="38" t="str">
        <x:v>净火腺囊＋龙火鳞＋红狮战印</x:v>
      </x:c>
      <x:c r="L67" s="38" t="str">
        <x:v>小卢恩／大卢恩</x:v>
      </x:c>
      <x:c r="M67" s="38" t="str">
        <x:v>金币</x:v>
      </x:c>
      <x:c r="N67" s="38" t="str">
        <x:v>100%确定成功；不失败吞料</x:v>
      </x:c>
      <x:c r="O67" s="38" t="str">
        <x:v>神力倍攻主来源；逐转提高</x:v>
      </x:c>
      <x:c r="P67" s="38" t="str">
        <x:v>角色绑定</x:v>
      </x:c>
      <x:c r="Q67" s="47" t="str">
        <x:v>待经济反算</x:v>
      </x:c>
      <x:c r="R67" s="50" t="str">
        <x:v>脚本状态，无装备编码</x:v>
      </x:c>
      <x:c r="S67" s="39" t="str">
        <x:v>每个转生NPC承接连续5级；具体神力与数量后算</x:v>
      </x:c>
    </x:row>
    <x:row r="68" ht="52" customHeight="1">
      <x:c r="A68" s="37" t="str">
        <x:v>C06-REBIRTH-10</x:v>
      </x:c>
      <x:c r="B68" s="38" t="str">
        <x:v>C06</x:v>
      </x:c>
      <x:c r="C68" s="38" t="str">
        <x:v>盖利德</x:v>
      </x:c>
      <x:c r="D68" s="38" t="str">
        <x:v>C06-REBIRTH</x:v>
      </x:c>
      <x:c r="E68" s="38" t="str">
        <x:f>IFERROR(VLOOKUP(D68,'01_NPC总览'!$A$5:$D$54,4,FALSE),"未登记")</x:f>
        <x:v>红狮洗礼官·卡恩</x:v>
      </x:c>
      <x:c r="F68" s="38" t="str">
        <x:v>转生</x:v>
      </x:c>
      <x:c r="G68" s="38" t="str">
        <x:v>第10转·碎星再临</x:v>
      </x:c>
      <x:c r="H68" s="38" t="str">
        <x:v>转生状态</x:v>
      </x:c>
      <x:c r="I68" s="38" t="str">
        <x:v>第9转</x:v>
      </x:c>
      <x:c r="J68" s="38" t="str">
        <x:v>猩红矿渣</x:v>
      </x:c>
      <x:c r="K68" s="38" t="str">
        <x:v>净火腺囊＋龙火鳞＋红狮战印</x:v>
      </x:c>
      <x:c r="L68" s="38" t="str">
        <x:v>小卢恩／大卢恩</x:v>
      </x:c>
      <x:c r="M68" s="38" t="str">
        <x:v>金币</x:v>
      </x:c>
      <x:c r="N68" s="38" t="str">
        <x:v>100%确定成功；不失败吞料</x:v>
      </x:c>
      <x:c r="O68" s="38" t="str">
        <x:v>神力倍攻主来源；逐转提高</x:v>
      </x:c>
      <x:c r="P68" s="38" t="str">
        <x:v>角色绑定</x:v>
      </x:c>
      <x:c r="Q68" s="47" t="str">
        <x:v>待经济反算</x:v>
      </x:c>
      <x:c r="R68" s="50" t="str">
        <x:v>脚本状态，无装备编码</x:v>
      </x:c>
      <x:c r="S68" s="39" t="str">
        <x:v>每个转生NPC承接连续5级；具体神力与数量后算</x:v>
      </x:c>
    </x:row>
    <x:row r="69" ht="52" customHeight="1">
      <x:c r="A69" s="37" t="str">
        <x:v>C08-REBIRTH-11</x:v>
      </x:c>
      <x:c r="B69" s="38" t="str">
        <x:v>C08</x:v>
      </x:c>
      <x:c r="C69" s="38" t="str">
        <x:v>巨人山顶</x:v>
      </x:c>
      <x:c r="D69" s="38" t="str">
        <x:v>C08-REBIRTH</x:v>
      </x:c>
      <x:c r="E69" s="38" t="str">
        <x:f>IFERROR(VLOOKUP(D69,'01_NPC总览'!$A$5:$D$54,4,FALSE),"未登记")</x:f>
        <x:v>炉脉引渡者·赫达</x:v>
      </x:c>
      <x:c r="F69" s="38" t="str">
        <x:v>转生</x:v>
      </x:c>
      <x:c r="G69" s="38" t="str">
        <x:v>第11转·登霜换骨</x:v>
      </x:c>
      <x:c r="H69" s="38" t="str">
        <x:v>转生状态</x:v>
      </x:c>
      <x:c r="I69" s="38" t="str">
        <x:v>第10转</x:v>
      </x:c>
      <x:c r="J69" s="38" t="str">
        <x:v>霜脊铁</x:v>
      </x:c>
      <x:c r="K69" s="38" t="str">
        <x:v>裂峰号角片＋巨人火种＋巨人火印</x:v>
      </x:c>
      <x:c r="L69" s="38" t="str">
        <x:v>大卢恩</x:v>
      </x:c>
      <x:c r="M69" s="38" t="str">
        <x:v>金币＋元宝</x:v>
      </x:c>
      <x:c r="N69" s="38" t="str">
        <x:v>100%确定成功；不失败吞料</x:v>
      </x:c>
      <x:c r="O69" s="38" t="str">
        <x:v>神力倍攻主来源；逐转提高</x:v>
      </x:c>
      <x:c r="P69" s="38" t="str">
        <x:v>角色绑定</x:v>
      </x:c>
      <x:c r="Q69" s="47" t="str">
        <x:v>待经济反算</x:v>
      </x:c>
      <x:c r="R69" s="50" t="str">
        <x:v>脚本状态，无装备编码</x:v>
      </x:c>
      <x:c r="S69" s="39" t="str">
        <x:v>每个转生NPC承接连续5级；具体神力与数量后算</x:v>
      </x:c>
    </x:row>
    <x:row r="70" ht="52" customHeight="1">
      <x:c r="A70" s="37" t="str">
        <x:v>C08-REBIRTH-12</x:v>
      </x:c>
      <x:c r="B70" s="38" t="str">
        <x:v>C08</x:v>
      </x:c>
      <x:c r="C70" s="38" t="str">
        <x:v>巨人山顶</x:v>
      </x:c>
      <x:c r="D70" s="38" t="str">
        <x:v>C08-REBIRTH</x:v>
      </x:c>
      <x:c r="E70" s="38" t="str">
        <x:f>IFERROR(VLOOKUP(D70,'01_NPC总览'!$A$5:$D$54,4,FALSE),"未登记")</x:f>
        <x:v>炉脉引渡者·赫达</x:v>
      </x:c>
      <x:c r="F70" s="38" t="str">
        <x:v>转生</x:v>
      </x:c>
      <x:c r="G70" s="38" t="str">
        <x:v>第12转·炉火铸心</x:v>
      </x:c>
      <x:c r="H70" s="38" t="str">
        <x:v>转生状态</x:v>
      </x:c>
      <x:c r="I70" s="38" t="str">
        <x:v>第11转</x:v>
      </x:c>
      <x:c r="J70" s="38" t="str">
        <x:v>霜脊铁</x:v>
      </x:c>
      <x:c r="K70" s="38" t="str">
        <x:v>裂峰号角片＋巨人火种＋巨人火印</x:v>
      </x:c>
      <x:c r="L70" s="38" t="str">
        <x:v>大卢恩</x:v>
      </x:c>
      <x:c r="M70" s="38" t="str">
        <x:v>金币＋元宝</x:v>
      </x:c>
      <x:c r="N70" s="38" t="str">
        <x:v>100%确定成功；不失败吞料</x:v>
      </x:c>
      <x:c r="O70" s="38" t="str">
        <x:v>神力倍攻主来源；逐转提高</x:v>
      </x:c>
      <x:c r="P70" s="38" t="str">
        <x:v>角色绑定</x:v>
      </x:c>
      <x:c r="Q70" s="47" t="str">
        <x:v>待经济反算</x:v>
      </x:c>
      <x:c r="R70" s="50" t="str">
        <x:v>脚本状态，无装备编码</x:v>
      </x:c>
      <x:c r="S70" s="39" t="str">
        <x:v>每个转生NPC承接连续5级；具体神力与数量后算</x:v>
      </x:c>
    </x:row>
    <x:row r="71" ht="52" customHeight="1">
      <x:c r="A71" s="37" t="str">
        <x:v>C08-REBIRTH-13</x:v>
      </x:c>
      <x:c r="B71" s="38" t="str">
        <x:v>C08</x:v>
      </x:c>
      <x:c r="C71" s="38" t="str">
        <x:v>巨人山顶</x:v>
      </x:c>
      <x:c r="D71" s="38" t="str">
        <x:v>C08-REBIRTH</x:v>
      </x:c>
      <x:c r="E71" s="38" t="str">
        <x:f>IFERROR(VLOOKUP(D71,'01_NPC总览'!$A$5:$D$54,4,FALSE),"未登记")</x:f>
        <x:v>炉脉引渡者·赫达</x:v>
      </x:c>
      <x:c r="F71" s="38" t="str">
        <x:v>转生</x:v>
      </x:c>
      <x:c r="G71" s="38" t="str">
        <x:v>第13转·巨人燃血</x:v>
      </x:c>
      <x:c r="H71" s="38" t="str">
        <x:v>转生状态</x:v>
      </x:c>
      <x:c r="I71" s="38" t="str">
        <x:v>第12转</x:v>
      </x:c>
      <x:c r="J71" s="38" t="str">
        <x:v>霜脊铁</x:v>
      </x:c>
      <x:c r="K71" s="38" t="str">
        <x:v>裂峰号角片＋巨人火种＋巨人火印</x:v>
      </x:c>
      <x:c r="L71" s="38" t="str">
        <x:v>大卢恩</x:v>
      </x:c>
      <x:c r="M71" s="38" t="str">
        <x:v>金币＋元宝</x:v>
      </x:c>
      <x:c r="N71" s="38" t="str">
        <x:v>100%确定成功；不失败吞料</x:v>
      </x:c>
      <x:c r="O71" s="38" t="str">
        <x:v>神力倍攻主来源；逐转提高</x:v>
      </x:c>
      <x:c r="P71" s="38" t="str">
        <x:v>角色绑定</x:v>
      </x:c>
      <x:c r="Q71" s="47" t="str">
        <x:v>待经济反算</x:v>
      </x:c>
      <x:c r="R71" s="50" t="str">
        <x:v>脚本状态，无装备编码</x:v>
      </x:c>
      <x:c r="S71" s="39" t="str">
        <x:v>每个转生NPC承接连续5级；具体神力与数量后算</x:v>
      </x:c>
    </x:row>
    <x:row r="72" ht="52" customHeight="1">
      <x:c r="A72" s="37" t="str">
        <x:v>C08-REBIRTH-14</x:v>
      </x:c>
      <x:c r="B72" s="38" t="str">
        <x:v>C08</x:v>
      </x:c>
      <x:c r="C72" s="38" t="str">
        <x:v>巨人山顶</x:v>
      </x:c>
      <x:c r="D72" s="38" t="str">
        <x:v>C08-REBIRTH</x:v>
      </x:c>
      <x:c r="E72" s="38" t="str">
        <x:f>IFERROR(VLOOKUP(D72,'01_NPC总览'!$A$5:$D$54,4,FALSE),"未登记")</x:f>
        <x:v>炉脉引渡者·赫达</x:v>
      </x:c>
      <x:c r="F72" s="38" t="str">
        <x:v>转生</x:v>
      </x:c>
      <x:c r="G72" s="38" t="str">
        <x:v>第14转·吞日化躯</x:v>
      </x:c>
      <x:c r="H72" s="38" t="str">
        <x:v>转生状态</x:v>
      </x:c>
      <x:c r="I72" s="38" t="str">
        <x:v>第13转</x:v>
      </x:c>
      <x:c r="J72" s="38" t="str">
        <x:v>霜脊铁</x:v>
      </x:c>
      <x:c r="K72" s="38" t="str">
        <x:v>裂峰号角片＋巨人火种＋巨人火印</x:v>
      </x:c>
      <x:c r="L72" s="38" t="str">
        <x:v>大卢恩</x:v>
      </x:c>
      <x:c r="M72" s="38" t="str">
        <x:v>金币＋元宝</x:v>
      </x:c>
      <x:c r="N72" s="38" t="str">
        <x:v>100%确定成功；不失败吞料</x:v>
      </x:c>
      <x:c r="O72" s="38" t="str">
        <x:v>神力倍攻主来源；逐转提高</x:v>
      </x:c>
      <x:c r="P72" s="38" t="str">
        <x:v>角色绑定</x:v>
      </x:c>
      <x:c r="Q72" s="47" t="str">
        <x:v>待经济反算</x:v>
      </x:c>
      <x:c r="R72" s="50" t="str">
        <x:v>脚本状态，无装备编码</x:v>
      </x:c>
      <x:c r="S72" s="39" t="str">
        <x:v>每个转生NPC承接连续5级；具体神力与数量后算</x:v>
      </x:c>
    </x:row>
    <x:row r="73" ht="52" customHeight="1">
      <x:c r="A73" s="37" t="str">
        <x:v>C08-REBIRTH-15</x:v>
      </x:c>
      <x:c r="B73" s="38" t="str">
        <x:v>C08</x:v>
      </x:c>
      <x:c r="C73" s="38" t="str">
        <x:v>巨人山顶</x:v>
      </x:c>
      <x:c r="D73" s="38" t="str">
        <x:v>C08-REBIRTH</x:v>
      </x:c>
      <x:c r="E73" s="38" t="str">
        <x:f>IFERROR(VLOOKUP(D73,'01_NPC总览'!$A$5:$D$54,4,FALSE),"未登记")</x:f>
        <x:v>炉脉引渡者·赫达</x:v>
      </x:c>
      <x:c r="F73" s="38" t="str">
        <x:v>转生</x:v>
      </x:c>
      <x:c r="G73" s="38" t="str">
        <x:v>第15转·山巅归一</x:v>
      </x:c>
      <x:c r="H73" s="38" t="str">
        <x:v>转生状态</x:v>
      </x:c>
      <x:c r="I73" s="38" t="str">
        <x:v>第14转</x:v>
      </x:c>
      <x:c r="J73" s="38" t="str">
        <x:v>霜脊铁</x:v>
      </x:c>
      <x:c r="K73" s="38" t="str">
        <x:v>裂峰号角片＋巨人火种＋巨人火印</x:v>
      </x:c>
      <x:c r="L73" s="38" t="str">
        <x:v>大卢恩</x:v>
      </x:c>
      <x:c r="M73" s="38" t="str">
        <x:v>金币＋元宝</x:v>
      </x:c>
      <x:c r="N73" s="38" t="str">
        <x:v>100%确定成功；不失败吞料</x:v>
      </x:c>
      <x:c r="O73" s="38" t="str">
        <x:v>神力倍攻主来源；逐转提高</x:v>
      </x:c>
      <x:c r="P73" s="38" t="str">
        <x:v>角色绑定</x:v>
      </x:c>
      <x:c r="Q73" s="47" t="str">
        <x:v>待经济反算</x:v>
      </x:c>
      <x:c r="R73" s="50" t="str">
        <x:v>脚本状态，无装备编码</x:v>
      </x:c>
      <x:c r="S73" s="39" t="str">
        <x:v>每个转生NPC承接连续5级；具体神力与数量后算</x:v>
      </x:c>
    </x:row>
    <x:row r="74" ht="52" customHeight="1">
      <x:c r="A74" s="37" t="str">
        <x:v>C10-REBIRTH-16</x:v>
      </x:c>
      <x:c r="B74" s="38" t="str">
        <x:v>C10</x:v>
      </x:c>
      <x:c r="C74" s="38" t="str">
        <x:v>王城罗德尔</x:v>
      </x:c>
      <x:c r="D74" s="38" t="str">
        <x:v>C10-REBIRTH</x:v>
      </x:c>
      <x:c r="E74" s="38" t="str">
        <x:f>IFERROR(VLOOKUP(D74,'01_NPC总览'!$A$5:$D$54,4,FALSE),"未登记")</x:f>
        <x:v>王律司转·埃伦</x:v>
      </x:c>
      <x:c r="F74" s="38" t="str">
        <x:v>转生</x:v>
      </x:c>
      <x:c r="G74" s="38" t="str">
        <x:v>第16转·王律铭身</x:v>
      </x:c>
      <x:c r="H74" s="38" t="str">
        <x:v>转生状态</x:v>
      </x:c>
      <x:c r="I74" s="38" t="str">
        <x:v>第15转</x:v>
      </x:c>
      <x:c r="J74" s="38" t="str">
        <x:v>王城金屑</x:v>
      </x:c>
      <x:c r="K74" s="38" t="str">
        <x:v>王宫律文＋王宫断冠片＋艾尔登王印</x:v>
      </x:c>
      <x:c r="L74" s="38" t="str">
        <x:v>大卢恩</x:v>
      </x:c>
      <x:c r="M74" s="38" t="str">
        <x:v>金币＋元宝</x:v>
      </x:c>
      <x:c r="N74" s="38" t="str">
        <x:v>100%确定成功；不失败吞料</x:v>
      </x:c>
      <x:c r="O74" s="38" t="str">
        <x:v>神力倍攻主来源；逐转提高</x:v>
      </x:c>
      <x:c r="P74" s="38" t="str">
        <x:v>角色绑定</x:v>
      </x:c>
      <x:c r="Q74" s="47" t="str">
        <x:v>待经济反算</x:v>
      </x:c>
      <x:c r="R74" s="50" t="str">
        <x:v>脚本状态，无装备编码</x:v>
      </x:c>
      <x:c r="S74" s="39" t="str">
        <x:v>每个转生NPC承接连续5级；具体神力与数量后算</x:v>
      </x:c>
    </x:row>
    <x:row r="75" ht="52" customHeight="1">
      <x:c r="A75" s="37" t="str">
        <x:v>C10-REBIRTH-17</x:v>
      </x:c>
      <x:c r="B75" s="38" t="str">
        <x:v>C10</x:v>
      </x:c>
      <x:c r="C75" s="38" t="str">
        <x:v>王城罗德尔</x:v>
      </x:c>
      <x:c r="D75" s="38" t="str">
        <x:v>C10-REBIRTH</x:v>
      </x:c>
      <x:c r="E75" s="38" t="str">
        <x:f>IFERROR(VLOOKUP(D75,'01_NPC总览'!$A$5:$D$54,4,FALSE),"未登记")</x:f>
        <x:v>王律司转·埃伦</x:v>
      </x:c>
      <x:c r="F75" s="38" t="str">
        <x:v>转生</x:v>
      </x:c>
      <x:c r="G75" s="38" t="str">
        <x:v>第17转·金树烙魂</x:v>
      </x:c>
      <x:c r="H75" s="38" t="str">
        <x:v>转生状态</x:v>
      </x:c>
      <x:c r="I75" s="38" t="str">
        <x:v>第16转</x:v>
      </x:c>
      <x:c r="J75" s="38" t="str">
        <x:v>王城金屑</x:v>
      </x:c>
      <x:c r="K75" s="38" t="str">
        <x:v>王宫律文＋王宫断冠片＋艾尔登王印</x:v>
      </x:c>
      <x:c r="L75" s="38" t="str">
        <x:v>大卢恩</x:v>
      </x:c>
      <x:c r="M75" s="38" t="str">
        <x:v>金币＋元宝</x:v>
      </x:c>
      <x:c r="N75" s="38" t="str">
        <x:v>100%确定成功；不失败吞料</x:v>
      </x:c>
      <x:c r="O75" s="38" t="str">
        <x:v>神力倍攻主来源；逐转提高</x:v>
      </x:c>
      <x:c r="P75" s="38" t="str">
        <x:v>角色绑定</x:v>
      </x:c>
      <x:c r="Q75" s="47" t="str">
        <x:v>待经济反算</x:v>
      </x:c>
      <x:c r="R75" s="50" t="str">
        <x:v>脚本状态，无装备编码</x:v>
      </x:c>
      <x:c r="S75" s="39" t="str">
        <x:v>每个转生NPC承接连续5级；具体神力与数量后算</x:v>
      </x:c>
    </x:row>
    <x:row r="76" ht="52" customHeight="1">
      <x:c r="A76" s="37" t="str">
        <x:v>C10-REBIRTH-18</x:v>
      </x:c>
      <x:c r="B76" s="38" t="str">
        <x:v>C10</x:v>
      </x:c>
      <x:c r="C76" s="38" t="str">
        <x:v>王城罗德尔</x:v>
      </x:c>
      <x:c r="D76" s="38" t="str">
        <x:v>C10-REBIRTH</x:v>
      </x:c>
      <x:c r="E76" s="38" t="str">
        <x:f>IFERROR(VLOOKUP(D76,'01_NPC总览'!$A$5:$D$54,4,FALSE),"未登记")</x:f>
        <x:v>王律司转·埃伦</x:v>
      </x:c>
      <x:c r="F76" s="38" t="str">
        <x:v>转生</x:v>
      </x:c>
      <x:c r="G76" s="38" t="str">
        <x:v>第18转·王座承命</x:v>
      </x:c>
      <x:c r="H76" s="38" t="str">
        <x:v>转生状态</x:v>
      </x:c>
      <x:c r="I76" s="38" t="str">
        <x:v>第17转</x:v>
      </x:c>
      <x:c r="J76" s="38" t="str">
        <x:v>王城金屑</x:v>
      </x:c>
      <x:c r="K76" s="38" t="str">
        <x:v>王宫律文＋王宫断冠片＋艾尔登王印</x:v>
      </x:c>
      <x:c r="L76" s="38" t="str">
        <x:v>大卢恩</x:v>
      </x:c>
      <x:c r="M76" s="38" t="str">
        <x:v>金币＋元宝</x:v>
      </x:c>
      <x:c r="N76" s="38" t="str">
        <x:v>100%确定成功；不失败吞料</x:v>
      </x:c>
      <x:c r="O76" s="38" t="str">
        <x:v>神力倍攻主来源；逐转提高</x:v>
      </x:c>
      <x:c r="P76" s="38" t="str">
        <x:v>角色绑定</x:v>
      </x:c>
      <x:c r="Q76" s="47" t="str">
        <x:v>待经济反算</x:v>
      </x:c>
      <x:c r="R76" s="50" t="str">
        <x:v>脚本状态，无装备编码</x:v>
      </x:c>
      <x:c r="S76" s="39" t="str">
        <x:v>每个转生NPC承接连续5级；具体神力与数量后算</x:v>
      </x:c>
    </x:row>
    <x:row r="77" ht="52" customHeight="1">
      <x:c r="A77" s="37" t="str">
        <x:v>C10-REBIRTH-19</x:v>
      </x:c>
      <x:c r="B77" s="38" t="str">
        <x:v>C10</x:v>
      </x:c>
      <x:c r="C77" s="38" t="str">
        <x:v>王城罗德尔</x:v>
      </x:c>
      <x:c r="D77" s="38" t="str">
        <x:v>C10-REBIRTH</x:v>
      </x:c>
      <x:c r="E77" s="38" t="str">
        <x:f>IFERROR(VLOOKUP(D77,'01_NPC总览'!$A$5:$D$54,4,FALSE),"未登记")</x:f>
        <x:v>王律司转·埃伦</x:v>
      </x:c>
      <x:c r="F77" s="38" t="str">
        <x:v>转生</x:v>
      </x:c>
      <x:c r="G77" s="38" t="str">
        <x:v>第19转·无冕登临</x:v>
      </x:c>
      <x:c r="H77" s="38" t="str">
        <x:v>转生状态</x:v>
      </x:c>
      <x:c r="I77" s="38" t="str">
        <x:v>第18转</x:v>
      </x:c>
      <x:c r="J77" s="38" t="str">
        <x:v>王城金屑</x:v>
      </x:c>
      <x:c r="K77" s="38" t="str">
        <x:v>王宫律文＋王宫断冠片＋艾尔登王印</x:v>
      </x:c>
      <x:c r="L77" s="38" t="str">
        <x:v>大卢恩</x:v>
      </x:c>
      <x:c r="M77" s="38" t="str">
        <x:v>金币＋元宝</x:v>
      </x:c>
      <x:c r="N77" s="38" t="str">
        <x:v>100%确定成功；不失败吞料</x:v>
      </x:c>
      <x:c r="O77" s="38" t="str">
        <x:v>神力倍攻主来源；逐转提高</x:v>
      </x:c>
      <x:c r="P77" s="38" t="str">
        <x:v>角色绑定</x:v>
      </x:c>
      <x:c r="Q77" s="47" t="str">
        <x:v>待经济反算</x:v>
      </x:c>
      <x:c r="R77" s="50" t="str">
        <x:v>脚本状态，无装备编码</x:v>
      </x:c>
      <x:c r="S77" s="39" t="str">
        <x:v>每个转生NPC承接连续5级；具体神力与数量后算</x:v>
      </x:c>
    </x:row>
    <x:row r="78" ht="52" customHeight="1">
      <x:c r="A78" s="40" t="str">
        <x:v>C10-REBIRTH-20</x:v>
      </x:c>
      <x:c r="B78" s="41" t="str">
        <x:v>C10</x:v>
      </x:c>
      <x:c r="C78" s="41" t="str">
        <x:v>王城罗德尔</x:v>
      </x:c>
      <x:c r="D78" s="41" t="str">
        <x:v>C10-REBIRTH</x:v>
      </x:c>
      <x:c r="E78" s="41" t="str">
        <x:f>IFERROR(VLOOKUP(D78,'01_NPC总览'!$A$5:$D$54,4,FALSE),"未登记")</x:f>
        <x:v>王律司转·埃伦</x:v>
      </x:c>
      <x:c r="F78" s="41" t="str">
        <x:v>转生</x:v>
      </x:c>
      <x:c r="G78" s="41" t="str">
        <x:v>第20转·艾尔登新生</x:v>
      </x:c>
      <x:c r="H78" s="41" t="str">
        <x:v>转生状态</x:v>
      </x:c>
      <x:c r="I78" s="41" t="str">
        <x:v>第19转</x:v>
      </x:c>
      <x:c r="J78" s="41" t="str">
        <x:v>王城金屑</x:v>
      </x:c>
      <x:c r="K78" s="41" t="str">
        <x:v>王宫律文＋王宫断冠片＋艾尔登王印</x:v>
      </x:c>
      <x:c r="L78" s="41" t="str">
        <x:v>大卢恩</x:v>
      </x:c>
      <x:c r="M78" s="41" t="str">
        <x:v>金币＋元宝</x:v>
      </x:c>
      <x:c r="N78" s="41" t="str">
        <x:v>100%确定成功；不失败吞料</x:v>
      </x:c>
      <x:c r="O78" s="41" t="str">
        <x:v>神力倍攻主来源；逐转提高</x:v>
      </x:c>
      <x:c r="P78" s="41" t="str">
        <x:v>角色绑定</x:v>
      </x:c>
      <x:c r="Q78" s="48" t="str">
        <x:v>待经济反算</x:v>
      </x:c>
      <x:c r="R78" s="51" t="str">
        <x:v>脚本状态，无装备编码</x:v>
      </x:c>
      <x:c r="S78" s="42" t="str">
        <x:v>每个转生NPC承接连续5级；具体神力与数量后算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fdc57a3a7fe45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22" hidden="0" customWidth="1"/>
    <x:col min="4" max="4" width="11" hidden="0" customWidth="1"/>
    <x:col min="5" max="5" width="19" hidden="0" customWidth="1"/>
    <x:col min="6" max="6" width="22" hidden="0" customWidth="1"/>
    <x:col min="7" max="7" width="12" hidden="0" customWidth="1"/>
    <x:col min="8" max="8" width="24" hidden="0" customWidth="1"/>
    <x:col min="9" max="9" width="46" hidden="0" customWidth="1"/>
    <x:col min="10" max="10" width="72" hidden="0" customWidth="1"/>
    <x:col min="11" max="11" width="32" hidden="0" customWidth="1"/>
    <x:col min="12" max="12" width="38" hidden="0" customWidth="1"/>
    <x:col min="13" max="13" width="14" hidden="0" customWidth="1"/>
    <x:col min="14" max="14" width="14" hidden="0" customWidth="1"/>
  </x:cols>
  <x:sheetData>
    <x:row r="1" ht="32" customHeight="1">
      <x:c r="A1" s="4" t="str">
        <x:v>材料掉落、消耗、回收与交易角色</x:v>
      </x:c>
      <x:c r="B1" s="4" t="str">
        <x:v>材料掉落、消耗、回收与交易角色</x:v>
      </x:c>
      <x:c r="C1" s="4" t="str">
        <x:v>材料掉落、消耗、回收与交易角色</x:v>
      </x:c>
      <x:c r="D1" s="4" t="str">
        <x:v>材料掉落、消耗、回收与交易角色</x:v>
      </x:c>
      <x:c r="E1" s="4" t="str">
        <x:v>材料掉落、消耗、回收与交易角色</x:v>
      </x:c>
      <x:c r="F1" s="4" t="str">
        <x:v>材料掉落、消耗、回收与交易角色</x:v>
      </x:c>
      <x:c r="G1" s="4" t="str">
        <x:v>材料掉落、消耗、回收与交易角色</x:v>
      </x:c>
      <x:c r="H1" s="4" t="str">
        <x:v>材料掉落、消耗、回收与交易角色</x:v>
      </x:c>
      <x:c r="I1" s="4" t="str">
        <x:v>材料掉落、消耗、回收与交易角色</x:v>
      </x:c>
      <x:c r="J1" s="4" t="str">
        <x:v>材料掉落、消耗、回收与交易角色</x:v>
      </x:c>
      <x:c r="K1" s="4" t="str">
        <x:v>材料掉落、消耗、回收与交易角色</x:v>
      </x:c>
      <x:c r="L1" s="4" t="str">
        <x:v>材料掉落、消耗、回收与交易角色</x:v>
      </x:c>
      <x:c r="M1" s="4" t="str">
        <x:v>材料掉落、消耗、回收与交易角色</x:v>
      </x:c>
      <x:c r="N1" s="4" t="str">
        <x:v>材料掉落、消耗、回收与交易角色</x:v>
      </x:c>
    </x:row>
    <x:row r="2" ht="38" customHeight="1">
      <x:c r="A2" s="8" t="str">
        <x:v>材料名称与Idx优先继承材料编码数据库；972—979仍是预留Idx，未取得Looks前不得写库。</x:v>
      </x:c>
      <x:c r="B2" s="8" t="str">
        <x:v>材料名称与Idx优先继承材料编码数据库；972—979仍是预留Idx，未取得Looks前不得写库。</x:v>
      </x:c>
      <x:c r="C2" s="8" t="str">
        <x:v>材料名称与Idx优先继承材料编码数据库；972—979仍是预留Idx，未取得Looks前不得写库。</x:v>
      </x:c>
      <x:c r="D2" s="8" t="str">
        <x:v>材料名称与Idx优先继承材料编码数据库；972—979仍是预留Idx，未取得Looks前不得写库。</x:v>
      </x:c>
      <x:c r="E2" s="8" t="str">
        <x:v>材料名称与Idx优先继承材料编码数据库；972—979仍是预留Idx，未取得Looks前不得写库。</x:v>
      </x:c>
      <x:c r="F2" s="8" t="str">
        <x:v>材料名称与Idx优先继承材料编码数据库；972—979仍是预留Idx，未取得Looks前不得写库。</x:v>
      </x:c>
      <x:c r="G2" s="8" t="str">
        <x:v>材料名称与Idx优先继承材料编码数据库；972—979仍是预留Idx，未取得Looks前不得写库。</x:v>
      </x:c>
      <x:c r="H2" s="8" t="str">
        <x:v>材料名称与Idx优先继承材料编码数据库；972—979仍是预留Idx，未取得Looks前不得写库。</x:v>
      </x:c>
      <x:c r="I2" s="8" t="str">
        <x:v>材料名称与Idx优先继承材料编码数据库；972—979仍是预留Idx，未取得Looks前不得写库。</x:v>
      </x:c>
      <x:c r="J2" s="8" t="str">
        <x:v>材料名称与Idx优先继承材料编码数据库；972—979仍是预留Idx，未取得Looks前不得写库。</x:v>
      </x:c>
      <x:c r="K2" s="8" t="str">
        <x:v>材料名称与Idx优先继承材料编码数据库；972—979仍是预留Idx，未取得Looks前不得写库。</x:v>
      </x:c>
      <x:c r="L2" s="8" t="str">
        <x:v>材料名称与Idx优先继承材料编码数据库；972—979仍是预留Idx，未取得Looks前不得写库。</x:v>
      </x:c>
      <x:c r="M2" s="8" t="str">
        <x:v>材料名称与Idx优先继承材料编码数据库；972—979仍是预留Idx，未取得Looks前不得写库。</x:v>
      </x:c>
      <x:c r="N2" s="8" t="str">
        <x:v>材料名称与Idx优先继承材料编码数据库；972—979仍是预留Idx，未取得Looks前不得写库。</x:v>
      </x:c>
    </x:row>
    <x:row r="4" ht="30" customHeight="1">
      <x:c r="A4" s="14" t="str">
        <x:v>Idx</x:v>
      </x:c>
      <x:c r="B4" s="14" t="str">
        <x:v>逻辑材料ID</x:v>
      </x:c>
      <x:c r="C4" s="14" t="str">
        <x:v>名称</x:v>
      </x:c>
      <x:c r="D4" s="14" t="str">
        <x:v>大陆ID</x:v>
      </x:c>
      <x:c r="E4" s="14" t="str">
        <x:v>大陆</x:v>
      </x:c>
      <x:c r="F4" s="14" t="str">
        <x:v>原始类别</x:v>
      </x:c>
      <x:c r="G4" s="14" t="str">
        <x:v>Looks</x:v>
      </x:c>
      <x:c r="H4" s="14" t="str">
        <x:v>编码状态</x:v>
      </x:c>
      <x:c r="I4" s="14" t="str">
        <x:v>掉落角色</x:v>
      </x:c>
      <x:c r="J4" s="14" t="str">
        <x:v>配方/系统用途</x:v>
      </x:c>
      <x:c r="K4" s="14" t="str">
        <x:v>回收口径</x:v>
      </x:c>
      <x:c r="L4" s="14" t="str">
        <x:v>交易口径</x:v>
      </x:c>
      <x:c r="M4" s="14" t="str">
        <x:v>高产主材</x:v>
      </x:c>
      <x:c r="N4" s="14" t="str">
        <x:v>大陆收藏</x:v>
      </x:c>
    </x:row>
    <x:row r="5" ht="48" customHeight="1">
      <x:c r="A5" s="34" t="n">
        <x:v>793</x:v>
      </x:c>
      <x:c r="B5" s="35" t="str">
        <x:v>EL-MAT-GLOBAL-SOMBER</x:v>
      </x:c>
      <x:c r="C5" s="35" t="str">
        <x:v>失色锻造石</x:v>
      </x:c>
      <x:c r="D5" s="35" t="str">
        <x:v>全服</x:v>
      </x:c>
      <x:c r="E5" s="35" t="str">
        <x:v>全服</x:v>
      </x:c>
      <x:c r="F5" s="35" t="str">
        <x:v>全局辅助材料</x:v>
      </x:c>
      <x:c r="G5" s="35" t="str">
        <x:v>旧行</x:v>
      </x:c>
      <x:c r="H5" s="35" t="str">
        <x:v>保护旧材料</x:v>
      </x:c>
      <x:c r="I5" s="35" t="str">
        <x:v>专属装备分解获得；不设怪物直接掉落</x:v>
      </x:c>
      <x:c r="J5" s="35" t="str">
        <x:v>C02-ASH-NORMAL、C02-ASH-HIGH、C02-ASH-OVERWRITE、C01-SYN-EQ-01、C02-SYN-EQ-01、C02-SYN-EQ-02、C03-SYN-EQ-01、C03-SYN-EQ-02、C04-SYN-EQ-01、C04-SYN-EQ-02、C04-SYN-EQ-03、C05-SYN-EQ-01、C05-SYN-EQ-02、C06-SYN-EQ-01、C06-SYN-EQ-02、C06-SYN-EQ-03、C07-SYN-EQ-01、C07-SYN-EQ-02、C08-SYN-EQ-01、C08-SYN-EQ-02、C08-SYN-EQ-03、C09-SYN-EQ-01、C09-SYN-EQ-02、C10-SYN-EQ-01、C10-SYN-EQ-02、C10-SYN-EQ-03</x:v>
      </x:c>
      <x:c r="K5" s="35" t="str">
        <x:v>不作为自动回收主材</x:v>
      </x:c>
      <x:c r="L5" s="35" t="str">
        <x:v>可交易</x:v>
      </x:c>
      <x:c r="M5" s="35" t="str">
        <x:v>否</x:v>
      </x:c>
      <x:c r="N5" s="36" t="str">
        <x:v>否</x:v>
      </x:c>
    </x:row>
    <x:row r="6" ht="48" customHeight="1">
      <x:c r="A6" s="37" t="n">
        <x:v>794</x:v>
      </x:c>
      <x:c r="B6" s="38" t="str">
        <x:v>EL-MAT-C02-BONE</x:v>
      </x:c>
      <x:c r="C6" s="38" t="str">
        <x:v>野兽骨片</x:v>
      </x:c>
      <x:c r="D6" s="38" t="str">
        <x:v>C02</x:v>
      </x:c>
      <x:c r="E6" s="38" t="str">
        <x:v>宁姆格福</x:v>
      </x:c>
      <x:c r="F6" s="38" t="str">
        <x:v>技能材料</x:v>
      </x:c>
      <x:c r="G6" s="38" t="str">
        <x:v>旧行</x:v>
      </x:c>
      <x:c r="H6" s="38" t="str">
        <x:v>保护旧材料</x:v>
      </x:c>
      <x:c r="I6" s="38" t="str">
        <x:v>第二大陆及后续技能材料来源</x:v>
      </x:c>
      <x:c r="J6" s="38" t="str">
        <x:v>待配方／任务接入</x:v>
      </x:c>
      <x:c r="K6" s="38" t="str">
        <x:v>不作为自动回收主材</x:v>
      </x:c>
      <x:c r="L6" s="38" t="str">
        <x:v>可交易</x:v>
      </x:c>
      <x:c r="M6" s="38" t="str">
        <x:v>否</x:v>
      </x:c>
      <x:c r="N6" s="39" t="str">
        <x:v>否</x:v>
      </x:c>
    </x:row>
    <x:row r="7" ht="48" customHeight="1">
      <x:c r="A7" s="37" t="n">
        <x:v>802</x:v>
      </x:c>
      <x:c r="B7" s="38" t="str">
        <x:v>EL-MAT-C02-RUNE</x:v>
      </x:c>
      <x:c r="C7" s="38" t="str">
        <x:v>神秘符文</x:v>
      </x:c>
      <x:c r="D7" s="38" t="str">
        <x:v>全服</x:v>
      </x:c>
      <x:c r="E7" s="38" t="str">
        <x:v>全服</x:v>
      </x:c>
      <x:c r="F7" s="38" t="str">
        <x:v>命格材料</x:v>
      </x:c>
      <x:c r="G7" s="38" t="str">
        <x:v>旧行</x:v>
      </x:c>
      <x:c r="H7" s="38" t="str">
        <x:v>保护旧材料</x:v>
      </x:c>
      <x:c r="I7" s="38" t="str">
        <x:v>第1—10大陆全怪低爆＋灵符商店</x:v>
      </x:c>
      <x:c r="J7" s="38" t="str">
        <x:v>C01-FATE-SINGLE、C01-FATE-TEN</x:v>
      </x:c>
      <x:c r="K7" s="38" t="str">
        <x:v>不作为自动回收主材</x:v>
      </x:c>
      <x:c r="L7" s="38" t="str">
        <x:v>怪物掉落可交易；商店购买绑定</x:v>
      </x:c>
      <x:c r="M7" s="38" t="str">
        <x:v>否</x:v>
      </x:c>
      <x:c r="N7" s="39" t="str">
        <x:v>否</x:v>
      </x:c>
    </x:row>
    <x:row r="8" ht="48" customHeight="1">
      <x:c r="A8" s="37" t="n">
        <x:v>907</x:v>
      </x:c>
      <x:c r="B8" s="38" t="str">
        <x:v>EL-MAT-C01-WITNESS-TIDE</x:v>
      </x:c>
      <x:c r="C8" s="38" t="str">
        <x:v>漂流见证·潮</x:v>
      </x:c>
      <x:c r="D8" s="38" t="str">
        <x:v>C01</x:v>
      </x:c>
      <x:c r="E8" s="38" t="str">
        <x:v>漂流群岛</x:v>
      </x:c>
      <x:c r="F8" s="38" t="str">
        <x:v>剧情进度材料</x:v>
      </x:c>
      <x:c r="G8" s="38" t="n">
        <x:v>6398</x:v>
      </x:c>
      <x:c r="H8" s="38" t="str">
        <x:v>已正式入库</x:v>
      </x:c>
      <x:c r="I8" s="38" t="str">
        <x:v>按材料原类别投放</x:v>
      </x:c>
      <x:c r="J8" s="38" t="str">
        <x:v>C01-SYN-ZD-01、C01-SYN-TT-01</x:v>
      </x:c>
      <x:c r="K8" s="38" t="str">
        <x:v>不作为自动回收主材</x:v>
      </x:c>
      <x:c r="L8" s="38" t="str">
        <x:v>可交易</x:v>
      </x:c>
      <x:c r="M8" s="38" t="str">
        <x:v>否</x:v>
      </x:c>
      <x:c r="N8" s="39" t="str">
        <x:v>否</x:v>
      </x:c>
    </x:row>
    <x:row r="9" ht="48" customHeight="1">
      <x:c r="A9" s="37" t="n">
        <x:v>908</x:v>
      </x:c>
      <x:c r="B9" s="38" t="str">
        <x:v>EL-MAT-C01-WITNESS-STORM</x:v>
      </x:c>
      <x:c r="C9" s="38" t="str">
        <x:v>漂流见证·雷</x:v>
      </x:c>
      <x:c r="D9" s="38" t="str">
        <x:v>C01</x:v>
      </x:c>
      <x:c r="E9" s="38" t="str">
        <x:v>漂流群岛</x:v>
      </x:c>
      <x:c r="F9" s="38" t="str">
        <x:v>剧情进度材料</x:v>
      </x:c>
      <x:c r="G9" s="38" t="n">
        <x:v>6399</x:v>
      </x:c>
      <x:c r="H9" s="38" t="str">
        <x:v>已正式入库</x:v>
      </x:c>
      <x:c r="I9" s="38" t="str">
        <x:v>按材料原类别投放</x:v>
      </x:c>
      <x:c r="J9" s="38" t="str">
        <x:v>C01-SYN-TT-01</x:v>
      </x:c>
      <x:c r="K9" s="38" t="str">
        <x:v>不作为自动回收主材</x:v>
      </x:c>
      <x:c r="L9" s="38" t="str">
        <x:v>可交易</x:v>
      </x:c>
      <x:c r="M9" s="38" t="str">
        <x:v>否</x:v>
      </x:c>
      <x:c r="N9" s="39" t="str">
        <x:v>否</x:v>
      </x:c>
    </x:row>
    <x:row r="10" ht="48" customHeight="1">
      <x:c r="A10" s="37" t="n">
        <x:v>909</x:v>
      </x:c>
      <x:c r="B10" s="38" t="str">
        <x:v>EL-MAT-C02-OATHPAGE</x:v>
      </x:c>
      <x:c r="C10" s="38" t="str">
        <x:v>宁姆格福誓页</x:v>
      </x:c>
      <x:c r="D10" s="38" t="str">
        <x:v>C02</x:v>
      </x:c>
      <x:c r="E10" s="38" t="str">
        <x:v>宁姆格福</x:v>
      </x:c>
      <x:c r="F10" s="38" t="str">
        <x:v>剧情进度材料</x:v>
      </x:c>
      <x:c r="G10" s="38" t="n">
        <x:v>6400</x:v>
      </x:c>
      <x:c r="H10" s="38" t="str">
        <x:v>已正式入库</x:v>
      </x:c>
      <x:c r="I10" s="38" t="str">
        <x:v>按材料原类别投放</x:v>
      </x:c>
      <x:c r="J10" s="38" t="str">
        <x:v>待配方／任务接入</x:v>
      </x:c>
      <x:c r="K10" s="38" t="str">
        <x:v>不作为自动回收主材</x:v>
      </x:c>
      <x:c r="L10" s="38" t="str">
        <x:v>可交易</x:v>
      </x:c>
      <x:c r="M10" s="38" t="str">
        <x:v>否</x:v>
      </x:c>
      <x:c r="N10" s="39" t="str">
        <x:v>否</x:v>
      </x:c>
    </x:row>
    <x:row r="11" ht="48" customHeight="1">
      <x:c r="A11" s="37" t="n">
        <x:v>910</x:v>
      </x:c>
      <x:c r="B11" s="38" t="str">
        <x:v>EL-MAT-C01-COM</x:v>
      </x:c>
      <x:c r="C11" s="38" t="str">
        <x:v>海蚀铁片</x:v>
      </x:c>
      <x:c r="D11" s="38" t="str">
        <x:v>C01</x:v>
      </x:c>
      <x:c r="E11" s="38" t="str">
        <x:v>漂流群岛</x:v>
      </x:c>
      <x:c r="F11" s="38" t="str">
        <x:v>大陆通用材料</x:v>
      </x:c>
      <x:c r="G11" s="38" t="n">
        <x:v>6401</x:v>
      </x:c>
      <x:c r="H11" s="38" t="str">
        <x:v>已正式入库</x:v>
      </x:c>
      <x:c r="I11" s="38" t="str">
        <x:v>本大陆全怪高小时产量；降低触发频率、单次多叠加</x:v>
      </x:c>
      <x:c r="J11" s="38" t="str">
        <x:v>C01-SYN-EQ-01、C01-SYN-ZD-01</x:v>
      </x:c>
      <x:c r="K11" s="38" t="str">
        <x:v>R1档金币／元宝主回收口</x:v>
      </x:c>
      <x:c r="L11" s="38" t="str">
        <x:v>可交易</x:v>
      </x:c>
      <x:c r="M11" s="38" t="str">
        <x:v>是</x:v>
      </x:c>
      <x:c r="N11" s="39" t="str">
        <x:v>否</x:v>
      </x:c>
    </x:row>
    <x:row r="12" ht="48" customHeight="1">
      <x:c r="A12" s="37" t="n">
        <x:v>911</x:v>
      </x:c>
      <x:c r="B12" s="38" t="str">
        <x:v>EL-MAT-C01-RARE</x:v>
      </x:c>
      <x:c r="C12" s="38" t="str">
        <x:v>潮痕结晶</x:v>
      </x:c>
      <x:c r="D12" s="38" t="str">
        <x:v>C01</x:v>
      </x:c>
      <x:c r="E12" s="38" t="str">
        <x:v>漂流群岛</x:v>
      </x:c>
      <x:c r="F12" s="38" t="str">
        <x:v>大陆稀有材料</x:v>
      </x:c>
      <x:c r="G12" s="38" t="n">
        <x:v>6402</x:v>
      </x:c>
      <x:c r="H12" s="38" t="str">
        <x:v>已正式入库</x:v>
      </x:c>
      <x:c r="I12" s="38" t="str">
        <x:v>按材料原类别投放</x:v>
      </x:c>
      <x:c r="J12" s="38" t="str">
        <x:v>C01-SYN-EQ-01</x:v>
      </x:c>
      <x:c r="K12" s="38" t="str">
        <x:v>不作为自动回收主材</x:v>
      </x:c>
      <x:c r="L12" s="38" t="str">
        <x:v>可交易</x:v>
      </x:c>
      <x:c r="M12" s="38" t="str">
        <x:v>否</x:v>
      </x:c>
      <x:c r="N12" s="39" t="str">
        <x:v>否</x:v>
      </x:c>
    </x:row>
    <x:row r="13" ht="48" customHeight="1">
      <x:c r="A13" s="37" t="n">
        <x:v>912</x:v>
      </x:c>
      <x:c r="B13" s="38" t="str">
        <x:v>EL-MAT-C01-MARK</x:v>
      </x:c>
      <x:c r="C13" s="38" t="str">
        <x:v>漂流大陆印记</x:v>
      </x:c>
      <x:c r="D13" s="38" t="str">
        <x:v>C01</x:v>
      </x:c>
      <x:c r="E13" s="38" t="str">
        <x:v>漂流群岛</x:v>
      </x:c>
      <x:c r="F13" s="38" t="str">
        <x:v>大陆剧情印记</x:v>
      </x:c>
      <x:c r="G13" s="38" t="n">
        <x:v>6403</x:v>
      </x:c>
      <x:c r="H13" s="38" t="str">
        <x:v>已正式入库</x:v>
      </x:c>
      <x:c r="I13" s="38" t="str">
        <x:v>按材料原类别投放</x:v>
      </x:c>
      <x:c r="J13" s="38" t="str">
        <x:v>C01-SYN-EQ-01、C01-SYN-TT-01</x:v>
      </x:c>
      <x:c r="K13" s="38" t="str">
        <x:v>不作为自动回收主材</x:v>
      </x:c>
      <x:c r="L13" s="38" t="str">
        <x:v>可交易</x:v>
      </x:c>
      <x:c r="M13" s="38" t="str">
        <x:v>否</x:v>
      </x:c>
      <x:c r="N13" s="39" t="str">
        <x:v>否</x:v>
      </x:c>
    </x:row>
    <x:row r="14" ht="48" customHeight="1">
      <x:c r="A14" s="37" t="n">
        <x:v>913</x:v>
      </x:c>
      <x:c r="B14" s="38" t="str">
        <x:v>EL-MAT-C02-COM</x:v>
      </x:c>
      <x:c r="C14" s="38" t="str">
        <x:v>风暴石片</x:v>
      </x:c>
      <x:c r="D14" s="38" t="str">
        <x:v>C02</x:v>
      </x:c>
      <x:c r="E14" s="38" t="str">
        <x:v>宁姆格福</x:v>
      </x:c>
      <x:c r="F14" s="38" t="str">
        <x:v>大陆通用材料</x:v>
      </x:c>
      <x:c r="G14" s="38" t="n">
        <x:v>6404</x:v>
      </x:c>
      <x:c r="H14" s="38" t="str">
        <x:v>已正式入库</x:v>
      </x:c>
      <x:c r="I14" s="38" t="str">
        <x:v>本大陆全怪高小时产量；降低触发频率、单次多叠加</x:v>
      </x:c>
      <x:c r="J14" s="38" t="str">
        <x:v>C02-ASH-NORMAL、C02-ASH-HIGH、C02-SYN-EQ-01、C02-SYN-EQ-02、C02-SYN-ZD-01、C02-AOE-LV1</x:v>
      </x:c>
      <x:c r="K14" s="38" t="str">
        <x:v>R2档金币／元宝主回收口</x:v>
      </x:c>
      <x:c r="L14" s="38" t="str">
        <x:v>可交易</x:v>
      </x:c>
      <x:c r="M14" s="38" t="str">
        <x:v>是</x:v>
      </x:c>
      <x:c r="N14" s="39" t="str">
        <x:v>否</x:v>
      </x:c>
    </x:row>
    <x:row r="15" ht="48" customHeight="1">
      <x:c r="A15" s="37" t="n">
        <x:v>914</x:v>
      </x:c>
      <x:c r="B15" s="38" t="str">
        <x:v>EL-MAT-C02-RARE</x:v>
      </x:c>
      <x:c r="C15" s="38" t="str">
        <x:v>黄金树芽</x:v>
      </x:c>
      <x:c r="D15" s="38" t="str">
        <x:v>C02</x:v>
      </x:c>
      <x:c r="E15" s="38" t="str">
        <x:v>宁姆格福</x:v>
      </x:c>
      <x:c r="F15" s="38" t="str">
        <x:v>大陆稀有材料</x:v>
      </x:c>
      <x:c r="G15" s="38" t="n">
        <x:v>6405</x:v>
      </x:c>
      <x:c r="H15" s="38" t="str">
        <x:v>已正式入库</x:v>
      </x:c>
      <x:c r="I15" s="38" t="str">
        <x:v>按材料原类别投放</x:v>
      </x:c>
      <x:c r="J15" s="38" t="str">
        <x:v>C02-ASH-HIGH、C02-SYN-EQ-01、C02-SYN-EQ-02、C02-AOE-LV1</x:v>
      </x:c>
      <x:c r="K15" s="38" t="str">
        <x:v>不作为自动回收主材</x:v>
      </x:c>
      <x:c r="L15" s="38" t="str">
        <x:v>可交易</x:v>
      </x:c>
      <x:c r="M15" s="38" t="str">
        <x:v>否</x:v>
      </x:c>
      <x:c r="N15" s="39" t="str">
        <x:v>否</x:v>
      </x:c>
    </x:row>
    <x:row r="16" ht="48" customHeight="1">
      <x:c r="A16" s="37" t="n">
        <x:v>915</x:v>
      </x:c>
      <x:c r="B16" s="38" t="str">
        <x:v>EL-MAT-C02-MARK</x:v>
      </x:c>
      <x:c r="C16" s="38" t="str">
        <x:v>接肢王印</x:v>
      </x:c>
      <x:c r="D16" s="38" t="str">
        <x:v>C02</x:v>
      </x:c>
      <x:c r="E16" s="38" t="str">
        <x:v>宁姆格福</x:v>
      </x:c>
      <x:c r="F16" s="38" t="str">
        <x:v>大陆剧情印记</x:v>
      </x:c>
      <x:c r="G16" s="38" t="n">
        <x:v>6406</x:v>
      </x:c>
      <x:c r="H16" s="38" t="str">
        <x:v>已正式入库</x:v>
      </x:c>
      <x:c r="I16" s="38" t="str">
        <x:v>按材料原类别投放</x:v>
      </x:c>
      <x:c r="J16" s="38" t="str">
        <x:v>C02-ASH-HIGH、C02-SYN-EQ-01、C02-SYN-EQ-02、C02-SYN-ZD-01、C02-AOE-LV1</x:v>
      </x:c>
      <x:c r="K16" s="38" t="str">
        <x:v>不作为自动回收主材</x:v>
      </x:c>
      <x:c r="L16" s="38" t="str">
        <x:v>可交易</x:v>
      </x:c>
      <x:c r="M16" s="38" t="str">
        <x:v>否</x:v>
      </x:c>
      <x:c r="N16" s="39" t="str">
        <x:v>否</x:v>
      </x:c>
    </x:row>
    <x:row r="17" ht="48" customHeight="1">
      <x:c r="A17" s="37" t="n">
        <x:v>916</x:v>
      </x:c>
      <x:c r="B17" s="38" t="str">
        <x:v>EL-MAT-C03-COM</x:v>
      </x:c>
      <x:c r="C17" s="38" t="str">
        <x:v>风蚀铁片</x:v>
      </x:c>
      <x:c r="D17" s="38" t="str">
        <x:v>C03</x:v>
      </x:c>
      <x:c r="E17" s="38" t="str">
        <x:v>宁姆格福西域</x:v>
      </x:c>
      <x:c r="F17" s="38" t="str">
        <x:v>大陆通用材料</x:v>
      </x:c>
      <x:c r="G17" s="38" t="n">
        <x:v>6407</x:v>
      </x:c>
      <x:c r="H17" s="38" t="str">
        <x:v>已正式入库</x:v>
      </x:c>
      <x:c r="I17" s="38" t="str">
        <x:v>本大陆全怪高小时产量；降低触发频率、单次多叠加</x:v>
      </x:c>
      <x:c r="J17" s="38" t="str">
        <x:v>C03-SYN-EQ-01、C03-SYN-EQ-02、C03-SYN-ZD-01、C03-AOE-LV2</x:v>
      </x:c>
      <x:c r="K17" s="38" t="str">
        <x:v>R3档金币／元宝主回收口</x:v>
      </x:c>
      <x:c r="L17" s="38" t="str">
        <x:v>可交易</x:v>
      </x:c>
      <x:c r="M17" s="38" t="str">
        <x:v>是</x:v>
      </x:c>
      <x:c r="N17" s="39" t="str">
        <x:v>否</x:v>
      </x:c>
    </x:row>
    <x:row r="18" ht="48" customHeight="1">
      <x:c r="A18" s="37" t="n">
        <x:v>917</x:v>
      </x:c>
      <x:c r="B18" s="38" t="str">
        <x:v>EL-MAT-C03-RARE</x:v>
      </x:c>
      <x:c r="C18" s="38" t="str">
        <x:v>西境战旗</x:v>
      </x:c>
      <x:c r="D18" s="38" t="str">
        <x:v>C03</x:v>
      </x:c>
      <x:c r="E18" s="38" t="str">
        <x:v>宁姆格福西域</x:v>
      </x:c>
      <x:c r="F18" s="38" t="str">
        <x:v>大陆稀有材料</x:v>
      </x:c>
      <x:c r="G18" s="38" t="n">
        <x:v>6408</x:v>
      </x:c>
      <x:c r="H18" s="38" t="str">
        <x:v>已正式入库</x:v>
      </x:c>
      <x:c r="I18" s="38" t="str">
        <x:v>按材料原类别投放</x:v>
      </x:c>
      <x:c r="J18" s="38" t="str">
        <x:v>C03-SYN-TT-01</x:v>
      </x:c>
      <x:c r="K18" s="38" t="str">
        <x:v>不作为自动回收主材</x:v>
      </x:c>
      <x:c r="L18" s="38" t="str">
        <x:v>可交易</x:v>
      </x:c>
      <x:c r="M18" s="38" t="str">
        <x:v>否</x:v>
      </x:c>
      <x:c r="N18" s="39" t="str">
        <x:v>否</x:v>
      </x:c>
    </x:row>
    <x:row r="19" ht="48" customHeight="1">
      <x:c r="A19" s="37" t="n">
        <x:v>918</x:v>
      </x:c>
      <x:c r="B19" s="38" t="str">
        <x:v>EL-MAT-C03-MARK</x:v>
      </x:c>
      <x:c r="C19" s="38" t="str">
        <x:v>西境战旗印</x:v>
      </x:c>
      <x:c r="D19" s="38" t="str">
        <x:v>C03</x:v>
      </x:c>
      <x:c r="E19" s="38" t="str">
        <x:v>宁姆格福西域</x:v>
      </x:c>
      <x:c r="F19" s="38" t="str">
        <x:v>大陆剧情印记</x:v>
      </x:c>
      <x:c r="G19" s="38" t="n">
        <x:v>6409</x:v>
      </x:c>
      <x:c r="H19" s="38" t="str">
        <x:v>已正式入库</x:v>
      </x:c>
      <x:c r="I19" s="38" t="str">
        <x:v>按材料原类别投放</x:v>
      </x:c>
      <x:c r="J19" s="38" t="str">
        <x:v>C03-SYN-EQ-01、C03-SYN-ZD-01、C03-SYN-TT-01、C03-AOE-LV2</x:v>
      </x:c>
      <x:c r="K19" s="38" t="str">
        <x:v>不作为自动回收主材</x:v>
      </x:c>
      <x:c r="L19" s="38" t="str">
        <x:v>可交易</x:v>
      </x:c>
      <x:c r="M19" s="38" t="str">
        <x:v>否</x:v>
      </x:c>
      <x:c r="N19" s="39" t="str">
        <x:v>否</x:v>
      </x:c>
    </x:row>
    <x:row r="20" ht="48" customHeight="1">
      <x:c r="A20" s="37" t="n">
        <x:v>919</x:v>
      </x:c>
      <x:c r="B20" s="38" t="str">
        <x:v>EL-MAT-C04-COM</x:v>
      </x:c>
      <x:c r="C20" s="38" t="str">
        <x:v>湖盐结晶</x:v>
      </x:c>
      <x:c r="D20" s="38" t="str">
        <x:v>C04</x:v>
      </x:c>
      <x:c r="E20" s="38" t="str">
        <x:v>利耶尼亚海域</x:v>
      </x:c>
      <x:c r="F20" s="38" t="str">
        <x:v>大陆通用材料</x:v>
      </x:c>
      <x:c r="G20" s="38" t="n">
        <x:v>6410</x:v>
      </x:c>
      <x:c r="H20" s="38" t="str">
        <x:v>已正式入库</x:v>
      </x:c>
      <x:c r="I20" s="38" t="str">
        <x:v>本大陆全怪高小时产量；降低触发频率、单次多叠加</x:v>
      </x:c>
      <x:c r="J20" s="38" t="str">
        <x:v>C04-SYN-EQ-01、C04-SYN-EQ-02、C04-SYN-EQ-03、C04-SYN-ZD-01、C04-REBIRTH-01、C04-REBIRTH-02、C04-REBIRTH-03、C04-REBIRTH-04、C04-REBIRTH-05</x:v>
      </x:c>
      <x:c r="K20" s="38" t="str">
        <x:v>R4档金币／元宝主回收口</x:v>
      </x:c>
      <x:c r="L20" s="38" t="str">
        <x:v>可交易</x:v>
      </x:c>
      <x:c r="M20" s="38" t="str">
        <x:v>是</x:v>
      </x:c>
      <x:c r="N20" s="39" t="str">
        <x:v>否</x:v>
      </x:c>
    </x:row>
    <x:row r="21" ht="48" customHeight="1">
      <x:c r="A21" s="37" t="n">
        <x:v>920</x:v>
      </x:c>
      <x:c r="B21" s="38" t="str">
        <x:v>EL-MAT-C04-RARE</x:v>
      </x:c>
      <x:c r="C21" s="38" t="str">
        <x:v>幽船铆钉</x:v>
      </x:c>
      <x:c r="D21" s="38" t="str">
        <x:v>C04</x:v>
      </x:c>
      <x:c r="E21" s="38" t="str">
        <x:v>利耶尼亚海域</x:v>
      </x:c>
      <x:c r="F21" s="38" t="str">
        <x:v>大陆稀有材料</x:v>
      </x:c>
      <x:c r="G21" s="38" t="n">
        <x:v>6411</x:v>
      </x:c>
      <x:c r="H21" s="38" t="str">
        <x:v>已正式入库</x:v>
      </x:c>
      <x:c r="I21" s="38" t="str">
        <x:v>按材料原类别投放</x:v>
      </x:c>
      <x:c r="J21" s="38" t="str">
        <x:v>C04-REBIRTH-01、C04-REBIRTH-02、C04-REBIRTH-03、C04-REBIRTH-04、C04-REBIRTH-05</x:v>
      </x:c>
      <x:c r="K21" s="38" t="str">
        <x:v>不作为自动回收主材</x:v>
      </x:c>
      <x:c r="L21" s="38" t="str">
        <x:v>可交易</x:v>
      </x:c>
      <x:c r="M21" s="38" t="str">
        <x:v>否</x:v>
      </x:c>
      <x:c r="N21" s="39" t="str">
        <x:v>否</x:v>
      </x:c>
    </x:row>
    <x:row r="22" ht="48" customHeight="1">
      <x:c r="A22" s="37" t="n">
        <x:v>921</x:v>
      </x:c>
      <x:c r="B22" s="38" t="str">
        <x:v>EL-MAT-C04-MARK</x:v>
      </x:c>
      <x:c r="C22" s="38" t="str">
        <x:v>沉湖王印</x:v>
      </x:c>
      <x:c r="D22" s="38" t="str">
        <x:v>C04</x:v>
      </x:c>
      <x:c r="E22" s="38" t="str">
        <x:v>利耶尼亚海域</x:v>
      </x:c>
      <x:c r="F22" s="38" t="str">
        <x:v>大陆剧情印记</x:v>
      </x:c>
      <x:c r="G22" s="38" t="n">
        <x:v>6412</x:v>
      </x:c>
      <x:c r="H22" s="38" t="str">
        <x:v>已正式入库</x:v>
      </x:c>
      <x:c r="I22" s="38" t="str">
        <x:v>按材料原类别投放</x:v>
      </x:c>
      <x:c r="J22" s="38" t="str">
        <x:v>C04-SYN-EQ-01、C04-SYN-EQ-03、C04-SYN-ZD-01、C04-REBIRTH-01、C04-REBIRTH-02、C04-REBIRTH-03、C04-REBIRTH-04、C04-REBIRTH-05</x:v>
      </x:c>
      <x:c r="K22" s="38" t="str">
        <x:v>不作为自动回收主材</x:v>
      </x:c>
      <x:c r="L22" s="38" t="str">
        <x:v>可交易</x:v>
      </x:c>
      <x:c r="M22" s="38" t="str">
        <x:v>否</x:v>
      </x:c>
      <x:c r="N22" s="39" t="str">
        <x:v>否</x:v>
      </x:c>
    </x:row>
    <x:row r="23" ht="48" customHeight="1">
      <x:c r="A23" s="37" t="n">
        <x:v>922</x:v>
      </x:c>
      <x:c r="B23" s="38" t="str">
        <x:v>EL-MAT-C05-COM</x:v>
      </x:c>
      <x:c r="C23" s="38" t="str">
        <x:v>辉石碎晶</x:v>
      </x:c>
      <x:c r="D23" s="38" t="str">
        <x:v>C05</x:v>
      </x:c>
      <x:c r="E23" s="38" t="str">
        <x:v>湖之利耶尼亚</x:v>
      </x:c>
      <x:c r="F23" s="38" t="str">
        <x:v>大陆通用材料</x:v>
      </x:c>
      <x:c r="G23" s="38" t="n">
        <x:v>6413</x:v>
      </x:c>
      <x:c r="H23" s="38" t="str">
        <x:v>已正式入库</x:v>
      </x:c>
      <x:c r="I23" s="38" t="str">
        <x:v>本大陆全怪高小时产量；降低触发频率、单次多叠加</x:v>
      </x:c>
      <x:c r="J23" s="38" t="str">
        <x:v>C05-SYN-EQ-01、C05-SYN-EQ-02、C05-SYN-ZD-01、C05-AOE-LV3</x:v>
      </x:c>
      <x:c r="K23" s="38" t="str">
        <x:v>R5档金币／元宝主回收口</x:v>
      </x:c>
      <x:c r="L23" s="38" t="str">
        <x:v>可交易</x:v>
      </x:c>
      <x:c r="M23" s="38" t="str">
        <x:v>是</x:v>
      </x:c>
      <x:c r="N23" s="39" t="str">
        <x:v>否</x:v>
      </x:c>
    </x:row>
    <x:row r="24" ht="48" customHeight="1">
      <x:c r="A24" s="37" t="n">
        <x:v>923</x:v>
      </x:c>
      <x:c r="B24" s="38" t="str">
        <x:v>EL-MAT-C05-RARE</x:v>
      </x:c>
      <x:c r="C24" s="38" t="str">
        <x:v>卡利亚月露</x:v>
      </x:c>
      <x:c r="D24" s="38" t="str">
        <x:v>C05</x:v>
      </x:c>
      <x:c r="E24" s="38" t="str">
        <x:v>湖之利耶尼亚</x:v>
      </x:c>
      <x:c r="F24" s="38" t="str">
        <x:v>大陆稀有材料</x:v>
      </x:c>
      <x:c r="G24" s="38" t="n">
        <x:v>6414</x:v>
      </x:c>
      <x:c r="H24" s="38" t="str">
        <x:v>已正式入库</x:v>
      </x:c>
      <x:c r="I24" s="38" t="str">
        <x:v>按材料原类别投放</x:v>
      </x:c>
      <x:c r="J24" s="38" t="str">
        <x:v>C05-SYN-TT-01</x:v>
      </x:c>
      <x:c r="K24" s="38" t="str">
        <x:v>不作为自动回收主材</x:v>
      </x:c>
      <x:c r="L24" s="38" t="str">
        <x:v>可交易</x:v>
      </x:c>
      <x:c r="M24" s="38" t="str">
        <x:v>否</x:v>
      </x:c>
      <x:c r="N24" s="39" t="str">
        <x:v>否</x:v>
      </x:c>
    </x:row>
    <x:row r="25" ht="48" customHeight="1">
      <x:c r="A25" s="37" t="n">
        <x:v>924</x:v>
      </x:c>
      <x:c r="B25" s="38" t="str">
        <x:v>EL-MAT-C05-MARK</x:v>
      </x:c>
      <x:c r="C25" s="38" t="str">
        <x:v>满月王室印</x:v>
      </x:c>
      <x:c r="D25" s="38" t="str">
        <x:v>C05</x:v>
      </x:c>
      <x:c r="E25" s="38" t="str">
        <x:v>湖之利耶尼亚</x:v>
      </x:c>
      <x:c r="F25" s="38" t="str">
        <x:v>大陆剧情印记</x:v>
      </x:c>
      <x:c r="G25" s="38" t="n">
        <x:v>6415</x:v>
      </x:c>
      <x:c r="H25" s="38" t="str">
        <x:v>已正式入库</x:v>
      </x:c>
      <x:c r="I25" s="38" t="str">
        <x:v>按材料原类别投放</x:v>
      </x:c>
      <x:c r="J25" s="38" t="str">
        <x:v>C05-SYN-EQ-01、C05-SYN-ZD-01、C05-SYN-TT-01、C05-AOE-LV3</x:v>
      </x:c>
      <x:c r="K25" s="38" t="str">
        <x:v>不作为自动回收主材</x:v>
      </x:c>
      <x:c r="L25" s="38" t="str">
        <x:v>可交易</x:v>
      </x:c>
      <x:c r="M25" s="38" t="str">
        <x:v>否</x:v>
      </x:c>
      <x:c r="N25" s="39" t="str">
        <x:v>否</x:v>
      </x:c>
    </x:row>
    <x:row r="26" ht="48" customHeight="1">
      <x:c r="A26" s="37" t="n">
        <x:v>925</x:v>
      </x:c>
      <x:c r="B26" s="38" t="str">
        <x:v>EL-MAT-C06-COM</x:v>
      </x:c>
      <x:c r="C26" s="38" t="str">
        <x:v>猩红矿渣</x:v>
      </x:c>
      <x:c r="D26" s="38" t="str">
        <x:v>C06</x:v>
      </x:c>
      <x:c r="E26" s="38" t="str">
        <x:v>盖利德</x:v>
      </x:c>
      <x:c r="F26" s="38" t="str">
        <x:v>大陆通用材料</x:v>
      </x:c>
      <x:c r="G26" s="38" t="n">
        <x:v>6416</x:v>
      </x:c>
      <x:c r="H26" s="38" t="str">
        <x:v>已正式入库</x:v>
      </x:c>
      <x:c r="I26" s="38" t="str">
        <x:v>本大陆全怪高小时产量；降低触发频率、单次多叠加</x:v>
      </x:c>
      <x:c r="J26" s="38" t="str">
        <x:v>C06-SYN-EQ-01、C06-SYN-EQ-02、C06-SYN-EQ-03、C06-SYN-ZD-01、C06-REBIRTH-06、C06-REBIRTH-07、C06-REBIRTH-08、C06-REBIRTH-09、C06-REBIRTH-10</x:v>
      </x:c>
      <x:c r="K26" s="38" t="str">
        <x:v>R6档金币／元宝主回收口</x:v>
      </x:c>
      <x:c r="L26" s="38" t="str">
        <x:v>可交易</x:v>
      </x:c>
      <x:c r="M26" s="38" t="str">
        <x:v>是</x:v>
      </x:c>
      <x:c r="N26" s="39" t="str">
        <x:v>否</x:v>
      </x:c>
    </x:row>
    <x:row r="27" ht="48" customHeight="1">
      <x:c r="A27" s="37" t="n">
        <x:v>926</x:v>
      </x:c>
      <x:c r="B27" s="38" t="str">
        <x:v>EL-MAT-C06-RARE</x:v>
      </x:c>
      <x:c r="C27" s="38" t="str">
        <x:v>龙火鳞</x:v>
      </x:c>
      <x:c r="D27" s="38" t="str">
        <x:v>C06</x:v>
      </x:c>
      <x:c r="E27" s="38" t="str">
        <x:v>盖利德</x:v>
      </x:c>
      <x:c r="F27" s="38" t="str">
        <x:v>大陆稀有材料</x:v>
      </x:c>
      <x:c r="G27" s="38" t="n">
        <x:v>6417</x:v>
      </x:c>
      <x:c r="H27" s="38" t="str">
        <x:v>已正式入库</x:v>
      </x:c>
      <x:c r="I27" s="38" t="str">
        <x:v>按材料原类别投放</x:v>
      </x:c>
      <x:c r="J27" s="38" t="str">
        <x:v>C06-REBIRTH-06、C06-REBIRTH-07、C06-REBIRTH-08、C06-REBIRTH-09、C06-REBIRTH-10</x:v>
      </x:c>
      <x:c r="K27" s="38" t="str">
        <x:v>不作为自动回收主材</x:v>
      </x:c>
      <x:c r="L27" s="38" t="str">
        <x:v>可交易</x:v>
      </x:c>
      <x:c r="M27" s="38" t="str">
        <x:v>否</x:v>
      </x:c>
      <x:c r="N27" s="39" t="str">
        <x:v>否</x:v>
      </x:c>
    </x:row>
    <x:row r="28" ht="48" customHeight="1">
      <x:c r="A28" s="37" t="n">
        <x:v>927</x:v>
      </x:c>
      <x:c r="B28" s="38" t="str">
        <x:v>EL-MAT-C06-MARK</x:v>
      </x:c>
      <x:c r="C28" s="38" t="str">
        <x:v>红狮战印</x:v>
      </x:c>
      <x:c r="D28" s="38" t="str">
        <x:v>C06</x:v>
      </x:c>
      <x:c r="E28" s="38" t="str">
        <x:v>盖利德</x:v>
      </x:c>
      <x:c r="F28" s="38" t="str">
        <x:v>大陆剧情印记</x:v>
      </x:c>
      <x:c r="G28" s="38" t="n">
        <x:v>6418</x:v>
      </x:c>
      <x:c r="H28" s="38" t="str">
        <x:v>已正式入库</x:v>
      </x:c>
      <x:c r="I28" s="38" t="str">
        <x:v>按材料原类别投放</x:v>
      </x:c>
      <x:c r="J28" s="38" t="str">
        <x:v>C06-SYN-EQ-01、C06-SYN-EQ-03、C06-SYN-ZD-01、C06-REBIRTH-06、C06-REBIRTH-07、C06-REBIRTH-08、C06-REBIRTH-09、C06-REBIRTH-10</x:v>
      </x:c>
      <x:c r="K28" s="38" t="str">
        <x:v>不作为自动回收主材</x:v>
      </x:c>
      <x:c r="L28" s="38" t="str">
        <x:v>可交易</x:v>
      </x:c>
      <x:c r="M28" s="38" t="str">
        <x:v>否</x:v>
      </x:c>
      <x:c r="N28" s="39" t="str">
        <x:v>否</x:v>
      </x:c>
    </x:row>
    <x:row r="29" ht="48" customHeight="1">
      <x:c r="A29" s="37" t="n">
        <x:v>928</x:v>
      </x:c>
      <x:c r="B29" s="38" t="str">
        <x:v>EL-MAT-C07-COM</x:v>
      </x:c>
      <x:c r="C29" s="38" t="str">
        <x:v>冻晶尘</x:v>
      </x:c>
      <x:c r="D29" s="38" t="str">
        <x:v>C07</x:v>
      </x:c>
      <x:c r="E29" s="38" t="str">
        <x:v>化圣雪原</x:v>
      </x:c>
      <x:c r="F29" s="38" t="str">
        <x:v>大陆通用材料</x:v>
      </x:c>
      <x:c r="G29" s="38" t="n">
        <x:v>6419</x:v>
      </x:c>
      <x:c r="H29" s="38" t="str">
        <x:v>已正式入库</x:v>
      </x:c>
      <x:c r="I29" s="38" t="str">
        <x:v>本大陆全怪高小时产量；降低触发频率、单次多叠加</x:v>
      </x:c>
      <x:c r="J29" s="38" t="str">
        <x:v>C07-SYN-EQ-01、C07-SYN-EQ-02、C07-SYN-ZD-01、C07-AOE-LV4</x:v>
      </x:c>
      <x:c r="K29" s="38" t="str">
        <x:v>R7档金币／元宝主回收口</x:v>
      </x:c>
      <x:c r="L29" s="38" t="str">
        <x:v>可交易</x:v>
      </x:c>
      <x:c r="M29" s="38" t="str">
        <x:v>是</x:v>
      </x:c>
      <x:c r="N29" s="39" t="str">
        <x:v>否</x:v>
      </x:c>
    </x:row>
    <x:row r="30" ht="48" customHeight="1">
      <x:c r="A30" s="37" t="n">
        <x:v>929</x:v>
      </x:c>
      <x:c r="B30" s="38" t="str">
        <x:v>EL-MAT-C07-RARE</x:v>
      </x:c>
      <x:c r="C30" s="38" t="str">
        <x:v>白金纺线</x:v>
      </x:c>
      <x:c r="D30" s="38" t="str">
        <x:v>C07</x:v>
      </x:c>
      <x:c r="E30" s="38" t="str">
        <x:v>化圣雪原</x:v>
      </x:c>
      <x:c r="F30" s="38" t="str">
        <x:v>大陆稀有材料</x:v>
      </x:c>
      <x:c r="G30" s="38" t="n">
        <x:v>6420</x:v>
      </x:c>
      <x:c r="H30" s="38" t="str">
        <x:v>已正式入库</x:v>
      </x:c>
      <x:c r="I30" s="38" t="str">
        <x:v>按材料原类别投放</x:v>
      </x:c>
      <x:c r="J30" s="38" t="str">
        <x:v>C07-SYN-TT-01</x:v>
      </x:c>
      <x:c r="K30" s="38" t="str">
        <x:v>不作为自动回收主材</x:v>
      </x:c>
      <x:c r="L30" s="38" t="str">
        <x:v>可交易</x:v>
      </x:c>
      <x:c r="M30" s="38" t="str">
        <x:v>否</x:v>
      </x:c>
      <x:c r="N30" s="39" t="str">
        <x:v>否</x:v>
      </x:c>
    </x:row>
    <x:row r="31" ht="48" customHeight="1">
      <x:c r="A31" s="37" t="n">
        <x:v>930</x:v>
      </x:c>
      <x:c r="B31" s="38" t="str">
        <x:v>EL-MAT-C07-MARK</x:v>
      </x:c>
      <x:c r="C31" s="38" t="str">
        <x:v>圣雪誓印</x:v>
      </x:c>
      <x:c r="D31" s="38" t="str">
        <x:v>C07</x:v>
      </x:c>
      <x:c r="E31" s="38" t="str">
        <x:v>化圣雪原</x:v>
      </x:c>
      <x:c r="F31" s="38" t="str">
        <x:v>大陆剧情印记</x:v>
      </x:c>
      <x:c r="G31" s="38" t="n">
        <x:v>6421</x:v>
      </x:c>
      <x:c r="H31" s="38" t="str">
        <x:v>已正式入库</x:v>
      </x:c>
      <x:c r="I31" s="38" t="str">
        <x:v>按材料原类别投放</x:v>
      </x:c>
      <x:c r="J31" s="38" t="str">
        <x:v>C07-SYN-EQ-01、C07-SYN-ZD-01、C07-SYN-TT-01、C07-AOE-LV4</x:v>
      </x:c>
      <x:c r="K31" s="38" t="str">
        <x:v>不作为自动回收主材</x:v>
      </x:c>
      <x:c r="L31" s="38" t="str">
        <x:v>可交易</x:v>
      </x:c>
      <x:c r="M31" s="38" t="str">
        <x:v>否</x:v>
      </x:c>
      <x:c r="N31" s="39" t="str">
        <x:v>否</x:v>
      </x:c>
    </x:row>
    <x:row r="32" ht="48" customHeight="1">
      <x:c r="A32" s="37" t="n">
        <x:v>931</x:v>
      </x:c>
      <x:c r="B32" s="38" t="str">
        <x:v>EL-MAT-C08-COM</x:v>
      </x:c>
      <x:c r="C32" s="38" t="str">
        <x:v>霜脊铁</x:v>
      </x:c>
      <x:c r="D32" s="38" t="str">
        <x:v>C08</x:v>
      </x:c>
      <x:c r="E32" s="38" t="str">
        <x:v>巨人山顶</x:v>
      </x:c>
      <x:c r="F32" s="38" t="str">
        <x:v>大陆通用材料</x:v>
      </x:c>
      <x:c r="G32" s="38" t="n">
        <x:v>6422</x:v>
      </x:c>
      <x:c r="H32" s="38" t="str">
        <x:v>已正式入库</x:v>
      </x:c>
      <x:c r="I32" s="38" t="str">
        <x:v>本大陆全怪高小时产量；降低触发频率、单次多叠加</x:v>
      </x:c>
      <x:c r="J32" s="38" t="str">
        <x:v>C08-SYN-EQ-01、C08-SYN-EQ-02、C08-SYN-EQ-03、C08-SYN-ZD-01、C08-REBIRTH-11、C08-REBIRTH-12、C08-REBIRTH-13、C08-REBIRTH-14、C08-REBIRTH-15</x:v>
      </x:c>
      <x:c r="K32" s="38" t="str">
        <x:v>R8档金币／元宝主回收口</x:v>
      </x:c>
      <x:c r="L32" s="38" t="str">
        <x:v>可交易</x:v>
      </x:c>
      <x:c r="M32" s="38" t="str">
        <x:v>是</x:v>
      </x:c>
      <x:c r="N32" s="39" t="str">
        <x:v>否</x:v>
      </x:c>
    </x:row>
    <x:row r="33" ht="48" customHeight="1">
      <x:c r="A33" s="37" t="n">
        <x:v>932</x:v>
      </x:c>
      <x:c r="B33" s="38" t="str">
        <x:v>EL-MAT-C08-RARE</x:v>
      </x:c>
      <x:c r="C33" s="38" t="str">
        <x:v>巨人火种</x:v>
      </x:c>
      <x:c r="D33" s="38" t="str">
        <x:v>C08</x:v>
      </x:c>
      <x:c r="E33" s="38" t="str">
        <x:v>巨人山顶</x:v>
      </x:c>
      <x:c r="F33" s="38" t="str">
        <x:v>大陆稀有材料</x:v>
      </x:c>
      <x:c r="G33" s="38" t="n">
        <x:v>6423</x:v>
      </x:c>
      <x:c r="H33" s="38" t="str">
        <x:v>已正式入库</x:v>
      </x:c>
      <x:c r="I33" s="38" t="str">
        <x:v>按材料原类别投放</x:v>
      </x:c>
      <x:c r="J33" s="38" t="str">
        <x:v>C08-REBIRTH-11、C08-REBIRTH-12、C08-REBIRTH-13、C08-REBIRTH-14、C08-REBIRTH-15</x:v>
      </x:c>
      <x:c r="K33" s="38" t="str">
        <x:v>不作为自动回收主材</x:v>
      </x:c>
      <x:c r="L33" s="38" t="str">
        <x:v>可交易</x:v>
      </x:c>
      <x:c r="M33" s="38" t="str">
        <x:v>否</x:v>
      </x:c>
      <x:c r="N33" s="39" t="str">
        <x:v>否</x:v>
      </x:c>
    </x:row>
    <x:row r="34" ht="48" customHeight="1">
      <x:c r="A34" s="37" t="n">
        <x:v>933</x:v>
      </x:c>
      <x:c r="B34" s="38" t="str">
        <x:v>EL-MAT-C08-MARK</x:v>
      </x:c>
      <x:c r="C34" s="38" t="str">
        <x:v>巨人火印</x:v>
      </x:c>
      <x:c r="D34" s="38" t="str">
        <x:v>C08</x:v>
      </x:c>
      <x:c r="E34" s="38" t="str">
        <x:v>巨人山顶</x:v>
      </x:c>
      <x:c r="F34" s="38" t="str">
        <x:v>大陆剧情印记</x:v>
      </x:c>
      <x:c r="G34" s="38" t="n">
        <x:v>6424</x:v>
      </x:c>
      <x:c r="H34" s="38" t="str">
        <x:v>已正式入库</x:v>
      </x:c>
      <x:c r="I34" s="38" t="str">
        <x:v>按材料原类别投放</x:v>
      </x:c>
      <x:c r="J34" s="38" t="str">
        <x:v>C08-SYN-EQ-01、C08-SYN-EQ-03、C08-SYN-ZD-01、C08-REBIRTH-11、C08-REBIRTH-12、C08-REBIRTH-13、C08-REBIRTH-14、C08-REBIRTH-15</x:v>
      </x:c>
      <x:c r="K34" s="38" t="str">
        <x:v>不作为自动回收主材</x:v>
      </x:c>
      <x:c r="L34" s="38" t="str">
        <x:v>可交易</x:v>
      </x:c>
      <x:c r="M34" s="38" t="str">
        <x:v>否</x:v>
      </x:c>
      <x:c r="N34" s="39" t="str">
        <x:v>否</x:v>
      </x:c>
    </x:row>
    <x:row r="35" ht="48" customHeight="1">
      <x:c r="A35" s="37" t="n">
        <x:v>934</x:v>
      </x:c>
      <x:c r="B35" s="38" t="str">
        <x:v>EL-MAT-C09-COM</x:v>
      </x:c>
      <x:c r="C35" s="38" t="str">
        <x:v>黄金叶脉</x:v>
      </x:c>
      <x:c r="D35" s="38" t="str">
        <x:v>C09</x:v>
      </x:c>
      <x:c r="E35" s="38" t="str">
        <x:v>亚坛高原</x:v>
      </x:c>
      <x:c r="F35" s="38" t="str">
        <x:v>大陆通用材料</x:v>
      </x:c>
      <x:c r="G35" s="38" t="n">
        <x:v>6425</x:v>
      </x:c>
      <x:c r="H35" s="38" t="str">
        <x:v>已正式入库</x:v>
      </x:c>
      <x:c r="I35" s="38" t="str">
        <x:v>本大陆全怪高小时产量；降低触发频率、单次多叠加</x:v>
      </x:c>
      <x:c r="J35" s="38" t="str">
        <x:v>C09-SYN-EQ-01、C09-SYN-EQ-02、C09-SYN-ZD-01、C09-AOE-LV5</x:v>
      </x:c>
      <x:c r="K35" s="38" t="str">
        <x:v>R9档金币／元宝主回收口</x:v>
      </x:c>
      <x:c r="L35" s="38" t="str">
        <x:v>可交易</x:v>
      </x:c>
      <x:c r="M35" s="38" t="str">
        <x:v>是</x:v>
      </x:c>
      <x:c r="N35" s="39" t="str">
        <x:v>否</x:v>
      </x:c>
    </x:row>
    <x:row r="36" ht="48" customHeight="1">
      <x:c r="A36" s="37" t="n">
        <x:v>935</x:v>
      </x:c>
      <x:c r="B36" s="38" t="str">
        <x:v>EL-MAT-C09-RARE</x:v>
      </x:c>
      <x:c r="C36" s="38" t="str">
        <x:v>古王律页</x:v>
      </x:c>
      <x:c r="D36" s="38" t="str">
        <x:v>C09</x:v>
      </x:c>
      <x:c r="E36" s="38" t="str">
        <x:v>亚坛高原</x:v>
      </x:c>
      <x:c r="F36" s="38" t="str">
        <x:v>大陆稀有材料</x:v>
      </x:c>
      <x:c r="G36" s="38" t="n">
        <x:v>6426</x:v>
      </x:c>
      <x:c r="H36" s="38" t="str">
        <x:v>已正式入库</x:v>
      </x:c>
      <x:c r="I36" s="38" t="str">
        <x:v>按材料原类别投放</x:v>
      </x:c>
      <x:c r="J36" s="38" t="str">
        <x:v>C09-SYN-TT-01</x:v>
      </x:c>
      <x:c r="K36" s="38" t="str">
        <x:v>不作为自动回收主材</x:v>
      </x:c>
      <x:c r="L36" s="38" t="str">
        <x:v>可交易</x:v>
      </x:c>
      <x:c r="M36" s="38" t="str">
        <x:v>否</x:v>
      </x:c>
      <x:c r="N36" s="39" t="str">
        <x:v>否</x:v>
      </x:c>
    </x:row>
    <x:row r="37" ht="48" customHeight="1">
      <x:c r="A37" s="37" t="n">
        <x:v>936</x:v>
      </x:c>
      <x:c r="B37" s="38" t="str">
        <x:v>EL-MAT-C09-MARK</x:v>
      </x:c>
      <x:c r="C37" s="38" t="str">
        <x:v>黄金律印</x:v>
      </x:c>
      <x:c r="D37" s="38" t="str">
        <x:v>C09</x:v>
      </x:c>
      <x:c r="E37" s="38" t="str">
        <x:v>亚坛高原</x:v>
      </x:c>
      <x:c r="F37" s="38" t="str">
        <x:v>大陆剧情印记</x:v>
      </x:c>
      <x:c r="G37" s="38" t="n">
        <x:v>6427</x:v>
      </x:c>
      <x:c r="H37" s="38" t="str">
        <x:v>已正式入库</x:v>
      </x:c>
      <x:c r="I37" s="38" t="str">
        <x:v>按材料原类别投放</x:v>
      </x:c>
      <x:c r="J37" s="38" t="str">
        <x:v>C09-SYN-EQ-01、C09-SYN-EQ-02、C09-SYN-ZD-01、C09-SYN-TT-01、C09-AOE-LV5</x:v>
      </x:c>
      <x:c r="K37" s="38" t="str">
        <x:v>不作为自动回收主材</x:v>
      </x:c>
      <x:c r="L37" s="38" t="str">
        <x:v>可交易</x:v>
      </x:c>
      <x:c r="M37" s="38" t="str">
        <x:v>否</x:v>
      </x:c>
      <x:c r="N37" s="39" t="str">
        <x:v>否</x:v>
      </x:c>
    </x:row>
    <x:row r="38" ht="48" customHeight="1">
      <x:c r="A38" s="37" t="n">
        <x:v>937</x:v>
      </x:c>
      <x:c r="B38" s="38" t="str">
        <x:v>EL-MAT-C10-COM</x:v>
      </x:c>
      <x:c r="C38" s="38" t="str">
        <x:v>王城金屑</x:v>
      </x:c>
      <x:c r="D38" s="38" t="str">
        <x:v>C10</x:v>
      </x:c>
      <x:c r="E38" s="38" t="str">
        <x:v>王城罗德尔</x:v>
      </x:c>
      <x:c r="F38" s="38" t="str">
        <x:v>大陆通用材料</x:v>
      </x:c>
      <x:c r="G38" s="38" t="n">
        <x:v>6428</x:v>
      </x:c>
      <x:c r="H38" s="38" t="str">
        <x:v>已正式入库</x:v>
      </x:c>
      <x:c r="I38" s="38" t="str">
        <x:v>本大陆全怪高小时产量；降低触发频率、单次多叠加</x:v>
      </x:c>
      <x:c r="J38" s="38" t="str">
        <x:v>C10-SYN-EQ-01、C10-SYN-EQ-02、C10-SYN-EQ-03、C10-SYN-ZD-01、C10-REBIRTH-16、C10-REBIRTH-17、C10-REBIRTH-18、C10-REBIRTH-19、C10-REBIRTH-20</x:v>
      </x:c>
      <x:c r="K38" s="38" t="str">
        <x:v>R10档金币／元宝主回收口</x:v>
      </x:c>
      <x:c r="L38" s="38" t="str">
        <x:v>可交易</x:v>
      </x:c>
      <x:c r="M38" s="38" t="str">
        <x:v>是</x:v>
      </x:c>
      <x:c r="N38" s="39" t="str">
        <x:v>否</x:v>
      </x:c>
    </x:row>
    <x:row r="39" ht="48" customHeight="1">
      <x:c r="A39" s="37" t="n">
        <x:v>938</x:v>
      </x:c>
      <x:c r="B39" s="38" t="str">
        <x:v>EL-MAT-C10-RARE</x:v>
      </x:c>
      <x:c r="C39" s="38" t="str">
        <x:v>王宫律文</x:v>
      </x:c>
      <x:c r="D39" s="38" t="str">
        <x:v>C10</x:v>
      </x:c>
      <x:c r="E39" s="38" t="str">
        <x:v>王城罗德尔</x:v>
      </x:c>
      <x:c r="F39" s="38" t="str">
        <x:v>大陆稀有材料</x:v>
      </x:c>
      <x:c r="G39" s="38" t="n">
        <x:v>6429</x:v>
      </x:c>
      <x:c r="H39" s="38" t="str">
        <x:v>已正式入库</x:v>
      </x:c>
      <x:c r="I39" s="38" t="str">
        <x:v>按材料原类别投放</x:v>
      </x:c>
      <x:c r="J39" s="38" t="str">
        <x:v>C10-SYN-TT-01、C10-REBIRTH-16、C10-REBIRTH-17、C10-REBIRTH-18、C10-REBIRTH-19、C10-REBIRTH-20</x:v>
      </x:c>
      <x:c r="K39" s="38" t="str">
        <x:v>不作为自动回收主材</x:v>
      </x:c>
      <x:c r="L39" s="38" t="str">
        <x:v>可交易</x:v>
      </x:c>
      <x:c r="M39" s="38" t="str">
        <x:v>否</x:v>
      </x:c>
      <x:c r="N39" s="39" t="str">
        <x:v>否</x:v>
      </x:c>
    </x:row>
    <x:row r="40" ht="48" customHeight="1">
      <x:c r="A40" s="37" t="n">
        <x:v>939</x:v>
      </x:c>
      <x:c r="B40" s="38" t="str">
        <x:v>EL-MAT-C10-MARK</x:v>
      </x:c>
      <x:c r="C40" s="38" t="str">
        <x:v>艾尔登王印</x:v>
      </x:c>
      <x:c r="D40" s="38" t="str">
        <x:v>C10</x:v>
      </x:c>
      <x:c r="E40" s="38" t="str">
        <x:v>王城罗德尔</x:v>
      </x:c>
      <x:c r="F40" s="38" t="str">
        <x:v>大陆剧情印记</x:v>
      </x:c>
      <x:c r="G40" s="38" t="n">
        <x:v>6430</x:v>
      </x:c>
      <x:c r="H40" s="38" t="str">
        <x:v>已正式入库</x:v>
      </x:c>
      <x:c r="I40" s="38" t="str">
        <x:v>按材料原类别投放</x:v>
      </x:c>
      <x:c r="J40" s="38" t="str">
        <x:v>C10-SYN-EQ-01、C10-SYN-EQ-02、C10-SYN-EQ-03、C10-SYN-ZD-01、C10-SYN-TT-01、C10-REBIRTH-16、C10-REBIRTH-17、C10-REBIRTH-18、C10-REBIRTH-19、C10-REBIRTH-20</x:v>
      </x:c>
      <x:c r="K40" s="38" t="str">
        <x:v>不作为自动回收主材</x:v>
      </x:c>
      <x:c r="L40" s="38" t="str">
        <x:v>可交易</x:v>
      </x:c>
      <x:c r="M40" s="38" t="str">
        <x:v>否</x:v>
      </x:c>
      <x:c r="N40" s="39" t="str">
        <x:v>否</x:v>
      </x:c>
    </x:row>
    <x:row r="41" ht="48" customHeight="1">
      <x:c r="A41" s="37" t="n">
        <x:v>940</x:v>
      </x:c>
      <x:c r="B41" s="38" t="str">
        <x:v>EL-MAT-C03-Q01</x:v>
      </x:c>
      <x:c r="C41" s="38" t="str">
        <x:v>裂风崖羽</x:v>
      </x:c>
      <x:c r="D41" s="38" t="str">
        <x:v>C03</x:v>
      </x:c>
      <x:c r="E41" s="38" t="str">
        <x:v>宁姆格福西域</x:v>
      </x:c>
      <x:c r="F41" s="38" t="str">
        <x:v>普通怪证物</x:v>
      </x:c>
      <x:c r="G41" s="38" t="n">
        <x:v>6431</x:v>
      </x:c>
      <x:c r="H41" s="38" t="str">
        <x:v>已正式入库</x:v>
      </x:c>
      <x:c r="I41" s="38" t="str">
        <x:v>按材料原类别投放</x:v>
      </x:c>
      <x:c r="J41" s="38" t="str">
        <x:v>C03-SYN-EQ-02、C03-AOE-LV2</x:v>
      </x:c>
      <x:c r="K41" s="38" t="str">
        <x:v>不作为自动回收主材</x:v>
      </x:c>
      <x:c r="L41" s="38" t="str">
        <x:v>可交易</x:v>
      </x:c>
      <x:c r="M41" s="38" t="str">
        <x:v>否</x:v>
      </x:c>
      <x:c r="N41" s="39" t="str">
        <x:v>否</x:v>
      </x:c>
    </x:row>
    <x:row r="42" ht="48" customHeight="1">
      <x:c r="A42" s="37" t="n">
        <x:v>941</x:v>
      </x:c>
      <x:c r="B42" s="38" t="str">
        <x:v>EL-MAT-C03-Q02</x:v>
      </x:c>
      <x:c r="C42" s="38" t="str">
        <x:v>商队火漆</x:v>
      </x:c>
      <x:c r="D42" s="38" t="str">
        <x:v>C03</x:v>
      </x:c>
      <x:c r="E42" s="38" t="str">
        <x:v>宁姆格福西域</x:v>
      </x:c>
      <x:c r="F42" s="38" t="str">
        <x:v>精英证物</x:v>
      </x:c>
      <x:c r="G42" s="38" t="n">
        <x:v>6432</x:v>
      </x:c>
      <x:c r="H42" s="38" t="str">
        <x:v>已正式入库</x:v>
      </x:c>
      <x:c r="I42" s="38" t="str">
        <x:v>按材料原类别投放</x:v>
      </x:c>
      <x:c r="J42" s="38" t="str">
        <x:v>待配方／任务接入</x:v>
      </x:c>
      <x:c r="K42" s="38" t="str">
        <x:v>不作为自动回收主材</x:v>
      </x:c>
      <x:c r="L42" s="38" t="str">
        <x:v>可交易</x:v>
      </x:c>
      <x:c r="M42" s="38" t="str">
        <x:v>否</x:v>
      </x:c>
      <x:c r="N42" s="39" t="str">
        <x:v>否</x:v>
      </x:c>
    </x:row>
    <x:row r="43" ht="48" customHeight="1">
      <x:c r="A43" s="37" t="n">
        <x:v>942</x:v>
      </x:c>
      <x:c r="B43" s="38" t="str">
        <x:v>EL-MAT-C03-Q03</x:v>
      </x:c>
      <x:c r="C43" s="38" t="str">
        <x:v>守垒铜钥</x:v>
      </x:c>
      <x:c r="D43" s="38" t="str">
        <x:v>C03</x:v>
      </x:c>
      <x:c r="E43" s="38" t="str">
        <x:v>宁姆格福西域</x:v>
      </x:c>
      <x:c r="F43" s="38" t="str">
        <x:v>地图BOSS证物</x:v>
      </x:c>
      <x:c r="G43" s="38" t="n">
        <x:v>6433</x:v>
      </x:c>
      <x:c r="H43" s="38" t="str">
        <x:v>已正式入库</x:v>
      </x:c>
      <x:c r="I43" s="38" t="str">
        <x:v>按材料原类别投放</x:v>
      </x:c>
      <x:c r="J43" s="38" t="str">
        <x:v>C03-SYN-EQ-01</x:v>
      </x:c>
      <x:c r="K43" s="38" t="str">
        <x:v>不作为自动回收主材</x:v>
      </x:c>
      <x:c r="L43" s="38" t="str">
        <x:v>可交易</x:v>
      </x:c>
      <x:c r="M43" s="38" t="str">
        <x:v>否</x:v>
      </x:c>
      <x:c r="N43" s="39" t="str">
        <x:v>否</x:v>
      </x:c>
    </x:row>
    <x:row r="44" ht="48" customHeight="1">
      <x:c r="A44" s="37" t="n">
        <x:v>943</x:v>
      </x:c>
      <x:c r="B44" s="38" t="str">
        <x:v>EL-MAT-C03-Q04</x:v>
      </x:c>
      <x:c r="C44" s="38" t="str">
        <x:v>哨垒旗冠</x:v>
      </x:c>
      <x:c r="D44" s="38" t="str">
        <x:v>C03</x:v>
      </x:c>
      <x:c r="E44" s="38" t="str">
        <x:v>宁姆格福西域</x:v>
      </x:c>
      <x:c r="F44" s="38" t="str">
        <x:v>守关BOSS证物</x:v>
      </x:c>
      <x:c r="G44" s="38" t="n">
        <x:v>6434</x:v>
      </x:c>
      <x:c r="H44" s="38" t="str">
        <x:v>已正式入库</x:v>
      </x:c>
      <x:c r="I44" s="38" t="str">
        <x:v>按材料原类别投放</x:v>
      </x:c>
      <x:c r="J44" s="38" t="str">
        <x:v>C03-SYN-EQ-02、C03-SYN-TT-01</x:v>
      </x:c>
      <x:c r="K44" s="38" t="str">
        <x:v>不作为自动回收主材</x:v>
      </x:c>
      <x:c r="L44" s="38" t="str">
        <x:v>可交易</x:v>
      </x:c>
      <x:c r="M44" s="38" t="str">
        <x:v>否</x:v>
      </x:c>
      <x:c r="N44" s="39" t="str">
        <x:v>否</x:v>
      </x:c>
    </x:row>
    <x:row r="45" ht="48" customHeight="1">
      <x:c r="A45" s="37" t="n">
        <x:v>944</x:v>
      </x:c>
      <x:c r="B45" s="38" t="str">
        <x:v>EL-MAT-C04-Q01</x:v>
      </x:c>
      <x:c r="C45" s="38" t="str">
        <x:v>雾潮银鳞</x:v>
      </x:c>
      <x:c r="D45" s="38" t="str">
        <x:v>C04</x:v>
      </x:c>
      <x:c r="E45" s="38" t="str">
        <x:v>利耶尼亚海域</x:v>
      </x:c>
      <x:c r="F45" s="38" t="str">
        <x:v>普通怪证物</x:v>
      </x:c>
      <x:c r="G45" s="38" t="n">
        <x:v>6435</x:v>
      </x:c>
      <x:c r="H45" s="38" t="str">
        <x:v>已正式入库</x:v>
      </x:c>
      <x:c r="I45" s="38" t="str">
        <x:v>按材料原类别投放</x:v>
      </x:c>
      <x:c r="J45" s="38" t="str">
        <x:v>C04-SYN-EQ-02、C04-REBIRTH-01、C04-REBIRTH-02、C04-REBIRTH-03、C04-REBIRTH-04、C04-REBIRTH-05</x:v>
      </x:c>
      <x:c r="K45" s="38" t="str">
        <x:v>不作为自动回收主材</x:v>
      </x:c>
      <x:c r="L45" s="38" t="str">
        <x:v>可交易</x:v>
      </x:c>
      <x:c r="M45" s="38" t="str">
        <x:v>否</x:v>
      </x:c>
      <x:c r="N45" s="39" t="str">
        <x:v>否</x:v>
      </x:c>
    </x:row>
    <x:row r="46" ht="48" customHeight="1">
      <x:c r="A46" s="37" t="n">
        <x:v>945</x:v>
      </x:c>
      <x:c r="B46" s="38" t="str">
        <x:v>EL-MAT-C04-Q02</x:v>
      </x:c>
      <x:c r="C46" s="38" t="str">
        <x:v>沉船缆扣</x:v>
      </x:c>
      <x:c r="D46" s="38" t="str">
        <x:v>C04</x:v>
      </x:c>
      <x:c r="E46" s="38" t="str">
        <x:v>利耶尼亚海域</x:v>
      </x:c>
      <x:c r="F46" s="38" t="str">
        <x:v>精英证物</x:v>
      </x:c>
      <x:c r="G46" s="38" t="n">
        <x:v>6436</x:v>
      </x:c>
      <x:c r="H46" s="38" t="str">
        <x:v>已正式入库</x:v>
      </x:c>
      <x:c r="I46" s="38" t="str">
        <x:v>按材料原类别投放</x:v>
      </x:c>
      <x:c r="J46" s="38" t="str">
        <x:v>C04-SYN-EQ-01</x:v>
      </x:c>
      <x:c r="K46" s="38" t="str">
        <x:v>不作为自动回收主材</x:v>
      </x:c>
      <x:c r="L46" s="38" t="str">
        <x:v>可交易</x:v>
      </x:c>
      <x:c r="M46" s="38" t="str">
        <x:v>否</x:v>
      </x:c>
      <x:c r="N46" s="39" t="str">
        <x:v>否</x:v>
      </x:c>
    </x:row>
    <x:row r="47" ht="48" customHeight="1">
      <x:c r="A47" s="37" t="n">
        <x:v>946</x:v>
      </x:c>
      <x:c r="B47" s="38" t="str">
        <x:v>EL-MAT-C04-Q03</x:v>
      </x:c>
      <x:c r="C47" s="38" t="str">
        <x:v>深湖压舱印</x:v>
      </x:c>
      <x:c r="D47" s="38" t="str">
        <x:v>C04</x:v>
      </x:c>
      <x:c r="E47" s="38" t="str">
        <x:v>利耶尼亚海域</x:v>
      </x:c>
      <x:c r="F47" s="38" t="str">
        <x:v>地图BOSS证物</x:v>
      </x:c>
      <x:c r="G47" s="38" t="n">
        <x:v>6437</x:v>
      </x:c>
      <x:c r="H47" s="38" t="str">
        <x:v>已正式入库</x:v>
      </x:c>
      <x:c r="I47" s="38" t="str">
        <x:v>按材料原类别投放</x:v>
      </x:c>
      <x:c r="J47" s="38" t="str">
        <x:v>C04-SYN-EQ-03</x:v>
      </x:c>
      <x:c r="K47" s="38" t="str">
        <x:v>不作为自动回收主材</x:v>
      </x:c>
      <x:c r="L47" s="38" t="str">
        <x:v>可交易</x:v>
      </x:c>
      <x:c r="M47" s="38" t="str">
        <x:v>否</x:v>
      </x:c>
      <x:c r="N47" s="39" t="str">
        <x:v>否</x:v>
      </x:c>
    </x:row>
    <x:row r="48" ht="48" customHeight="1">
      <x:c r="A48" s="37" t="n">
        <x:v>947</x:v>
      </x:c>
      <x:c r="B48" s="38" t="str">
        <x:v>EL-MAT-C04-Q04</x:v>
      </x:c>
      <x:c r="C48" s="38" t="str">
        <x:v>湖底封门珠</x:v>
      </x:c>
      <x:c r="D48" s="38" t="str">
        <x:v>C04</x:v>
      </x:c>
      <x:c r="E48" s="38" t="str">
        <x:v>利耶尼亚海域</x:v>
      </x:c>
      <x:c r="F48" s="38" t="str">
        <x:v>守关BOSS证物</x:v>
      </x:c>
      <x:c r="G48" s="38" t="n">
        <x:v>6438</x:v>
      </x:c>
      <x:c r="H48" s="38" t="str">
        <x:v>已正式入库</x:v>
      </x:c>
      <x:c r="I48" s="38" t="str">
        <x:v>按材料原类别投放</x:v>
      </x:c>
      <x:c r="J48" s="38" t="str">
        <x:v>C04-SYN-EQ-02</x:v>
      </x:c>
      <x:c r="K48" s="38" t="str">
        <x:v>不作为自动回收主材</x:v>
      </x:c>
      <x:c r="L48" s="38" t="str">
        <x:v>可交易</x:v>
      </x:c>
      <x:c r="M48" s="38" t="str">
        <x:v>否</x:v>
      </x:c>
      <x:c r="N48" s="39" t="str">
        <x:v>否</x:v>
      </x:c>
    </x:row>
    <x:row r="49" ht="48" customHeight="1">
      <x:c r="A49" s="37" t="n">
        <x:v>948</x:v>
      </x:c>
      <x:c r="B49" s="38" t="str">
        <x:v>EL-MAT-C05-Q01</x:v>
      </x:c>
      <x:c r="C49" s="38" t="str">
        <x:v>雾月星砂</x:v>
      </x:c>
      <x:c r="D49" s="38" t="str">
        <x:v>C05</x:v>
      </x:c>
      <x:c r="E49" s="38" t="str">
        <x:v>湖之利耶尼亚</x:v>
      </x:c>
      <x:c r="F49" s="38" t="str">
        <x:v>普通怪证物</x:v>
      </x:c>
      <x:c r="G49" s="38" t="n">
        <x:v>6439</x:v>
      </x:c>
      <x:c r="H49" s="38" t="str">
        <x:v>已正式入库</x:v>
      </x:c>
      <x:c r="I49" s="38" t="str">
        <x:v>按材料原类别投放</x:v>
      </x:c>
      <x:c r="J49" s="38" t="str">
        <x:v>C05-SYN-EQ-02、C05-AOE-LV3</x:v>
      </x:c>
      <x:c r="K49" s="38" t="str">
        <x:v>不作为自动回收主材</x:v>
      </x:c>
      <x:c r="L49" s="38" t="str">
        <x:v>可交易</x:v>
      </x:c>
      <x:c r="M49" s="38" t="str">
        <x:v>否</x:v>
      </x:c>
      <x:c r="N49" s="39" t="str">
        <x:v>否</x:v>
      </x:c>
    </x:row>
    <x:row r="50" ht="48" customHeight="1">
      <x:c r="A50" s="37" t="n">
        <x:v>949</x:v>
      </x:c>
      <x:c r="B50" s="38" t="str">
        <x:v>EL-MAT-C05-Q02</x:v>
      </x:c>
      <x:c r="C50" s="38" t="str">
        <x:v>学院封蜡</x:v>
      </x:c>
      <x:c r="D50" s="38" t="str">
        <x:v>C05</x:v>
      </x:c>
      <x:c r="E50" s="38" t="str">
        <x:v>湖之利耶尼亚</x:v>
      </x:c>
      <x:c r="F50" s="38" t="str">
        <x:v>精英证物</x:v>
      </x:c>
      <x:c r="G50" s="38" t="n">
        <x:v>6440</x:v>
      </x:c>
      <x:c r="H50" s="38" t="str">
        <x:v>已正式入库</x:v>
      </x:c>
      <x:c r="I50" s="38" t="str">
        <x:v>按材料原类别投放</x:v>
      </x:c>
      <x:c r="J50" s="38" t="str">
        <x:v>待配方／任务接入</x:v>
      </x:c>
      <x:c r="K50" s="38" t="str">
        <x:v>不作为自动回收主材</x:v>
      </x:c>
      <x:c r="L50" s="38" t="str">
        <x:v>可交易</x:v>
      </x:c>
      <x:c r="M50" s="38" t="str">
        <x:v>否</x:v>
      </x:c>
      <x:c r="N50" s="39" t="str">
        <x:v>否</x:v>
      </x:c>
    </x:row>
    <x:row r="51" ht="48" customHeight="1">
      <x:c r="A51" s="37" t="n">
        <x:v>950</x:v>
      </x:c>
      <x:c r="B51" s="38" t="str">
        <x:v>EL-MAT-C05-Q03</x:v>
      </x:c>
      <x:c r="C51" s="38" t="str">
        <x:v>月蚀镜片</x:v>
      </x:c>
      <x:c r="D51" s="38" t="str">
        <x:v>C05</x:v>
      </x:c>
      <x:c r="E51" s="38" t="str">
        <x:v>湖之利耶尼亚</x:v>
      </x:c>
      <x:c r="F51" s="38" t="str">
        <x:v>地图BOSS证物</x:v>
      </x:c>
      <x:c r="G51" s="38" t="n">
        <x:v>6441</x:v>
      </x:c>
      <x:c r="H51" s="38" t="str">
        <x:v>已正式入库</x:v>
      </x:c>
      <x:c r="I51" s="38" t="str">
        <x:v>按材料原类别投放</x:v>
      </x:c>
      <x:c r="J51" s="38" t="str">
        <x:v>C05-SYN-EQ-01</x:v>
      </x:c>
      <x:c r="K51" s="38" t="str">
        <x:v>不作为自动回收主材</x:v>
      </x:c>
      <x:c r="L51" s="38" t="str">
        <x:v>可交易</x:v>
      </x:c>
      <x:c r="M51" s="38" t="str">
        <x:v>否</x:v>
      </x:c>
      <x:c r="N51" s="39" t="str">
        <x:v>否</x:v>
      </x:c>
    </x:row>
    <x:row r="52" ht="48" customHeight="1">
      <x:c r="A52" s="37" t="n">
        <x:v>951</x:v>
      </x:c>
      <x:c r="B52" s="38" t="str">
        <x:v>EL-MAT-C05-Q04</x:v>
      </x:c>
      <x:c r="C52" s="38" t="str">
        <x:v>禁域星钥</x:v>
      </x:c>
      <x:c r="D52" s="38" t="str">
        <x:v>C05</x:v>
      </x:c>
      <x:c r="E52" s="38" t="str">
        <x:v>湖之利耶尼亚</x:v>
      </x:c>
      <x:c r="F52" s="38" t="str">
        <x:v>守关BOSS证物</x:v>
      </x:c>
      <x:c r="G52" s="38" t="n">
        <x:v>6442</x:v>
      </x:c>
      <x:c r="H52" s="38" t="str">
        <x:v>已正式入库</x:v>
      </x:c>
      <x:c r="I52" s="38" t="str">
        <x:v>按材料原类别投放</x:v>
      </x:c>
      <x:c r="J52" s="38" t="str">
        <x:v>C05-SYN-EQ-02、C05-SYN-TT-01</x:v>
      </x:c>
      <x:c r="K52" s="38" t="str">
        <x:v>不作为自动回收主材</x:v>
      </x:c>
      <x:c r="L52" s="38" t="str">
        <x:v>可交易</x:v>
      </x:c>
      <x:c r="M52" s="38" t="str">
        <x:v>否</x:v>
      </x:c>
      <x:c r="N52" s="39" t="str">
        <x:v>否</x:v>
      </x:c>
    </x:row>
    <x:row r="53" ht="48" customHeight="1">
      <x:c r="A53" s="37" t="n">
        <x:v>952</x:v>
      </x:c>
      <x:c r="B53" s="38" t="str">
        <x:v>EL-MAT-C06-Q01</x:v>
      </x:c>
      <x:c r="C53" s="38" t="str">
        <x:v>红狮断箭</x:v>
      </x:c>
      <x:c r="D53" s="38" t="str">
        <x:v>C06</x:v>
      </x:c>
      <x:c r="E53" s="38" t="str">
        <x:v>盖利德</x:v>
      </x:c>
      <x:c r="F53" s="38" t="str">
        <x:v>普通怪证物</x:v>
      </x:c>
      <x:c r="G53" s="38" t="n">
        <x:v>6443</x:v>
      </x:c>
      <x:c r="H53" s="38" t="str">
        <x:v>已正式入库</x:v>
      </x:c>
      <x:c r="I53" s="38" t="str">
        <x:v>按材料原类别投放</x:v>
      </x:c>
      <x:c r="J53" s="38" t="str">
        <x:v>C06-SYN-EQ-01</x:v>
      </x:c>
      <x:c r="K53" s="38" t="str">
        <x:v>不作为自动回收主材</x:v>
      </x:c>
      <x:c r="L53" s="38" t="str">
        <x:v>可交易</x:v>
      </x:c>
      <x:c r="M53" s="38" t="str">
        <x:v>否</x:v>
      </x:c>
      <x:c r="N53" s="39" t="str">
        <x:v>否</x:v>
      </x:c>
    </x:row>
    <x:row r="54" ht="48" customHeight="1">
      <x:c r="A54" s="37" t="n">
        <x:v>953</x:v>
      </x:c>
      <x:c r="B54" s="38" t="str">
        <x:v>EL-MAT-C06-Q02</x:v>
      </x:c>
      <x:c r="C54" s="38" t="str">
        <x:v>净火腺囊</x:v>
      </x:c>
      <x:c r="D54" s="38" t="str">
        <x:v>C06</x:v>
      </x:c>
      <x:c r="E54" s="38" t="str">
        <x:v>盖利德</x:v>
      </x:c>
      <x:c r="F54" s="38" t="str">
        <x:v>精英证物</x:v>
      </x:c>
      <x:c r="G54" s="38" t="n">
        <x:v>6444</x:v>
      </x:c>
      <x:c r="H54" s="38" t="str">
        <x:v>已正式入库</x:v>
      </x:c>
      <x:c r="I54" s="38" t="str">
        <x:v>按材料原类别投放</x:v>
      </x:c>
      <x:c r="J54" s="38" t="str">
        <x:v>C06-SYN-EQ-02、C06-REBIRTH-06、C06-REBIRTH-07、C06-REBIRTH-08、C06-REBIRTH-09、C06-REBIRTH-10</x:v>
      </x:c>
      <x:c r="K54" s="38" t="str">
        <x:v>不作为自动回收主材</x:v>
      </x:c>
      <x:c r="L54" s="38" t="str">
        <x:v>可交易</x:v>
      </x:c>
      <x:c r="M54" s="38" t="str">
        <x:v>否</x:v>
      </x:c>
      <x:c r="N54" s="39" t="str">
        <x:v>否</x:v>
      </x:c>
    </x:row>
    <x:row r="55" ht="48" customHeight="1">
      <x:c r="A55" s="37" t="n">
        <x:v>954</x:v>
      </x:c>
      <x:c r="B55" s="38" t="str">
        <x:v>EL-MAT-C06-Q03</x:v>
      </x:c>
      <x:c r="C55" s="38" t="str">
        <x:v>龙窟熔牙</x:v>
      </x:c>
      <x:c r="D55" s="38" t="str">
        <x:v>C06</x:v>
      </x:c>
      <x:c r="E55" s="38" t="str">
        <x:v>盖利德</x:v>
      </x:c>
      <x:c r="F55" s="38" t="str">
        <x:v>地图BOSS证物</x:v>
      </x:c>
      <x:c r="G55" s="38" t="n">
        <x:v>6445</x:v>
      </x:c>
      <x:c r="H55" s="38" t="str">
        <x:v>已正式入库</x:v>
      </x:c>
      <x:c r="I55" s="38" t="str">
        <x:v>按材料原类别投放</x:v>
      </x:c>
      <x:c r="J55" s="38" t="str">
        <x:v>C06-SYN-EQ-02</x:v>
      </x:c>
      <x:c r="K55" s="38" t="str">
        <x:v>不作为自动回收主材</x:v>
      </x:c>
      <x:c r="L55" s="38" t="str">
        <x:v>可交易</x:v>
      </x:c>
      <x:c r="M55" s="38" t="str">
        <x:v>否</x:v>
      </x:c>
      <x:c r="N55" s="39" t="str">
        <x:v>否</x:v>
      </x:c>
    </x:row>
    <x:row r="56" ht="48" customHeight="1">
      <x:c r="A56" s="37" t="n">
        <x:v>955</x:v>
      </x:c>
      <x:c r="B56" s="38" t="str">
        <x:v>EL-MAT-C06-Q04</x:v>
      </x:c>
      <x:c r="C56" s="38" t="str">
        <x:v>碎星仪仗钉</x:v>
      </x:c>
      <x:c r="D56" s="38" t="str">
        <x:v>C06</x:v>
      </x:c>
      <x:c r="E56" s="38" t="str">
        <x:v>盖利德</x:v>
      </x:c>
      <x:c r="F56" s="38" t="str">
        <x:v>守关BOSS证物</x:v>
      </x:c>
      <x:c r="G56" s="38" t="n">
        <x:v>6446</x:v>
      </x:c>
      <x:c r="H56" s="38" t="str">
        <x:v>已正式入库</x:v>
      </x:c>
      <x:c r="I56" s="38" t="str">
        <x:v>按材料原类别投放</x:v>
      </x:c>
      <x:c r="J56" s="38" t="str">
        <x:v>C06-SYN-EQ-03</x:v>
      </x:c>
      <x:c r="K56" s="38" t="str">
        <x:v>不作为自动回收主材</x:v>
      </x:c>
      <x:c r="L56" s="38" t="str">
        <x:v>可交易</x:v>
      </x:c>
      <x:c r="M56" s="38" t="str">
        <x:v>否</x:v>
      </x:c>
      <x:c r="N56" s="39" t="str">
        <x:v>否</x:v>
      </x:c>
    </x:row>
    <x:row r="57" ht="48" customHeight="1">
      <x:c r="A57" s="37" t="n">
        <x:v>956</x:v>
      </x:c>
      <x:c r="B57" s="38" t="str">
        <x:v>EL-MAT-C07-Q01</x:v>
      </x:c>
      <x:c r="C57" s="38" t="str">
        <x:v>白金路标片</x:v>
      </x:c>
      <x:c r="D57" s="38" t="str">
        <x:v>C07</x:v>
      </x:c>
      <x:c r="E57" s="38" t="str">
        <x:v>化圣雪原</x:v>
      </x:c>
      <x:c r="F57" s="38" t="str">
        <x:v>普通怪证物</x:v>
      </x:c>
      <x:c r="G57" s="38" t="n">
        <x:v>6447</x:v>
      </x:c>
      <x:c r="H57" s="38" t="str">
        <x:v>已正式入库</x:v>
      </x:c>
      <x:c r="I57" s="38" t="str">
        <x:v>按材料原类别投放</x:v>
      </x:c>
      <x:c r="J57" s="38" t="str">
        <x:v>C07-SYN-EQ-01</x:v>
      </x:c>
      <x:c r="K57" s="38" t="str">
        <x:v>不作为自动回收主材</x:v>
      </x:c>
      <x:c r="L57" s="38" t="str">
        <x:v>可交易</x:v>
      </x:c>
      <x:c r="M57" s="38" t="str">
        <x:v>否</x:v>
      </x:c>
      <x:c r="N57" s="39" t="str">
        <x:v>否</x:v>
      </x:c>
    </x:row>
    <x:row r="58" ht="48" customHeight="1">
      <x:c r="A58" s="37" t="n">
        <x:v>957</x:v>
      </x:c>
      <x:c r="B58" s="38" t="str">
        <x:v>EL-MAT-C07-Q02</x:v>
      </x:c>
      <x:c r="C58" s="38" t="str">
        <x:v>冻原银角</x:v>
      </x:c>
      <x:c r="D58" s="38" t="str">
        <x:v>C07</x:v>
      </x:c>
      <x:c r="E58" s="38" t="str">
        <x:v>化圣雪原</x:v>
      </x:c>
      <x:c r="F58" s="38" t="str">
        <x:v>精英证物</x:v>
      </x:c>
      <x:c r="G58" s="38" t="n">
        <x:v>6448</x:v>
      </x:c>
      <x:c r="H58" s="38" t="str">
        <x:v>已正式入库</x:v>
      </x:c>
      <x:c r="I58" s="38" t="str">
        <x:v>按材料原类别投放</x:v>
      </x:c>
      <x:c r="J58" s="38" t="str">
        <x:v>待配方／任务接入</x:v>
      </x:c>
      <x:c r="K58" s="38" t="str">
        <x:v>不作为自动回收主材</x:v>
      </x:c>
      <x:c r="L58" s="38" t="str">
        <x:v>可交易</x:v>
      </x:c>
      <x:c r="M58" s="38" t="str">
        <x:v>否</x:v>
      </x:c>
      <x:c r="N58" s="39" t="str">
        <x:v>否</x:v>
      </x:c>
    </x:row>
    <x:row r="59" ht="48" customHeight="1">
      <x:c r="A59" s="37" t="n">
        <x:v>958</x:v>
      </x:c>
      <x:c r="B59" s="38" t="str">
        <x:v>EL-MAT-C07-Q03</x:v>
      </x:c>
      <x:c r="C59" s="38" t="str">
        <x:v>秘树霜芽</x:v>
      </x:c>
      <x:c r="D59" s="38" t="str">
        <x:v>C07</x:v>
      </x:c>
      <x:c r="E59" s="38" t="str">
        <x:v>化圣雪原</x:v>
      </x:c>
      <x:c r="F59" s="38" t="str">
        <x:v>地图BOSS证物</x:v>
      </x:c>
      <x:c r="G59" s="38" t="n">
        <x:v>6449</x:v>
      </x:c>
      <x:c r="H59" s="38" t="str">
        <x:v>已正式入库</x:v>
      </x:c>
      <x:c r="I59" s="38" t="str">
        <x:v>按材料原类别投放</x:v>
      </x:c>
      <x:c r="J59" s="38" t="str">
        <x:v>C07-SYN-EQ-02、C07-AOE-LV4</x:v>
      </x:c>
      <x:c r="K59" s="38" t="str">
        <x:v>不作为自动回收主材</x:v>
      </x:c>
      <x:c r="L59" s="38" t="str">
        <x:v>可交易</x:v>
      </x:c>
      <x:c r="M59" s="38" t="str">
        <x:v>否</x:v>
      </x:c>
      <x:c r="N59" s="39" t="str">
        <x:v>否</x:v>
      </x:c>
    </x:row>
    <x:row r="60" ht="48" customHeight="1">
      <x:c r="A60" s="37" t="n">
        <x:v>959</x:v>
      </x:c>
      <x:c r="B60" s="38" t="str">
        <x:v>EL-MAT-C07-Q04</x:v>
      </x:c>
      <x:c r="C60" s="38" t="str">
        <x:v>圣雪门楔</x:v>
      </x:c>
      <x:c r="D60" s="38" t="str">
        <x:v>C07</x:v>
      </x:c>
      <x:c r="E60" s="38" t="str">
        <x:v>化圣雪原</x:v>
      </x:c>
      <x:c r="F60" s="38" t="str">
        <x:v>守关BOSS证物</x:v>
      </x:c>
      <x:c r="G60" s="38" t="n">
        <x:v>6450</x:v>
      </x:c>
      <x:c r="H60" s="38" t="str">
        <x:v>已正式入库</x:v>
      </x:c>
      <x:c r="I60" s="38" t="str">
        <x:v>按材料原类别投放</x:v>
      </x:c>
      <x:c r="J60" s="38" t="str">
        <x:v>C07-SYN-EQ-02、C07-SYN-TT-01</x:v>
      </x:c>
      <x:c r="K60" s="38" t="str">
        <x:v>不作为自动回收主材</x:v>
      </x:c>
      <x:c r="L60" s="38" t="str">
        <x:v>可交易</x:v>
      </x:c>
      <x:c r="M60" s="38" t="str">
        <x:v>否</x:v>
      </x:c>
      <x:c r="N60" s="39" t="str">
        <x:v>否</x:v>
      </x:c>
    </x:row>
    <x:row r="61" ht="48" customHeight="1">
      <x:c r="A61" s="37" t="n">
        <x:v>960</x:v>
      </x:c>
      <x:c r="B61" s="38" t="str">
        <x:v>EL-MAT-C08-Q01</x:v>
      </x:c>
      <x:c r="C61" s="38" t="str">
        <x:v>登山铁楔</x:v>
      </x:c>
      <x:c r="D61" s="38" t="str">
        <x:v>C08</x:v>
      </x:c>
      <x:c r="E61" s="38" t="str">
        <x:v>巨人山顶</x:v>
      </x:c>
      <x:c r="F61" s="38" t="str">
        <x:v>普通怪证物</x:v>
      </x:c>
      <x:c r="G61" s="38" t="n">
        <x:v>6451</x:v>
      </x:c>
      <x:c r="H61" s="38" t="str">
        <x:v>已正式入库</x:v>
      </x:c>
      <x:c r="I61" s="38" t="str">
        <x:v>按材料原类别投放</x:v>
      </x:c>
      <x:c r="J61" s="38" t="str">
        <x:v>C08-SYN-EQ-01</x:v>
      </x:c>
      <x:c r="K61" s="38" t="str">
        <x:v>不作为自动回收主材</x:v>
      </x:c>
      <x:c r="L61" s="38" t="str">
        <x:v>可交易</x:v>
      </x:c>
      <x:c r="M61" s="38" t="str">
        <x:v>否</x:v>
      </x:c>
      <x:c r="N61" s="39" t="str">
        <x:v>否</x:v>
      </x:c>
    </x:row>
    <x:row r="62" ht="48" customHeight="1">
      <x:c r="A62" s="37" t="n">
        <x:v>961</x:v>
      </x:c>
      <x:c r="B62" s="38" t="str">
        <x:v>EL-MAT-C08-Q02</x:v>
      </x:c>
      <x:c r="C62" s="38" t="str">
        <x:v>裂峰号角片</x:v>
      </x:c>
      <x:c r="D62" s="38" t="str">
        <x:v>C08</x:v>
      </x:c>
      <x:c r="E62" s="38" t="str">
        <x:v>巨人山顶</x:v>
      </x:c>
      <x:c r="F62" s="38" t="str">
        <x:v>精英证物</x:v>
      </x:c>
      <x:c r="G62" s="38" t="n">
        <x:v>6452</x:v>
      </x:c>
      <x:c r="H62" s="38" t="str">
        <x:v>已正式入库</x:v>
      </x:c>
      <x:c r="I62" s="38" t="str">
        <x:v>按材料原类别投放</x:v>
      </x:c>
      <x:c r="J62" s="38" t="str">
        <x:v>C08-SYN-EQ-02、C08-REBIRTH-11、C08-REBIRTH-12、C08-REBIRTH-13、C08-REBIRTH-14、C08-REBIRTH-15</x:v>
      </x:c>
      <x:c r="K62" s="38" t="str">
        <x:v>不作为自动回收主材</x:v>
      </x:c>
      <x:c r="L62" s="38" t="str">
        <x:v>可交易</x:v>
      </x:c>
      <x:c r="M62" s="38" t="str">
        <x:v>否</x:v>
      </x:c>
      <x:c r="N62" s="39" t="str">
        <x:v>否</x:v>
      </x:c>
    </x:row>
    <x:row r="63" ht="48" customHeight="1">
      <x:c r="A63" s="37" t="n">
        <x:v>962</x:v>
      </x:c>
      <x:c r="B63" s="38" t="str">
        <x:v>EL-MAT-C08-Q03</x:v>
      </x:c>
      <x:c r="C63" s="38" t="str">
        <x:v>冰宫守门铃</x:v>
      </x:c>
      <x:c r="D63" s="38" t="str">
        <x:v>C08</x:v>
      </x:c>
      <x:c r="E63" s="38" t="str">
        <x:v>巨人山顶</x:v>
      </x:c>
      <x:c r="F63" s="38" t="str">
        <x:v>地图BOSS证物</x:v>
      </x:c>
      <x:c r="G63" s="38" t="n">
        <x:v>6453</x:v>
      </x:c>
      <x:c r="H63" s="38" t="str">
        <x:v>已正式入库</x:v>
      </x:c>
      <x:c r="I63" s="38" t="str">
        <x:v>按材料原类别投放</x:v>
      </x:c>
      <x:c r="J63" s="38" t="str">
        <x:v>C08-SYN-EQ-02</x:v>
      </x:c>
      <x:c r="K63" s="38" t="str">
        <x:v>不作为自动回收主材</x:v>
      </x:c>
      <x:c r="L63" s="38" t="str">
        <x:v>可交易</x:v>
      </x:c>
      <x:c r="M63" s="38" t="str">
        <x:v>否</x:v>
      </x:c>
      <x:c r="N63" s="39" t="str">
        <x:v>否</x:v>
      </x:c>
    </x:row>
    <x:row r="64" ht="48" customHeight="1">
      <x:c r="A64" s="37" t="n">
        <x:v>963</x:v>
      </x:c>
      <x:c r="B64" s="38" t="str">
        <x:v>EL-MAT-C08-Q04</x:v>
      </x:c>
      <x:c r="C64" s="38" t="str">
        <x:v>王庭炉冠</x:v>
      </x:c>
      <x:c r="D64" s="38" t="str">
        <x:v>C08</x:v>
      </x:c>
      <x:c r="E64" s="38" t="str">
        <x:v>巨人山顶</x:v>
      </x:c>
      <x:c r="F64" s="38" t="str">
        <x:v>守关BOSS证物</x:v>
      </x:c>
      <x:c r="G64" s="38" t="n">
        <x:v>6454</x:v>
      </x:c>
      <x:c r="H64" s="38" t="str">
        <x:v>已正式入库</x:v>
      </x:c>
      <x:c r="I64" s="38" t="str">
        <x:v>按材料原类别投放</x:v>
      </x:c>
      <x:c r="J64" s="38" t="str">
        <x:v>C08-SYN-EQ-03</x:v>
      </x:c>
      <x:c r="K64" s="38" t="str">
        <x:v>不作为自动回收主材</x:v>
      </x:c>
      <x:c r="L64" s="38" t="str">
        <x:v>可交易</x:v>
      </x:c>
      <x:c r="M64" s="38" t="str">
        <x:v>否</x:v>
      </x:c>
      <x:c r="N64" s="39" t="str">
        <x:v>否</x:v>
      </x:c>
    </x:row>
    <x:row r="65" ht="48" customHeight="1">
      <x:c r="A65" s="37" t="n">
        <x:v>964</x:v>
      </x:c>
      <x:c r="B65" s="38" t="str">
        <x:v>EL-MAT-C09-Q01</x:v>
      </x:c>
      <x:c r="C65" s="38" t="str">
        <x:v>金叶驿票</x:v>
      </x:c>
      <x:c r="D65" s="38" t="str">
        <x:v>C09</x:v>
      </x:c>
      <x:c r="E65" s="38" t="str">
        <x:v>亚坛高原</x:v>
      </x:c>
      <x:c r="F65" s="38" t="str">
        <x:v>普通怪证物</x:v>
      </x:c>
      <x:c r="G65" s="38" t="n">
        <x:v>6455</x:v>
      </x:c>
      <x:c r="H65" s="38" t="str">
        <x:v>已正式入库</x:v>
      </x:c>
      <x:c r="I65" s="38" t="str">
        <x:v>按材料原类别投放</x:v>
      </x:c>
      <x:c r="J65" s="38" t="str">
        <x:v>待配方／任务接入</x:v>
      </x:c>
      <x:c r="K65" s="38" t="str">
        <x:v>不作为自动回收主材</x:v>
      </x:c>
      <x:c r="L65" s="38" t="str">
        <x:v>可交易</x:v>
      </x:c>
      <x:c r="M65" s="38" t="str">
        <x:v>否</x:v>
      </x:c>
      <x:c r="N65" s="39" t="str">
        <x:v>否</x:v>
      </x:c>
    </x:row>
    <x:row r="66" ht="48" customHeight="1">
      <x:c r="A66" s="37" t="n">
        <x:v>965</x:v>
      </x:c>
      <x:c r="B66" s="38" t="str">
        <x:v>EL-MAT-C09-Q02</x:v>
      </x:c>
      <x:c r="C66" s="38" t="str">
        <x:v>矿脉灯芯</x:v>
      </x:c>
      <x:c r="D66" s="38" t="str">
        <x:v>C09</x:v>
      </x:c>
      <x:c r="E66" s="38" t="str">
        <x:v>亚坛高原</x:v>
      </x:c>
      <x:c r="F66" s="38" t="str">
        <x:v>精英证物</x:v>
      </x:c>
      <x:c r="G66" s="38" t="n">
        <x:v>6456</x:v>
      </x:c>
      <x:c r="H66" s="38" t="str">
        <x:v>已正式入库</x:v>
      </x:c>
      <x:c r="I66" s="38" t="str">
        <x:v>按材料原类别投放</x:v>
      </x:c>
      <x:c r="J66" s="38" t="str">
        <x:v>待配方／任务接入</x:v>
      </x:c>
      <x:c r="K66" s="38" t="str">
        <x:v>不作为自动回收主材</x:v>
      </x:c>
      <x:c r="L66" s="38" t="str">
        <x:v>可交易</x:v>
      </x:c>
      <x:c r="M66" s="38" t="str">
        <x:v>否</x:v>
      </x:c>
      <x:c r="N66" s="39" t="str">
        <x:v>否</x:v>
      </x:c>
    </x:row>
    <x:row r="67" ht="48" customHeight="1">
      <x:c r="A67" s="37" t="n">
        <x:v>966</x:v>
      </x:c>
      <x:c r="B67" s="38" t="str">
        <x:v>EL-MAT-C09-Q03</x:v>
      </x:c>
      <x:c r="C67" s="38" t="str">
        <x:v>裁文蜡封</x:v>
      </x:c>
      <x:c r="D67" s="38" t="str">
        <x:v>C09</x:v>
      </x:c>
      <x:c r="E67" s="38" t="str">
        <x:v>亚坛高原</x:v>
      </x:c>
      <x:c r="F67" s="38" t="str">
        <x:v>地图BOSS证物</x:v>
      </x:c>
      <x:c r="G67" s="38" t="n">
        <x:v>6457</x:v>
      </x:c>
      <x:c r="H67" s="38" t="str">
        <x:v>已正式入库</x:v>
      </x:c>
      <x:c r="I67" s="38" t="str">
        <x:v>按材料原类别投放</x:v>
      </x:c>
      <x:c r="J67" s="38" t="str">
        <x:v>C09-SYN-EQ-01、C09-AOE-LV5</x:v>
      </x:c>
      <x:c r="K67" s="38" t="str">
        <x:v>不作为自动回收主材</x:v>
      </x:c>
      <x:c r="L67" s="38" t="str">
        <x:v>可交易</x:v>
      </x:c>
      <x:c r="M67" s="38" t="str">
        <x:v>否</x:v>
      </x:c>
      <x:c r="N67" s="39" t="str">
        <x:v>否</x:v>
      </x:c>
    </x:row>
    <x:row r="68" ht="48" customHeight="1">
      <x:c r="A68" s="37" t="n">
        <x:v>967</x:v>
      </x:c>
      <x:c r="B68" s="38" t="str">
        <x:v>EL-MAT-C09-Q04</x:v>
      </x:c>
      <x:c r="C68" s="38" t="str">
        <x:v>高原王诏金版</x:v>
      </x:c>
      <x:c r="D68" s="38" t="str">
        <x:v>C09</x:v>
      </x:c>
      <x:c r="E68" s="38" t="str">
        <x:v>亚坛高原</x:v>
      </x:c>
      <x:c r="F68" s="38" t="str">
        <x:v>守关BOSS证物</x:v>
      </x:c>
      <x:c r="G68" s="38" t="n">
        <x:v>6458</x:v>
      </x:c>
      <x:c r="H68" s="38" t="str">
        <x:v>已正式入库</x:v>
      </x:c>
      <x:c r="I68" s="38" t="str">
        <x:v>按材料原类别投放</x:v>
      </x:c>
      <x:c r="J68" s="38" t="str">
        <x:v>C09-SYN-EQ-02、C09-SYN-TT-01</x:v>
      </x:c>
      <x:c r="K68" s="38" t="str">
        <x:v>不作为自动回收主材</x:v>
      </x:c>
      <x:c r="L68" s="38" t="str">
        <x:v>可交易</x:v>
      </x:c>
      <x:c r="M68" s="38" t="str">
        <x:v>否</x:v>
      </x:c>
      <x:c r="N68" s="39" t="str">
        <x:v>否</x:v>
      </x:c>
    </x:row>
    <x:row r="69" ht="48" customHeight="1">
      <x:c r="A69" s="37" t="n">
        <x:v>968</x:v>
      </x:c>
      <x:c r="B69" s="38" t="str">
        <x:v>EL-MAT-C10-Q01</x:v>
      </x:c>
      <x:c r="C69" s="38" t="str">
        <x:v>无名墓钉</x:v>
      </x:c>
      <x:c r="D69" s="38" t="str">
        <x:v>C10</x:v>
      </x:c>
      <x:c r="E69" s="38" t="str">
        <x:v>王城罗德尔</x:v>
      </x:c>
      <x:c r="F69" s="38" t="str">
        <x:v>普通怪证物</x:v>
      </x:c>
      <x:c r="G69" s="38" t="n">
        <x:v>6459</x:v>
      </x:c>
      <x:c r="H69" s="38" t="str">
        <x:v>已正式入库</x:v>
      </x:c>
      <x:c r="I69" s="38" t="str">
        <x:v>按材料原类别投放</x:v>
      </x:c>
      <x:c r="J69" s="38" t="str">
        <x:v>C10-SYN-EQ-02</x:v>
      </x:c>
      <x:c r="K69" s="38" t="str">
        <x:v>不作为自动回收主材</x:v>
      </x:c>
      <x:c r="L69" s="38" t="str">
        <x:v>可交易</x:v>
      </x:c>
      <x:c r="M69" s="38" t="str">
        <x:v>否</x:v>
      </x:c>
      <x:c r="N69" s="39" t="str">
        <x:v>否</x:v>
      </x:c>
    </x:row>
    <x:row r="70" ht="48" customHeight="1">
      <x:c r="A70" s="37" t="n">
        <x:v>969</x:v>
      </x:c>
      <x:c r="B70" s="38" t="str">
        <x:v>EL-MAT-C10-Q02</x:v>
      </x:c>
      <x:c r="C70" s="38" t="str">
        <x:v>旧渠阀芯</x:v>
      </x:c>
      <x:c r="D70" s="38" t="str">
        <x:v>C10</x:v>
      </x:c>
      <x:c r="E70" s="38" t="str">
        <x:v>王城罗德尔</x:v>
      </x:c>
      <x:c r="F70" s="38" t="str">
        <x:v>精英证物</x:v>
      </x:c>
      <x:c r="G70" s="38" t="n">
        <x:v>6460</x:v>
      </x:c>
      <x:c r="H70" s="38" t="str">
        <x:v>已正式入库</x:v>
      </x:c>
      <x:c r="I70" s="38" t="str">
        <x:v>按材料原类别投放</x:v>
      </x:c>
      <x:c r="J70" s="38" t="str">
        <x:v>C10-SYN-EQ-03</x:v>
      </x:c>
      <x:c r="K70" s="38" t="str">
        <x:v>不作为自动回收主材</x:v>
      </x:c>
      <x:c r="L70" s="38" t="str">
        <x:v>可交易</x:v>
      </x:c>
      <x:c r="M70" s="38" t="str">
        <x:v>否</x:v>
      </x:c>
      <x:c r="N70" s="39" t="str">
        <x:v>否</x:v>
      </x:c>
    </x:row>
    <x:row r="71" ht="48" customHeight="1">
      <x:c r="A71" s="37" t="n">
        <x:v>970</x:v>
      </x:c>
      <x:c r="B71" s="38" t="str">
        <x:v>EL-MAT-C10-Q03</x:v>
      </x:c>
      <x:c r="C71" s="38" t="str">
        <x:v>失温熔炉楔</x:v>
      </x:c>
      <x:c r="D71" s="38" t="str">
        <x:v>C10</x:v>
      </x:c>
      <x:c r="E71" s="38" t="str">
        <x:v>王城罗德尔</x:v>
      </x:c>
      <x:c r="F71" s="38" t="str">
        <x:v>地图BOSS证物</x:v>
      </x:c>
      <x:c r="G71" s="38" t="n">
        <x:v>6461</x:v>
      </x:c>
      <x:c r="H71" s="38" t="str">
        <x:v>已正式入库</x:v>
      </x:c>
      <x:c r="I71" s="38" t="str">
        <x:v>按材料原类别投放</x:v>
      </x:c>
      <x:c r="J71" s="38" t="str">
        <x:v>C10-SYN-EQ-03</x:v>
      </x:c>
      <x:c r="K71" s="38" t="str">
        <x:v>不作为自动回收主材</x:v>
      </x:c>
      <x:c r="L71" s="38" t="str">
        <x:v>可交易</x:v>
      </x:c>
      <x:c r="M71" s="38" t="str">
        <x:v>否</x:v>
      </x:c>
      <x:c r="N71" s="39" t="str">
        <x:v>否</x:v>
      </x:c>
    </x:row>
    <x:row r="72" ht="48" customHeight="1">
      <x:c r="A72" s="37" t="n">
        <x:v>971</x:v>
      </x:c>
      <x:c r="B72" s="38" t="str">
        <x:v>EL-MAT-C10-Q04</x:v>
      </x:c>
      <x:c r="C72" s="38" t="str">
        <x:v>王宫断冠片</x:v>
      </x:c>
      <x:c r="D72" s="38" t="str">
        <x:v>C10</x:v>
      </x:c>
      <x:c r="E72" s="38" t="str">
        <x:v>王城罗德尔</x:v>
      </x:c>
      <x:c r="F72" s="38" t="str">
        <x:v>守关BOSS证物</x:v>
      </x:c>
      <x:c r="G72" s="38" t="n">
        <x:v>6462</x:v>
      </x:c>
      <x:c r="H72" s="38" t="str">
        <x:v>已正式入库</x:v>
      </x:c>
      <x:c r="I72" s="38" t="str">
        <x:v>按材料原类别投放</x:v>
      </x:c>
      <x:c r="J72" s="38" t="str">
        <x:v>C10-SYN-EQ-01、C10-SYN-TT-01、C10-REBIRTH-16、C10-REBIRTH-17、C10-REBIRTH-18、C10-REBIRTH-19、C10-REBIRTH-20</x:v>
      </x:c>
      <x:c r="K72" s="38" t="str">
        <x:v>不作为自动回收主材</x:v>
      </x:c>
      <x:c r="L72" s="38" t="str">
        <x:v>可交易</x:v>
      </x:c>
      <x:c r="M72" s="38" t="str">
        <x:v>否</x:v>
      </x:c>
      <x:c r="N72" s="39" t="str">
        <x:v>否</x:v>
      </x:c>
    </x:row>
    <x:row r="73" ht="48" customHeight="1">
      <x:c r="A73" s="37" t="n">
        <x:v>972</x:v>
      </x:c>
      <x:c r="B73" s="38" t="str">
        <x:v>EL-MAT-C03-COLLECT</x:v>
      </x:c>
      <x:c r="C73" s="38" t="str">
        <x:v>西境风痕碑拓</x:v>
      </x:c>
      <x:c r="D73" s="38" t="str">
        <x:v>C03</x:v>
      </x:c>
      <x:c r="E73" s="38" t="str">
        <x:v>宁姆格福西域</x:v>
      </x:c>
      <x:c r="F73" s="38" t="str">
        <x:v>大陆收藏材料</x:v>
      </x:c>
      <x:c r="G73" s="38" t="str">
        <x:v>待分配</x:v>
      </x:c>
      <x:c r="H73" s="38" t="str">
        <x:v>Idx已预留／Looks待编码</x:v>
      </x:c>
      <x:c r="I73" s="38" t="str">
        <x:v>本大陆所有怪物共用极低概率掉落</x:v>
      </x:c>
      <x:c r="J73" s="38" t="str">
        <x:v>图鉴页面登记时消耗1件</x:v>
      </x:c>
      <x:c r="K73" s="38" t="str">
        <x:v>禁止普通回收</x:v>
      </x:c>
      <x:c r="L73" s="38" t="str">
        <x:v>可交易</x:v>
      </x:c>
      <x:c r="M73" s="38" t="str">
        <x:v>否</x:v>
      </x:c>
      <x:c r="N73" s="39" t="str">
        <x:v>是</x:v>
      </x:c>
    </x:row>
    <x:row r="74" ht="48" customHeight="1">
      <x:c r="A74" s="37" t="n">
        <x:v>973</x:v>
      </x:c>
      <x:c r="B74" s="38" t="str">
        <x:v>EL-MAT-C04-COLLECT</x:v>
      </x:c>
      <x:c r="C74" s="38" t="str">
        <x:v>月潮忆珀</x:v>
      </x:c>
      <x:c r="D74" s="38" t="str">
        <x:v>C04</x:v>
      </x:c>
      <x:c r="E74" s="38" t="str">
        <x:v>利耶尼亚海域</x:v>
      </x:c>
      <x:c r="F74" s="38" t="str">
        <x:v>大陆收藏材料</x:v>
      </x:c>
      <x:c r="G74" s="38" t="str">
        <x:v>待分配</x:v>
      </x:c>
      <x:c r="H74" s="38" t="str">
        <x:v>Idx已预留／Looks待编码</x:v>
      </x:c>
      <x:c r="I74" s="38" t="str">
        <x:v>本大陆所有怪物共用极低概率掉落</x:v>
      </x:c>
      <x:c r="J74" s="38" t="str">
        <x:v>图鉴页面登记时消耗1件</x:v>
      </x:c>
      <x:c r="K74" s="38" t="str">
        <x:v>禁止普通回收</x:v>
      </x:c>
      <x:c r="L74" s="38" t="str">
        <x:v>可交易</x:v>
      </x:c>
      <x:c r="M74" s="38" t="str">
        <x:v>否</x:v>
      </x:c>
      <x:c r="N74" s="39" t="str">
        <x:v>是</x:v>
      </x:c>
    </x:row>
    <x:row r="75" ht="48" customHeight="1">
      <x:c r="A75" s="37" t="n">
        <x:v>974</x:v>
      </x:c>
      <x:c r="B75" s="38" t="str">
        <x:v>EL-MAT-C05-COLLECT</x:v>
      </x:c>
      <x:c r="C75" s="38" t="str">
        <x:v>湖心月谱残章</x:v>
      </x:c>
      <x:c r="D75" s="38" t="str">
        <x:v>C05</x:v>
      </x:c>
      <x:c r="E75" s="38" t="str">
        <x:v>湖之利耶尼亚</x:v>
      </x:c>
      <x:c r="F75" s="38" t="str">
        <x:v>大陆收藏材料</x:v>
      </x:c>
      <x:c r="G75" s="38" t="str">
        <x:v>待分配</x:v>
      </x:c>
      <x:c r="H75" s="38" t="str">
        <x:v>Idx已预留／Looks待编码</x:v>
      </x:c>
      <x:c r="I75" s="38" t="str">
        <x:v>本大陆所有怪物共用极低概率掉落</x:v>
      </x:c>
      <x:c r="J75" s="38" t="str">
        <x:v>图鉴页面登记时消耗1件</x:v>
      </x:c>
      <x:c r="K75" s="38" t="str">
        <x:v>禁止普通回收</x:v>
      </x:c>
      <x:c r="L75" s="38" t="str">
        <x:v>可交易</x:v>
      </x:c>
      <x:c r="M75" s="38" t="str">
        <x:v>否</x:v>
      </x:c>
      <x:c r="N75" s="39" t="str">
        <x:v>是</x:v>
      </x:c>
    </x:row>
    <x:row r="76" ht="48" customHeight="1">
      <x:c r="A76" s="37" t="n">
        <x:v>975</x:v>
      </x:c>
      <x:c r="B76" s="38" t="str">
        <x:v>EL-MAT-C06-COLLECT</x:v>
      </x:c>
      <x:c r="C76" s="38" t="str">
        <x:v>熔原罪火残章</x:v>
      </x:c>
      <x:c r="D76" s="38" t="str">
        <x:v>C06</x:v>
      </x:c>
      <x:c r="E76" s="38" t="str">
        <x:v>盖利德</x:v>
      </x:c>
      <x:c r="F76" s="38" t="str">
        <x:v>大陆收藏材料</x:v>
      </x:c>
      <x:c r="G76" s="38" t="str">
        <x:v>待分配</x:v>
      </x:c>
      <x:c r="H76" s="38" t="str">
        <x:v>Idx已预留／Looks待编码</x:v>
      </x:c>
      <x:c r="I76" s="38" t="str">
        <x:v>本大陆所有怪物共用极低概率掉落</x:v>
      </x:c>
      <x:c r="J76" s="38" t="str">
        <x:v>图鉴页面登记时消耗1件</x:v>
      </x:c>
      <x:c r="K76" s="38" t="str">
        <x:v>禁止普通回收</x:v>
      </x:c>
      <x:c r="L76" s="38" t="str">
        <x:v>可交易</x:v>
      </x:c>
      <x:c r="M76" s="38" t="str">
        <x:v>否</x:v>
      </x:c>
      <x:c r="N76" s="39" t="str">
        <x:v>是</x:v>
      </x:c>
    </x:row>
    <x:row r="77" ht="48" customHeight="1">
      <x:c r="A77" s="37" t="n">
        <x:v>976</x:v>
      </x:c>
      <x:c r="B77" s="38" t="str">
        <x:v>EL-MAT-C07-COLLECT</x:v>
      </x:c>
      <x:c r="C77" s="38" t="str">
        <x:v>永霜朝圣痕</x:v>
      </x:c>
      <x:c r="D77" s="38" t="str">
        <x:v>C07</x:v>
      </x:c>
      <x:c r="E77" s="38" t="str">
        <x:v>化圣雪原</x:v>
      </x:c>
      <x:c r="F77" s="38" t="str">
        <x:v>大陆收藏材料</x:v>
      </x:c>
      <x:c r="G77" s="38" t="str">
        <x:v>待分配</x:v>
      </x:c>
      <x:c r="H77" s="38" t="str">
        <x:v>Idx已预留／Looks待编码</x:v>
      </x:c>
      <x:c r="I77" s="38" t="str">
        <x:v>本大陆所有怪物共用极低概率掉落</x:v>
      </x:c>
      <x:c r="J77" s="38" t="str">
        <x:v>图鉴页面登记时消耗1件</x:v>
      </x:c>
      <x:c r="K77" s="38" t="str">
        <x:v>禁止普通回收</x:v>
      </x:c>
      <x:c r="L77" s="38" t="str">
        <x:v>可交易</x:v>
      </x:c>
      <x:c r="M77" s="38" t="str">
        <x:v>否</x:v>
      </x:c>
      <x:c r="N77" s="39" t="str">
        <x:v>是</x:v>
      </x:c>
    </x:row>
    <x:row r="78" ht="48" customHeight="1">
      <x:c r="A78" s="37" t="n">
        <x:v>977</x:v>
      </x:c>
      <x:c r="B78" s="38" t="str">
        <x:v>EL-MAT-C08-COLLECT</x:v>
      </x:c>
      <x:c r="C78" s="38" t="str">
        <x:v>穹霜碑珀</x:v>
      </x:c>
      <x:c r="D78" s="38" t="str">
        <x:v>C08</x:v>
      </x:c>
      <x:c r="E78" s="38" t="str">
        <x:v>巨人山顶</x:v>
      </x:c>
      <x:c r="F78" s="38" t="str">
        <x:v>大陆收藏材料</x:v>
      </x:c>
      <x:c r="G78" s="38" t="str">
        <x:v>待分配</x:v>
      </x:c>
      <x:c r="H78" s="38" t="str">
        <x:v>Idx已预留／Looks待编码</x:v>
      </x:c>
      <x:c r="I78" s="38" t="str">
        <x:v>本大陆所有怪物共用极低概率掉落</x:v>
      </x:c>
      <x:c r="J78" s="38" t="str">
        <x:v>图鉴页面登记时消耗1件</x:v>
      </x:c>
      <x:c r="K78" s="38" t="str">
        <x:v>禁止普通回收</x:v>
      </x:c>
      <x:c r="L78" s="38" t="str">
        <x:v>可交易</x:v>
      </x:c>
      <x:c r="M78" s="38" t="str">
        <x:v>否</x:v>
      </x:c>
      <x:c r="N78" s="39" t="str">
        <x:v>是</x:v>
      </x:c>
    </x:row>
    <x:row r="79" ht="48" customHeight="1">
      <x:c r="A79" s="37" t="n">
        <x:v>978</x:v>
      </x:c>
      <x:c r="B79" s="38" t="str">
        <x:v>EL-MAT-C09-COLLECT</x:v>
      </x:c>
      <x:c r="C79" s="38" t="str">
        <x:v>古坛鎏叶髓</x:v>
      </x:c>
      <x:c r="D79" s="38" t="str">
        <x:v>C09</x:v>
      </x:c>
      <x:c r="E79" s="38" t="str">
        <x:v>亚坛高原</x:v>
      </x:c>
      <x:c r="F79" s="38" t="str">
        <x:v>大陆收藏材料</x:v>
      </x:c>
      <x:c r="G79" s="38" t="str">
        <x:v>待分配</x:v>
      </x:c>
      <x:c r="H79" s="38" t="str">
        <x:v>Idx已预留／Looks待编码</x:v>
      </x:c>
      <x:c r="I79" s="38" t="str">
        <x:v>本大陆所有怪物共用极低概率掉落</x:v>
      </x:c>
      <x:c r="J79" s="38" t="str">
        <x:v>图鉴页面登记时消耗1件</x:v>
      </x:c>
      <x:c r="K79" s="38" t="str">
        <x:v>禁止普通回收</x:v>
      </x:c>
      <x:c r="L79" s="38" t="str">
        <x:v>可交易</x:v>
      </x:c>
      <x:c r="M79" s="38" t="str">
        <x:v>否</x:v>
      </x:c>
      <x:c r="N79" s="39" t="str">
        <x:v>是</x:v>
      </x:c>
    </x:row>
    <x:row r="80" ht="48" customHeight="1">
      <x:c r="A80" s="40" t="n">
        <x:v>979</x:v>
      </x:c>
      <x:c r="B80" s="41" t="str">
        <x:v>EL-MAT-C10-COLLECT</x:v>
      </x:c>
      <x:c r="C80" s="41" t="str">
        <x:v>穹律鎏痕拓片</x:v>
      </x:c>
      <x:c r="D80" s="41" t="str">
        <x:v>C10</x:v>
      </x:c>
      <x:c r="E80" s="41" t="str">
        <x:v>王城罗德尔</x:v>
      </x:c>
      <x:c r="F80" s="41" t="str">
        <x:v>大陆收藏材料</x:v>
      </x:c>
      <x:c r="G80" s="41" t="str">
        <x:v>待分配</x:v>
      </x:c>
      <x:c r="H80" s="41" t="str">
        <x:v>Idx已预留／Looks待编码</x:v>
      </x:c>
      <x:c r="I80" s="41" t="str">
        <x:v>本大陆所有怪物共用极低概率掉落</x:v>
      </x:c>
      <x:c r="J80" s="41" t="str">
        <x:v>图鉴页面登记时消耗1件</x:v>
      </x:c>
      <x:c r="K80" s="41" t="str">
        <x:v>禁止普通回收</x:v>
      </x:c>
      <x:c r="L80" s="41" t="str">
        <x:v>可交易</x:v>
      </x:c>
      <x:c r="M80" s="41" t="str">
        <x:v>否</x:v>
      </x:c>
      <x:c r="N80" s="42" t="str">
        <x:v>是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33511bc15af43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2" hidden="0" customWidth="1"/>
    <x:col min="4" max="4" width="20" hidden="0" customWidth="1"/>
    <x:col min="5" max="5" width="50" hidden="0" customWidth="1"/>
    <x:col min="6" max="6" width="14" hidden="0" customWidth="1"/>
    <x:col min="7" max="7" width="24" hidden="0" customWidth="1"/>
    <x:col min="8" max="8" width="24" hidden="0" customWidth="1"/>
    <x:col min="9" max="9" width="22" hidden="0" customWidth="1"/>
    <x:col min="10" max="10" width="25" hidden="0" customWidth="1"/>
    <x:col min="11" max="11" width="38" hidden="0" customWidth="1"/>
    <x:col min="12" max="12" width="55" hidden="0" customWidth="1"/>
  </x:cols>
  <x:sheetData>
    <x:row r="1" ht="32" customHeight="1">
      <x:c r="A1" s="4" t="str">
        <x:v>每大陆高产材料与金币／元宝回收口</x:v>
      </x:c>
      <x:c r="B1" s="4" t="str">
        <x:v>每大陆高产材料与金币／元宝回收口</x:v>
      </x:c>
      <x:c r="C1" s="4" t="str">
        <x:v>每大陆高产材料与金币／元宝回收口</x:v>
      </x:c>
      <x:c r="D1" s="4" t="str">
        <x:v>每大陆高产材料与金币／元宝回收口</x:v>
      </x:c>
      <x:c r="E1" s="4" t="str">
        <x:v>每大陆高产材料与金币／元宝回收口</x:v>
      </x:c>
      <x:c r="F1" s="4" t="str">
        <x:v>每大陆高产材料与金币／元宝回收口</x:v>
      </x:c>
      <x:c r="G1" s="4" t="str">
        <x:v>每大陆高产材料与金币／元宝回收口</x:v>
      </x:c>
      <x:c r="H1" s="4" t="str">
        <x:v>每大陆高产材料与金币／元宝回收口</x:v>
      </x:c>
      <x:c r="I1" s="4" t="str">
        <x:v>每大陆高产材料与金币／元宝回收口</x:v>
      </x:c>
      <x:c r="J1" s="4" t="str">
        <x:v>每大陆高产材料与金币／元宝回收口</x:v>
      </x:c>
      <x:c r="K1" s="4" t="str">
        <x:v>每大陆高产材料与金币／元宝回收口</x:v>
      </x:c>
      <x:c r="L1" s="4" t="str">
        <x:v>每大陆高产材料与金币／元宝回收口</x:v>
      </x:c>
    </x:row>
    <x:row r="2" ht="38" customHeight="1">
      <x:c r="A2" s="8" t="str">
        <x:v>高产指单位小时数量高，不等于地面对象频繁生成；通过较低触发频率＋一次多叠加减少服务器负担。</x:v>
      </x:c>
      <x:c r="B2" s="8" t="str">
        <x:v>高产指单位小时数量高，不等于地面对象频繁生成；通过较低触发频率＋一次多叠加减少服务器负担。</x:v>
      </x:c>
      <x:c r="C2" s="8" t="str">
        <x:v>高产指单位小时数量高，不等于地面对象频繁生成；通过较低触发频率＋一次多叠加减少服务器负担。</x:v>
      </x:c>
      <x:c r="D2" s="8" t="str">
        <x:v>高产指单位小时数量高，不等于地面对象频繁生成；通过较低触发频率＋一次多叠加减少服务器负担。</x:v>
      </x:c>
      <x:c r="E2" s="8" t="str">
        <x:v>高产指单位小时数量高，不等于地面对象频繁生成；通过较低触发频率＋一次多叠加减少服务器负担。</x:v>
      </x:c>
      <x:c r="F2" s="8" t="str">
        <x:v>高产指单位小时数量高，不等于地面对象频繁生成；通过较低触发频率＋一次多叠加减少服务器负担。</x:v>
      </x:c>
      <x:c r="G2" s="8" t="str">
        <x:v>高产指单位小时数量高，不等于地面对象频繁生成；通过较低触发频率＋一次多叠加减少服务器负担。</x:v>
      </x:c>
      <x:c r="H2" s="8" t="str">
        <x:v>高产指单位小时数量高，不等于地面对象频繁生成；通过较低触发频率＋一次多叠加减少服务器负担。</x:v>
      </x:c>
      <x:c r="I2" s="8" t="str">
        <x:v>高产指单位小时数量高，不等于地面对象频繁生成；通过较低触发频率＋一次多叠加减少服务器负担。</x:v>
      </x:c>
      <x:c r="J2" s="8" t="str">
        <x:v>高产指单位小时数量高，不等于地面对象频繁生成；通过较低触发频率＋一次多叠加减少服务器负担。</x:v>
      </x:c>
      <x:c r="K2" s="8" t="str">
        <x:v>高产指单位小时数量高，不等于地面对象频繁生成；通过较低触发频率＋一次多叠加减少服务器负担。</x:v>
      </x:c>
      <x:c r="L2" s="8" t="str">
        <x:v>高产指单位小时数量高，不等于地面对象频繁生成；通过较低触发频率＋一次多叠加减少服务器负担。</x:v>
      </x:c>
    </x:row>
    <x:row r="4" ht="30" customHeight="1">
      <x:c r="A4" s="14" t="str">
        <x:v>大陆ID</x:v>
      </x:c>
      <x:c r="B4" s="14" t="str">
        <x:v>大陆</x:v>
      </x:c>
      <x:c r="C4" s="14" t="str">
        <x:v>高产溢出材料</x:v>
      </x:c>
      <x:c r="D4" s="14" t="str">
        <x:v>掉落范围</x:v>
      </x:c>
      <x:c r="E4" s="14" t="str">
        <x:v>投放技术口径</x:v>
      </x:c>
      <x:c r="F4" s="14" t="str">
        <x:v>回收档位</x:v>
      </x:c>
      <x:c r="G4" s="14" t="str">
        <x:v>回收倾向</x:v>
      </x:c>
      <x:c r="H4" s="14" t="str">
        <x:v>跨大陆递增</x:v>
      </x:c>
      <x:c r="I4" s="14" t="str">
        <x:v>主要消耗压力</x:v>
      </x:c>
      <x:c r="J4" s="14" t="str">
        <x:v>制式装备角色</x:v>
      </x:c>
      <x:c r="K4" s="14" t="str">
        <x:v>交易角色</x:v>
      </x:c>
      <x:c r="L4" s="14" t="str">
        <x:v>防套利规则</x:v>
      </x:c>
    </x:row>
    <x:row r="5" ht="48" customHeight="1">
      <x:c r="A5" s="34" t="str">
        <x:v>C01</x:v>
      </x:c>
      <x:c r="B5" s="35" t="str">
        <x:v>漂流群岛</x:v>
      </x:c>
      <x:c r="C5" s="35" t="str">
        <x:v>海蚀铁片</x:v>
      </x:c>
      <x:c r="D5" s="35" t="str">
        <x:v>本大陆全怪</x:v>
      </x:c>
      <x:c r="E5" s="35" t="str">
        <x:v>高小时数量；单次多叠加、触发频率较低</x:v>
      </x:c>
      <x:c r="F5" s="35" t="str">
        <x:v>R1</x:v>
      </x:c>
      <x:c r="G5" s="35" t="str">
        <x:v>金币主、元宝辅</x:v>
      </x:c>
      <x:c r="H5" s="35" t="str">
        <x:v>最低回收基准</x:v>
      </x:c>
      <x:c r="I5" s="35" t="str">
        <x:v>金币偏重</x:v>
      </x:c>
      <x:c r="J5" s="35" t="str">
        <x:v>制式装备低频回收补充</x:v>
      </x:c>
      <x:c r="K5" s="35" t="str">
        <x:v>可交易；免费号主要出售给赞助号</x:v>
      </x:c>
      <x:c r="L5" s="36" t="str">
        <x:v>材料回收底价计入所有配方机会成本；禁止合成后回收套利</x:v>
      </x:c>
    </x:row>
    <x:row r="6" ht="48" customHeight="1">
      <x:c r="A6" s="37" t="str">
        <x:v>C02</x:v>
      </x:c>
      <x:c r="B6" s="38" t="str">
        <x:v>宁姆格福</x:v>
      </x:c>
      <x:c r="C6" s="38" t="str">
        <x:v>风暴石片</x:v>
      </x:c>
      <x:c r="D6" s="38" t="str">
        <x:v>本大陆全怪</x:v>
      </x:c>
      <x:c r="E6" s="38" t="str">
        <x:v>高小时数量；单次多叠加、触发频率较低</x:v>
      </x:c>
      <x:c r="F6" s="38" t="str">
        <x:v>R2</x:v>
      </x:c>
      <x:c r="G6" s="38" t="str">
        <x:v>元宝主、金币辅</x:v>
      </x:c>
      <x:c r="H6" s="38" t="str">
        <x:v>必须高于R1</x:v>
      </x:c>
      <x:c r="I6" s="38" t="str">
        <x:v>元宝偏重</x:v>
      </x:c>
      <x:c r="J6" s="38" t="str">
        <x:v>制式装备低频回收补充</x:v>
      </x:c>
      <x:c r="K6" s="38" t="str">
        <x:v>可交易；免费号主要出售给赞助号</x:v>
      </x:c>
      <x:c r="L6" s="39" t="str">
        <x:v>材料回收底价计入所有配方机会成本；禁止合成后回收套利</x:v>
      </x:c>
    </x:row>
    <x:row r="7" ht="48" customHeight="1">
      <x:c r="A7" s="37" t="str">
        <x:v>C03</x:v>
      </x:c>
      <x:c r="B7" s="38" t="str">
        <x:v>宁姆格福西域</x:v>
      </x:c>
      <x:c r="C7" s="38" t="str">
        <x:v>风蚀铁片</x:v>
      </x:c>
      <x:c r="D7" s="38" t="str">
        <x:v>本大陆全怪</x:v>
      </x:c>
      <x:c r="E7" s="38" t="str">
        <x:v>高小时数量；单次多叠加、触发频率较低</x:v>
      </x:c>
      <x:c r="F7" s="38" t="str">
        <x:v>R3</x:v>
      </x:c>
      <x:c r="G7" s="38" t="str">
        <x:v>金币主、元宝辅</x:v>
      </x:c>
      <x:c r="H7" s="38" t="str">
        <x:v>必须高于R2</x:v>
      </x:c>
      <x:c r="I7" s="38" t="str">
        <x:v>金币偏重</x:v>
      </x:c>
      <x:c r="J7" s="38" t="str">
        <x:v>制式装备低频回收补充</x:v>
      </x:c>
      <x:c r="K7" s="38" t="str">
        <x:v>可交易；免费号主要出售给赞助号</x:v>
      </x:c>
      <x:c r="L7" s="39" t="str">
        <x:v>材料回收底价计入所有配方机会成本；禁止合成后回收套利</x:v>
      </x:c>
    </x:row>
    <x:row r="8" ht="48" customHeight="1">
      <x:c r="A8" s="37" t="str">
        <x:v>C04</x:v>
      </x:c>
      <x:c r="B8" s="38" t="str">
        <x:v>利耶尼亚海域</x:v>
      </x:c>
      <x:c r="C8" s="38" t="str">
        <x:v>湖盐结晶</x:v>
      </x:c>
      <x:c r="D8" s="38" t="str">
        <x:v>本大陆全怪</x:v>
      </x:c>
      <x:c r="E8" s="38" t="str">
        <x:v>高小时数量；单次多叠加、触发频率较低</x:v>
      </x:c>
      <x:c r="F8" s="38" t="str">
        <x:v>R4</x:v>
      </x:c>
      <x:c r="G8" s="38" t="str">
        <x:v>金币、元宝并重</x:v>
      </x:c>
      <x:c r="H8" s="38" t="str">
        <x:v>必须高于R3</x:v>
      </x:c>
      <x:c r="I8" s="38" t="str">
        <x:v>金币＋元宝</x:v>
      </x:c>
      <x:c r="J8" s="38" t="str">
        <x:v>制式装备低频回收补充</x:v>
      </x:c>
      <x:c r="K8" s="38" t="str">
        <x:v>可交易；免费号主要出售给赞助号</x:v>
      </x:c>
      <x:c r="L8" s="39" t="str">
        <x:v>材料回收底价计入所有配方机会成本；禁止合成后回收套利</x:v>
      </x:c>
    </x:row>
    <x:row r="9" ht="48" customHeight="1">
      <x:c r="A9" s="37" t="str">
        <x:v>C05</x:v>
      </x:c>
      <x:c r="B9" s="38" t="str">
        <x:v>湖之利耶尼亚</x:v>
      </x:c>
      <x:c r="C9" s="38" t="str">
        <x:v>辉石碎晶</x:v>
      </x:c>
      <x:c r="D9" s="38" t="str">
        <x:v>本大陆全怪</x:v>
      </x:c>
      <x:c r="E9" s="38" t="str">
        <x:v>高小时数量；单次多叠加、触发频率较低</x:v>
      </x:c>
      <x:c r="F9" s="38" t="str">
        <x:v>R5</x:v>
      </x:c>
      <x:c r="G9" s="38" t="str">
        <x:v>元宝主、金币辅</x:v>
      </x:c>
      <x:c r="H9" s="38" t="str">
        <x:v>必须高于R4</x:v>
      </x:c>
      <x:c r="I9" s="38" t="str">
        <x:v>元宝偏重</x:v>
      </x:c>
      <x:c r="J9" s="38" t="str">
        <x:v>制式装备低频回收补充</x:v>
      </x:c>
      <x:c r="K9" s="38" t="str">
        <x:v>可交易；免费号主要出售给赞助号</x:v>
      </x:c>
      <x:c r="L9" s="39" t="str">
        <x:v>材料回收底价计入所有配方机会成本；禁止合成后回收套利</x:v>
      </x:c>
    </x:row>
    <x:row r="10" ht="48" customHeight="1">
      <x:c r="A10" s="37" t="str">
        <x:v>C06</x:v>
      </x:c>
      <x:c r="B10" s="38" t="str">
        <x:v>盖利德</x:v>
      </x:c>
      <x:c r="C10" s="38" t="str">
        <x:v>猩红矿渣</x:v>
      </x:c>
      <x:c r="D10" s="38" t="str">
        <x:v>本大陆全怪</x:v>
      </x:c>
      <x:c r="E10" s="38" t="str">
        <x:v>高小时数量；单次多叠加、触发频率较低</x:v>
      </x:c>
      <x:c r="F10" s="38" t="str">
        <x:v>R6</x:v>
      </x:c>
      <x:c r="G10" s="38" t="str">
        <x:v>金币主、元宝辅</x:v>
      </x:c>
      <x:c r="H10" s="38" t="str">
        <x:v>必须高于R5</x:v>
      </x:c>
      <x:c r="I10" s="38" t="str">
        <x:v>金币偏重</x:v>
      </x:c>
      <x:c r="J10" s="38" t="str">
        <x:v>制式装备低频回收补充</x:v>
      </x:c>
      <x:c r="K10" s="38" t="str">
        <x:v>可交易；免费号主要出售给赞助号</x:v>
      </x:c>
      <x:c r="L10" s="39" t="str">
        <x:v>材料回收底价计入所有配方机会成本；禁止合成后回收套利</x:v>
      </x:c>
    </x:row>
    <x:row r="11" ht="48" customHeight="1">
      <x:c r="A11" s="37" t="str">
        <x:v>C07</x:v>
      </x:c>
      <x:c r="B11" s="38" t="str">
        <x:v>化圣雪原</x:v>
      </x:c>
      <x:c r="C11" s="38" t="str">
        <x:v>冻晶尘</x:v>
      </x:c>
      <x:c r="D11" s="38" t="str">
        <x:v>本大陆全怪</x:v>
      </x:c>
      <x:c r="E11" s="38" t="str">
        <x:v>高小时数量；单次多叠加、触发频率较低</x:v>
      </x:c>
      <x:c r="F11" s="38" t="str">
        <x:v>R7</x:v>
      </x:c>
      <x:c r="G11" s="38" t="str">
        <x:v>金币、元宝并重</x:v>
      </x:c>
      <x:c r="H11" s="38" t="str">
        <x:v>必须高于R6</x:v>
      </x:c>
      <x:c r="I11" s="38" t="str">
        <x:v>金币＋元宝</x:v>
      </x:c>
      <x:c r="J11" s="38" t="str">
        <x:v>制式装备低频回收补充</x:v>
      </x:c>
      <x:c r="K11" s="38" t="str">
        <x:v>可交易；免费号主要出售给赞助号</x:v>
      </x:c>
      <x:c r="L11" s="39" t="str">
        <x:v>材料回收底价计入所有配方机会成本；禁止合成后回收套利</x:v>
      </x:c>
    </x:row>
    <x:row r="12" ht="48" customHeight="1">
      <x:c r="A12" s="37" t="str">
        <x:v>C08</x:v>
      </x:c>
      <x:c r="B12" s="38" t="str">
        <x:v>巨人山顶</x:v>
      </x:c>
      <x:c r="C12" s="38" t="str">
        <x:v>霜脊铁</x:v>
      </x:c>
      <x:c r="D12" s="38" t="str">
        <x:v>本大陆全怪</x:v>
      </x:c>
      <x:c r="E12" s="38" t="str">
        <x:v>高小时数量；单次多叠加、触发频率较低</x:v>
      </x:c>
      <x:c r="F12" s="38" t="str">
        <x:v>R8</x:v>
      </x:c>
      <x:c r="G12" s="38" t="str">
        <x:v>金币主、元宝辅</x:v>
      </x:c>
      <x:c r="H12" s="38" t="str">
        <x:v>必须高于R7</x:v>
      </x:c>
      <x:c r="I12" s="38" t="str">
        <x:v>金币偏重</x:v>
      </x:c>
      <x:c r="J12" s="38" t="str">
        <x:v>制式装备低频回收补充</x:v>
      </x:c>
      <x:c r="K12" s="38" t="str">
        <x:v>可交易；免费号主要出售给赞助号</x:v>
      </x:c>
      <x:c r="L12" s="39" t="str">
        <x:v>材料回收底价计入所有配方机会成本；禁止合成后回收套利</x:v>
      </x:c>
    </x:row>
    <x:row r="13" ht="48" customHeight="1">
      <x:c r="A13" s="37" t="str">
        <x:v>C09</x:v>
      </x:c>
      <x:c r="B13" s="38" t="str">
        <x:v>亚坛高原</x:v>
      </x:c>
      <x:c r="C13" s="38" t="str">
        <x:v>黄金叶脉</x:v>
      </x:c>
      <x:c r="D13" s="38" t="str">
        <x:v>本大陆全怪</x:v>
      </x:c>
      <x:c r="E13" s="38" t="str">
        <x:v>高小时数量；单次多叠加、触发频率较低</x:v>
      </x:c>
      <x:c r="F13" s="38" t="str">
        <x:v>R9</x:v>
      </x:c>
      <x:c r="G13" s="38" t="str">
        <x:v>元宝主、金币辅</x:v>
      </x:c>
      <x:c r="H13" s="38" t="str">
        <x:v>必须高于R8</x:v>
      </x:c>
      <x:c r="I13" s="38" t="str">
        <x:v>元宝偏重</x:v>
      </x:c>
      <x:c r="J13" s="38" t="str">
        <x:v>制式装备低频回收补充</x:v>
      </x:c>
      <x:c r="K13" s="38" t="str">
        <x:v>可交易；免费号主要出售给赞助号</x:v>
      </x:c>
      <x:c r="L13" s="39" t="str">
        <x:v>材料回收底价计入所有配方机会成本；禁止合成后回收套利</x:v>
      </x:c>
    </x:row>
    <x:row r="14" ht="48" customHeight="1">
      <x:c r="A14" s="40" t="str">
        <x:v>C10</x:v>
      </x:c>
      <x:c r="B14" s="41" t="str">
        <x:v>王城罗德尔</x:v>
      </x:c>
      <x:c r="C14" s="41" t="str">
        <x:v>王城金屑</x:v>
      </x:c>
      <x:c r="D14" s="41" t="str">
        <x:v>本大陆全怪</x:v>
      </x:c>
      <x:c r="E14" s="41" t="str">
        <x:v>高小时数量；单次多叠加、触发频率较低</x:v>
      </x:c>
      <x:c r="F14" s="41" t="str">
        <x:v>R10</x:v>
      </x:c>
      <x:c r="G14" s="41" t="str">
        <x:v>金币、元宝并重</x:v>
      </x:c>
      <x:c r="H14" s="41" t="str">
        <x:v>必须高于R9</x:v>
      </x:c>
      <x:c r="I14" s="41" t="str">
        <x:v>金币＋元宝</x:v>
      </x:c>
      <x:c r="J14" s="41" t="str">
        <x:v>制式装备低频回收补充</x:v>
      </x:c>
      <x:c r="K14" s="41" t="str">
        <x:v>可交易；免费号主要出售给赞助号</x:v>
      </x:c>
      <x:c r="L14" s="42" t="str">
        <x:v>材料回收底价计入所有配方机会成本；禁止合成后回收套利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90ded9429ba48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8" hidden="0" customWidth="1"/>
    <x:col min="4" max="4" width="29" hidden="0" customWidth="1"/>
    <x:col min="5" max="5" width="17" hidden="0" customWidth="1"/>
    <x:col min="6" max="6" width="14" hidden="0" customWidth="1"/>
    <x:col min="7" max="7" width="14" hidden="0" customWidth="1"/>
    <x:col min="8" max="8" width="34" hidden="0" customWidth="1"/>
    <x:col min="9" max="9" width="20" hidden="0" customWidth="1"/>
    <x:col min="10" max="10" width="50" hidden="0" customWidth="1"/>
  </x:cols>
  <x:sheetData>
    <x:row r="1" ht="32" customHeight="1">
      <x:c r="A1" s="4" t="str">
        <x:v>大陆生肖与群攻生肖升级链</x:v>
      </x:c>
      <x:c r="B1" s="4" t="str">
        <x:v>大陆生肖与群攻生肖升级链</x:v>
      </x:c>
      <x:c r="C1" s="4" t="str">
        <x:v>大陆生肖与群攻生肖升级链</x:v>
      </x:c>
      <x:c r="D1" s="4" t="str">
        <x:v>大陆生肖与群攻生肖升级链</x:v>
      </x:c>
      <x:c r="E1" s="4" t="str">
        <x:v>大陆生肖与群攻生肖升级链</x:v>
      </x:c>
      <x:c r="F1" s="4" t="str">
        <x:v>大陆生肖与群攻生肖升级链</x:v>
      </x:c>
      <x:c r="G1" s="4" t="str">
        <x:v>大陆生肖与群攻生肖升级链</x:v>
      </x:c>
      <x:c r="H1" s="4" t="str">
        <x:v>大陆生肖与群攻生肖升级链</x:v>
      </x:c>
      <x:c r="I1" s="4" t="str">
        <x:v>大陆生肖与群攻生肖升级链</x:v>
      </x:c>
      <x:c r="J1" s="4" t="str">
        <x:v>大陆生肖与群攻生肖升级链</x:v>
      </x:c>
    </x:row>
    <x:row r="2" ht="38" customHeight="1">
      <x:c r="A2" s="8" t="str">
        <x:v>十大陆生肖沿用现有12生肖基础件；雷冠申猴改作群星之核升级链基础，接肢亥猪保留原基础生肖。</x:v>
      </x:c>
      <x:c r="B2" s="8" t="str">
        <x:v>十大陆生肖沿用现有12生肖基础件；雷冠申猴改作群星之核升级链基础，接肢亥猪保留原基础生肖。</x:v>
      </x:c>
      <x:c r="C2" s="8" t="str">
        <x:v>十大陆生肖沿用现有12生肖基础件；雷冠申猴改作群星之核升级链基础，接肢亥猪保留原基础生肖。</x:v>
      </x:c>
      <x:c r="D2" s="8" t="str">
        <x:v>十大陆生肖沿用现有12生肖基础件；雷冠申猴改作群星之核升级链基础，接肢亥猪保留原基础生肖。</x:v>
      </x:c>
      <x:c r="E2" s="8" t="str">
        <x:v>十大陆生肖沿用现有12生肖基础件；雷冠申猴改作群星之核升级链基础，接肢亥猪保留原基础生肖。</x:v>
      </x:c>
      <x:c r="F2" s="8" t="str">
        <x:v>十大陆生肖沿用现有12生肖基础件；雷冠申猴改作群星之核升级链基础，接肢亥猪保留原基础生肖。</x:v>
      </x:c>
      <x:c r="G2" s="8" t="str">
        <x:v>十大陆生肖沿用现有12生肖基础件；雷冠申猴改作群星之核升级链基础，接肢亥猪保留原基础生肖。</x:v>
      </x:c>
      <x:c r="H2" s="8" t="str">
        <x:v>十大陆生肖沿用现有12生肖基础件；雷冠申猴改作群星之核升级链基础，接肢亥猪保留原基础生肖。</x:v>
      </x:c>
      <x:c r="I2" s="8" t="str">
        <x:v>十大陆生肖沿用现有12生肖基础件；雷冠申猴改作群星之核升级链基础，接肢亥猪保留原基础生肖。</x:v>
      </x:c>
      <x:c r="J2" s="8" t="str">
        <x:v>十大陆生肖沿用现有12生肖基础件；雷冠申猴改作群星之核升级链基础，接肢亥猪保留原基础生肖。</x:v>
      </x:c>
    </x:row>
    <x:row r="4" ht="30" customHeight="1">
      <x:c r="A4" s="14" t="str">
        <x:v>类型</x:v>
      </x:c>
      <x:c r="B4" s="14" t="str">
        <x:v>大陆ID</x:v>
      </x:c>
      <x:c r="C4" s="14" t="str">
        <x:v>基础/前级</x:v>
      </x:c>
      <x:c r="D4" s="14" t="str">
        <x:v>成品</x:v>
      </x:c>
      <x:c r="E4" s="14" t="str">
        <x:v>槽位</x:v>
      </x:c>
      <x:c r="F4" s="14" t="str">
        <x:v>范围</x:v>
      </x:c>
      <x:c r="G4" s="14" t="str">
        <x:v>CD</x:v>
      </x:c>
      <x:c r="H4" s="14" t="str">
        <x:v>属性/伤害</x:v>
      </x:c>
      <x:c r="I4" s="14" t="str">
        <x:v>状态</x:v>
      </x:c>
      <x:c r="J4" s="14" t="str">
        <x:v>备注</x:v>
      </x:c>
    </x:row>
    <x:row r="5" ht="44" customHeight="1">
      <x:c r="A5" s="34" t="str">
        <x:v>大陆生肖</x:v>
      </x:c>
      <x:c r="B5" s="35" t="str">
        <x:v>C01</x:v>
      </x:c>
      <x:c r="C5" s="35" t="str">
        <x:v>腐树子鼠</x:v>
      </x:c>
      <x:c r="D5" s="35" t="str">
        <x:v>子鼠·潮舱寻金</x:v>
      </x:c>
      <x:c r="E5" s="35" t="str">
        <x:v>生肖1</x:v>
      </x:c>
      <x:c r="F5" s="35" t="str">
        <x:v>—</x:v>
      </x:c>
      <x:c r="G5" s="35" t="str">
        <x:v>—</x:v>
      </x:c>
      <x:c r="H5" s="35" t="str">
        <x:v>基础攻魔道；弱于同期装备</x:v>
      </x:c>
      <x:c r="I5" s="35" t="str">
        <x:v>正式结构</x:v>
      </x:c>
      <x:c r="J5" s="36" t="str">
        <x:v>到C2获得基础件后回头完成</x:v>
      </x:c>
    </x:row>
    <x:row r="6" ht="44" customHeight="1">
      <x:c r="A6" s="37" t="str">
        <x:v>大陆生肖</x:v>
      </x:c>
      <x:c r="B6" s="38" t="str">
        <x:v>C02</x:v>
      </x:c>
      <x:c r="C6" s="38" t="str">
        <x:v>百臂丑牛</x:v>
      </x:c>
      <x:c r="D6" s="38" t="str">
        <x:v>丑牛·风暴负山</x:v>
      </x:c>
      <x:c r="E6" s="38" t="str">
        <x:v>生肖2</x:v>
      </x:c>
      <x:c r="F6" s="38" t="str">
        <x:v>—</x:v>
      </x:c>
      <x:c r="G6" s="38" t="str">
        <x:v>—</x:v>
      </x:c>
      <x:c r="H6" s="38" t="str">
        <x:v>基础攻魔道；弱于同期装备</x:v>
      </x:c>
      <x:c r="I6" s="38" t="str">
        <x:v>正式结构</x:v>
      </x:c>
      <x:c r="J6" s="39" t="str"/>
    </x:row>
    <x:row r="7" ht="44" customHeight="1">
      <x:c r="A7" s="37" t="str">
        <x:v>大陆生肖</x:v>
      </x:c>
      <x:c r="B7" s="38" t="str">
        <x:v>C03</x:v>
      </x:c>
      <x:c r="C7" s="38" t="str">
        <x:v>猎犬辰龙</x:v>
      </x:c>
      <x:c r="D7" s="38" t="str">
        <x:v>辰龙·荒原逐风</x:v>
      </x:c>
      <x:c r="E7" s="38" t="str">
        <x:v>生肖5</x:v>
      </x:c>
      <x:c r="F7" s="38" t="str">
        <x:v>—</x:v>
      </x:c>
      <x:c r="G7" s="38" t="str">
        <x:v>—</x:v>
      </x:c>
      <x:c r="H7" s="38" t="str">
        <x:v>基础攻魔道；弱于同期装备</x:v>
      </x:c>
      <x:c r="I7" s="38" t="str">
        <x:v>正式结构</x:v>
      </x:c>
      <x:c r="J7" s="39" t="str"/>
    </x:row>
    <x:row r="8" ht="44" customHeight="1">
      <x:c r="A8" s="37" t="str">
        <x:v>大陆生肖</x:v>
      </x:c>
      <x:c r="B8" s="38" t="str">
        <x:v>C04</x:v>
      </x:c>
      <x:c r="C8" s="38" t="str">
        <x:v>祖魂巳蛇</x:v>
      </x:c>
      <x:c r="D8" s="38" t="str">
        <x:v>巳蛇·沉潮缚月</x:v>
      </x:c>
      <x:c r="E8" s="38" t="str">
        <x:v>生肖6</x:v>
      </x:c>
      <x:c r="F8" s="38" t="str">
        <x:v>—</x:v>
      </x:c>
      <x:c r="G8" s="38" t="str">
        <x:v>—</x:v>
      </x:c>
      <x:c r="H8" s="38" t="str">
        <x:v>基础攻魔道；弱于同期装备</x:v>
      </x:c>
      <x:c r="I8" s="38" t="str">
        <x:v>正式结构</x:v>
      </x:c>
      <x:c r="J8" s="39" t="str"/>
    </x:row>
    <x:row r="9" ht="44" customHeight="1">
      <x:c r="A9" s="37" t="str">
        <x:v>大陆生肖</x:v>
      </x:c>
      <x:c r="B9" s="38" t="str">
        <x:v>C05</x:v>
      </x:c>
      <x:c r="C9" s="38" t="str">
        <x:v>无月卯兔</x:v>
      </x:c>
      <x:c r="D9" s="38" t="str">
        <x:v>卯兔·镜月折辉</x:v>
      </x:c>
      <x:c r="E9" s="38" t="str">
        <x:v>生肖4</x:v>
      </x:c>
      <x:c r="F9" s="38" t="str">
        <x:v>—</x:v>
      </x:c>
      <x:c r="G9" s="38" t="str">
        <x:v>—</x:v>
      </x:c>
      <x:c r="H9" s="38" t="str">
        <x:v>基础攻魔道；弱于同期装备</x:v>
      </x:c>
      <x:c r="I9" s="38" t="str">
        <x:v>正式结构</x:v>
      </x:c>
      <x:c r="J9" s="39" t="str"/>
    </x:row>
    <x:row r="10" ht="44" customHeight="1">
      <x:c r="A10" s="37" t="str">
        <x:v>大陆生肖</x:v>
      </x:c>
      <x:c r="B10" s="38" t="str">
        <x:v>C06</x:v>
      </x:c>
      <x:c r="C10" s="38" t="str">
        <x:v>长戟寅虎</x:v>
      </x:c>
      <x:c r="D10" s="38" t="str">
        <x:v>寅虎·红狮焚原</x:v>
      </x:c>
      <x:c r="E10" s="38" t="str">
        <x:v>生肖3</x:v>
      </x:c>
      <x:c r="F10" s="38" t="str">
        <x:v>—</x:v>
      </x:c>
      <x:c r="G10" s="38" t="str">
        <x:v>—</x:v>
      </x:c>
      <x:c r="H10" s="38" t="str">
        <x:v>基础攻魔道；弱于同期装备</x:v>
      </x:c>
      <x:c r="I10" s="38" t="str">
        <x:v>正式结构</x:v>
      </x:c>
      <x:c r="J10" s="39" t="str"/>
    </x:row>
    <x:row r="11" ht="44" customHeight="1">
      <x:c r="A11" s="37" t="str">
        <x:v>大陆生肖</x:v>
      </x:c>
      <x:c r="B11" s="38" t="str">
        <x:v>C07</x:v>
      </x:c>
      <x:c r="C11" s="38" t="str">
        <x:v>葬日未羊</x:v>
      </x:c>
      <x:c r="D11" s="38" t="str">
        <x:v>未羊·永霜引路</x:v>
      </x:c>
      <x:c r="E11" s="38" t="str">
        <x:v>生肖8</x:v>
      </x:c>
      <x:c r="F11" s="38" t="str">
        <x:v>—</x:v>
      </x:c>
      <x:c r="G11" s="38" t="str">
        <x:v>—</x:v>
      </x:c>
      <x:c r="H11" s="38" t="str">
        <x:v>基础攻魔道；弱于同期装备</x:v>
      </x:c>
      <x:c r="I11" s="38" t="str">
        <x:v>正式结构</x:v>
      </x:c>
      <x:c r="J11" s="39" t="str"/>
    </x:row>
    <x:row r="12" ht="44" customHeight="1">
      <x:c r="A12" s="37" t="str">
        <x:v>大陆生肖</x:v>
      </x:c>
      <x:c r="B12" s="38" t="str">
        <x:v>C08</x:v>
      </x:c>
      <x:c r="C12" s="38" t="str">
        <x:v>死水午马</x:v>
      </x:c>
      <x:c r="D12" s="38" t="str">
        <x:v>午马·霜脊踏天</x:v>
      </x:c>
      <x:c r="E12" s="38" t="str">
        <x:v>生肖7</x:v>
      </x:c>
      <x:c r="F12" s="38" t="str">
        <x:v>—</x:v>
      </x:c>
      <x:c r="G12" s="38" t="str">
        <x:v>—</x:v>
      </x:c>
      <x:c r="H12" s="38" t="str">
        <x:v>基础攻魔道；弱于同期装备</x:v>
      </x:c>
      <x:c r="I12" s="38" t="str">
        <x:v>正式结构</x:v>
      </x:c>
      <x:c r="J12" s="39" t="str"/>
    </x:row>
    <x:row r="13" ht="44" customHeight="1">
      <x:c r="A13" s="37" t="str">
        <x:v>大陆生肖</x:v>
      </x:c>
      <x:c r="B13" s="38" t="str">
        <x:v>C09</x:v>
      </x:c>
      <x:c r="C13" s="38" t="str">
        <x:v>恶兆酉鸡</x:v>
      </x:c>
      <x:c r="D13" s="38" t="str">
        <x:v>酉鸡·鎏日司晨</x:v>
      </x:c>
      <x:c r="E13" s="38" t="str">
        <x:v>生肖10</x:v>
      </x:c>
      <x:c r="F13" s="38" t="str">
        <x:v>—</x:v>
      </x:c>
      <x:c r="G13" s="38" t="str">
        <x:v>—</x:v>
      </x:c>
      <x:c r="H13" s="38" t="str">
        <x:v>基础攻魔道；弱于同期装备</x:v>
      </x:c>
      <x:c r="I13" s="38" t="str">
        <x:v>正式结构</x:v>
      </x:c>
      <x:c r="J13" s="39" t="str"/>
    </x:row>
    <x:row r="14" ht="44" customHeight="1">
      <x:c r="A14" s="37" t="str">
        <x:v>大陆生肖</x:v>
      </x:c>
      <x:c r="B14" s="38" t="str">
        <x:v>C10</x:v>
      </x:c>
      <x:c r="C14" s="38" t="str">
        <x:v>失乡戌狗</x:v>
      </x:c>
      <x:c r="D14" s="38" t="str">
        <x:v>戌狗·王座守门</x:v>
      </x:c>
      <x:c r="E14" s="38" t="str">
        <x:v>生肖11</x:v>
      </x:c>
      <x:c r="F14" s="38" t="str">
        <x:v>—</x:v>
      </x:c>
      <x:c r="G14" s="38" t="str">
        <x:v>—</x:v>
      </x:c>
      <x:c r="H14" s="38" t="str">
        <x:v>基础攻魔道；弱于同期装备</x:v>
      </x:c>
      <x:c r="I14" s="38" t="str">
        <x:v>正式结构</x:v>
      </x:c>
      <x:c r="J14" s="39" t="str"/>
    </x:row>
    <x:row r="15" ht="44" customHeight="1">
      <x:c r="A15" s="37" t="str">
        <x:v>群攻生肖</x:v>
      </x:c>
      <x:c r="B15" s="38" t="str">
        <x:v>C02</x:v>
      </x:c>
      <x:c r="C15" s="38" t="str">
        <x:v>雷冠申猴</x:v>
      </x:c>
      <x:c r="D15" s="38" t="str">
        <x:v>群星之核LV1</x:v>
      </x:c>
      <x:c r="E15" s="38" t="str">
        <x:v>生肖9</x:v>
      </x:c>
      <x:c r="F15" s="38" t="str">
        <x:v>2×2</x:v>
      </x:c>
      <x:c r="G15" s="38" t="str">
        <x:v>2.00秒</x:v>
      </x:c>
      <x:c r="H15" s="38" t="str">
        <x:v>每次=自身面板攻击</x:v>
      </x:c>
      <x:c r="I15" s="38" t="str">
        <x:v>正式结构</x:v>
      </x:c>
      <x:c r="J15" s="39" t="str">
        <x:v>不吃任何伤害乘区</x:v>
      </x:c>
    </x:row>
    <x:row r="16" ht="44" customHeight="1">
      <x:c r="A16" s="37" t="str">
        <x:v>群攻生肖</x:v>
      </x:c>
      <x:c r="B16" s="38" t="str">
        <x:v>C03</x:v>
      </x:c>
      <x:c r="C16" s="38" t="str">
        <x:v>群星之核LV1</x:v>
      </x:c>
      <x:c r="D16" s="38" t="str">
        <x:v>群星之核LV2</x:v>
      </x:c>
      <x:c r="E16" s="38" t="str">
        <x:v>生肖9</x:v>
      </x:c>
      <x:c r="F16" s="38" t="str">
        <x:v>2×2</x:v>
      </x:c>
      <x:c r="G16" s="38" t="str">
        <x:v>1.75秒</x:v>
      </x:c>
      <x:c r="H16" s="38" t="str">
        <x:v>每次=自身面板攻击</x:v>
      </x:c>
      <x:c r="I16" s="38" t="str">
        <x:v>正式结构</x:v>
      </x:c>
      <x:c r="J16" s="39" t="str">
        <x:v>不吃任何伤害乘区</x:v>
      </x:c>
    </x:row>
    <x:row r="17" ht="44" customHeight="1">
      <x:c r="A17" s="37" t="str">
        <x:v>群攻生肖</x:v>
      </x:c>
      <x:c r="B17" s="38" t="str">
        <x:v>C05</x:v>
      </x:c>
      <x:c r="C17" s="38" t="str">
        <x:v>群星之核LV2</x:v>
      </x:c>
      <x:c r="D17" s="38" t="str">
        <x:v>群星之核LV3</x:v>
      </x:c>
      <x:c r="E17" s="38" t="str">
        <x:v>生肖9</x:v>
      </x:c>
      <x:c r="F17" s="38" t="str">
        <x:v>2×2</x:v>
      </x:c>
      <x:c r="G17" s="38" t="str">
        <x:v>1.50秒</x:v>
      </x:c>
      <x:c r="H17" s="38" t="str">
        <x:v>每次=自身面板攻击</x:v>
      </x:c>
      <x:c r="I17" s="38" t="str">
        <x:v>正式结构</x:v>
      </x:c>
      <x:c r="J17" s="39" t="str">
        <x:v>不吃任何伤害乘区</x:v>
      </x:c>
    </x:row>
    <x:row r="18" ht="44" customHeight="1">
      <x:c r="A18" s="37" t="str">
        <x:v>群攻生肖</x:v>
      </x:c>
      <x:c r="B18" s="38" t="str">
        <x:v>C07</x:v>
      </x:c>
      <x:c r="C18" s="38" t="str">
        <x:v>群星之核LV3</x:v>
      </x:c>
      <x:c r="D18" s="38" t="str">
        <x:v>群星之核LV4</x:v>
      </x:c>
      <x:c r="E18" s="38" t="str">
        <x:v>生肖9</x:v>
      </x:c>
      <x:c r="F18" s="38" t="str">
        <x:v>3×3</x:v>
      </x:c>
      <x:c r="G18" s="38" t="str">
        <x:v>1.25秒</x:v>
      </x:c>
      <x:c r="H18" s="38" t="str">
        <x:v>每次=自身面板攻击</x:v>
      </x:c>
      <x:c r="I18" s="38" t="str">
        <x:v>正式结构</x:v>
      </x:c>
      <x:c r="J18" s="39" t="str">
        <x:v>不吃任何伤害乘区</x:v>
      </x:c>
    </x:row>
    <x:row r="19" ht="44" customHeight="1">
      <x:c r="A19" s="37" t="str">
        <x:v>群攻生肖</x:v>
      </x:c>
      <x:c r="B19" s="38" t="str">
        <x:v>C09</x:v>
      </x:c>
      <x:c r="C19" s="38" t="str">
        <x:v>群星之核LV4</x:v>
      </x:c>
      <x:c r="D19" s="38" t="str">
        <x:v>群星之核LV5</x:v>
      </x:c>
      <x:c r="E19" s="38" t="str">
        <x:v>生肖9</x:v>
      </x:c>
      <x:c r="F19" s="38" t="str">
        <x:v>3×3</x:v>
      </x:c>
      <x:c r="G19" s="38" t="str">
        <x:v>1.00秒</x:v>
      </x:c>
      <x:c r="H19" s="38" t="str">
        <x:v>每次=自身面板攻击</x:v>
      </x:c>
      <x:c r="I19" s="38" t="str">
        <x:v>正式结构</x:v>
      </x:c>
      <x:c r="J19" s="39" t="str">
        <x:v>不吃任何伤害乘区</x:v>
      </x:c>
    </x:row>
    <x:row r="20" ht="44" customHeight="1">
      <x:c r="A20" s="40" t="str">
        <x:v>保留基础生肖</x:v>
      </x:c>
      <x:c r="B20" s="41" t="str">
        <x:v>C02</x:v>
      </x:c>
      <x:c r="C20" s="41" t="str">
        <x:v>接肢亥猪</x:v>
      </x:c>
      <x:c r="D20" s="41" t="str">
        <x:v>接肢亥猪</x:v>
      </x:c>
      <x:c r="E20" s="41" t="str">
        <x:v>生肖12</x:v>
      </x:c>
      <x:c r="F20" s="41" t="str">
        <x:v>—</x:v>
      </x:c>
      <x:c r="G20" s="41" t="str">
        <x:v>—</x:v>
      </x:c>
      <x:c r="H20" s="41" t="str">
        <x:v>沿用原有生肖属性</x:v>
      </x:c>
      <x:c r="I20" s="41" t="str">
        <x:v>保留</x:v>
      </x:c>
      <x:c r="J20" s="42" t="str">
        <x:v>不占大陆升级链与群攻链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ef7b882353f4e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38" hidden="0" customWidth="1"/>
    <x:col min="5" max="5" width="35" hidden="0" customWidth="1"/>
    <x:col min="6" max="6" width="52" hidden="0" customWidth="1"/>
    <x:col min="7" max="7" width="65" hidden="0" customWidth="1"/>
  </x:cols>
  <x:sheetData>
    <x:row r="1" ht="32" customHeight="1">
      <x:c r="A1" s="4" t="str">
        <x:v>各系统属性职责与总量口径</x:v>
      </x:c>
      <x:c r="B1" s="4" t="str">
        <x:v>各系统属性职责与总量口径</x:v>
      </x:c>
      <x:c r="C1" s="4" t="str">
        <x:v>各系统属性职责与总量口径</x:v>
      </x:c>
      <x:c r="D1" s="4" t="str">
        <x:v>各系统属性职责与总量口径</x:v>
      </x:c>
      <x:c r="E1" s="4" t="str">
        <x:v>各系统属性职责与总量口径</x:v>
      </x:c>
      <x:c r="F1" s="4" t="str">
        <x:v>各系统属性职责与总量口径</x:v>
      </x:c>
      <x:c r="G1" s="4" t="str">
        <x:v>各系统属性职责与总量口径</x:v>
      </x:c>
    </x:row>
    <x:row r="2" ht="38" customHeight="1">
      <x:c r="A2" s="8" t="str">
        <x:v>允许不同系统出现相似属性，但必须进入同一角色快照与TTK公式；“重复没关系”不等于可以不记录总量。</x:v>
      </x:c>
      <x:c r="B2" s="8" t="str">
        <x:v>允许不同系统出现相似属性，但必须进入同一角色快照与TTK公式；“重复没关系”不等于可以不记录总量。</x:v>
      </x:c>
      <x:c r="C2" s="8" t="str">
        <x:v>允许不同系统出现相似属性，但必须进入同一角色快照与TTK公式；“重复没关系”不等于可以不记录总量。</x:v>
      </x:c>
      <x:c r="D2" s="8" t="str">
        <x:v>允许不同系统出现相似属性，但必须进入同一角色快照与TTK公式；“重复没关系”不等于可以不记录总量。</x:v>
      </x:c>
      <x:c r="E2" s="8" t="str">
        <x:v>允许不同系统出现相似属性，但必须进入同一角色快照与TTK公式；“重复没关系”不等于可以不记录总量。</x:v>
      </x:c>
      <x:c r="F2" s="8" t="str">
        <x:v>允许不同系统出现相似属性，但必须进入同一角色快照与TTK公式；“重复没关系”不等于可以不记录总量。</x:v>
      </x:c>
      <x:c r="G2" s="8" t="str">
        <x:v>允许不同系统出现相似属性，但必须进入同一角色快照与TTK公式；“重复没关系”不等于可以不记录总量。</x:v>
      </x:c>
    </x:row>
    <x:row r="4" ht="30" customHeight="1">
      <x:c r="A4" s="14" t="str">
        <x:v>系统</x:v>
      </x:c>
      <x:c r="B4" s="14" t="str">
        <x:v>基础攻魔道权重</x:v>
      </x:c>
      <x:c r="C4" s="14" t="str">
        <x:v>神力倍攻权重</x:v>
      </x:c>
      <x:c r="D4" s="14" t="str">
        <x:v>稀有属性</x:v>
      </x:c>
      <x:c r="E4" s="14" t="str">
        <x:v>规模</x:v>
      </x:c>
      <x:c r="F4" s="14" t="str">
        <x:v>主要职责</x:v>
      </x:c>
      <x:c r="G4" s="14" t="str">
        <x:v>控制规则</x:v>
      </x:c>
    </x:row>
    <x:row r="5" ht="50" customHeight="1">
      <x:c r="A5" s="34" t="str">
        <x:v>称号</x:v>
      </x:c>
      <x:c r="B5" s="35" t="str">
        <x:v>基础攻魔道</x:v>
      </x:c>
      <x:c r="C5" s="35" t="str">
        <x:v>低至中</x:v>
      </x:c>
      <x:c r="D5" s="35" t="str">
        <x:v>视称号而定</x:v>
      </x:c>
      <x:c r="E5" s="35" t="str">
        <x:v>贯穿称号＋6个大陆独立称号</x:v>
      </x:c>
      <x:c r="F5" s="35" t="str">
        <x:v>基础攻击力主来源之一；属性必须可感知</x:v>
      </x:c>
      <x:c r="G5" s="36" t="str">
        <x:v>重叠允许，但纳入角色快照</x:v>
      </x:c>
    </x:row>
    <x:row r="6" ht="50" customHeight="1">
      <x:c r="A6" s="37" t="str">
        <x:v>装备</x:v>
      </x:c>
      <x:c r="B6" s="38" t="str">
        <x:v>基础攻魔道</x:v>
      </x:c>
      <x:c r="C6" s="38" t="str">
        <x:v>低至中</x:v>
      </x:c>
      <x:c r="D6" s="38" t="str">
        <x:v>装备稀有属性</x:v>
      </x:c>
      <x:c r="E6" s="38" t="str">
        <x:v>普通、专属、合成、时装、首饰盒</x:v>
      </x:c>
      <x:c r="F6" s="38" t="str">
        <x:v>基础攻击力最主要来源</x:v>
      </x:c>
      <x:c r="G6" s="39" t="str">
        <x:v>同名装备基础属性固定，差异来自鉴定与洗练</x:v>
      </x:c>
    </x:row>
    <x:row r="7" ht="50" customHeight="1">
      <x:c r="A7" s="37" t="str">
        <x:v>生肖</x:v>
      </x:c>
      <x:c r="B7" s="38" t="str">
        <x:v>基础攻魔道</x:v>
      </x:c>
      <x:c r="C7" s="38" t="str">
        <x:v>低</x:v>
      </x:c>
      <x:c r="D7" s="38" t="str">
        <x:v>少量稀有属性</x:v>
      </x:c>
      <x:c r="E7" s="38" t="str">
        <x:v>12基础生肖＋10大陆生肖＋群攻链</x:v>
      </x:c>
      <x:c r="F7" s="38" t="str">
        <x:v>类似装备但整体弱于同期装备</x:v>
      </x:c>
      <x:c r="G7" s="39" t="str">
        <x:v>群攻生肖独立为观赏性伤害</x:v>
      </x:c>
    </x:row>
    <x:row r="8" ht="50" customHeight="1">
      <x:c r="A8" s="37" t="str">
        <x:v>专属装备图鉴</x:v>
      </x:c>
      <x:c r="B8" s="38" t="str">
        <x:v>少量基础属性</x:v>
      </x:c>
      <x:c r="C8" s="38" t="str">
        <x:v>中</x:v>
      </x:c>
      <x:c r="D8" s="38" t="str">
        <x:v>整页或BOSS节点可投放</x:v>
      </x:c>
      <x:c r="E8" s="38" t="str">
        <x:v>命令／页面登记</x:v>
      </x:c>
      <x:c r="F8" s="38" t="str">
        <x:v>提供永久收集成长</x:v>
      </x:c>
      <x:c r="G8" s="39" t="str">
        <x:v>登记不收货币，消耗装备1件</x:v>
      </x:c>
    </x:row>
    <x:row r="9" ht="50" customHeight="1">
      <x:c r="A9" s="37" t="str">
        <x:v>大陆材料图鉴</x:v>
      </x:c>
      <x:c r="B9" s="38" t="str">
        <x:v>较好固定属性</x:v>
      </x:c>
      <x:c r="C9" s="38" t="str">
        <x:v>中</x:v>
      </x:c>
      <x:c r="D9" s="38" t="str">
        <x:v>可投放较高价值节点</x:v>
      </x:c>
      <x:c r="E9" s="38" t="str">
        <x:v>每大陆1件收藏材料</x:v>
      </x:c>
      <x:c r="F9" s="38" t="str">
        <x:v>稀有长期收集目标</x:v>
      </x:c>
      <x:c r="G9" s="39" t="str">
        <x:v>登记不收货币，消耗材料1件</x:v>
      </x:c>
    </x:row>
    <x:row r="10" ht="50" customHeight="1">
      <x:c r="A10" s="37" t="str">
        <x:v>命格</x:v>
      </x:c>
      <x:c r="B10" s="38" t="str">
        <x:v>少量固定属性</x:v>
      </x:c>
      <x:c r="C10" s="38" t="str">
        <x:v>高</x:v>
      </x:c>
      <x:c r="D10" s="38" t="str">
        <x:v>橙色以上可出现受控稀有词条</x:v>
      </x:c>
      <x:c r="E10" s="38" t="str">
        <x:v>8槽逐槽独立洗练</x:v>
      </x:c>
      <x:c r="F10" s="38" t="str">
        <x:v>神力倍攻主来源之一</x:v>
      </x:c>
      <x:c r="G10" s="39" t="str">
        <x:v>受控词条总量仍须全服核算</x:v>
      </x:c>
    </x:row>
    <x:row r="11" ht="50" customHeight="1">
      <x:c r="A11" s="37" t="str">
        <x:v>转生</x:v>
      </x:c>
      <x:c r="B11" s="38" t="str">
        <x:v>少量固定属性</x:v>
      </x:c>
      <x:c r="C11" s="38" t="str">
        <x:v>高</x:v>
      </x:c>
      <x:c r="D11" s="38" t="str">
        <x:v>原则上不投随机稀有词条</x:v>
      </x:c>
      <x:c r="E11" s="38" t="str">
        <x:v>第4/6/8/10大陆各5转</x:v>
      </x:c>
      <x:c r="F11" s="38" t="str">
        <x:v>神力倍攻主来源之一</x:v>
      </x:c>
      <x:c r="G11" s="39" t="str">
        <x:v>20级连续成长</x:v>
      </x:c>
    </x:row>
    <x:row r="12" ht="50" customHeight="1">
      <x:c r="A12" s="37" t="str">
        <x:v>战灰</x:v>
      </x:c>
      <x:c r="B12" s="38" t="str">
        <x:v>PVP攻击与控制</x:v>
      </x:c>
      <x:c r="C12" s="38" t="str">
        <x:v>忽略PVE</x:v>
      </x:c>
      <x:c r="D12" s="38" t="str">
        <x:v>PVP稀有效果</x:v>
      </x:c>
      <x:c r="E12" s="38" t="str">
        <x:v>第二大陆武器附魔</x:v>
      </x:c>
      <x:c r="F12" s="38" t="str">
        <x:v>丰富PK玩法</x:v>
      </x:c>
      <x:c r="G12" s="39" t="str">
        <x:v>不计主线怪物TTK</x:v>
      </x:c>
    </x:row>
    <x:row r="13" ht="50" customHeight="1">
      <x:c r="A13" s="40" t="str">
        <x:v>攻速突破</x:v>
      </x:c>
      <x:c r="B13" s="41" t="str">
        <x:v>—</x:v>
      </x:c>
      <x:c r="C13" s="41" t="str">
        <x:v>间接极高</x:v>
      </x:c>
      <x:c r="D13" s="41" t="str">
        <x:v>极稀有受控属性</x:v>
      </x:c>
      <x:c r="E13" s="41" t="str">
        <x:v>命格、洗练、成就称号、稀有武器</x:v>
      </x:c>
      <x:c r="F13" s="41" t="str">
        <x:v>突破默认20攻速上限</x:v>
      </x:c>
      <x:c r="G13" s="42" t="str">
        <x:v>全服规划约20点；命格3—5，武器最高5；硬上限30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f9a53fa252749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31" hidden="0" customWidth="1"/>
    <x:col min="4" max="4" width="39" hidden="0" customWidth="1"/>
    <x:col min="5" max="5" width="45" hidden="0" customWidth="1"/>
    <x:col min="6" max="6" width="46" hidden="0" customWidth="1"/>
    <x:col min="7" max="7" width="62" hidden="0" customWidth="1"/>
  </x:cols>
  <x:sheetData>
    <x:row r="1" ht="32" customHeight="1">
      <x:c r="A1" s="4" t="str">
        <x:v>免费号、满赞助号与交易市场基准</x:v>
      </x:c>
      <x:c r="B1" s="4" t="str">
        <x:v>免费号、满赞助号与交易市场基准</x:v>
      </x:c>
      <x:c r="C1" s="4" t="str">
        <x:v>免费号、满赞助号与交易市场基准</x:v>
      </x:c>
      <x:c r="D1" s="4" t="str">
        <x:v>免费号、满赞助号与交易市场基准</x:v>
      </x:c>
      <x:c r="E1" s="4" t="str">
        <x:v>免费号、满赞助号与交易市场基准</x:v>
      </x:c>
      <x:c r="F1" s="4" t="str">
        <x:v>免费号、满赞助号与交易市场基准</x:v>
      </x:c>
      <x:c r="G1" s="4" t="str">
        <x:v>免费号、满赞助号与交易市场基准</x:v>
      </x:c>
    </x:row>
    <x:row r="2" ht="38" customHeight="1">
      <x:c r="A2" s="8" t="str">
        <x:v>免费号主要承担材料供应；满赞助号是主平衡标杆。最终掉率、回收价与配方数量均要在这四个模型上复算。</x:v>
      </x:c>
      <x:c r="B2" s="8" t="str">
        <x:v>免费号主要承担材料供应；满赞助号是主平衡标杆。最终掉率、回收价与配方数量均要在这四个模型上复算。</x:v>
      </x:c>
      <x:c r="C2" s="8" t="str">
        <x:v>免费号主要承担材料供应；满赞助号是主平衡标杆。最终掉率、回收价与配方数量均要在这四个模型上复算。</x:v>
      </x:c>
      <x:c r="D2" s="8" t="str">
        <x:v>免费号主要承担材料供应；满赞助号是主平衡标杆。最终掉率、回收价与配方数量均要在这四个模型上复算。</x:v>
      </x:c>
      <x:c r="E2" s="8" t="str">
        <x:v>免费号主要承担材料供应；满赞助号是主平衡标杆。最终掉率、回收价与配方数量均要在这四个模型上复算。</x:v>
      </x:c>
      <x:c r="F2" s="8" t="str">
        <x:v>免费号主要承担材料供应；满赞助号是主平衡标杆。最终掉率、回收价与配方数量均要在这四个模型上复算。</x:v>
      </x:c>
      <x:c r="G2" s="8" t="str">
        <x:v>免费号主要承担材料供应；满赞助号是主平衡标杆。最终掉率、回收价与配方数量均要在这四个模型上复算。</x:v>
      </x:c>
    </x:row>
    <x:row r="4" ht="30" customHeight="1">
      <x:c r="A4" s="14" t="str">
        <x:v>模型</x:v>
      </x:c>
      <x:c r="B4" s="14" t="str">
        <x:v>定位</x:v>
      </x:c>
      <x:c r="C4" s="14" t="str">
        <x:v>通关基准</x:v>
      </x:c>
      <x:c r="D4" s="14" t="str">
        <x:v>主要产出</x:v>
      </x:c>
      <x:c r="E4" s="14" t="str">
        <x:v>主要行为</x:v>
      </x:c>
      <x:c r="F4" s="14" t="str">
        <x:v>工期口径</x:v>
      </x:c>
      <x:c r="G4" s="14" t="str">
        <x:v>约束</x:v>
      </x:c>
    </x:row>
    <x:row r="5" ht="54" customHeight="1">
      <x:c r="A5" s="34" t="str">
        <x:v>免费号</x:v>
      </x:c>
      <x:c r="B5" s="35" t="str">
        <x:v>材料供应者／打工号</x:v>
      </x:c>
      <x:c r="C5" s="35" t="str">
        <x:v>不作为独立毕业基准</x:v>
      </x:c>
      <x:c r="D5" s="35" t="str">
        <x:v>高产溢出材料、专属装备、稀有材料</x:v>
      </x:c>
      <x:c r="E5" s="35" t="str">
        <x:v>向赞助号出售，换取自身所需资源</x:v>
      </x:c>
      <x:c r="F5" s="35" t="str">
        <x:v>允许明显慢于赞助号</x:v>
      </x:c>
      <x:c r="G5" s="36" t="str">
        <x:v>不能让免费号完全失去可出售价值</x:v>
      </x:c>
    </x:row>
    <x:row r="6" ht="54" customHeight="1">
      <x:c r="A6" s="37" t="str">
        <x:v>满赞助单号</x:v>
      </x:c>
      <x:c r="B6" s="38" t="str">
        <x:v>主平衡标杆</x:v>
      </x:c>
      <x:c r="C6" s="38" t="str">
        <x:v>24小时在线仍严格大于480小时</x:v>
      </x:c>
      <x:c r="D6" s="38" t="str">
        <x:v>打怪、回收、交易购买</x:v>
      </x:c>
      <x:c r="E6" s="38" t="str">
        <x:v>自产＋市场购买</x:v>
      </x:c>
      <x:c r="F6" s="38" t="str">
        <x:v>硬下限&gt;20天；规划中心可暂用22天/528小时</x:v>
      </x:c>
      <x:c r="G6" s="39" t="str">
        <x:v>最终随全服产消表复算</x:v>
      </x:c>
    </x:row>
    <x:row r="7" ht="54" customHeight="1">
      <x:c r="A7" s="37" t="str">
        <x:v>满赞助＋正常市场</x:v>
      </x:c>
      <x:c r="B7" s="38" t="str">
        <x:v>现实通关模型</x:v>
      </x:c>
      <x:c r="C7" s="38" t="str">
        <x:v>仍不得低于480小时硬下限</x:v>
      </x:c>
      <x:c r="D7" s="38" t="str">
        <x:v>主号效率＋免费号供给</x:v>
      </x:c>
      <x:c r="E7" s="38" t="str">
        <x:v>购买材料缩短局部卡点，但不能跳过全部成长</x:v>
      </x:c>
      <x:c r="F7" s="38" t="str">
        <x:v>控制关键绑定进度与多系统并行消耗</x:v>
      </x:c>
      <x:c r="G7" s="39" t="str">
        <x:v>极端工作室集群不作为常规模型</x:v>
      </x:c>
    </x:row>
    <x:row r="8" ht="54" customHeight="1">
      <x:c r="A8" s="40" t="str">
        <x:v>全服交易市场</x:v>
      </x:c>
      <x:c r="B8" s="41" t="str">
        <x:v>经济闭环</x:v>
      </x:c>
      <x:c r="C8" s="41" t="str">
        <x:v>持续存在供需</x:v>
      </x:c>
      <x:c r="D8" s="41" t="str">
        <x:v>每大陆溢出材料＋稀有专属</x:v>
      </x:c>
      <x:c r="E8" s="41" t="str">
        <x:v>免费号供货、赞助号消耗</x:v>
      </x:c>
      <x:c r="F8" s="41" t="str">
        <x:v>自产30%—40%、交易补60%—70%为系统消耗目标</x:v>
      </x:c>
      <x:c r="G8" s="42" t="str">
        <x:v>该比例针对核心养成需求，不等于每个物品逐项固定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bd44b57fb9349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24" hidden="0" customWidth="1"/>
    <x:col min="5" max="5" width="16" hidden="0" customWidth="1"/>
    <x:col min="6" max="6" width="58" hidden="0" customWidth="1"/>
  </x:cols>
  <x:sheetData>
    <x:row r="1" ht="32" customHeight="1">
      <x:c r="A1" s="4" t="str">
        <x:v>结构完整性与编码需求校验</x:v>
      </x:c>
      <x:c r="B1" s="4" t="str">
        <x:v>结构完整性与编码需求校验</x:v>
      </x:c>
      <x:c r="C1" s="4" t="str">
        <x:v>结构完整性与编码需求校验</x:v>
      </x:c>
      <x:c r="D1" s="4" t="str">
        <x:v>结构完整性与编码需求校验</x:v>
      </x:c>
      <x:c r="E1" s="4" t="str">
        <x:v>结构完整性与编码需求校验</x:v>
      </x:c>
      <x:c r="F1" s="4" t="str">
        <x:v>结构完整性与编码需求校验</x:v>
      </x:c>
    </x:row>
    <x:row r="2" ht="38" customHeight="1">
      <x:c r="A2" s="8" t="str">
        <x:v>“差异”列应全部为0；最终还要检查全工作簿公式错误与渲染效果。</x:v>
      </x:c>
      <x:c r="B2" s="8" t="str">
        <x:v>“差异”列应全部为0；最终还要检查全工作簿公式错误与渲染效果。</x:v>
      </x:c>
      <x:c r="C2" s="8" t="str">
        <x:v>“差异”列应全部为0；最终还要检查全工作簿公式错误与渲染效果。</x:v>
      </x:c>
      <x:c r="D2" s="8" t="str">
        <x:v>“差异”列应全部为0；最终还要检查全工作簿公式错误与渲染效果。</x:v>
      </x:c>
      <x:c r="E2" s="8" t="str">
        <x:v>“差异”列应全部为0；最终还要检查全工作簿公式错误与渲染效果。</x:v>
      </x:c>
      <x:c r="F2" s="8" t="str">
        <x:v>“差异”列应全部为0；最终还要检查全工作簿公式错误与渲染效果。</x:v>
      </x:c>
    </x:row>
    <x:row r="4" ht="30" customHeight="1">
      <x:c r="A4" s="14" t="str">
        <x:v>校验项</x:v>
      </x:c>
      <x:c r="B4" s="14" t="str">
        <x:v>期望</x:v>
      </x:c>
      <x:c r="C4" s="14" t="str">
        <x:v>实际</x:v>
      </x:c>
      <x:c r="D4" s="14" t="str">
        <x:v>差异</x:v>
      </x:c>
      <x:c r="E4" s="14" t="str">
        <x:v>结论</x:v>
      </x:c>
      <x:c r="F4" s="14" t="str">
        <x:v>说明</x:v>
      </x:c>
    </x:row>
    <x:row r="5" ht="38" customHeight="1">
      <x:c r="A5" s="34" t="str">
        <x:v>NPC/入口行数</x:v>
      </x:c>
      <x:c r="B5" s="35" t="n">
        <x:v>50</x:v>
      </x:c>
      <x:c r="C5" s="35" t="n">
        <x:f>COUNTA('01_NPC总览'!A5:A200)</x:f>
        <x:v>50</x:v>
      </x:c>
      <x:c r="D5" s="35" t="n">
        <x:f>B5-C5</x:f>
        <x:v>0</x:v>
      </x:c>
      <x:c r="E5" s="52" t="str">
        <x:f>IF(D5=0,"通过","失败")</x:f>
        <x:v>通过</x:v>
      </x:c>
      <x:c r="F5" s="36" t="str">
        <x:v>包含页面、系统与已有入口</x:v>
      </x:c>
    </x:row>
    <x:row r="6" ht="38" customHeight="1">
      <x:c r="A6" s="37" t="str">
        <x:v>配方总数</x:v>
      </x:c>
      <x:c r="B6" s="38" t="n">
        <x:v>74</x:v>
      </x:c>
      <x:c r="C6" s="38" t="n">
        <x:f>COUNTA('02_配方总表'!A5:A200)</x:f>
        <x:v>74</x:v>
      </x:c>
      <x:c r="D6" s="38" t="n">
        <x:f>B6-C6</x:f>
        <x:v>0</x:v>
      </x:c>
      <x:c r="E6" s="53" t="str">
        <x:f>IF(D6=0,"通过","失败")</x:f>
        <x:v>通过</x:v>
      </x:c>
      <x:c r="F6" s="39" t="str">
        <x:v>精确74项</x:v>
      </x:c>
    </x:row>
    <x:row r="7" ht="38" customHeight="1">
      <x:c r="A7" s="37" t="str">
        <x:v>配方NPC缺失</x:v>
      </x:c>
      <x:c r="B7" s="38" t="n">
        <x:v>0</x:v>
      </x:c>
      <x:c r="C7" s="38" t="n">
        <x:f>COUNTIF('02_配方总表'!E5:E78,"未登记")</x:f>
        <x:v>0</x:v>
      </x:c>
      <x:c r="D7" s="38" t="n">
        <x:f>C7-B7</x:f>
        <x:v>0</x:v>
      </x:c>
      <x:c r="E7" s="53" t="str">
        <x:f>IF(D7=0,"通过","失败")</x:f>
        <x:v>通过</x:v>
      </x:c>
      <x:c r="F7" s="39" t="str">
        <x:v>所有配方必须有承载NPC</x:v>
      </x:c>
    </x:row>
    <x:row r="8" ht="38" customHeight="1">
      <x:c r="A8" s="37" t="str">
        <x:v>重点合成装备</x:v>
      </x:c>
      <x:c r="B8" s="38" t="n">
        <x:v>23</x:v>
      </x:c>
      <x:c r="C8" s="38" t="n">
        <x:f>COUNTIF('02_配方总表'!F5:F78,"装备合成")</x:f>
        <x:v>23</x:v>
      </x:c>
      <x:c r="D8" s="38" t="n">
        <x:f>B8-C8</x:f>
        <x:v>0</x:v>
      </x:c>
      <x:c r="E8" s="53" t="str">
        <x:f>IF(D8=0,"通过","失败")</x:f>
        <x:v>通过</x:v>
      </x:c>
      <x:c r="F8" s="39" t="str">
        <x:v>需23个新装备资源编码</x:v>
      </x:c>
    </x:row>
    <x:row r="9" ht="38" customHeight="1">
      <x:c r="A9" s="37" t="str">
        <x:v>大陆生肖</x:v>
      </x:c>
      <x:c r="B9" s="38" t="n">
        <x:v>10</x:v>
      </x:c>
      <x:c r="C9" s="38" t="n">
        <x:f>COUNTIF('02_配方总表'!F5:F78,"生肖合成")</x:f>
        <x:v>10</x:v>
      </x:c>
      <x:c r="D9" s="38" t="n">
        <x:f>B9-C9</x:f>
        <x:v>0</x:v>
      </x:c>
      <x:c r="E9" s="53" t="str">
        <x:f>IF(D9=0,"通过","失败")</x:f>
        <x:v>通过</x:v>
      </x:c>
      <x:c r="F9" s="39" t="str">
        <x:v>需10个新生肖资源编码</x:v>
      </x:c>
    </x:row>
    <x:row r="10" ht="38" customHeight="1">
      <x:c r="A10" s="37" t="str">
        <x:v>群攻生肖等级</x:v>
      </x:c>
      <x:c r="B10" s="38" t="n">
        <x:v>5</x:v>
      </x:c>
      <x:c r="C10" s="38" t="n">
        <x:f>COUNTIF('02_配方总表'!F5:F78,"群攻生肖")</x:f>
        <x:v>5</x:v>
      </x:c>
      <x:c r="D10" s="38" t="n">
        <x:f>B10-C10</x:f>
        <x:v>0</x:v>
      </x:c>
      <x:c r="E10" s="53" t="str">
        <x:f>IF(D10=0,"通过","失败")</x:f>
        <x:v>通过</x:v>
      </x:c>
      <x:c r="F10" s="39" t="str">
        <x:v>需5个新生肖资源编码</x:v>
      </x:c>
    </x:row>
    <x:row r="11" ht="38" customHeight="1">
      <x:c r="A11" s="37" t="str">
        <x:v>独立称号</x:v>
      </x:c>
      <x:c r="B11" s="38" t="n">
        <x:v>6</x:v>
      </x:c>
      <x:c r="C11" s="38" t="n">
        <x:f>COUNTIF('02_配方总表'!F5:F78,"独立称号")</x:f>
        <x:v>6</x:v>
      </x:c>
      <x:c r="D11" s="38" t="n">
        <x:f>B11-C11</x:f>
        <x:v>0</x:v>
      </x:c>
      <x:c r="E11" s="53" t="str">
        <x:f>IF(D11=0,"通过","失败")</x:f>
        <x:v>通过</x:v>
      </x:c>
      <x:c r="F11" s="39" t="str">
        <x:v>需6个新称号脚本ID</x:v>
      </x:c>
    </x:row>
    <x:row r="12" ht="38" customHeight="1">
      <x:c r="A12" s="37" t="str">
        <x:v>转生等级</x:v>
      </x:c>
      <x:c r="B12" s="38" t="n">
        <x:v>20</x:v>
      </x:c>
      <x:c r="C12" s="38" t="n">
        <x:f>COUNTIF('02_配方总表'!F5:F78,"转生")</x:f>
        <x:v>20</x:v>
      </x:c>
      <x:c r="D12" s="38" t="n">
        <x:f>B12-C12</x:f>
        <x:v>0</x:v>
      </x:c>
      <x:c r="E12" s="53" t="str">
        <x:f>IF(D12=0,"通过","失败")</x:f>
        <x:v>通过</x:v>
      </x:c>
      <x:c r="F12" s="39" t="str">
        <x:v>第4/6/8/10大陆各5级</x:v>
      </x:c>
    </x:row>
    <x:row r="13" ht="38" customHeight="1">
      <x:c r="A13" s="37" t="str">
        <x:v>高产回收主材</x:v>
      </x:c>
      <x:c r="B13" s="38" t="n">
        <x:v>10</x:v>
      </x:c>
      <x:c r="C13" s="38" t="n">
        <x:f>COUNTIF('03_材料角色'!M5:M200,"是")</x:f>
        <x:v>10</x:v>
      </x:c>
      <x:c r="D13" s="38" t="n">
        <x:f>B13-C13</x:f>
        <x:v>0</x:v>
      </x:c>
      <x:c r="E13" s="53" t="str">
        <x:f>IF(D13=0,"通过","失败")</x:f>
        <x:v>通过</x:v>
      </x:c>
      <x:c r="F13" s="39" t="str">
        <x:v>每大陆恰好1件</x:v>
      </x:c>
    </x:row>
    <x:row r="14" ht="38" customHeight="1">
      <x:c r="A14" s="37" t="str">
        <x:v>大陆经济行数</x:v>
      </x:c>
      <x:c r="B14" s="38" t="n">
        <x:v>10</x:v>
      </x:c>
      <x:c r="C14" s="38" t="n">
        <x:f>COUNTA('04_大陆经济口径'!A5:A30)</x:f>
        <x:v>10</x:v>
      </x:c>
      <x:c r="D14" s="38" t="n">
        <x:f>B14-C14</x:f>
        <x:v>0</x:v>
      </x:c>
      <x:c r="E14" s="53" t="str">
        <x:f>IF(D14=0,"通过","失败")</x:f>
        <x:v>通过</x:v>
      </x:c>
      <x:c r="F14" s="39" t="str">
        <x:v>C01—C10各一行</x:v>
      </x:c>
    </x:row>
    <x:row r="15" ht="38" customHeight="1">
      <x:c r="A15" s="37" t="str">
        <x:v>新物品资源编码需求</x:v>
      </x:c>
      <x:c r="B15" s="38" t="n">
        <x:v>38</x:v>
      </x:c>
      <x:c r="C15" s="38" t="n">
        <x:f>COUNTIF('02_配方总表'!R5:R78,"需新装备资源编码")+COUNTIF('02_配方总表'!R5:R78,"需新生肖资源编码")</x:f>
        <x:v>38</x:v>
      </x:c>
      <x:c r="D15" s="38" t="n">
        <x:f>B15-C15</x:f>
        <x:v>0</x:v>
      </x:c>
      <x:c r="E15" s="53" t="str">
        <x:f>IF(D15=0,"通过","失败")</x:f>
        <x:v>通过</x:v>
      </x:c>
      <x:c r="F15" s="39" t="str">
        <x:v>23装备＋10生肖＋5群攻</x:v>
      </x:c>
    </x:row>
    <x:row r="16" ht="38" customHeight="1">
      <x:c r="A16" s="40" t="str">
        <x:v>公式错误扫描</x:v>
      </x:c>
      <x:c r="B16" s="41" t="n">
        <x:v>0</x:v>
      </x:c>
      <x:c r="C16" s="41"/>
      <x:c r="D16" s="41" t="n">
        <x:f>COUNTIF(E5:E15,"失败")</x:f>
        <x:v>0</x:v>
      </x:c>
      <x:c r="E16" s="54" t="str">
        <x:f>IF(D16=0,"通过","失败")</x:f>
        <x:v>通过</x:v>
      </x:c>
      <x:c r="F16" s="42" t="str">
        <x:v>导出后另做全工作簿公式错误扫描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ebe113f8891414b"/>
  </x:tableParts>
</x:worksheet>
</file>