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bb8704338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7c484c84a7664236"/>
    <x:sheet xmlns:r="http://schemas.openxmlformats.org/officeDocument/2006/relationships" name="01_资源总览" sheetId="2" r:id="Re5e335e3f0f84fe0"/>
    <x:sheet xmlns:r="http://schemas.openxmlformats.org/officeDocument/2006/relationships" name="02_产出端" sheetId="3" r:id="Rec254f0df1f44521"/>
    <x:sheet xmlns:r="http://schemas.openxmlformats.org/officeDocument/2006/relationships" name="03_消耗端" sheetId="4" r:id="R3bcba438ce0c47cf"/>
    <x:sheet xmlns:r="http://schemas.openxmlformats.org/officeDocument/2006/relationships" name="04_配方闭环" sheetId="5" r:id="R29c5c04dd387470c"/>
    <x:sheet xmlns:r="http://schemas.openxmlformats.org/officeDocument/2006/relationships" name="05_大陆闭环" sheetId="6" r:id="R2fa7f98be53e4179"/>
    <x:sheet xmlns:r="http://schemas.openxmlformats.org/officeDocument/2006/relationships" name="06_未闭合清单" sheetId="7" r:id="R20b5315336da4c63"/>
    <x:sheet xmlns:r="http://schemas.openxmlformats.org/officeDocument/2006/relationships" name="07_处决韧性难度" sheetId="8" r:id="R85117247d8774b9e"/>
    <x:sheet xmlns:r="http://schemas.openxmlformats.org/officeDocument/2006/relationships" name="08_校验" sheetId="9" r:id="R8786c8bf8c7e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6D98E"/>
      <x:name val="Noto Sans SC Thin"/>
    </x:font>
    <x:font>
      <x:sz val="10"/>
      <x:color rgb="FF514A40"/>
      <x:name val="Noto Sans SC Thin"/>
    </x:font>
    <x:font>
      <x:b/>
      <x:sz val="10"/>
      <x:color rgb="FFFFFFFF"/>
      <x:name val="Noto Sans SC Thin"/>
    </x:font>
    <x:font>
      <x:sz val="9"/>
      <x:color rgb="FF20252B"/>
      <x:name val="Noto Sans SC Thin"/>
    </x:font>
  </x:fonts>
  <x:fills count="7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4F0E5"/>
      </x:patternFill>
    </x:fill>
    <x:fill>
      <x:patternFill patternType="solid">
        <x:fgColor rgb="FF9A6B1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D8C89C"/>
      </x:left>
      <x:right style="thin">
        <x:color rgb="FFD8C89C"/>
      </x:right>
      <x:top style="thin">
        <x:color rgb="FFD8C89C"/>
      </x:top>
      <x:bottom style="thin">
        <x:color rgb="FFD8C89C"/>
      </x:bottom>
    </x:border>
    <x:border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bottom style="thin">
        <x:color rgb="FFE6E0D2"/>
      </x:bottom>
    </x:border>
    <x:border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top style="thin">
        <x:color rgb="FFE6E0D2"/>
      </x:top>
      <x:bottom style="thin">
        <x:color rgb="FFE6E0D2"/>
      </x:bottom>
    </x:border>
    <x:border>
      <x:right style="thin">
        <x:color rgb="FFE6E0D2"/>
      </x:right>
      <x:top style="thin">
        <x:color rgb="FFE6E0D2"/>
      </x:top>
    </x:border>
    <x:border>
      <x:left style="thin">
        <x:color rgb="FFE6E0D2"/>
      </x:left>
      <x:right style="thin">
        <x:color rgb="FFE6E0D2"/>
      </x:right>
      <x:top style="thin">
        <x:color rgb="FFE6E0D2"/>
      </x:top>
    </x:border>
    <x:border>
      <x:left style="thin">
        <x:color rgb="FFE6E0D2"/>
      </x:left>
      <x:top style="thin">
        <x:color rgb="FFE6E0D2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a332652584f99" /><Relationship Type="http://schemas.openxmlformats.org/officeDocument/2006/relationships/theme" Target="/xl/theme/theme1.xml" Id="Rffe4f4c7676e475b" /><Relationship Type="http://schemas.openxmlformats.org/officeDocument/2006/relationships/sharedStrings" Target="/xl/sharedStrings.xml" Id="Re5a6e02da8534aab" /><Relationship Type="http://schemas.openxmlformats.org/officeDocument/2006/relationships/worksheet" Target="/xl/worksheets/sheet1.xml" Id="R7c484c84a7664236" /><Relationship Type="http://schemas.openxmlformats.org/officeDocument/2006/relationships/worksheet" Target="/xl/worksheets/sheet2.xml" Id="Re5e335e3f0f84fe0" /><Relationship Type="http://schemas.openxmlformats.org/officeDocument/2006/relationships/worksheet" Target="/xl/worksheets/sheet3.xml" Id="Rec254f0df1f44521" /><Relationship Type="http://schemas.openxmlformats.org/officeDocument/2006/relationships/worksheet" Target="/xl/worksheets/sheet4.xml" Id="R3bcba438ce0c47cf" /><Relationship Type="http://schemas.openxmlformats.org/officeDocument/2006/relationships/worksheet" Target="/xl/worksheets/sheet5.xml" Id="R29c5c04dd387470c" /><Relationship Type="http://schemas.openxmlformats.org/officeDocument/2006/relationships/worksheet" Target="/xl/worksheets/sheet6.xml" Id="R2fa7f98be53e4179" /><Relationship Type="http://schemas.openxmlformats.org/officeDocument/2006/relationships/worksheet" Target="/xl/worksheets/sheet7.xml" Id="R20b5315336da4c63" /><Relationship Type="http://schemas.openxmlformats.org/officeDocument/2006/relationships/worksheet" Target="/xl/worksheets/sheet8.xml" Id="R85117247d8774b9e" /><Relationship Type="http://schemas.openxmlformats.org/officeDocument/2006/relationships/worksheet" Target="/xl/worksheets/sheet9.xml" Id="R8786c8bf8c7e485a" /></Relationships>
</file>

<file path=xl/tables/table1.xml><?xml version="1.0" encoding="utf-8"?>
<x:table xmlns:x="http://schemas.openxmlformats.org/spreadsheetml/2006/main" id="1" name="GuideTable" displayName="GuideTable" ref="A4:C16" headerRowCount="1" totalsRowCount="0" totalsRowShown="0">
  <x:tableColumns count="3">
    <x:tableColumn id="1" name="项目"/>
    <x:tableColumn id="2" name="现行口径"/>
    <x:tableColumn id="3" name="执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Table" displayName="ResourceTable" ref="A4:Q267" headerRowCount="1" totalsRowCount="0" totalsRowShown="0">
  <x:tableColumns count="17">
    <x:tableColumn id="1" name="资源ID"/>
    <x:tableColumn id="2" name="名称"/>
    <x:tableColumn id="3" name="资源大类"/>
    <x:tableColumn id="4" name="子类"/>
    <x:tableColumn id="5" name="大陆ID"/>
    <x:tableColumn id="6" name="Idx"/>
    <x:tableColumn id="7" name="Items Looks"/>
    <x:tableColumn id="8" name="状态"/>
    <x:tableColumn id="9" name="交易口径"/>
    <x:tableColumn id="10" name="回收口径"/>
    <x:tableColumn id="11" name="绑定口径"/>
    <x:tableColumn id="12" name="数量状态"/>
    <x:tableColumn id="13" name="依据"/>
    <x:tableColumn id="14" name="产出边数"/>
    <x:tableColumn id="15" name="消耗边数"/>
    <x:tableColumn id="16" name="关系状态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" displayName="ProductionTable" ref="A4:Q156" headerRowCount="1" totalsRowCount="0" totalsRowShown="0">
  <x:tableColumns count="17">
    <x:tableColumn id="1" name="产出边ID"/>
    <x:tableColumn id="2" name="边类型"/>
    <x:tableColumn id="3" name="大陆ID"/>
    <x:tableColumn id="4" name="来源类型"/>
    <x:tableColumn id="5" name="来源名称"/>
    <x:tableColumn id="6" name="来源范围/投入"/>
    <x:tableColumn id="7" name="资源ID"/>
    <x:tableColumn id="8" name="产出资源"/>
    <x:tableColumn id="9" name="数量表达式"/>
    <x:tableColumn id="10" name="数量状态"/>
    <x:tableColumn id="11" name="计入基础"/>
    <x:tableColumn id="12" name="启用"/>
    <x:tableColumn id="13" name="交易边界"/>
    <x:tableColumn id="14" name="回收边界"/>
    <x:tableColumn id="15" name="绑定边界"/>
    <x:tableColumn id="16" name="状态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sumptionTable" displayName="ConsumptionTable" ref="A4:W490" headerRowCount="1" totalsRowCount="0" totalsRowShown="0">
  <x:tableColumns count="23">
    <x:tableColumn id="1" name="消耗边ID"/>
    <x:tableColumn id="2" name="边类型"/>
    <x:tableColumn id="3" name="配方/系统ID"/>
    <x:tableColumn id="4" name="大陆ID"/>
    <x:tableColumn id="5" name="资源ID"/>
    <x:tableColumn id="6" name="资源名称"/>
    <x:tableColumn id="7" name="候选资源ID"/>
    <x:tableColumn id="8" name="原输入列"/>
    <x:tableColumn id="9" name="输入角色"/>
    <x:tableColumn id="10" name="原单元格"/>
    <x:tableColumn id="11" name="原词元"/>
    <x:tableColumn id="12" name="数量表达式"/>
    <x:tableColumn id="13" name="数量状态"/>
    <x:tableColumn id="14" name="是否消耗"/>
    <x:tableColumn id="15" name="仅前置"/>
    <x:tableColumn id="16" name="斜杠待审"/>
    <x:tableColumn id="17" name="计入基础"/>
    <x:tableColumn id="18" name="启用"/>
    <x:tableColumn id="19" name="交易边界"/>
    <x:tableColumn id="20" name="回收边界"/>
    <x:tableColumn id="21" name="绑定边界"/>
    <x:tableColumn id="22" name="状态"/>
    <x:tableColumn id="2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ipeTable" displayName="RecipeTable" ref="A4:W78" headerRowCount="1" totalsRowCount="0" totalsRowShown="0">
  <x:tableColumns count="23">
    <x:tableColumn id="1" name="配方ID"/>
    <x:tableColumn id="2" name="大陆ID"/>
    <x:tableColumn id="3" name="大陆"/>
    <x:tableColumn id="4" name="NPC ID"/>
    <x:tableColumn id="5" name="NPC名称"/>
    <x:tableColumn id="6" name="类别"/>
    <x:tableColumn id="7" name="产物"/>
    <x:tableColumn id="8" name="产物资源ID"/>
    <x:tableColumn id="9" name="部位/系统"/>
    <x:tableColumn id="10" name="输入边数"/>
    <x:tableColumn id="11" name="输入边ID"/>
    <x:tableColumn id="12" name="成功规则"/>
    <x:tableColumn id="13" name="属性方向"/>
    <x:tableColumn id="14" name="交易/绑定"/>
    <x:tableColumn id="15" name="可回收"/>
    <x:tableColumn id="16" name="回收规则"/>
    <x:tableColumn id="17" name="数量状态"/>
    <x:tableColumn id="18" name="编码状态"/>
    <x:tableColumn id="19" name="计入基础"/>
    <x:tableColumn id="20" name="斜杠待审"/>
    <x:tableColumn id="21" name="原稀有材料"/>
    <x:tableColumn id="22" name="本版修订"/>
    <x:tableColumn id="23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inentTable" displayName="ContinentTable" ref="A4:W14" headerRowCount="1" totalsRowCount="0" totalsRowShown="0">
  <x:tableColumns count="23">
    <x:tableColumn id="1" name="大陆ID"/>
    <x:tableColumn id="2" name="序号"/>
    <x:tableColumn id="3" name="大陆"/>
    <x:tableColumn id="4" name="高产材ID"/>
    <x:tableColumn id="5" name="高产主材"/>
    <x:tableColumn id="6" name="掉落范围"/>
    <x:tableColumn id="7" name="技术投放"/>
    <x:tableColumn id="8" name="回收档"/>
    <x:tableColumn id="9" name="双币倾向"/>
    <x:tableColumn id="10" name="货币压力"/>
    <x:tableColumn id="11" name="制式装备作用"/>
    <x:tableColumn id="12" name="交易角色"/>
    <x:tableColumn id="13" name="防套利"/>
    <x:tableColumn id="14" name="收藏材ID"/>
    <x:tableColumn id="15" name="收藏材料"/>
    <x:tableColumn id="16" name="收藏状态"/>
    <x:tableColumn id="17" name="登记成本"/>
    <x:tableColumn id="18" name="配方数"/>
    <x:tableColumn id="19" name="配方ID"/>
    <x:tableColumn id="20" name="每日福利次数"/>
    <x:tableColumn id="21" name="主线守关入基准"/>
    <x:tableColumn id="22" name="每日福利入基准"/>
    <x:tableColumn id="23" name="数量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ssueTable" displayName="IssueTable" ref="A4:F24" headerRowCount="1" totalsRowCount="0" totalsRowShown="0">
  <x:tableColumns count="6">
    <x:tableColumn id="1" name="问题ID"/>
    <x:tableColumn id="2" name="严重度/状态"/>
    <x:tableColumn id="3" name="对象"/>
    <x:tableColumn id="4" name="当前事实"/>
    <x:tableColumn id="5" name="处理动作"/>
    <x:tableColumn id="6" name="阻塞范围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fficultyBands" displayName="DifficultyBands" ref="A14:I18" headerRowCount="1" totalsRowCount="0" totalsRowShown="0">
  <x:tableColumns count="9">
    <x:tableColumn id="1" name="档位"/>
    <x:tableColumn id="2" name="定位"/>
    <x:tableColumn id="3" name="上一大陆收集前提"/>
    <x:tableColumn id="4" name="有效韧性"/>
    <x:tableColumn id="5" name="处决表现"/>
    <x:tableColumn id="6" name="普通群怪承压"/>
    <x:tableColumn id="7" name="精英/BOSS压力"/>
    <x:tableColumn id="8" name="怪物伤害策略"/>
    <x:tableColumn id="9" name="定值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Table" displayName="QATable" ref="A4:F22" headerRowCount="1" totalsRowCount="0" totalsRowShown="0">
  <x:tableColumns count="6">
    <x:tableColumn id="1" name="校验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8ffac46ab8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c32b9f5e1f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c0ce4a990e4b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13acf434e746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5ef154fa5642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22a26fbc49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4df75e536b44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e47e82ccf0a40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f4a46540e5c41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96" hidden="0" customWidth="1"/>
  </x:cols>
  <x:sheetData>
    <x:row r="1" ht="34" customHeight="1">
      <x:c r="A1" s="4" t="str">
        <x:v>十大陆产出—消耗闭环总账 V1.0</x:v>
      </x:c>
      <x:c r="B1" s="4" t="str">
        <x:v>十大陆产出—消耗闭环总账 V1.0</x:v>
      </x:c>
      <x:c r="C1" s="4" t="str">
        <x:v>十大陆产出—消耗闭环总账 V1.0</x:v>
      </x:c>
    </x:row>
    <x:row r="2" ht="42" customHeight="1">
      <x:c r="A2" s="8" t="str">
        <x:v>2026-09-03｜当前阶段只固定关系、规则与缺口。数值将在外围框架稳定后集中反算。</x:v>
      </x:c>
      <x:c r="B2" s="8" t="str">
        <x:v>2026-09-03｜当前阶段只固定关系、规则与缺口。数值将在外围框架稳定后集中反算。</x:v>
      </x:c>
      <x:c r="C2" s="8" t="str">
        <x:v>2026-09-03｜当前阶段只固定关系、规则与缺口。数值将在外围框架稳定后集中反算。</x:v>
      </x:c>
    </x:row>
    <x:row r="4" ht="32" customHeight="1">
      <x:c r="A4" s="14" t="str">
        <x:v>项目</x:v>
      </x:c>
      <x:c r="B4" s="14" t="str">
        <x:v>现行口径</x:v>
      </x:c>
      <x:c r="C4" s="14" t="str">
        <x:v>执行说明</x:v>
      </x:c>
    </x:row>
    <x:row r="5" ht="44" customHeight="1">
      <x:c r="A5" s="34" t="str">
        <x:v>本账定位</x:v>
      </x:c>
      <x:c r="B5" s="35" t="str">
        <x:v>关系总账</x:v>
      </x:c>
      <x:c r="C5" s="36" t="str">
        <x:v>先把产出、交易、消费、回收和系统边界理顺；不在本轮伪造实际爆率、回收价或配方数量。</x:v>
      </x:c>
    </x:row>
    <x:row r="6" ht="44" customHeight="1">
      <x:c r="A6" s="37" t="str">
        <x:v>数量口径</x:v>
      </x:c>
      <x:c r="B6" s="38" t="str">
        <x:v>待经济反算</x:v>
      </x:c>
      <x:c r="C6" s="39" t="str">
        <x:v>除图鉴登记实物×1、每日挑战次数等已确认常数外，其他数量、概率和金额全部后算。</x:v>
      </x:c>
    </x:row>
    <x:row r="7" ht="44" customHeight="1">
      <x:c r="A7" s="37" t="str">
        <x:v>通关时间</x:v>
      </x:c>
      <x:c r="B7" s="38" t="str">
        <x:v>观察值，不是硬指标</x:v>
      </x:c>
      <x:c r="C7" s="39" t="str">
        <x:v>允许明显加快或变慢，甚至流派之间有数倍效率差；只排除无法推进、单属性失控和结算错误。</x:v>
      </x:c>
    </x:row>
    <x:row r="8" ht="44" customHeight="1">
      <x:c r="A8" s="37" t="str">
        <x:v>生存硬规则</x:v>
      </x:c>
      <x:c r="B8" s="38" t="str">
        <x:v>阶段角色能抗普通群怪</x:v>
      </x:c>
      <x:c r="C8" s="39" t="str">
        <x:v>精英/BOSS同时按1—3只测试；A/B可安全挂机，C需盯场，D全程危险。</x:v>
      </x:c>
    </x:row>
    <x:row r="9" ht="44" customHeight="1">
      <x:c r="A9" s="37" t="str">
        <x:v>处决公式</x:v>
      </x:c>
      <x:c r="B9" s="38" t="str">
        <x:v>有效韧性=人物总韧性−地图韧性要求</x:v>
      </x:c>
      <x:c r="C9" s="39" t="str">
        <x:v>有效韧性&lt;0时才可进入怪物处决判定；地图难度主要由处决概率/倍率与怪伤共同递增。</x:v>
      </x:c>
    </x:row>
    <x:row r="10" ht="44" customHeight="1">
      <x:c r="A10" s="37" t="str">
        <x:v>图鉴作用</x:v>
      </x:c>
      <x:c r="B10" s="38" t="str">
        <x:v>上一大陆全装备收集提供韧性</x:v>
      </x:c>
      <x:c r="C10" s="39" t="str">
        <x:v>下一大陆A/B因此不会或极少被处决；图鉴登记不收金币、元宝或灵符。</x:v>
      </x:c>
    </x:row>
    <x:row r="11" ht="44" customHeight="1">
      <x:c r="A11" s="37" t="str">
        <x:v>合成回收</x:v>
      </x:c>
      <x:c r="B11" s="38" t="str">
        <x:v>38项合成穿戴物禁止回收</x:v>
      </x:c>
      <x:c r="C11" s="39" t="str">
        <x:v>23装备＋10生肖＋5群攻生肖可交易，但不能进入普通回收，防止合成—回收套利。</x:v>
      </x:c>
    </x:row>
    <x:row r="12" ht="44" customHeight="1">
      <x:c r="A12" s="37" t="str">
        <x:v>每日福利</x:v>
      </x:c>
      <x:c r="B12" s="38" t="str">
        <x:v>额外守关BOSS不进基础模型</x:v>
      </x:c>
      <x:c r="C12" s="39" t="str">
        <x:v>40条福利产出边单列；主线世界守关BOSS仍是正常专属/Q04来源。</x:v>
      </x:c>
    </x:row>
    <x:row r="13" ht="44" customHeight="1">
      <x:c r="A13" s="37" t="str">
        <x:v>经济角色</x:v>
      </x:c>
      <x:c r="B13" s="38" t="str">
        <x:v>高产主材承担双币主供给</x:v>
      </x:c>
      <x:c r="C13" s="39" t="str">
        <x:v>每大陆1件、低触发＋单次多叠加；先满足配方，溢出才回收铸币。</x:v>
      </x:c>
    </x:row>
    <x:row r="14" ht="44" customHeight="1">
      <x:c r="A14" s="37" t="str">
        <x:v>自产/交易</x:v>
      </x:c>
      <x:c r="B14" s="38" t="str">
        <x:v>30%—40%只约束核心稀缺瓶颈</x:v>
      </x:c>
      <x:c r="C14" s="39" t="str">
        <x:v>其余60%—70%通过玩家交易；不机械套到高产主材，否则金币/元宝会断供。</x:v>
      </x:c>
    </x:row>
    <x:row r="15" ht="44" customHeight="1">
      <x:c r="A15" s="37" t="str">
        <x:v>当前硬缺口</x:v>
      </x:c>
      <x:c r="B15" s="38" t="str">
        <x:v>4类</x:v>
      </x:c>
      <x:c r="C15" s="39" t="str">
        <x:v>C1/C2大陆收藏材料、大小卢恩来源；此外38件合成物编码与6个称号脚本ID需施工。</x:v>
      </x:c>
    </x:row>
    <x:row r="16" ht="44" customHeight="1">
      <x:c r="A16" s="40" t="str">
        <x:v>版本矛盾</x:v>
      </x:c>
      <x:c r="B16" s="41" t="str">
        <x:v>收藏Looks待源表回写</x:v>
      </x:c>
      <x:c r="C16" s="42" t="str">
        <x:v>六份档案记录7218—7225隔离测试通过，但同分支V1.2表格仍显示空值；生产前必须核对实物。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f8ffac46ab840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16" hidden="0" customWidth="1"/>
    <x:col min="8" max="8" width="34" hidden="0" customWidth="1"/>
    <x:col min="9" max="9" width="32" hidden="0" customWidth="1"/>
    <x:col min="10" max="10" width="30" hidden="0" customWidth="1"/>
    <x:col min="11" max="11" width="28" hidden="0" customWidth="1"/>
    <x:col min="12" max="12" width="22" hidden="0" customWidth="1"/>
    <x:col min="13" max="13" width="30" hidden="0" customWidth="1"/>
    <x:col min="14" max="14" width="12" hidden="0" customWidth="1"/>
    <x:col min="15" max="15" width="12" hidden="0" customWidth="1"/>
    <x:col min="16" max="16" width="16" hidden="0" customWidth="1"/>
    <x:col min="17" max="17" width="50" hidden="0" customWidth="1"/>
  </x:cols>
  <x:sheetData>
    <x:row r="1" ht="34" customHeight="1">
      <x:c r="A1" s="4" t="str">
        <x:v>资源总览与关系状态</x:v>
      </x:c>
      <x:c r="B1" s="4" t="str">
        <x:v>资源总览与关系状态</x:v>
      </x:c>
      <x:c r="C1" s="4" t="str">
        <x:v>资源总览与关系状态</x:v>
      </x:c>
      <x:c r="D1" s="4" t="str">
        <x:v>资源总览与关系状态</x:v>
      </x:c>
      <x:c r="E1" s="4" t="str">
        <x:v>资源总览与关系状态</x:v>
      </x:c>
      <x:c r="F1" s="4" t="str">
        <x:v>资源总览与关系状态</x:v>
      </x:c>
      <x:c r="G1" s="4" t="str">
        <x:v>资源总览与关系状态</x:v>
      </x:c>
      <x:c r="H1" s="4" t="str">
        <x:v>资源总览与关系状态</x:v>
      </x:c>
      <x:c r="I1" s="4" t="str">
        <x:v>资源总览与关系状态</x:v>
      </x:c>
      <x:c r="J1" s="4" t="str">
        <x:v>资源总览与关系状态</x:v>
      </x:c>
      <x:c r="K1" s="4" t="str">
        <x:v>资源总览与关系状态</x:v>
      </x:c>
      <x:c r="L1" s="4" t="str">
        <x:v>资源总览与关系状态</x:v>
      </x:c>
      <x:c r="M1" s="4" t="str">
        <x:v>资源总览与关系状态</x:v>
      </x:c>
      <x:c r="N1" s="4" t="str">
        <x:v>资源总览与关系状态</x:v>
      </x:c>
      <x:c r="O1" s="4" t="str">
        <x:v>资源总览与关系状态</x:v>
      </x:c>
      <x:c r="P1" s="4" t="str">
        <x:v>资源总览与关系状态</x:v>
      </x:c>
      <x:c r="Q1" s="4" t="str">
        <x:v>资源总览与关系状态</x:v>
      </x:c>
    </x:row>
    <x:row r="2" ht="42" customHeight="1">
      <x:c r="A2" s="8" t="str">
        <x:v>资源共263项。关系状态按资源ID从产出端、消耗端实时计数；终端装备/进度不强制配置回收出口。</x:v>
      </x:c>
      <x:c r="B2" s="8" t="str">
        <x:v>资源共263项。关系状态按资源ID从产出端、消耗端实时计数；终端装备/进度不强制配置回收出口。</x:v>
      </x:c>
      <x:c r="C2" s="8" t="str">
        <x:v>资源共263项。关系状态按资源ID从产出端、消耗端实时计数；终端装备/进度不强制配置回收出口。</x:v>
      </x:c>
      <x:c r="D2" s="8" t="str">
        <x:v>资源共263项。关系状态按资源ID从产出端、消耗端实时计数；终端装备/进度不强制配置回收出口。</x:v>
      </x:c>
      <x:c r="E2" s="8" t="str">
        <x:v>资源共263项。关系状态按资源ID从产出端、消耗端实时计数；终端装备/进度不强制配置回收出口。</x:v>
      </x:c>
      <x:c r="F2" s="8" t="str">
        <x:v>资源共263项。关系状态按资源ID从产出端、消耗端实时计数；终端装备/进度不强制配置回收出口。</x:v>
      </x:c>
      <x:c r="G2" s="8" t="str">
        <x:v>资源共263项。关系状态按资源ID从产出端、消耗端实时计数；终端装备/进度不强制配置回收出口。</x:v>
      </x:c>
      <x:c r="H2" s="8" t="str">
        <x:v>资源共263项。关系状态按资源ID从产出端、消耗端实时计数；终端装备/进度不强制配置回收出口。</x:v>
      </x:c>
      <x:c r="I2" s="8" t="str">
        <x:v>资源共263项。关系状态按资源ID从产出端、消耗端实时计数；终端装备/进度不强制配置回收出口。</x:v>
      </x:c>
      <x:c r="J2" s="8" t="str">
        <x:v>资源共263项。关系状态按资源ID从产出端、消耗端实时计数；终端装备/进度不强制配置回收出口。</x:v>
      </x:c>
      <x:c r="K2" s="8" t="str">
        <x:v>资源共263项。关系状态按资源ID从产出端、消耗端实时计数；终端装备/进度不强制配置回收出口。</x:v>
      </x:c>
      <x:c r="L2" s="8" t="str">
        <x:v>资源共263项。关系状态按资源ID从产出端、消耗端实时计数；终端装备/进度不强制配置回收出口。</x:v>
      </x:c>
      <x:c r="M2" s="8" t="str">
        <x:v>资源共263项。关系状态按资源ID从产出端、消耗端实时计数；终端装备/进度不强制配置回收出口。</x:v>
      </x:c>
      <x:c r="N2" s="8" t="str">
        <x:v>资源共263项。关系状态按资源ID从产出端、消耗端实时计数；终端装备/进度不强制配置回收出口。</x:v>
      </x:c>
      <x:c r="O2" s="8" t="str">
        <x:v>资源共263项。关系状态按资源ID从产出端、消耗端实时计数；终端装备/进度不强制配置回收出口。</x:v>
      </x:c>
      <x:c r="P2" s="8" t="str">
        <x:v>资源共263项。关系状态按资源ID从产出端、消耗端实时计数；终端装备/进度不强制配置回收出口。</x:v>
      </x:c>
      <x:c r="Q2" s="8" t="str">
        <x:v>资源共263项。关系状态按资源ID从产出端、消耗端实时计数；终端装备/进度不强制配置回收出口。</x:v>
      </x:c>
    </x:row>
    <x:row r="4" ht="32" customHeight="1">
      <x:c r="A4" s="14" t="str">
        <x:v>资源ID</x:v>
      </x:c>
      <x:c r="B4" s="14" t="str">
        <x:v>名称</x:v>
      </x:c>
      <x:c r="C4" s="14" t="str">
        <x:v>资源大类</x:v>
      </x:c>
      <x:c r="D4" s="14" t="str">
        <x:v>子类</x:v>
      </x:c>
      <x:c r="E4" s="14" t="str">
        <x:v>大陆ID</x:v>
      </x:c>
      <x:c r="F4" s="14" t="str">
        <x:v>Idx</x:v>
      </x:c>
      <x:c r="G4" s="14" t="str">
        <x:v>Items Looks</x:v>
      </x:c>
      <x:c r="H4" s="14" t="str">
        <x:v>状态</x:v>
      </x:c>
      <x:c r="I4" s="14" t="str">
        <x:v>交易口径</x:v>
      </x:c>
      <x:c r="J4" s="14" t="str">
        <x:v>回收口径</x:v>
      </x:c>
      <x:c r="K4" s="14" t="str">
        <x:v>绑定口径</x:v>
      </x:c>
      <x:c r="L4" s="14" t="str">
        <x:v>数量状态</x:v>
      </x:c>
      <x:c r="M4" s="14" t="str">
        <x:v>依据</x:v>
      </x:c>
      <x:c r="N4" s="14" t="str">
        <x:v>产出边数</x:v>
      </x:c>
      <x:c r="O4" s="14" t="str">
        <x:v>消耗边数</x:v>
      </x:c>
      <x:c r="P4" s="14" t="str">
        <x:v>关系状态</x:v>
      </x:c>
      <x:c r="Q4" s="14" t="str">
        <x:v>备注</x:v>
      </x:c>
    </x:row>
    <x:row r="5" ht="40" customHeight="1">
      <x:c r="A5" s="34" t="str">
        <x:v>CUR-GOLD</x:v>
      </x:c>
      <x:c r="B5" s="35" t="str">
        <x:v>金币</x:v>
      </x:c>
      <x:c r="C5" s="35" t="str">
        <x:v>货币</x:v>
      </x:c>
      <x:c r="D5" s="35" t="str">
        <x:v>基础货币</x:v>
      </x:c>
      <x:c r="E5" s="35" t="str">
        <x:v>全服</x:v>
      </x:c>
      <x:c r="F5" s="35"/>
      <x:c r="G5" s="35"/>
      <x:c r="H5" s="35" t="str">
        <x:v>渠道已定；金额待经济反算</x:v>
      </x:c>
      <x:c r="I5" s="35" t="str">
        <x:v>不进入玩家摆摊；通过交易物间接流通</x:v>
      </x:c>
      <x:c r="J5" s="35" t="str">
        <x:v>货币本身不可回收</x:v>
      </x:c>
      <x:c r="K5" s="35" t="str">
        <x:v>沿用现行货币账户</x:v>
      </x:c>
      <x:c r="L5" s="35" t="str">
        <x:v>待经济反算</x:v>
      </x:c>
      <x:c r="M5" s="35" t="str">
        <x:v>十大陆NPC与配方总账V1.0</x:v>
      </x:c>
      <x:c r="N5" s="35" t="n">
        <x:f>COUNTIF('02_产出端'!$G$5:$G$600,A5)</x:f>
        <x:v>11</x:v>
      </x:c>
      <x:c r="O5" s="35" t="n">
        <x:f>COUNTIF('03_消耗端'!$E$5:$E$900,A5)</x:f>
        <x:v>51</x:v>
      </x:c>
      <x:c r="P5" s="35" t="str">
        <x:f>IF(C5="前置条件","条件",IF(AND(N5&gt;0,O5&gt;0),"循环闭合",IF(AND(N5&gt;0,OR(C5="装备",C5="装备/道具",C5="角色进度",C5="称号/进度",C5="系统结果")),"终端产物",IF(N5=0,"缺产出","缺消耗"))))</x:f>
        <x:v>循环闭合</x:v>
      </x:c>
      <x:c r="Q5" s="36" t="str">
        <x:v>主要由各大陆高产溢出材料回收，制式装备低频回收补充。</x:v>
      </x:c>
    </x:row>
    <x:row r="6" ht="40" customHeight="1">
      <x:c r="A6" s="37" t="str">
        <x:v>CUR-YUANBAO</x:v>
      </x:c>
      <x:c r="B6" s="38" t="str">
        <x:v>元宝</x:v>
      </x:c>
      <x:c r="C6" s="38" t="str">
        <x:v>货币</x:v>
      </x:c>
      <x:c r="D6" s="38" t="str">
        <x:v>基础货币</x:v>
      </x:c>
      <x:c r="E6" s="38" t="str">
        <x:v>全服</x:v>
      </x:c>
      <x:c r="F6" s="38"/>
      <x:c r="G6" s="38"/>
      <x:c r="H6" s="38" t="str">
        <x:v>渠道已定；金额待经济反算</x:v>
      </x:c>
      <x:c r="I6" s="38" t="str">
        <x:v>不进入玩家摆摊；通过交易物间接流通</x:v>
      </x:c>
      <x:c r="J6" s="38" t="str">
        <x:v>货币本身不可回收</x:v>
      </x:c>
      <x:c r="K6" s="38" t="str">
        <x:v>沿用现行货币账户</x:v>
      </x:c>
      <x:c r="L6" s="38" t="str">
        <x:v>待经济反算</x:v>
      </x:c>
      <x:c r="M6" s="38" t="str">
        <x:v>十大陆NPC与配方总账V1.0</x:v>
      </x:c>
      <x:c r="N6" s="38" t="n">
        <x:f>COUNTIF('02_产出端'!$G$5:$G$600,A6)</x:f>
        <x:v>11</x:v>
      </x:c>
      <x:c r="O6" s="38" t="n">
        <x:f>COUNTIF('03_消耗端'!$E$5:$E$900,A6)</x:f>
        <x:v>50</x:v>
      </x:c>
      <x:c r="P6" s="38" t="str">
        <x:f>IF(C6="前置条件","条件",IF(AND(N6&gt;0,O6&gt;0),"循环闭合",IF(AND(N6&gt;0,OR(C6="装备",C6="装备/道具",C6="角色进度",C6="称号/进度",C6="系统结果")),"终端产物",IF(N6=0,"缺产出","缺消耗"))))</x:f>
        <x:v>循环闭合</x:v>
      </x:c>
      <x:c r="Q6" s="39" t="str">
        <x:v>主要由各大陆高产溢出材料回收，制式装备低频回收补充。</x:v>
      </x:c>
    </x:row>
    <x:row r="7" ht="40" customHeight="1">
      <x:c r="A7" s="37" t="str">
        <x:v>CUR-LINGFU</x:v>
      </x:c>
      <x:c r="B7" s="38" t="str">
        <x:v>灵符</x:v>
      </x:c>
      <x:c r="C7" s="38" t="str">
        <x:v>货币</x:v>
      </x:c>
      <x:c r="D7" s="38" t="str">
        <x:v>付费货币</x:v>
      </x:c>
      <x:c r="E7" s="38" t="str">
        <x:v>全服</x:v>
      </x:c>
      <x:c r="F7" s="38"/>
      <x:c r="G7" s="38"/>
      <x:c r="H7" s="38" t="str">
        <x:v>渠道已定；金额待经济反算</x:v>
      </x:c>
      <x:c r="I7" s="38" t="str">
        <x:v>付费渠道；是否角色/账号绑定沿用现行脚本</x:v>
      </x:c>
      <x:c r="J7" s="38" t="str">
        <x:v>货币本身不可回收</x:v>
      </x:c>
      <x:c r="K7" s="38" t="str">
        <x:v>沿用现行灵符脚本</x:v>
      </x:c>
      <x:c r="L7" s="38" t="str">
        <x:v>待经济反算</x:v>
      </x:c>
      <x:c r="M7" s="38" t="str">
        <x:v>十大陆NPC与配方总账V1.0</x:v>
      </x:c>
      <x:c r="N7" s="38" t="n">
        <x:f>COUNTIF('02_产出端'!$G$5:$G$600,A7)</x:f>
        <x:v>1</x:v>
      </x:c>
      <x:c r="O7" s="38" t="n">
        <x:f>COUNTIF('03_消耗端'!$E$5:$E$900,A7)</x:f>
        <x:v>3</x:v>
      </x:c>
      <x:c r="P7" s="38" t="str">
        <x:f>IF(C7="前置条件","条件",IF(AND(N7&gt;0,O7&gt;0),"循环闭合",IF(AND(N7&gt;0,OR(C7="装备",C7="装备/道具",C7="角色进度",C7="称号/进度",C7="系统结果")),"终端产物",IF(N7=0,"缺产出","缺消耗"))))</x:f>
        <x:v>循环闭合</x:v>
      </x:c>
      <x:c r="Q7" s="39" t="str">
        <x:v>来自现有付费/灵符系统，不由本总账虚构怪物产出。</x:v>
      </x:c>
    </x:row>
    <x:row r="8" ht="40" customHeight="1">
      <x:c r="A8" s="37" t="str">
        <x:v>CUR-SMALL-RUNE</x:v>
      </x:c>
      <x:c r="B8" s="38" t="str">
        <x:v>小卢恩</x:v>
      </x:c>
      <x:c r="C8" s="38" t="str">
        <x:v>货币</x:v>
      </x:c>
      <x:c r="D8" s="38" t="str">
        <x:v>转生货币</x:v>
      </x:c>
      <x:c r="E8" s="38" t="str">
        <x:v>全服</x:v>
      </x:c>
      <x:c r="F8" s="38"/>
      <x:c r="G8" s="38"/>
      <x:c r="H8" s="38" t="str">
        <x:v>硬缺口：产出来源未定义</x:v>
      </x:c>
      <x:c r="I8" s="38" t="str">
        <x:v>不进入玩家摆摊；通过交易物间接流通</x:v>
      </x:c>
      <x:c r="J8" s="38" t="str">
        <x:v>货币本身不可回收</x:v>
      </x:c>
      <x:c r="K8" s="38" t="str">
        <x:v>沿用现行货币账户</x:v>
      </x:c>
      <x:c r="L8" s="38" t="str">
        <x:v>待经济反算</x:v>
      </x:c>
      <x:c r="M8" s="38" t="str">
        <x:v>十大陆NPC与配方总账V1.0</x:v>
      </x:c>
      <x:c r="N8" s="38" t="n">
        <x:f>COUNTIF('02_产出端'!$G$5:$G$600,A8)</x:f>
        <x:v>1</x:v>
      </x:c>
      <x:c r="O8" s="38" t="n">
        <x:f>COUNTIF('03_消耗端'!$E$5:$E$900,A8)</x:f>
        <x:v>5</x:v>
      </x:c>
      <x:c r="P8" s="38" t="str">
        <x:f>IF(C8="前置条件","条件",IF(AND(N8&gt;0,O8&gt;0),"循环闭合",IF(AND(N8&gt;0,OR(C8="装备",C8="装备/道具",C8="角色进度",C8="称号/进度",C8="系统结果")),"终端产物",IF(N8=0,"缺产出","缺消耗"))))</x:f>
        <x:v>循环闭合</x:v>
      </x:c>
      <x:c r="Q8" s="39" t="str">
        <x:v>存在转生消耗，产出来源尚未定义，为硬缺口。</x:v>
      </x:c>
    </x:row>
    <x:row r="9" ht="40" customHeight="1">
      <x:c r="A9" s="37" t="str">
        <x:v>CUR-LARGE-RUNE</x:v>
      </x:c>
      <x:c r="B9" s="38" t="str">
        <x:v>大卢恩</x:v>
      </x:c>
      <x:c r="C9" s="38" t="str">
        <x:v>货币</x:v>
      </x:c>
      <x:c r="D9" s="38" t="str">
        <x:v>转生货币</x:v>
      </x:c>
      <x:c r="E9" s="38" t="str">
        <x:v>全服</x:v>
      </x:c>
      <x:c r="F9" s="38"/>
      <x:c r="G9" s="38"/>
      <x:c r="H9" s="38" t="str">
        <x:v>硬缺口：产出来源未定义</x:v>
      </x:c>
      <x:c r="I9" s="38" t="str">
        <x:v>不进入玩家摆摊；通过交易物间接流通</x:v>
      </x:c>
      <x:c r="J9" s="38" t="str">
        <x:v>货币本身不可回收</x:v>
      </x:c>
      <x:c r="K9" s="38" t="str">
        <x:v>沿用现行货币账户</x:v>
      </x:c>
      <x:c r="L9" s="38" t="str">
        <x:v>待经济反算</x:v>
      </x:c>
      <x:c r="M9" s="38" t="str">
        <x:v>十大陆NPC与配方总账V1.0</x:v>
      </x:c>
      <x:c r="N9" s="38" t="n">
        <x:f>COUNTIF('02_产出端'!$G$5:$G$600,A9)</x:f>
        <x:v>1</x:v>
      </x:c>
      <x:c r="O9" s="38" t="n">
        <x:f>COUNTIF('03_消耗端'!$E$5:$E$900,A9)</x:f>
        <x:v>10</x:v>
      </x:c>
      <x:c r="P9" s="38" t="str">
        <x:f>IF(C9="前置条件","条件",IF(AND(N9&gt;0,O9&gt;0),"循环闭合",IF(AND(N9&gt;0,OR(C9="装备",C9="装备/道具",C9="角色进度",C9="称号/进度",C9="系统结果")),"终端产物",IF(N9=0,"缺产出","缺消耗"))))</x:f>
        <x:v>循环闭合</x:v>
      </x:c>
      <x:c r="Q9" s="39" t="str">
        <x:v>存在转生消耗，产出来源尚未定义，为硬缺口；不可与追梦神器名称混淆。</x:v>
      </x:c>
    </x:row>
    <x:row r="10" ht="40" customHeight="1">
      <x:c r="A10" s="37" t="str">
        <x:v>EL-MAT-GLOBAL-SOMBER</x:v>
      </x:c>
      <x:c r="B10" s="38" t="str">
        <x:v>失色锻造石</x:v>
      </x:c>
      <x:c r="C10" s="38" t="str">
        <x:v>材料</x:v>
      </x:c>
      <x:c r="D10" s="38" t="str">
        <x:v>全局辅助材料</x:v>
      </x:c>
      <x:c r="E10" s="38" t="str">
        <x:v>全服</x:v>
      </x:c>
      <x:c r="F10" s="38" t="n">
        <x:v>793</x:v>
      </x:c>
      <x:c r="G10" s="38"/>
      <x:c r="H10" s="38" t="str">
        <x:v>保护旧材料</x:v>
      </x:c>
      <x:c r="I10" s="38" t="str">
        <x:v>可交易</x:v>
      </x:c>
      <x:c r="J10" s="38" t="str">
        <x:v>不作为自动回收主材</x:v>
      </x:c>
      <x:c r="K10" s="38" t="str">
        <x:v>产出实物默认不绑定，按现行材料脚本</x:v>
      </x:c>
      <x:c r="L10" s="38" t="str">
        <x:v>待经济反算</x:v>
      </x:c>
      <x:c r="M10" s="38" t="str">
        <x:v>材料编码数据库/十大陆NPC与配方V1.0</x:v>
      </x:c>
      <x:c r="N10" s="38" t="n">
        <x:f>COUNTIF('02_产出端'!$G$5:$G$600,A10)</x:f>
        <x:v>1</x:v>
      </x:c>
      <x:c r="O10" s="38" t="n">
        <x:f>COUNTIF('03_消耗端'!$E$5:$E$900,A10)</x:f>
        <x:v>26</x:v>
      </x:c>
      <x:c r="P10" s="38" t="str">
        <x:f>IF(C10="前置条件","条件",IF(AND(N10&gt;0,O10&gt;0),"循环闭合",IF(AND(N10&gt;0,OR(C10="装备",C10="装备/道具",C10="角色进度",C10="称号/进度",C10="系统结果")),"终端产物",IF(N10=0,"缺产出","缺消耗"))))</x:f>
        <x:v>循环闭合</x:v>
      </x:c>
      <x:c r="Q10" s="39" t="str">
        <x:v>掉落角色：专属装备分解获得；不设怪物直接掉落 原用途：C02-ASH-NORMAL、C02-ASH-HIGH、C02-ASH-OVERWRITE、C01-SYN-EQ-01、C02-SYN-EQ-01、C02-SYN-EQ-02、C03-SYN-EQ-01、C03-SYN-EQ-02、C04-SYN-EQ-01、C04-SYN-EQ-02、C04-SYN-EQ-03、C05-SYN-EQ-01、C05-SYN-EQ-02、C06-SYN-EQ-01、C06-SYN-EQ-02、C06-SYN-EQ-03、C07-SYN-EQ-01、C07-SYN-EQ-02、C08-SYN-EQ-01、C08-SYN-EQ-02、C08-SYN-EQ-03、C09-SYN-EQ-01、C09-SYN-EQ-02、C10-SYN-EQ-01、C10-SYN-EQ-02、C10-SYN-EQ-03</x:v>
      </x:c>
    </x:row>
    <x:row r="11" ht="40" customHeight="1">
      <x:c r="A11" s="37" t="str">
        <x:v>EL-MAT-C02-BONE</x:v>
      </x:c>
      <x:c r="B11" s="38" t="str">
        <x:v>野兽骨片</x:v>
      </x:c>
      <x:c r="C11" s="38" t="str">
        <x:v>材料</x:v>
      </x:c>
      <x:c r="D11" s="38" t="str">
        <x:v>技能材料</x:v>
      </x:c>
      <x:c r="E11" s="38" t="str">
        <x:v>C02</x:v>
      </x:c>
      <x:c r="F11" s="38" t="n">
        <x:v>794</x:v>
      </x:c>
      <x:c r="G11" s="38"/>
      <x:c r="H11" s="38" t="str">
        <x:v>保护旧材料</x:v>
      </x:c>
      <x:c r="I11" s="38" t="str">
        <x:v>可交易</x:v>
      </x:c>
      <x:c r="J11" s="38" t="str">
        <x:v>不作为自动回收主材</x:v>
      </x:c>
      <x:c r="K11" s="38" t="str">
        <x:v>产出实物默认不绑定，按现行材料脚本</x:v>
      </x:c>
      <x:c r="L11" s="38" t="str">
        <x:v>待经济反算</x:v>
      </x:c>
      <x:c r="M11" s="38" t="str">
        <x:v>材料编码数据库/十大陆NPC与配方V1.0</x:v>
      </x:c>
      <x:c r="N11" s="38" t="n">
        <x:f>COUNTIF('02_产出端'!$G$5:$G$600,A11)</x:f>
        <x:v>1</x:v>
      </x:c>
      <x:c r="O11" s="38" t="n">
        <x:f>COUNTIF('03_消耗端'!$E$5:$E$900,A11)</x:f>
        <x:v>1</x:v>
      </x:c>
      <x:c r="P11" s="38" t="str">
        <x:f>IF(C11="前置条件","条件",IF(AND(N11&gt;0,O11&gt;0),"循环闭合",IF(AND(N11&gt;0,OR(C11="装备",C11="装备/道具",C11="角色进度",C11="称号/进度",C11="系统结果")),"终端产物",IF(N11=0,"缺产出","缺消耗"))))</x:f>
        <x:v>循环闭合</x:v>
      </x:c>
      <x:c r="Q11" s="39" t="str">
        <x:v>掉落角色：第二大陆及后续技能材料来源 原用途：待配方／任务接入</x:v>
      </x:c>
    </x:row>
    <x:row r="12" ht="40" customHeight="1">
      <x:c r="A12" s="37" t="str">
        <x:v>EL-MAT-C02-RUNE</x:v>
      </x:c>
      <x:c r="B12" s="38" t="str">
        <x:v>神秘符文</x:v>
      </x:c>
      <x:c r="C12" s="38" t="str">
        <x:v>材料</x:v>
      </x:c>
      <x:c r="D12" s="38" t="str">
        <x:v>命格材料</x:v>
      </x:c>
      <x:c r="E12" s="38" t="str">
        <x:v>全服</x:v>
      </x:c>
      <x:c r="F12" s="38" t="n">
        <x:v>802</x:v>
      </x:c>
      <x:c r="G12" s="38"/>
      <x:c r="H12" s="38" t="str">
        <x:v>保护旧材料</x:v>
      </x:c>
      <x:c r="I12" s="38" t="str">
        <x:v>怪物掉落可交易；商店购买绑定</x:v>
      </x:c>
      <x:c r="J12" s="38" t="str">
        <x:v>不作为自动回收主材</x:v>
      </x:c>
      <x:c r="K12" s="38" t="str">
        <x:v>怪物掉落可交易；灵符商店购买部分绑定</x:v>
      </x:c>
      <x:c r="L12" s="38" t="str">
        <x:v>待经济反算</x:v>
      </x:c>
      <x:c r="M12" s="38" t="str">
        <x:v>材料编码数据库/十大陆NPC与配方V1.0</x:v>
      </x:c>
      <x:c r="N12" s="38" t="n">
        <x:f>COUNTIF('02_产出端'!$G$5:$G$600,A12)</x:f>
        <x:v>2</x:v>
      </x:c>
      <x:c r="O12" s="38" t="n">
        <x:f>COUNTIF('03_消耗端'!$E$5:$E$900,A12)</x:f>
        <x:v>2</x:v>
      </x:c>
      <x:c r="P12" s="38" t="str">
        <x:f>IF(C12="前置条件","条件",IF(AND(N12&gt;0,O12&gt;0),"循环闭合",IF(AND(N12&gt;0,OR(C12="装备",C12="装备/道具",C12="角色进度",C12="称号/进度",C12="系统结果")),"终端产物",IF(N12=0,"缺产出","缺消耗"))))</x:f>
        <x:v>循环闭合</x:v>
      </x:c>
      <x:c r="Q12" s="39" t="str">
        <x:v>掉落角色：第1—10大陆全怪低爆＋灵符商店 原用途：C01-FATE-SINGLE、C01-FATE-TEN</x:v>
      </x:c>
    </x:row>
    <x:row r="13" ht="40" customHeight="1">
      <x:c r="A13" s="37" t="str">
        <x:v>EL-MAT-C01-WITNESS-TIDE</x:v>
      </x:c>
      <x:c r="B13" s="38" t="str">
        <x:v>漂流见证·潮</x:v>
      </x:c>
      <x:c r="C13" s="38" t="str">
        <x:v>材料</x:v>
      </x:c>
      <x:c r="D13" s="38" t="str">
        <x:v>剧情进度材料</x:v>
      </x:c>
      <x:c r="E13" s="38" t="str">
        <x:v>C01</x:v>
      </x:c>
      <x:c r="F13" s="38" t="n">
        <x:v>907</x:v>
      </x:c>
      <x:c r="G13" s="38" t="n">
        <x:v>6398</x:v>
      </x:c>
      <x:c r="H13" s="38" t="str">
        <x:v>已正式入库</x:v>
      </x:c>
      <x:c r="I13" s="38" t="str">
        <x:v>可交易</x:v>
      </x:c>
      <x:c r="J13" s="38" t="str">
        <x:v>不作为自动回收主材</x:v>
      </x:c>
      <x:c r="K13" s="38" t="str">
        <x:v>产出实物默认不绑定，按现行材料脚本</x:v>
      </x:c>
      <x:c r="L13" s="38" t="str">
        <x:v>待经济反算</x:v>
      </x:c>
      <x:c r="M13" s="38" t="str">
        <x:v>材料编码数据库/十大陆NPC与配方V1.0</x:v>
      </x:c>
      <x:c r="N13" s="38" t="n">
        <x:f>COUNTIF('02_产出端'!$G$5:$G$600,A13)</x:f>
        <x:v>1</x:v>
      </x:c>
      <x:c r="O13" s="38" t="n">
        <x:f>COUNTIF('03_消耗端'!$E$5:$E$900,A13)</x:f>
        <x:v>2</x:v>
      </x:c>
      <x:c r="P13" s="38" t="str">
        <x:f>IF(C13="前置条件","条件",IF(AND(N13&gt;0,O13&gt;0),"循环闭合",IF(AND(N13&gt;0,OR(C13="装备",C13="装备/道具",C13="角色进度",C13="称号/进度",C13="系统结果")),"终端产物",IF(N13=0,"缺产出","缺消耗"))))</x:f>
        <x:v>循环闭合</x:v>
      </x:c>
      <x:c r="Q13" s="39" t="str">
        <x:v>掉落角色：按材料原类别投放 原用途：C01-SYN-ZD-01、C01-SYN-TT-01</x:v>
      </x:c>
    </x:row>
    <x:row r="14" ht="40" customHeight="1">
      <x:c r="A14" s="37" t="str">
        <x:v>EL-MAT-C01-WITNESS-STORM</x:v>
      </x:c>
      <x:c r="B14" s="38" t="str">
        <x:v>漂流见证·雷</x:v>
      </x:c>
      <x:c r="C14" s="38" t="str">
        <x:v>材料</x:v>
      </x:c>
      <x:c r="D14" s="38" t="str">
        <x:v>剧情进度材料</x:v>
      </x:c>
      <x:c r="E14" s="38" t="str">
        <x:v>C01</x:v>
      </x:c>
      <x:c r="F14" s="38" t="n">
        <x:v>908</x:v>
      </x:c>
      <x:c r="G14" s="38" t="n">
        <x:v>6399</x:v>
      </x:c>
      <x:c r="H14" s="38" t="str">
        <x:v>已正式入库</x:v>
      </x:c>
      <x:c r="I14" s="38" t="str">
        <x:v>可交易</x:v>
      </x:c>
      <x:c r="J14" s="38" t="str">
        <x:v>不作为自动回收主材</x:v>
      </x:c>
      <x:c r="K14" s="38" t="str">
        <x:v>产出实物默认不绑定，按现行材料脚本</x:v>
      </x:c>
      <x:c r="L14" s="38" t="str">
        <x:v>待经济反算</x:v>
      </x:c>
      <x:c r="M14" s="38" t="str">
        <x:v>材料编码数据库/十大陆NPC与配方V1.0</x:v>
      </x:c>
      <x:c r="N14" s="38" t="n">
        <x:f>COUNTIF('02_产出端'!$G$5:$G$600,A14)</x:f>
        <x:v>1</x:v>
      </x:c>
      <x:c r="O14" s="38" t="n">
        <x:f>COUNTIF('03_消耗端'!$E$5:$E$900,A14)</x:f>
        <x:v>1</x:v>
      </x:c>
      <x:c r="P14" s="38" t="str">
        <x:f>IF(C14="前置条件","条件",IF(AND(N14&gt;0,O14&gt;0),"循环闭合",IF(AND(N14&gt;0,OR(C14="装备",C14="装备/道具",C14="角色进度",C14="称号/进度",C14="系统结果")),"终端产物",IF(N14=0,"缺产出","缺消耗"))))</x:f>
        <x:v>循环闭合</x:v>
      </x:c>
      <x:c r="Q14" s="39" t="str">
        <x:v>掉落角色：按材料原类别投放 原用途：C01-SYN-TT-01</x:v>
      </x:c>
    </x:row>
    <x:row r="15" ht="40" customHeight="1">
      <x:c r="A15" s="37" t="str">
        <x:v>EL-MAT-C02-OATHPAGE</x:v>
      </x:c>
      <x:c r="B15" s="38" t="str">
        <x:v>宁姆格福誓页</x:v>
      </x:c>
      <x:c r="C15" s="38" t="str">
        <x:v>材料</x:v>
      </x:c>
      <x:c r="D15" s="38" t="str">
        <x:v>剧情进度材料</x:v>
      </x:c>
      <x:c r="E15" s="38" t="str">
        <x:v>C02</x:v>
      </x:c>
      <x:c r="F15" s="38" t="n">
        <x:v>909</x:v>
      </x:c>
      <x:c r="G15" s="38" t="n">
        <x:v>6400</x:v>
      </x:c>
      <x:c r="H15" s="38" t="str">
        <x:v>已正式入库</x:v>
      </x:c>
      <x:c r="I15" s="38" t="str">
        <x:v>可交易</x:v>
      </x:c>
      <x:c r="J15" s="38" t="str">
        <x:v>不作为自动回收主材</x:v>
      </x:c>
      <x:c r="K15" s="38" t="str">
        <x:v>产出实物默认不绑定，按现行材料脚本</x:v>
      </x:c>
      <x:c r="L15" s="38" t="str">
        <x:v>待经济反算</x:v>
      </x:c>
      <x:c r="M15" s="38" t="str">
        <x:v>材料编码数据库/十大陆NPC与配方V1.0</x:v>
      </x:c>
      <x:c r="N15" s="38" t="n">
        <x:f>COUNTIF('02_产出端'!$G$5:$G$600,A15)</x:f>
        <x:v>1</x:v>
      </x:c>
      <x:c r="O15" s="38" t="n">
        <x:f>COUNTIF('03_消耗端'!$E$5:$E$900,A15)</x:f>
        <x:v>1</x:v>
      </x:c>
      <x:c r="P15" s="38" t="str">
        <x:f>IF(C15="前置条件","条件",IF(AND(N15&gt;0,O15&gt;0),"循环闭合",IF(AND(N15&gt;0,OR(C15="装备",C15="装备/道具",C15="角色进度",C15="称号/进度",C15="系统结果")),"终端产物",IF(N15=0,"缺产出","缺消耗"))))</x:f>
        <x:v>循环闭合</x:v>
      </x:c>
      <x:c r="Q15" s="39" t="str">
        <x:v>掉落角色：按材料原类别投放 原用途：待配方／任务接入</x:v>
      </x:c>
    </x:row>
    <x:row r="16" ht="40" customHeight="1">
      <x:c r="A16" s="37" t="str">
        <x:v>EL-MAT-C01-COM</x:v>
      </x:c>
      <x:c r="B16" s="38" t="str">
        <x:v>海蚀铁片</x:v>
      </x:c>
      <x:c r="C16" s="38" t="str">
        <x:v>材料</x:v>
      </x:c>
      <x:c r="D16" s="38" t="str">
        <x:v>大陆通用材料</x:v>
      </x:c>
      <x:c r="E16" s="38" t="str">
        <x:v>C01</x:v>
      </x:c>
      <x:c r="F16" s="38" t="n">
        <x:v>910</x:v>
      </x:c>
      <x:c r="G16" s="38" t="n">
        <x:v>6401</x:v>
      </x:c>
      <x:c r="H16" s="38" t="str">
        <x:v>已正式入库</x:v>
      </x:c>
      <x:c r="I16" s="38" t="str">
        <x:v>可交易</x:v>
      </x:c>
      <x:c r="J16" s="38" t="str">
        <x:v>R1档金币／元宝主回收口</x:v>
      </x:c>
      <x:c r="K16" s="38" t="str">
        <x:v>产出实物默认不绑定，按现行材料脚本</x:v>
      </x:c>
      <x:c r="L16" s="38" t="str">
        <x:v>待经济反算</x:v>
      </x:c>
      <x:c r="M16" s="38" t="str">
        <x:v>材料编码数据库/十大陆NPC与配方V1.0</x:v>
      </x:c>
      <x:c r="N16" s="38" t="n">
        <x:f>COUNTIF('02_产出端'!$G$5:$G$600,A16)</x:f>
        <x:v>1</x:v>
      </x:c>
      <x:c r="O16" s="38" t="n">
        <x:f>COUNTIF('03_消耗端'!$E$5:$E$900,A16)</x:f>
        <x:v>2</x:v>
      </x:c>
      <x:c r="P16" s="38" t="str">
        <x:f>IF(C16="前置条件","条件",IF(AND(N16&gt;0,O16&gt;0),"循环闭合",IF(AND(N16&gt;0,OR(C16="装备",C16="装备/道具",C16="角色进度",C16="称号/进度",C16="系统结果")),"终端产物",IF(N16=0,"缺产出","缺消耗"))))</x:f>
        <x:v>循环闭合</x:v>
      </x:c>
      <x:c r="Q16" s="39" t="str">
        <x:v>掉落角色：本大陆全怪高小时产量；降低触发频率、单次多叠加 原用途：C01-SYN-EQ-01、C01-SYN-ZD-01</x:v>
      </x:c>
    </x:row>
    <x:row r="17" ht="40" customHeight="1">
      <x:c r="A17" s="37" t="str">
        <x:v>EL-MAT-C01-RARE</x:v>
      </x:c>
      <x:c r="B17" s="38" t="str">
        <x:v>潮痕结晶</x:v>
      </x:c>
      <x:c r="C17" s="38" t="str">
        <x:v>材料</x:v>
      </x:c>
      <x:c r="D17" s="38" t="str">
        <x:v>大陆稀有材料</x:v>
      </x:c>
      <x:c r="E17" s="38" t="str">
        <x:v>C01</x:v>
      </x:c>
      <x:c r="F17" s="38" t="n">
        <x:v>911</x:v>
      </x:c>
      <x:c r="G17" s="38" t="n">
        <x:v>6402</x:v>
      </x:c>
      <x:c r="H17" s="38" t="str">
        <x:v>已正式入库</x:v>
      </x:c>
      <x:c r="I17" s="38" t="str">
        <x:v>可交易</x:v>
      </x:c>
      <x:c r="J17" s="38" t="str">
        <x:v>不作为自动回收主材</x:v>
      </x:c>
      <x:c r="K17" s="38" t="str">
        <x:v>产出实物默认不绑定，按现行材料脚本</x:v>
      </x:c>
      <x:c r="L17" s="38" t="str">
        <x:v>待经济反算</x:v>
      </x:c>
      <x:c r="M17" s="38" t="str">
        <x:v>材料编码数据库/十大陆NPC与配方V1.0</x:v>
      </x:c>
      <x:c r="N17" s="38" t="n">
        <x:f>COUNTIF('02_产出端'!$G$5:$G$600,A17)</x:f>
        <x:v>1</x:v>
      </x:c>
      <x:c r="O17" s="38" t="n">
        <x:f>COUNTIF('03_消耗端'!$E$5:$E$900,A17)</x:f>
        <x:v>1</x:v>
      </x:c>
      <x:c r="P17" s="38" t="str">
        <x:f>IF(C17="前置条件","条件",IF(AND(N17&gt;0,O17&gt;0),"循环闭合",IF(AND(N17&gt;0,OR(C17="装备",C17="装备/道具",C17="角色进度",C17="称号/进度",C17="系统结果")),"终端产物",IF(N17=0,"缺产出","缺消耗"))))</x:f>
        <x:v>循环闭合</x:v>
      </x:c>
      <x:c r="Q17" s="39" t="str">
        <x:v>掉落角色：按材料原类别投放 原用途：C01-SYN-EQ-01</x:v>
      </x:c>
    </x:row>
    <x:row r="18" ht="40" customHeight="1">
      <x:c r="A18" s="37" t="str">
        <x:v>EL-MAT-C01-MARK</x:v>
      </x:c>
      <x:c r="B18" s="38" t="str">
        <x:v>漂流大陆印记</x:v>
      </x:c>
      <x:c r="C18" s="38" t="str">
        <x:v>材料</x:v>
      </x:c>
      <x:c r="D18" s="38" t="str">
        <x:v>大陆剧情印记</x:v>
      </x:c>
      <x:c r="E18" s="38" t="str">
        <x:v>C01</x:v>
      </x:c>
      <x:c r="F18" s="38" t="n">
        <x:v>912</x:v>
      </x:c>
      <x:c r="G18" s="38" t="n">
        <x:v>6403</x:v>
      </x:c>
      <x:c r="H18" s="38" t="str">
        <x:v>已正式入库</x:v>
      </x:c>
      <x:c r="I18" s="38" t="str">
        <x:v>可交易</x:v>
      </x:c>
      <x:c r="J18" s="38" t="str">
        <x:v>不作为自动回收主材</x:v>
      </x:c>
      <x:c r="K18" s="38" t="str">
        <x:v>产出实物默认不绑定，按现行材料脚本</x:v>
      </x:c>
      <x:c r="L18" s="38" t="str">
        <x:v>待经济反算</x:v>
      </x:c>
      <x:c r="M18" s="38" t="str">
        <x:v>材料编码数据库/十大陆NPC与配方V1.0</x:v>
      </x:c>
      <x:c r="N18" s="38" t="n">
        <x:f>COUNTIF('02_产出端'!$G$5:$G$600,A18)</x:f>
        <x:v>1</x:v>
      </x:c>
      <x:c r="O18" s="38" t="n">
        <x:f>COUNTIF('03_消耗端'!$E$5:$E$900,A18)</x:f>
        <x:v>2</x:v>
      </x:c>
      <x:c r="P18" s="38" t="str">
        <x:f>IF(C18="前置条件","条件",IF(AND(N18&gt;0,O18&gt;0),"循环闭合",IF(AND(N18&gt;0,OR(C18="装备",C18="装备/道具",C18="角色进度",C18="称号/进度",C18="系统结果")),"终端产物",IF(N18=0,"缺产出","缺消耗"))))</x:f>
        <x:v>循环闭合</x:v>
      </x:c>
      <x:c r="Q18" s="39" t="str">
        <x:v>掉落角色：按材料原类别投放 原用途：C01-SYN-EQ-01、C01-SYN-TT-01</x:v>
      </x:c>
    </x:row>
    <x:row r="19" ht="40" customHeight="1">
      <x:c r="A19" s="37" t="str">
        <x:v>EL-MAT-C02-COM</x:v>
      </x:c>
      <x:c r="B19" s="38" t="str">
        <x:v>风暴石片</x:v>
      </x:c>
      <x:c r="C19" s="38" t="str">
        <x:v>材料</x:v>
      </x:c>
      <x:c r="D19" s="38" t="str">
        <x:v>大陆通用材料</x:v>
      </x:c>
      <x:c r="E19" s="38" t="str">
        <x:v>C02</x:v>
      </x:c>
      <x:c r="F19" s="38" t="n">
        <x:v>913</x:v>
      </x:c>
      <x:c r="G19" s="38" t="n">
        <x:v>6404</x:v>
      </x:c>
      <x:c r="H19" s="38" t="str">
        <x:v>已正式入库</x:v>
      </x:c>
      <x:c r="I19" s="38" t="str">
        <x:v>可交易</x:v>
      </x:c>
      <x:c r="J19" s="38" t="str">
        <x:v>R2档金币／元宝主回收口</x:v>
      </x:c>
      <x:c r="K19" s="38" t="str">
        <x:v>产出实物默认不绑定，按现行材料脚本</x:v>
      </x:c>
      <x:c r="L19" s="38" t="str">
        <x:v>待经济反算</x:v>
      </x:c>
      <x:c r="M19" s="38" t="str">
        <x:v>材料编码数据库/十大陆NPC与配方V1.0</x:v>
      </x:c>
      <x:c r="N19" s="38" t="n">
        <x:f>COUNTIF('02_产出端'!$G$5:$G$600,A19)</x:f>
        <x:v>1</x:v>
      </x:c>
      <x:c r="O19" s="38" t="n">
        <x:f>COUNTIF('03_消耗端'!$E$5:$E$900,A19)</x:f>
        <x:v>6</x:v>
      </x:c>
      <x:c r="P19" s="38" t="str">
        <x:f>IF(C19="前置条件","条件",IF(AND(N19&gt;0,O19&gt;0),"循环闭合",IF(AND(N19&gt;0,OR(C19="装备",C19="装备/道具",C19="角色进度",C19="称号/进度",C19="系统结果")),"终端产物",IF(N19=0,"缺产出","缺消耗"))))</x:f>
        <x:v>循环闭合</x:v>
      </x:c>
      <x:c r="Q19" s="39" t="str">
        <x:v>掉落角色：本大陆全怪高小时产量；降低触发频率、单次多叠加 原用途：C02-ASH-NORMAL、C02-ASH-HIGH、C02-SYN-EQ-01、C02-SYN-EQ-02、C02-SYN-ZD-01、C02-AOE-LV1</x:v>
      </x:c>
    </x:row>
    <x:row r="20" ht="40" customHeight="1">
      <x:c r="A20" s="37" t="str">
        <x:v>EL-MAT-C02-RARE</x:v>
      </x:c>
      <x:c r="B20" s="38" t="str">
        <x:v>黄金树芽</x:v>
      </x:c>
      <x:c r="C20" s="38" t="str">
        <x:v>材料</x:v>
      </x:c>
      <x:c r="D20" s="38" t="str">
        <x:v>大陆稀有材料</x:v>
      </x:c>
      <x:c r="E20" s="38" t="str">
        <x:v>C02</x:v>
      </x:c>
      <x:c r="F20" s="38" t="n">
        <x:v>914</x:v>
      </x:c>
      <x:c r="G20" s="38" t="n">
        <x:v>6405</x:v>
      </x:c>
      <x:c r="H20" s="38" t="str">
        <x:v>已正式入库</x:v>
      </x:c>
      <x:c r="I20" s="38" t="str">
        <x:v>可交易</x:v>
      </x:c>
      <x:c r="J20" s="38" t="str">
        <x:v>不作为自动回收主材</x:v>
      </x:c>
      <x:c r="K20" s="38" t="str">
        <x:v>产出实物默认不绑定，按现行材料脚本</x:v>
      </x:c>
      <x:c r="L20" s="38" t="str">
        <x:v>待经济反算</x:v>
      </x:c>
      <x:c r="M20" s="38" t="str">
        <x:v>材料编码数据库/十大陆NPC与配方V1.0</x:v>
      </x:c>
      <x:c r="N20" s="38" t="n">
        <x:f>COUNTIF('02_产出端'!$G$5:$G$600,A20)</x:f>
        <x:v>1</x:v>
      </x:c>
      <x:c r="O20" s="38" t="n">
        <x:f>COUNTIF('03_消耗端'!$E$5:$E$900,A20)</x:f>
        <x:v>4</x:v>
      </x:c>
      <x:c r="P20" s="38" t="str">
        <x:f>IF(C20="前置条件","条件",IF(AND(N20&gt;0,O20&gt;0),"循环闭合",IF(AND(N20&gt;0,OR(C20="装备",C20="装备/道具",C20="角色进度",C20="称号/进度",C20="系统结果")),"终端产物",IF(N20=0,"缺产出","缺消耗"))))</x:f>
        <x:v>循环闭合</x:v>
      </x:c>
      <x:c r="Q20" s="39" t="str">
        <x:v>掉落角色：按材料原类别投放 原用途：C02-ASH-HIGH、C02-SYN-EQ-01、C02-SYN-EQ-02、C02-AOE-LV1</x:v>
      </x:c>
    </x:row>
    <x:row r="21" ht="40" customHeight="1">
      <x:c r="A21" s="37" t="str">
        <x:v>EL-MAT-C02-MARK</x:v>
      </x:c>
      <x:c r="B21" s="38" t="str">
        <x:v>接肢王印</x:v>
      </x:c>
      <x:c r="C21" s="38" t="str">
        <x:v>材料</x:v>
      </x:c>
      <x:c r="D21" s="38" t="str">
        <x:v>大陆剧情印记</x:v>
      </x:c>
      <x:c r="E21" s="38" t="str">
        <x:v>C02</x:v>
      </x:c>
      <x:c r="F21" s="38" t="n">
        <x:v>915</x:v>
      </x:c>
      <x:c r="G21" s="38" t="n">
        <x:v>6406</x:v>
      </x:c>
      <x:c r="H21" s="38" t="str">
        <x:v>已正式入库</x:v>
      </x:c>
      <x:c r="I21" s="38" t="str">
        <x:v>可交易</x:v>
      </x:c>
      <x:c r="J21" s="38" t="str">
        <x:v>不作为自动回收主材</x:v>
      </x:c>
      <x:c r="K21" s="38" t="str">
        <x:v>产出实物默认不绑定，按现行材料脚本</x:v>
      </x:c>
      <x:c r="L21" s="38" t="str">
        <x:v>待经济反算</x:v>
      </x:c>
      <x:c r="M21" s="38" t="str">
        <x:v>材料编码数据库/十大陆NPC与配方V1.0</x:v>
      </x:c>
      <x:c r="N21" s="38" t="n">
        <x:f>COUNTIF('02_产出端'!$G$5:$G$600,A21)</x:f>
        <x:v>1</x:v>
      </x:c>
      <x:c r="O21" s="38" t="n">
        <x:f>COUNTIF('03_消耗端'!$E$5:$E$900,A21)</x:f>
        <x:v>5</x:v>
      </x:c>
      <x:c r="P21" s="38" t="str">
        <x:f>IF(C21="前置条件","条件",IF(AND(N21&gt;0,O21&gt;0),"循环闭合",IF(AND(N21&gt;0,OR(C21="装备",C21="装备/道具",C21="角色进度",C21="称号/进度",C21="系统结果")),"终端产物",IF(N21=0,"缺产出","缺消耗"))))</x:f>
        <x:v>循环闭合</x:v>
      </x:c>
      <x:c r="Q21" s="39" t="str">
        <x:v>掉落角色：按材料原类别投放 原用途：C02-ASH-HIGH、C02-SYN-EQ-01、C02-SYN-EQ-02、C02-SYN-ZD-01、C02-AOE-LV1</x:v>
      </x:c>
    </x:row>
    <x:row r="22" ht="40" customHeight="1">
      <x:c r="A22" s="37" t="str">
        <x:v>EL-MAT-C03-COM</x:v>
      </x:c>
      <x:c r="B22" s="38" t="str">
        <x:v>风蚀铁片</x:v>
      </x:c>
      <x:c r="C22" s="38" t="str">
        <x:v>材料</x:v>
      </x:c>
      <x:c r="D22" s="38" t="str">
        <x:v>大陆通用材料</x:v>
      </x:c>
      <x:c r="E22" s="38" t="str">
        <x:v>C03</x:v>
      </x:c>
      <x:c r="F22" s="38" t="n">
        <x:v>916</x:v>
      </x:c>
      <x:c r="G22" s="38" t="n">
        <x:v>6407</x:v>
      </x:c>
      <x:c r="H22" s="38" t="str">
        <x:v>已正式入库</x:v>
      </x:c>
      <x:c r="I22" s="38" t="str">
        <x:v>可交易</x:v>
      </x:c>
      <x:c r="J22" s="38" t="str">
        <x:v>R3档金币／元宝主回收口</x:v>
      </x:c>
      <x:c r="K22" s="38" t="str">
        <x:v>产出实物默认不绑定，按现行材料脚本</x:v>
      </x:c>
      <x:c r="L22" s="38" t="str">
        <x:v>待经济反算</x:v>
      </x:c>
      <x:c r="M22" s="38" t="str">
        <x:v>材料编码数据库/十大陆NPC与配方V1.0</x:v>
      </x:c>
      <x:c r="N22" s="38" t="n">
        <x:f>COUNTIF('02_产出端'!$G$5:$G$600,A22)</x:f>
        <x:v>1</x:v>
      </x:c>
      <x:c r="O22" s="38" t="n">
        <x:f>COUNTIF('03_消耗端'!$E$5:$E$900,A22)</x:f>
        <x:v>4</x:v>
      </x:c>
      <x:c r="P22" s="38" t="str">
        <x:f>IF(C22="前置条件","条件",IF(AND(N22&gt;0,O22&gt;0),"循环闭合",IF(AND(N22&gt;0,OR(C22="装备",C22="装备/道具",C22="角色进度",C22="称号/进度",C22="系统结果")),"终端产物",IF(N22=0,"缺产出","缺消耗"))))</x:f>
        <x:v>循环闭合</x:v>
      </x:c>
      <x:c r="Q22" s="39" t="str">
        <x:v>掉落角色：本大陆全怪高小时产量；降低触发频率、单次多叠加 原用途：C03-SYN-EQ-01、C03-SYN-EQ-02、C03-SYN-ZD-01、C03-AOE-LV2</x:v>
      </x:c>
    </x:row>
    <x:row r="23" ht="40" customHeight="1">
      <x:c r="A23" s="37" t="str">
        <x:v>EL-MAT-C03-RARE</x:v>
      </x:c>
      <x:c r="B23" s="38" t="str">
        <x:v>西境战旗</x:v>
      </x:c>
      <x:c r="C23" s="38" t="str">
        <x:v>材料</x:v>
      </x:c>
      <x:c r="D23" s="38" t="str">
        <x:v>大陆稀有材料</x:v>
      </x:c>
      <x:c r="E23" s="38" t="str">
        <x:v>C03</x:v>
      </x:c>
      <x:c r="F23" s="38" t="n">
        <x:v>917</x:v>
      </x:c>
      <x:c r="G23" s="38" t="n">
        <x:v>6408</x:v>
      </x:c>
      <x:c r="H23" s="38" t="str">
        <x:v>已正式入库</x:v>
      </x:c>
      <x:c r="I23" s="38" t="str">
        <x:v>可交易</x:v>
      </x:c>
      <x:c r="J23" s="38" t="str">
        <x:v>不作为自动回收主材</x:v>
      </x:c>
      <x:c r="K23" s="38" t="str">
        <x:v>产出实物默认不绑定，按现行材料脚本</x:v>
      </x:c>
      <x:c r="L23" s="38" t="str">
        <x:v>待经济反算</x:v>
      </x:c>
      <x:c r="M23" s="38" t="str">
        <x:v>材料编码数据库/十大陆NPC与配方V1.0</x:v>
      </x:c>
      <x:c r="N23" s="38" t="n">
        <x:f>COUNTIF('02_产出端'!$G$5:$G$600,A23)</x:f>
        <x:v>1</x:v>
      </x:c>
      <x:c r="O23" s="38" t="n">
        <x:f>COUNTIF('03_消耗端'!$E$5:$E$900,A23)</x:f>
        <x:v>1</x:v>
      </x:c>
      <x:c r="P23" s="38" t="str">
        <x:f>IF(C23="前置条件","条件",IF(AND(N23&gt;0,O23&gt;0),"循环闭合",IF(AND(N23&gt;0,OR(C23="装备",C23="装备/道具",C23="角色进度",C23="称号/进度",C23="系统结果")),"终端产物",IF(N23=0,"缺产出","缺消耗"))))</x:f>
        <x:v>循环闭合</x:v>
      </x:c>
      <x:c r="Q23" s="39" t="str">
        <x:v>掉落角色：按材料原类别投放 原用途：C03-SYN-TT-01</x:v>
      </x:c>
    </x:row>
    <x:row r="24" ht="40" customHeight="1">
      <x:c r="A24" s="37" t="str">
        <x:v>EL-MAT-C03-MARK</x:v>
      </x:c>
      <x:c r="B24" s="38" t="str">
        <x:v>西境战旗印</x:v>
      </x:c>
      <x:c r="C24" s="38" t="str">
        <x:v>材料</x:v>
      </x:c>
      <x:c r="D24" s="38" t="str">
        <x:v>大陆剧情印记</x:v>
      </x:c>
      <x:c r="E24" s="38" t="str">
        <x:v>C03</x:v>
      </x:c>
      <x:c r="F24" s="38" t="n">
        <x:v>918</x:v>
      </x:c>
      <x:c r="G24" s="38" t="n">
        <x:v>6409</x:v>
      </x:c>
      <x:c r="H24" s="38" t="str">
        <x:v>已正式入库</x:v>
      </x:c>
      <x:c r="I24" s="38" t="str">
        <x:v>可交易</x:v>
      </x:c>
      <x:c r="J24" s="38" t="str">
        <x:v>不作为自动回收主材</x:v>
      </x:c>
      <x:c r="K24" s="38" t="str">
        <x:v>产出实物默认不绑定，按现行材料脚本</x:v>
      </x:c>
      <x:c r="L24" s="38" t="str">
        <x:v>待经济反算</x:v>
      </x:c>
      <x:c r="M24" s="38" t="str">
        <x:v>材料编码数据库/十大陆NPC与配方V1.0</x:v>
      </x:c>
      <x:c r="N24" s="38" t="n">
        <x:f>COUNTIF('02_产出端'!$G$5:$G$600,A24)</x:f>
        <x:v>1</x:v>
      </x:c>
      <x:c r="O24" s="38" t="n">
        <x:f>COUNTIF('03_消耗端'!$E$5:$E$900,A24)</x:f>
        <x:v>4</x:v>
      </x:c>
      <x:c r="P24" s="38" t="str">
        <x:f>IF(C24="前置条件","条件",IF(AND(N24&gt;0,O24&gt;0),"循环闭合",IF(AND(N24&gt;0,OR(C24="装备",C24="装备/道具",C24="角色进度",C24="称号/进度",C24="系统结果")),"终端产物",IF(N24=0,"缺产出","缺消耗"))))</x:f>
        <x:v>循环闭合</x:v>
      </x:c>
      <x:c r="Q24" s="39" t="str">
        <x:v>掉落角色：按材料原类别投放 原用途：C03-SYN-EQ-01、C03-SYN-ZD-01、C03-SYN-TT-01、C03-AOE-LV2</x:v>
      </x:c>
    </x:row>
    <x:row r="25" ht="40" customHeight="1">
      <x:c r="A25" s="37" t="str">
        <x:v>EL-MAT-C04-COM</x:v>
      </x:c>
      <x:c r="B25" s="38" t="str">
        <x:v>湖盐结晶</x:v>
      </x:c>
      <x:c r="C25" s="38" t="str">
        <x:v>材料</x:v>
      </x:c>
      <x:c r="D25" s="38" t="str">
        <x:v>大陆通用材料</x:v>
      </x:c>
      <x:c r="E25" s="38" t="str">
        <x:v>C04</x:v>
      </x:c>
      <x:c r="F25" s="38" t="n">
        <x:v>919</x:v>
      </x:c>
      <x:c r="G25" s="38" t="n">
        <x:v>6410</x:v>
      </x:c>
      <x:c r="H25" s="38" t="str">
        <x:v>已正式入库</x:v>
      </x:c>
      <x:c r="I25" s="38" t="str">
        <x:v>可交易</x:v>
      </x:c>
      <x:c r="J25" s="38" t="str">
        <x:v>R4档金币／元宝主回收口</x:v>
      </x:c>
      <x:c r="K25" s="38" t="str">
        <x:v>产出实物默认不绑定，按现行材料脚本</x:v>
      </x:c>
      <x:c r="L25" s="38" t="str">
        <x:v>待经济反算</x:v>
      </x:c>
      <x:c r="M25" s="38" t="str">
        <x:v>材料编码数据库/十大陆NPC与配方V1.0</x:v>
      </x:c>
      <x:c r="N25" s="38" t="n">
        <x:f>COUNTIF('02_产出端'!$G$5:$G$600,A25)</x:f>
        <x:v>1</x:v>
      </x:c>
      <x:c r="O25" s="38" t="n">
        <x:f>COUNTIF('03_消耗端'!$E$5:$E$900,A25)</x:f>
        <x:v>9</x:v>
      </x:c>
      <x:c r="P25" s="38" t="str">
        <x:f>IF(C25="前置条件","条件",IF(AND(N25&gt;0,O25&gt;0),"循环闭合",IF(AND(N25&gt;0,OR(C25="装备",C25="装备/道具",C25="角色进度",C25="称号/进度",C25="系统结果")),"终端产物",IF(N25=0,"缺产出","缺消耗"))))</x:f>
        <x:v>循环闭合</x:v>
      </x:c>
      <x:c r="Q25" s="39" t="str">
        <x:v>掉落角色：本大陆全怪高小时产量；降低触发频率、单次多叠加 原用途：C04-SYN-EQ-01、C04-SYN-EQ-02、C04-SYN-EQ-03、C04-SYN-ZD-01、C04-REBIRTH-01、C04-REBIRTH-02、C04-REBIRTH-03、C04-REBIRTH-04、C04-REBIRTH-05</x:v>
      </x:c>
    </x:row>
    <x:row r="26" ht="40" customHeight="1">
      <x:c r="A26" s="37" t="str">
        <x:v>EL-MAT-C04-RARE</x:v>
      </x:c>
      <x:c r="B26" s="38" t="str">
        <x:v>幽船铆钉</x:v>
      </x:c>
      <x:c r="C26" s="38" t="str">
        <x:v>材料</x:v>
      </x:c>
      <x:c r="D26" s="38" t="str">
        <x:v>大陆稀有材料</x:v>
      </x:c>
      <x:c r="E26" s="38" t="str">
        <x:v>C04</x:v>
      </x:c>
      <x:c r="F26" s="38" t="n">
        <x:v>920</x:v>
      </x:c>
      <x:c r="G26" s="38" t="n">
        <x:v>6411</x:v>
      </x:c>
      <x:c r="H26" s="38" t="str">
        <x:v>已正式入库</x:v>
      </x:c>
      <x:c r="I26" s="38" t="str">
        <x:v>可交易</x:v>
      </x:c>
      <x:c r="J26" s="38" t="str">
        <x:v>不作为自动回收主材</x:v>
      </x:c>
      <x:c r="K26" s="38" t="str">
        <x:v>产出实物默认不绑定，按现行材料脚本</x:v>
      </x:c>
      <x:c r="L26" s="38" t="str">
        <x:v>待经济反算</x:v>
      </x:c>
      <x:c r="M26" s="38" t="str">
        <x:v>材料编码数据库/十大陆NPC与配方V1.0</x:v>
      </x:c>
      <x:c r="N26" s="38" t="n">
        <x:f>COUNTIF('02_产出端'!$G$5:$G$600,A26)</x:f>
        <x:v>1</x:v>
      </x:c>
      <x:c r="O26" s="38" t="n">
        <x:f>COUNTIF('03_消耗端'!$E$5:$E$900,A26)</x:f>
        <x:v>5</x:v>
      </x:c>
      <x:c r="P26" s="38" t="str">
        <x:f>IF(C26="前置条件","条件",IF(AND(N26&gt;0,O26&gt;0),"循环闭合",IF(AND(N26&gt;0,OR(C26="装备",C26="装备/道具",C26="角色进度",C26="称号/进度",C26="系统结果")),"终端产物",IF(N26=0,"缺产出","缺消耗"))))</x:f>
        <x:v>循环闭合</x:v>
      </x:c>
      <x:c r="Q26" s="39" t="str">
        <x:v>掉落角色：按材料原类别投放 原用途：C04-REBIRTH-01、C04-REBIRTH-02、C04-REBIRTH-03、C04-REBIRTH-04、C04-REBIRTH-05</x:v>
      </x:c>
    </x:row>
    <x:row r="27" ht="40" customHeight="1">
      <x:c r="A27" s="37" t="str">
        <x:v>EL-MAT-C04-MARK</x:v>
      </x:c>
      <x:c r="B27" s="38" t="str">
        <x:v>沉湖王印</x:v>
      </x:c>
      <x:c r="C27" s="38" t="str">
        <x:v>材料</x:v>
      </x:c>
      <x:c r="D27" s="38" t="str">
        <x:v>大陆剧情印记</x:v>
      </x:c>
      <x:c r="E27" s="38" t="str">
        <x:v>C04</x:v>
      </x:c>
      <x:c r="F27" s="38" t="n">
        <x:v>921</x:v>
      </x:c>
      <x:c r="G27" s="38" t="n">
        <x:v>6412</x:v>
      </x:c>
      <x:c r="H27" s="38" t="str">
        <x:v>已正式入库</x:v>
      </x:c>
      <x:c r="I27" s="38" t="str">
        <x:v>可交易</x:v>
      </x:c>
      <x:c r="J27" s="38" t="str">
        <x:v>不作为自动回收主材</x:v>
      </x:c>
      <x:c r="K27" s="38" t="str">
        <x:v>产出实物默认不绑定，按现行材料脚本</x:v>
      </x:c>
      <x:c r="L27" s="38" t="str">
        <x:v>待经济反算</x:v>
      </x:c>
      <x:c r="M27" s="38" t="str">
        <x:v>材料编码数据库/十大陆NPC与配方V1.0</x:v>
      </x:c>
      <x:c r="N27" s="38" t="n">
        <x:f>COUNTIF('02_产出端'!$G$5:$G$600,A27)</x:f>
        <x:v>1</x:v>
      </x:c>
      <x:c r="O27" s="38" t="n">
        <x:f>COUNTIF('03_消耗端'!$E$5:$E$900,A27)</x:f>
        <x:v>8</x:v>
      </x:c>
      <x:c r="P27" s="38" t="str">
        <x:f>IF(C27="前置条件","条件",IF(AND(N27&gt;0,O27&gt;0),"循环闭合",IF(AND(N27&gt;0,OR(C27="装备",C27="装备/道具",C27="角色进度",C27="称号/进度",C27="系统结果")),"终端产物",IF(N27=0,"缺产出","缺消耗"))))</x:f>
        <x:v>循环闭合</x:v>
      </x:c>
      <x:c r="Q27" s="39" t="str">
        <x:v>掉落角色：按材料原类别投放 原用途：C04-SYN-EQ-01、C04-SYN-EQ-03、C04-SYN-ZD-01、C04-REBIRTH-01、C04-REBIRTH-02、C04-REBIRTH-03、C04-REBIRTH-04、C04-REBIRTH-05</x:v>
      </x:c>
    </x:row>
    <x:row r="28" ht="40" customHeight="1">
      <x:c r="A28" s="37" t="str">
        <x:v>EL-MAT-C05-COM</x:v>
      </x:c>
      <x:c r="B28" s="38" t="str">
        <x:v>辉石碎晶</x:v>
      </x:c>
      <x:c r="C28" s="38" t="str">
        <x:v>材料</x:v>
      </x:c>
      <x:c r="D28" s="38" t="str">
        <x:v>大陆通用材料</x:v>
      </x:c>
      <x:c r="E28" s="38" t="str">
        <x:v>C05</x:v>
      </x:c>
      <x:c r="F28" s="38" t="n">
        <x:v>922</x:v>
      </x:c>
      <x:c r="G28" s="38" t="n">
        <x:v>6413</x:v>
      </x:c>
      <x:c r="H28" s="38" t="str">
        <x:v>已正式入库</x:v>
      </x:c>
      <x:c r="I28" s="38" t="str">
        <x:v>可交易</x:v>
      </x:c>
      <x:c r="J28" s="38" t="str">
        <x:v>R5档金币／元宝主回收口</x:v>
      </x:c>
      <x:c r="K28" s="38" t="str">
        <x:v>产出实物默认不绑定，按现行材料脚本</x:v>
      </x:c>
      <x:c r="L28" s="38" t="str">
        <x:v>待经济反算</x:v>
      </x:c>
      <x:c r="M28" s="38" t="str">
        <x:v>材料编码数据库/十大陆NPC与配方V1.0</x:v>
      </x:c>
      <x:c r="N28" s="38" t="n">
        <x:f>COUNTIF('02_产出端'!$G$5:$G$600,A28)</x:f>
        <x:v>1</x:v>
      </x:c>
      <x:c r="O28" s="38" t="n">
        <x:f>COUNTIF('03_消耗端'!$E$5:$E$900,A28)</x:f>
        <x:v>4</x:v>
      </x:c>
      <x:c r="P28" s="38" t="str">
        <x:f>IF(C28="前置条件","条件",IF(AND(N28&gt;0,O28&gt;0),"循环闭合",IF(AND(N28&gt;0,OR(C28="装备",C28="装备/道具",C28="角色进度",C28="称号/进度",C28="系统结果")),"终端产物",IF(N28=0,"缺产出","缺消耗"))))</x:f>
        <x:v>循环闭合</x:v>
      </x:c>
      <x:c r="Q28" s="39" t="str">
        <x:v>掉落角色：本大陆全怪高小时产量；降低触发频率、单次多叠加 原用途：C05-SYN-EQ-01、C05-SYN-EQ-02、C05-SYN-ZD-01、C05-AOE-LV3</x:v>
      </x:c>
    </x:row>
    <x:row r="29" ht="40" customHeight="1">
      <x:c r="A29" s="37" t="str">
        <x:v>EL-MAT-C05-RARE</x:v>
      </x:c>
      <x:c r="B29" s="38" t="str">
        <x:v>卡利亚月露</x:v>
      </x:c>
      <x:c r="C29" s="38" t="str">
        <x:v>材料</x:v>
      </x:c>
      <x:c r="D29" s="38" t="str">
        <x:v>大陆稀有材料</x:v>
      </x:c>
      <x:c r="E29" s="38" t="str">
        <x:v>C05</x:v>
      </x:c>
      <x:c r="F29" s="38" t="n">
        <x:v>923</x:v>
      </x:c>
      <x:c r="G29" s="38" t="n">
        <x:v>6414</x:v>
      </x:c>
      <x:c r="H29" s="38" t="str">
        <x:v>已正式入库</x:v>
      </x:c>
      <x:c r="I29" s="38" t="str">
        <x:v>可交易</x:v>
      </x:c>
      <x:c r="J29" s="38" t="str">
        <x:v>不作为自动回收主材</x:v>
      </x:c>
      <x:c r="K29" s="38" t="str">
        <x:v>产出实物默认不绑定，按现行材料脚本</x:v>
      </x:c>
      <x:c r="L29" s="38" t="str">
        <x:v>待经济反算</x:v>
      </x:c>
      <x:c r="M29" s="38" t="str">
        <x:v>材料编码数据库/十大陆NPC与配方V1.0</x:v>
      </x:c>
      <x:c r="N29" s="38" t="n">
        <x:f>COUNTIF('02_产出端'!$G$5:$G$600,A29)</x:f>
        <x:v>1</x:v>
      </x:c>
      <x:c r="O29" s="38" t="n">
        <x:f>COUNTIF('03_消耗端'!$E$5:$E$900,A29)</x:f>
        <x:v>1</x:v>
      </x:c>
      <x:c r="P29" s="38" t="str">
        <x:f>IF(C29="前置条件","条件",IF(AND(N29&gt;0,O29&gt;0),"循环闭合",IF(AND(N29&gt;0,OR(C29="装备",C29="装备/道具",C29="角色进度",C29="称号/进度",C29="系统结果")),"终端产物",IF(N29=0,"缺产出","缺消耗"))))</x:f>
        <x:v>循环闭合</x:v>
      </x:c>
      <x:c r="Q29" s="39" t="str">
        <x:v>掉落角色：按材料原类别投放 原用途：C05-SYN-TT-01</x:v>
      </x:c>
    </x:row>
    <x:row r="30" ht="40" customHeight="1">
      <x:c r="A30" s="37" t="str">
        <x:v>EL-MAT-C05-MARK</x:v>
      </x:c>
      <x:c r="B30" s="38" t="str">
        <x:v>满月王室印</x:v>
      </x:c>
      <x:c r="C30" s="38" t="str">
        <x:v>材料</x:v>
      </x:c>
      <x:c r="D30" s="38" t="str">
        <x:v>大陆剧情印记</x:v>
      </x:c>
      <x:c r="E30" s="38" t="str">
        <x:v>C05</x:v>
      </x:c>
      <x:c r="F30" s="38" t="n">
        <x:v>924</x:v>
      </x:c>
      <x:c r="G30" s="38" t="n">
        <x:v>6415</x:v>
      </x:c>
      <x:c r="H30" s="38" t="str">
        <x:v>已正式入库</x:v>
      </x:c>
      <x:c r="I30" s="38" t="str">
        <x:v>可交易</x:v>
      </x:c>
      <x:c r="J30" s="38" t="str">
        <x:v>不作为自动回收主材</x:v>
      </x:c>
      <x:c r="K30" s="38" t="str">
        <x:v>产出实物默认不绑定，按现行材料脚本</x:v>
      </x:c>
      <x:c r="L30" s="38" t="str">
        <x:v>待经济反算</x:v>
      </x:c>
      <x:c r="M30" s="38" t="str">
        <x:v>材料编码数据库/十大陆NPC与配方V1.0</x:v>
      </x:c>
      <x:c r="N30" s="38" t="n">
        <x:f>COUNTIF('02_产出端'!$G$5:$G$600,A30)</x:f>
        <x:v>1</x:v>
      </x:c>
      <x:c r="O30" s="38" t="n">
        <x:f>COUNTIF('03_消耗端'!$E$5:$E$900,A30)</x:f>
        <x:v>4</x:v>
      </x:c>
      <x:c r="P30" s="38" t="str">
        <x:f>IF(C30="前置条件","条件",IF(AND(N30&gt;0,O30&gt;0),"循环闭合",IF(AND(N30&gt;0,OR(C30="装备",C30="装备/道具",C30="角色进度",C30="称号/进度",C30="系统结果")),"终端产物",IF(N30=0,"缺产出","缺消耗"))))</x:f>
        <x:v>循环闭合</x:v>
      </x:c>
      <x:c r="Q30" s="39" t="str">
        <x:v>掉落角色：按材料原类别投放 原用途：C05-SYN-EQ-01、C05-SYN-ZD-01、C05-SYN-TT-01、C05-AOE-LV3</x:v>
      </x:c>
    </x:row>
    <x:row r="31" ht="40" customHeight="1">
      <x:c r="A31" s="37" t="str">
        <x:v>EL-MAT-C06-COM</x:v>
      </x:c>
      <x:c r="B31" s="38" t="str">
        <x:v>猩红矿渣</x:v>
      </x:c>
      <x:c r="C31" s="38" t="str">
        <x:v>材料</x:v>
      </x:c>
      <x:c r="D31" s="38" t="str">
        <x:v>大陆通用材料</x:v>
      </x:c>
      <x:c r="E31" s="38" t="str">
        <x:v>C06</x:v>
      </x:c>
      <x:c r="F31" s="38" t="n">
        <x:v>925</x:v>
      </x:c>
      <x:c r="G31" s="38" t="n">
        <x:v>6416</x:v>
      </x:c>
      <x:c r="H31" s="38" t="str">
        <x:v>已正式入库</x:v>
      </x:c>
      <x:c r="I31" s="38" t="str">
        <x:v>可交易</x:v>
      </x:c>
      <x:c r="J31" s="38" t="str">
        <x:v>R6档金币／元宝主回收口</x:v>
      </x:c>
      <x:c r="K31" s="38" t="str">
        <x:v>产出实物默认不绑定，按现行材料脚本</x:v>
      </x:c>
      <x:c r="L31" s="38" t="str">
        <x:v>待经济反算</x:v>
      </x:c>
      <x:c r="M31" s="38" t="str">
        <x:v>材料编码数据库/十大陆NPC与配方V1.0</x:v>
      </x:c>
      <x:c r="N31" s="38" t="n">
        <x:f>COUNTIF('02_产出端'!$G$5:$G$600,A31)</x:f>
        <x:v>1</x:v>
      </x:c>
      <x:c r="O31" s="38" t="n">
        <x:f>COUNTIF('03_消耗端'!$E$5:$E$900,A31)</x:f>
        <x:v>9</x:v>
      </x:c>
      <x:c r="P31" s="38" t="str">
        <x:f>IF(C31="前置条件","条件",IF(AND(N31&gt;0,O31&gt;0),"循环闭合",IF(AND(N31&gt;0,OR(C31="装备",C31="装备/道具",C31="角色进度",C31="称号/进度",C31="系统结果")),"终端产物",IF(N31=0,"缺产出","缺消耗"))))</x:f>
        <x:v>循环闭合</x:v>
      </x:c>
      <x:c r="Q31" s="39" t="str">
        <x:v>掉落角色：本大陆全怪高小时产量；降低触发频率、单次多叠加 原用途：C06-SYN-EQ-01、C06-SYN-EQ-02、C06-SYN-EQ-03、C06-SYN-ZD-01、C06-REBIRTH-06、C06-REBIRTH-07、C06-REBIRTH-08、C06-REBIRTH-09、C06-REBIRTH-10</x:v>
      </x:c>
    </x:row>
    <x:row r="32" ht="40" customHeight="1">
      <x:c r="A32" s="37" t="str">
        <x:v>EL-MAT-C06-RARE</x:v>
      </x:c>
      <x:c r="B32" s="38" t="str">
        <x:v>龙火鳞</x:v>
      </x:c>
      <x:c r="C32" s="38" t="str">
        <x:v>材料</x:v>
      </x:c>
      <x:c r="D32" s="38" t="str">
        <x:v>大陆稀有材料</x:v>
      </x:c>
      <x:c r="E32" s="38" t="str">
        <x:v>C06</x:v>
      </x:c>
      <x:c r="F32" s="38" t="n">
        <x:v>926</x:v>
      </x:c>
      <x:c r="G32" s="38" t="n">
        <x:v>6417</x:v>
      </x:c>
      <x:c r="H32" s="38" t="str">
        <x:v>已正式入库</x:v>
      </x:c>
      <x:c r="I32" s="38" t="str">
        <x:v>可交易</x:v>
      </x:c>
      <x:c r="J32" s="38" t="str">
        <x:v>不作为自动回收主材</x:v>
      </x:c>
      <x:c r="K32" s="38" t="str">
        <x:v>产出实物默认不绑定，按现行材料脚本</x:v>
      </x:c>
      <x:c r="L32" s="38" t="str">
        <x:v>待经济反算</x:v>
      </x:c>
      <x:c r="M32" s="38" t="str">
        <x:v>材料编码数据库/十大陆NPC与配方V1.0</x:v>
      </x:c>
      <x:c r="N32" s="38" t="n">
        <x:f>COUNTIF('02_产出端'!$G$5:$G$600,A32)</x:f>
        <x:v>1</x:v>
      </x:c>
      <x:c r="O32" s="38" t="n">
        <x:f>COUNTIF('03_消耗端'!$E$5:$E$900,A32)</x:f>
        <x:v>5</x:v>
      </x:c>
      <x:c r="P32" s="38" t="str">
        <x:f>IF(C32="前置条件","条件",IF(AND(N32&gt;0,O32&gt;0),"循环闭合",IF(AND(N32&gt;0,OR(C32="装备",C32="装备/道具",C32="角色进度",C32="称号/进度",C32="系统结果")),"终端产物",IF(N32=0,"缺产出","缺消耗"))))</x:f>
        <x:v>循环闭合</x:v>
      </x:c>
      <x:c r="Q32" s="39" t="str">
        <x:v>掉落角色：按材料原类别投放 原用途：C06-REBIRTH-06、C06-REBIRTH-07、C06-REBIRTH-08、C06-REBIRTH-09、C06-REBIRTH-10</x:v>
      </x:c>
    </x:row>
    <x:row r="33" ht="40" customHeight="1">
      <x:c r="A33" s="37" t="str">
        <x:v>EL-MAT-C06-MARK</x:v>
      </x:c>
      <x:c r="B33" s="38" t="str">
        <x:v>红狮战印</x:v>
      </x:c>
      <x:c r="C33" s="38" t="str">
        <x:v>材料</x:v>
      </x:c>
      <x:c r="D33" s="38" t="str">
        <x:v>大陆剧情印记</x:v>
      </x:c>
      <x:c r="E33" s="38" t="str">
        <x:v>C06</x:v>
      </x:c>
      <x:c r="F33" s="38" t="n">
        <x:v>927</x:v>
      </x:c>
      <x:c r="G33" s="38" t="n">
        <x:v>6418</x:v>
      </x:c>
      <x:c r="H33" s="38" t="str">
        <x:v>已正式入库</x:v>
      </x:c>
      <x:c r="I33" s="38" t="str">
        <x:v>可交易</x:v>
      </x:c>
      <x:c r="J33" s="38" t="str">
        <x:v>不作为自动回收主材</x:v>
      </x:c>
      <x:c r="K33" s="38" t="str">
        <x:v>产出实物默认不绑定，按现行材料脚本</x:v>
      </x:c>
      <x:c r="L33" s="38" t="str">
        <x:v>待经济反算</x:v>
      </x:c>
      <x:c r="M33" s="38" t="str">
        <x:v>材料编码数据库/十大陆NPC与配方V1.0</x:v>
      </x:c>
      <x:c r="N33" s="38" t="n">
        <x:f>COUNTIF('02_产出端'!$G$5:$G$600,A33)</x:f>
        <x:v>1</x:v>
      </x:c>
      <x:c r="O33" s="38" t="n">
        <x:f>COUNTIF('03_消耗端'!$E$5:$E$900,A33)</x:f>
        <x:v>8</x:v>
      </x:c>
      <x:c r="P33" s="38" t="str">
        <x:f>IF(C33="前置条件","条件",IF(AND(N33&gt;0,O33&gt;0),"循环闭合",IF(AND(N33&gt;0,OR(C33="装备",C33="装备/道具",C33="角色进度",C33="称号/进度",C33="系统结果")),"终端产物",IF(N33=0,"缺产出","缺消耗"))))</x:f>
        <x:v>循环闭合</x:v>
      </x:c>
      <x:c r="Q33" s="39" t="str">
        <x:v>掉落角色：按材料原类别投放 原用途：C06-SYN-EQ-01、C06-SYN-EQ-03、C06-SYN-ZD-01、C06-REBIRTH-06、C06-REBIRTH-07、C06-REBIRTH-08、C06-REBIRTH-09、C06-REBIRTH-10</x:v>
      </x:c>
    </x:row>
    <x:row r="34" ht="40" customHeight="1">
      <x:c r="A34" s="37" t="str">
        <x:v>EL-MAT-C07-COM</x:v>
      </x:c>
      <x:c r="B34" s="38" t="str">
        <x:v>冻晶尘</x:v>
      </x:c>
      <x:c r="C34" s="38" t="str">
        <x:v>材料</x:v>
      </x:c>
      <x:c r="D34" s="38" t="str">
        <x:v>大陆通用材料</x:v>
      </x:c>
      <x:c r="E34" s="38" t="str">
        <x:v>C07</x:v>
      </x:c>
      <x:c r="F34" s="38" t="n">
        <x:v>928</x:v>
      </x:c>
      <x:c r="G34" s="38" t="n">
        <x:v>6419</x:v>
      </x:c>
      <x:c r="H34" s="38" t="str">
        <x:v>已正式入库</x:v>
      </x:c>
      <x:c r="I34" s="38" t="str">
        <x:v>可交易</x:v>
      </x:c>
      <x:c r="J34" s="38" t="str">
        <x:v>R7档金币／元宝主回收口</x:v>
      </x:c>
      <x:c r="K34" s="38" t="str">
        <x:v>产出实物默认不绑定，按现行材料脚本</x:v>
      </x:c>
      <x:c r="L34" s="38" t="str">
        <x:v>待经济反算</x:v>
      </x:c>
      <x:c r="M34" s="38" t="str">
        <x:v>材料编码数据库/十大陆NPC与配方V1.0</x:v>
      </x:c>
      <x:c r="N34" s="38" t="n">
        <x:f>COUNTIF('02_产出端'!$G$5:$G$600,A34)</x:f>
        <x:v>1</x:v>
      </x:c>
      <x:c r="O34" s="38" t="n">
        <x:f>COUNTIF('03_消耗端'!$E$5:$E$900,A34)</x:f>
        <x:v>4</x:v>
      </x:c>
      <x:c r="P34" s="38" t="str">
        <x:f>IF(C34="前置条件","条件",IF(AND(N34&gt;0,O34&gt;0),"循环闭合",IF(AND(N34&gt;0,OR(C34="装备",C34="装备/道具",C34="角色进度",C34="称号/进度",C34="系统结果")),"终端产物",IF(N34=0,"缺产出","缺消耗"))))</x:f>
        <x:v>循环闭合</x:v>
      </x:c>
      <x:c r="Q34" s="39" t="str">
        <x:v>掉落角色：本大陆全怪高小时产量；降低触发频率、单次多叠加 原用途：C07-SYN-EQ-01、C07-SYN-EQ-02、C07-SYN-ZD-01、C07-AOE-LV4</x:v>
      </x:c>
    </x:row>
    <x:row r="35" ht="40" customHeight="1">
      <x:c r="A35" s="37" t="str">
        <x:v>EL-MAT-C07-RARE</x:v>
      </x:c>
      <x:c r="B35" s="38" t="str">
        <x:v>白金纺线</x:v>
      </x:c>
      <x:c r="C35" s="38" t="str">
        <x:v>材料</x:v>
      </x:c>
      <x:c r="D35" s="38" t="str">
        <x:v>大陆稀有材料</x:v>
      </x:c>
      <x:c r="E35" s="38" t="str">
        <x:v>C07</x:v>
      </x:c>
      <x:c r="F35" s="38" t="n">
        <x:v>929</x:v>
      </x:c>
      <x:c r="G35" s="38" t="n">
        <x:v>6420</x:v>
      </x:c>
      <x:c r="H35" s="38" t="str">
        <x:v>已正式入库</x:v>
      </x:c>
      <x:c r="I35" s="38" t="str">
        <x:v>可交易</x:v>
      </x:c>
      <x:c r="J35" s="38" t="str">
        <x:v>不作为自动回收主材</x:v>
      </x:c>
      <x:c r="K35" s="38" t="str">
        <x:v>产出实物默认不绑定，按现行材料脚本</x:v>
      </x:c>
      <x:c r="L35" s="38" t="str">
        <x:v>待经济反算</x:v>
      </x:c>
      <x:c r="M35" s="38" t="str">
        <x:v>材料编码数据库/十大陆NPC与配方V1.0</x:v>
      </x:c>
      <x:c r="N35" s="38" t="n">
        <x:f>COUNTIF('02_产出端'!$G$5:$G$600,A35)</x:f>
        <x:v>1</x:v>
      </x:c>
      <x:c r="O35" s="38" t="n">
        <x:f>COUNTIF('03_消耗端'!$E$5:$E$900,A35)</x:f>
        <x:v>1</x:v>
      </x:c>
      <x:c r="P35" s="38" t="str">
        <x:f>IF(C35="前置条件","条件",IF(AND(N35&gt;0,O35&gt;0),"循环闭合",IF(AND(N35&gt;0,OR(C35="装备",C35="装备/道具",C35="角色进度",C35="称号/进度",C35="系统结果")),"终端产物",IF(N35=0,"缺产出","缺消耗"))))</x:f>
        <x:v>循环闭合</x:v>
      </x:c>
      <x:c r="Q35" s="39" t="str">
        <x:v>掉落角色：按材料原类别投放 原用途：C07-SYN-TT-01</x:v>
      </x:c>
    </x:row>
    <x:row r="36" ht="40" customHeight="1">
      <x:c r="A36" s="37" t="str">
        <x:v>EL-MAT-C07-MARK</x:v>
      </x:c>
      <x:c r="B36" s="38" t="str">
        <x:v>圣雪誓印</x:v>
      </x:c>
      <x:c r="C36" s="38" t="str">
        <x:v>材料</x:v>
      </x:c>
      <x:c r="D36" s="38" t="str">
        <x:v>大陆剧情印记</x:v>
      </x:c>
      <x:c r="E36" s="38" t="str">
        <x:v>C07</x:v>
      </x:c>
      <x:c r="F36" s="38" t="n">
        <x:v>930</x:v>
      </x:c>
      <x:c r="G36" s="38" t="n">
        <x:v>6421</x:v>
      </x:c>
      <x:c r="H36" s="38" t="str">
        <x:v>已正式入库</x:v>
      </x:c>
      <x:c r="I36" s="38" t="str">
        <x:v>可交易</x:v>
      </x:c>
      <x:c r="J36" s="38" t="str">
        <x:v>不作为自动回收主材</x:v>
      </x:c>
      <x:c r="K36" s="38" t="str">
        <x:v>产出实物默认不绑定，按现行材料脚本</x:v>
      </x:c>
      <x:c r="L36" s="38" t="str">
        <x:v>待经济反算</x:v>
      </x:c>
      <x:c r="M36" s="38" t="str">
        <x:v>材料编码数据库/十大陆NPC与配方V1.0</x:v>
      </x:c>
      <x:c r="N36" s="38" t="n">
        <x:f>COUNTIF('02_产出端'!$G$5:$G$600,A36)</x:f>
        <x:v>1</x:v>
      </x:c>
      <x:c r="O36" s="38" t="n">
        <x:f>COUNTIF('03_消耗端'!$E$5:$E$900,A36)</x:f>
        <x:v>4</x:v>
      </x:c>
      <x:c r="P36" s="38" t="str">
        <x:f>IF(C36="前置条件","条件",IF(AND(N36&gt;0,O36&gt;0),"循环闭合",IF(AND(N36&gt;0,OR(C36="装备",C36="装备/道具",C36="角色进度",C36="称号/进度",C36="系统结果")),"终端产物",IF(N36=0,"缺产出","缺消耗"))))</x:f>
        <x:v>循环闭合</x:v>
      </x:c>
      <x:c r="Q36" s="39" t="str">
        <x:v>掉落角色：按材料原类别投放 原用途：C07-SYN-EQ-01、C07-SYN-ZD-01、C07-SYN-TT-01、C07-AOE-LV4</x:v>
      </x:c>
    </x:row>
    <x:row r="37" ht="40" customHeight="1">
      <x:c r="A37" s="37" t="str">
        <x:v>EL-MAT-C08-COM</x:v>
      </x:c>
      <x:c r="B37" s="38" t="str">
        <x:v>霜脊铁</x:v>
      </x:c>
      <x:c r="C37" s="38" t="str">
        <x:v>材料</x:v>
      </x:c>
      <x:c r="D37" s="38" t="str">
        <x:v>大陆通用材料</x:v>
      </x:c>
      <x:c r="E37" s="38" t="str">
        <x:v>C08</x:v>
      </x:c>
      <x:c r="F37" s="38" t="n">
        <x:v>931</x:v>
      </x:c>
      <x:c r="G37" s="38" t="n">
        <x:v>6422</x:v>
      </x:c>
      <x:c r="H37" s="38" t="str">
        <x:v>已正式入库</x:v>
      </x:c>
      <x:c r="I37" s="38" t="str">
        <x:v>可交易</x:v>
      </x:c>
      <x:c r="J37" s="38" t="str">
        <x:v>R8档金币／元宝主回收口</x:v>
      </x:c>
      <x:c r="K37" s="38" t="str">
        <x:v>产出实物默认不绑定，按现行材料脚本</x:v>
      </x:c>
      <x:c r="L37" s="38" t="str">
        <x:v>待经济反算</x:v>
      </x:c>
      <x:c r="M37" s="38" t="str">
        <x:v>材料编码数据库/十大陆NPC与配方V1.0</x:v>
      </x:c>
      <x:c r="N37" s="38" t="n">
        <x:f>COUNTIF('02_产出端'!$G$5:$G$600,A37)</x:f>
        <x:v>1</x:v>
      </x:c>
      <x:c r="O37" s="38" t="n">
        <x:f>COUNTIF('03_消耗端'!$E$5:$E$900,A37)</x:f>
        <x:v>9</x:v>
      </x:c>
      <x:c r="P37" s="38" t="str">
        <x:f>IF(C37="前置条件","条件",IF(AND(N37&gt;0,O37&gt;0),"循环闭合",IF(AND(N37&gt;0,OR(C37="装备",C37="装备/道具",C37="角色进度",C37="称号/进度",C37="系统结果")),"终端产物",IF(N37=0,"缺产出","缺消耗"))))</x:f>
        <x:v>循环闭合</x:v>
      </x:c>
      <x:c r="Q37" s="39" t="str">
        <x:v>掉落角色：本大陆全怪高小时产量；降低触发频率、单次多叠加 原用途：C08-SYN-EQ-01、C08-SYN-EQ-02、C08-SYN-EQ-03、C08-SYN-ZD-01、C08-REBIRTH-11、C08-REBIRTH-12、C08-REBIRTH-13、C08-REBIRTH-14、C08-REBIRTH-15</x:v>
      </x:c>
    </x:row>
    <x:row r="38" ht="40" customHeight="1">
      <x:c r="A38" s="37" t="str">
        <x:v>EL-MAT-C08-RARE</x:v>
      </x:c>
      <x:c r="B38" s="38" t="str">
        <x:v>巨人火种</x:v>
      </x:c>
      <x:c r="C38" s="38" t="str">
        <x:v>材料</x:v>
      </x:c>
      <x:c r="D38" s="38" t="str">
        <x:v>大陆稀有材料</x:v>
      </x:c>
      <x:c r="E38" s="38" t="str">
        <x:v>C08</x:v>
      </x:c>
      <x:c r="F38" s="38" t="n">
        <x:v>932</x:v>
      </x:c>
      <x:c r="G38" s="38" t="n">
        <x:v>6423</x:v>
      </x:c>
      <x:c r="H38" s="38" t="str">
        <x:v>已正式入库</x:v>
      </x:c>
      <x:c r="I38" s="38" t="str">
        <x:v>可交易</x:v>
      </x:c>
      <x:c r="J38" s="38" t="str">
        <x:v>不作为自动回收主材</x:v>
      </x:c>
      <x:c r="K38" s="38" t="str">
        <x:v>产出实物默认不绑定，按现行材料脚本</x:v>
      </x:c>
      <x:c r="L38" s="38" t="str">
        <x:v>待经济反算</x:v>
      </x:c>
      <x:c r="M38" s="38" t="str">
        <x:v>材料编码数据库/十大陆NPC与配方V1.0</x:v>
      </x:c>
      <x:c r="N38" s="38" t="n">
        <x:f>COUNTIF('02_产出端'!$G$5:$G$600,A38)</x:f>
        <x:v>1</x:v>
      </x:c>
      <x:c r="O38" s="38" t="n">
        <x:f>COUNTIF('03_消耗端'!$E$5:$E$900,A38)</x:f>
        <x:v>5</x:v>
      </x:c>
      <x:c r="P38" s="38" t="str">
        <x:f>IF(C38="前置条件","条件",IF(AND(N38&gt;0,O38&gt;0),"循环闭合",IF(AND(N38&gt;0,OR(C38="装备",C38="装备/道具",C38="角色进度",C38="称号/进度",C38="系统结果")),"终端产物",IF(N38=0,"缺产出","缺消耗"))))</x:f>
        <x:v>循环闭合</x:v>
      </x:c>
      <x:c r="Q38" s="39" t="str">
        <x:v>掉落角色：按材料原类别投放 原用途：C08-REBIRTH-11、C08-REBIRTH-12、C08-REBIRTH-13、C08-REBIRTH-14、C08-REBIRTH-15</x:v>
      </x:c>
    </x:row>
    <x:row r="39" ht="40" customHeight="1">
      <x:c r="A39" s="37" t="str">
        <x:v>EL-MAT-C08-MARK</x:v>
      </x:c>
      <x:c r="B39" s="38" t="str">
        <x:v>巨人火印</x:v>
      </x:c>
      <x:c r="C39" s="38" t="str">
        <x:v>材料</x:v>
      </x:c>
      <x:c r="D39" s="38" t="str">
        <x:v>大陆剧情印记</x:v>
      </x:c>
      <x:c r="E39" s="38" t="str">
        <x:v>C08</x:v>
      </x:c>
      <x:c r="F39" s="38" t="n">
        <x:v>933</x:v>
      </x:c>
      <x:c r="G39" s="38" t="n">
        <x:v>6424</x:v>
      </x:c>
      <x:c r="H39" s="38" t="str">
        <x:v>已正式入库</x:v>
      </x:c>
      <x:c r="I39" s="38" t="str">
        <x:v>可交易</x:v>
      </x:c>
      <x:c r="J39" s="38" t="str">
        <x:v>不作为自动回收主材</x:v>
      </x:c>
      <x:c r="K39" s="38" t="str">
        <x:v>产出实物默认不绑定，按现行材料脚本</x:v>
      </x:c>
      <x:c r="L39" s="38" t="str">
        <x:v>待经济反算</x:v>
      </x:c>
      <x:c r="M39" s="38" t="str">
        <x:v>材料编码数据库/十大陆NPC与配方V1.0</x:v>
      </x:c>
      <x:c r="N39" s="38" t="n">
        <x:f>COUNTIF('02_产出端'!$G$5:$G$600,A39)</x:f>
        <x:v>1</x:v>
      </x:c>
      <x:c r="O39" s="38" t="n">
        <x:f>COUNTIF('03_消耗端'!$E$5:$E$900,A39)</x:f>
        <x:v>8</x:v>
      </x:c>
      <x:c r="P39" s="38" t="str">
        <x:f>IF(C39="前置条件","条件",IF(AND(N39&gt;0,O39&gt;0),"循环闭合",IF(AND(N39&gt;0,OR(C39="装备",C39="装备/道具",C39="角色进度",C39="称号/进度",C39="系统结果")),"终端产物",IF(N39=0,"缺产出","缺消耗"))))</x:f>
        <x:v>循环闭合</x:v>
      </x:c>
      <x:c r="Q39" s="39" t="str">
        <x:v>掉落角色：按材料原类别投放 原用途：C08-SYN-EQ-01、C08-SYN-EQ-03、C08-SYN-ZD-01、C08-REBIRTH-11、C08-REBIRTH-12、C08-REBIRTH-13、C08-REBIRTH-14、C08-REBIRTH-15</x:v>
      </x:c>
    </x:row>
    <x:row r="40" ht="40" customHeight="1">
      <x:c r="A40" s="37" t="str">
        <x:v>EL-MAT-C09-COM</x:v>
      </x:c>
      <x:c r="B40" s="38" t="str">
        <x:v>黄金叶脉</x:v>
      </x:c>
      <x:c r="C40" s="38" t="str">
        <x:v>材料</x:v>
      </x:c>
      <x:c r="D40" s="38" t="str">
        <x:v>大陆通用材料</x:v>
      </x:c>
      <x:c r="E40" s="38" t="str">
        <x:v>C09</x:v>
      </x:c>
      <x:c r="F40" s="38" t="n">
        <x:v>934</x:v>
      </x:c>
      <x:c r="G40" s="38" t="n">
        <x:v>6425</x:v>
      </x:c>
      <x:c r="H40" s="38" t="str">
        <x:v>已正式入库</x:v>
      </x:c>
      <x:c r="I40" s="38" t="str">
        <x:v>可交易</x:v>
      </x:c>
      <x:c r="J40" s="38" t="str">
        <x:v>R9档金币／元宝主回收口</x:v>
      </x:c>
      <x:c r="K40" s="38" t="str">
        <x:v>产出实物默认不绑定，按现行材料脚本</x:v>
      </x:c>
      <x:c r="L40" s="38" t="str">
        <x:v>待经济反算</x:v>
      </x:c>
      <x:c r="M40" s="38" t="str">
        <x:v>材料编码数据库/十大陆NPC与配方V1.0</x:v>
      </x:c>
      <x:c r="N40" s="38" t="n">
        <x:f>COUNTIF('02_产出端'!$G$5:$G$600,A40)</x:f>
        <x:v>1</x:v>
      </x:c>
      <x:c r="O40" s="38" t="n">
        <x:f>COUNTIF('03_消耗端'!$E$5:$E$900,A40)</x:f>
        <x:v>4</x:v>
      </x:c>
      <x:c r="P40" s="38" t="str">
        <x:f>IF(C40="前置条件","条件",IF(AND(N40&gt;0,O40&gt;0),"循环闭合",IF(AND(N40&gt;0,OR(C40="装备",C40="装备/道具",C40="角色进度",C40="称号/进度",C40="系统结果")),"终端产物",IF(N40=0,"缺产出","缺消耗"))))</x:f>
        <x:v>循环闭合</x:v>
      </x:c>
      <x:c r="Q40" s="39" t="str">
        <x:v>掉落角色：本大陆全怪高小时产量；降低触发频率、单次多叠加 原用途：C09-SYN-EQ-01、C09-SYN-EQ-02、C09-SYN-ZD-01、C09-AOE-LV5</x:v>
      </x:c>
    </x:row>
    <x:row r="41" ht="40" customHeight="1">
      <x:c r="A41" s="37" t="str">
        <x:v>EL-MAT-C09-RARE</x:v>
      </x:c>
      <x:c r="B41" s="38" t="str">
        <x:v>古王律页</x:v>
      </x:c>
      <x:c r="C41" s="38" t="str">
        <x:v>材料</x:v>
      </x:c>
      <x:c r="D41" s="38" t="str">
        <x:v>大陆稀有材料</x:v>
      </x:c>
      <x:c r="E41" s="38" t="str">
        <x:v>C09</x:v>
      </x:c>
      <x:c r="F41" s="38" t="n">
        <x:v>935</x:v>
      </x:c>
      <x:c r="G41" s="38" t="n">
        <x:v>6426</x:v>
      </x:c>
      <x:c r="H41" s="38" t="str">
        <x:v>已正式入库</x:v>
      </x:c>
      <x:c r="I41" s="38" t="str">
        <x:v>可交易</x:v>
      </x:c>
      <x:c r="J41" s="38" t="str">
        <x:v>不作为自动回收主材</x:v>
      </x:c>
      <x:c r="K41" s="38" t="str">
        <x:v>产出实物默认不绑定，按现行材料脚本</x:v>
      </x:c>
      <x:c r="L41" s="38" t="str">
        <x:v>待经济反算</x:v>
      </x:c>
      <x:c r="M41" s="38" t="str">
        <x:v>材料编码数据库/十大陆NPC与配方V1.0</x:v>
      </x:c>
      <x:c r="N41" s="38" t="n">
        <x:f>COUNTIF('02_产出端'!$G$5:$G$600,A41)</x:f>
        <x:v>1</x:v>
      </x:c>
      <x:c r="O41" s="38" t="n">
        <x:f>COUNTIF('03_消耗端'!$E$5:$E$900,A41)</x:f>
        <x:v>1</x:v>
      </x:c>
      <x:c r="P41" s="38" t="str">
        <x:f>IF(C41="前置条件","条件",IF(AND(N41&gt;0,O41&gt;0),"循环闭合",IF(AND(N41&gt;0,OR(C41="装备",C41="装备/道具",C41="角色进度",C41="称号/进度",C41="系统结果")),"终端产物",IF(N41=0,"缺产出","缺消耗"))))</x:f>
        <x:v>循环闭合</x:v>
      </x:c>
      <x:c r="Q41" s="39" t="str">
        <x:v>掉落角色：按材料原类别投放 原用途：C09-SYN-TT-01</x:v>
      </x:c>
    </x:row>
    <x:row r="42" ht="40" customHeight="1">
      <x:c r="A42" s="37" t="str">
        <x:v>EL-MAT-C09-MARK</x:v>
      </x:c>
      <x:c r="B42" s="38" t="str">
        <x:v>黄金律印</x:v>
      </x:c>
      <x:c r="C42" s="38" t="str">
        <x:v>材料</x:v>
      </x:c>
      <x:c r="D42" s="38" t="str">
        <x:v>大陆剧情印记</x:v>
      </x:c>
      <x:c r="E42" s="38" t="str">
        <x:v>C09</x:v>
      </x:c>
      <x:c r="F42" s="38" t="n">
        <x:v>936</x:v>
      </x:c>
      <x:c r="G42" s="38" t="n">
        <x:v>6427</x:v>
      </x:c>
      <x:c r="H42" s="38" t="str">
        <x:v>已正式入库</x:v>
      </x:c>
      <x:c r="I42" s="38" t="str">
        <x:v>可交易</x:v>
      </x:c>
      <x:c r="J42" s="38" t="str">
        <x:v>不作为自动回收主材</x:v>
      </x:c>
      <x:c r="K42" s="38" t="str">
        <x:v>产出实物默认不绑定，按现行材料脚本</x:v>
      </x:c>
      <x:c r="L42" s="38" t="str">
        <x:v>待经济反算</x:v>
      </x:c>
      <x:c r="M42" s="38" t="str">
        <x:v>材料编码数据库/十大陆NPC与配方V1.0</x:v>
      </x:c>
      <x:c r="N42" s="38" t="n">
        <x:f>COUNTIF('02_产出端'!$G$5:$G$600,A42)</x:f>
        <x:v>1</x:v>
      </x:c>
      <x:c r="O42" s="38" t="n">
        <x:f>COUNTIF('03_消耗端'!$E$5:$E$900,A42)</x:f>
        <x:v>5</x:v>
      </x:c>
      <x:c r="P42" s="38" t="str">
        <x:f>IF(C42="前置条件","条件",IF(AND(N42&gt;0,O42&gt;0),"循环闭合",IF(AND(N42&gt;0,OR(C42="装备",C42="装备/道具",C42="角色进度",C42="称号/进度",C42="系统结果")),"终端产物",IF(N42=0,"缺产出","缺消耗"))))</x:f>
        <x:v>循环闭合</x:v>
      </x:c>
      <x:c r="Q42" s="39" t="str">
        <x:v>掉落角色：按材料原类别投放 原用途：C09-SYN-EQ-01、C09-SYN-EQ-02、C09-SYN-ZD-01、C09-SYN-TT-01、C09-AOE-LV5</x:v>
      </x:c>
    </x:row>
    <x:row r="43" ht="40" customHeight="1">
      <x:c r="A43" s="37" t="str">
        <x:v>EL-MAT-C10-COM</x:v>
      </x:c>
      <x:c r="B43" s="38" t="str">
        <x:v>王城金屑</x:v>
      </x:c>
      <x:c r="C43" s="38" t="str">
        <x:v>材料</x:v>
      </x:c>
      <x:c r="D43" s="38" t="str">
        <x:v>大陆通用材料</x:v>
      </x:c>
      <x:c r="E43" s="38" t="str">
        <x:v>C10</x:v>
      </x:c>
      <x:c r="F43" s="38" t="n">
        <x:v>937</x:v>
      </x:c>
      <x:c r="G43" s="38" t="n">
        <x:v>6428</x:v>
      </x:c>
      <x:c r="H43" s="38" t="str">
        <x:v>已正式入库</x:v>
      </x:c>
      <x:c r="I43" s="38" t="str">
        <x:v>可交易</x:v>
      </x:c>
      <x:c r="J43" s="38" t="str">
        <x:v>R10档金币／元宝主回收口</x:v>
      </x:c>
      <x:c r="K43" s="38" t="str">
        <x:v>产出实物默认不绑定，按现行材料脚本</x:v>
      </x:c>
      <x:c r="L43" s="38" t="str">
        <x:v>待经济反算</x:v>
      </x:c>
      <x:c r="M43" s="38" t="str">
        <x:v>材料编码数据库/十大陆NPC与配方V1.0</x:v>
      </x:c>
      <x:c r="N43" s="38" t="n">
        <x:f>COUNTIF('02_产出端'!$G$5:$G$600,A43)</x:f>
        <x:v>1</x:v>
      </x:c>
      <x:c r="O43" s="38" t="n">
        <x:f>COUNTIF('03_消耗端'!$E$5:$E$900,A43)</x:f>
        <x:v>9</x:v>
      </x:c>
      <x:c r="P43" s="38" t="str">
        <x:f>IF(C43="前置条件","条件",IF(AND(N43&gt;0,O43&gt;0),"循环闭合",IF(AND(N43&gt;0,OR(C43="装备",C43="装备/道具",C43="角色进度",C43="称号/进度",C43="系统结果")),"终端产物",IF(N43=0,"缺产出","缺消耗"))))</x:f>
        <x:v>循环闭合</x:v>
      </x:c>
      <x:c r="Q43" s="39" t="str">
        <x:v>掉落角色：本大陆全怪高小时产量；降低触发频率、单次多叠加 原用途：C10-SYN-EQ-01、C10-SYN-EQ-02、C10-SYN-EQ-03、C10-SYN-ZD-01、C10-REBIRTH-16、C10-REBIRTH-17、C10-REBIRTH-18、C10-REBIRTH-19、C10-REBIRTH-20</x:v>
      </x:c>
    </x:row>
    <x:row r="44" ht="40" customHeight="1">
      <x:c r="A44" s="37" t="str">
        <x:v>EL-MAT-C10-RARE</x:v>
      </x:c>
      <x:c r="B44" s="38" t="str">
        <x:v>王宫律文</x:v>
      </x:c>
      <x:c r="C44" s="38" t="str">
        <x:v>材料</x:v>
      </x:c>
      <x:c r="D44" s="38" t="str">
        <x:v>大陆稀有材料</x:v>
      </x:c>
      <x:c r="E44" s="38" t="str">
        <x:v>C10</x:v>
      </x:c>
      <x:c r="F44" s="38" t="n">
        <x:v>938</x:v>
      </x:c>
      <x:c r="G44" s="38" t="n">
        <x:v>6429</x:v>
      </x:c>
      <x:c r="H44" s="38" t="str">
        <x:v>已正式入库</x:v>
      </x:c>
      <x:c r="I44" s="38" t="str">
        <x:v>可交易</x:v>
      </x:c>
      <x:c r="J44" s="38" t="str">
        <x:v>不作为自动回收主材</x:v>
      </x:c>
      <x:c r="K44" s="38" t="str">
        <x:v>产出实物默认不绑定，按现行材料脚本</x:v>
      </x:c>
      <x:c r="L44" s="38" t="str">
        <x:v>待经济反算</x:v>
      </x:c>
      <x:c r="M44" s="38" t="str">
        <x:v>材料编码数据库/十大陆NPC与配方V1.0</x:v>
      </x:c>
      <x:c r="N44" s="38" t="n">
        <x:f>COUNTIF('02_产出端'!$G$5:$G$600,A44)</x:f>
        <x:v>1</x:v>
      </x:c>
      <x:c r="O44" s="38" t="n">
        <x:f>COUNTIF('03_消耗端'!$E$5:$E$900,A44)</x:f>
        <x:v>6</x:v>
      </x:c>
      <x:c r="P44" s="38" t="str">
        <x:f>IF(C44="前置条件","条件",IF(AND(N44&gt;0,O44&gt;0),"循环闭合",IF(AND(N44&gt;0,OR(C44="装备",C44="装备/道具",C44="角色进度",C44="称号/进度",C44="系统结果")),"终端产物",IF(N44=0,"缺产出","缺消耗"))))</x:f>
        <x:v>循环闭合</x:v>
      </x:c>
      <x:c r="Q44" s="39" t="str">
        <x:v>掉落角色：按材料原类别投放 原用途：C10-SYN-TT-01、C10-REBIRTH-16、C10-REBIRTH-17、C10-REBIRTH-18、C10-REBIRTH-19、C10-REBIRTH-20</x:v>
      </x:c>
    </x:row>
    <x:row r="45" ht="40" customHeight="1">
      <x:c r="A45" s="37" t="str">
        <x:v>EL-MAT-C10-MARK</x:v>
      </x:c>
      <x:c r="B45" s="38" t="str">
        <x:v>艾尔登王印</x:v>
      </x:c>
      <x:c r="C45" s="38" t="str">
        <x:v>材料</x:v>
      </x:c>
      <x:c r="D45" s="38" t="str">
        <x:v>大陆剧情印记</x:v>
      </x:c>
      <x:c r="E45" s="38" t="str">
        <x:v>C10</x:v>
      </x:c>
      <x:c r="F45" s="38" t="n">
        <x:v>939</x:v>
      </x:c>
      <x:c r="G45" s="38" t="n">
        <x:v>6430</x:v>
      </x:c>
      <x:c r="H45" s="38" t="str">
        <x:v>已正式入库</x:v>
      </x:c>
      <x:c r="I45" s="38" t="str">
        <x:v>可交易</x:v>
      </x:c>
      <x:c r="J45" s="38" t="str">
        <x:v>不作为自动回收主材</x:v>
      </x:c>
      <x:c r="K45" s="38" t="str">
        <x:v>产出实物默认不绑定，按现行材料脚本</x:v>
      </x:c>
      <x:c r="L45" s="38" t="str">
        <x:v>待经济反算</x:v>
      </x:c>
      <x:c r="M45" s="38" t="str">
        <x:v>材料编码数据库/十大陆NPC与配方V1.0</x:v>
      </x:c>
      <x:c r="N45" s="38" t="n">
        <x:f>COUNTIF('02_产出端'!$G$5:$G$600,A45)</x:f>
        <x:v>1</x:v>
      </x:c>
      <x:c r="O45" s="38" t="n">
        <x:f>COUNTIF('03_消耗端'!$E$5:$E$900,A45)</x:f>
        <x:v>10</x:v>
      </x:c>
      <x:c r="P45" s="38" t="str">
        <x:f>IF(C45="前置条件","条件",IF(AND(N45&gt;0,O45&gt;0),"循环闭合",IF(AND(N45&gt;0,OR(C45="装备",C45="装备/道具",C45="角色进度",C45="称号/进度",C45="系统结果")),"终端产物",IF(N45=0,"缺产出","缺消耗"))))</x:f>
        <x:v>循环闭合</x:v>
      </x:c>
      <x:c r="Q45" s="39" t="str">
        <x:v>掉落角色：按材料原类别投放 原用途：C10-SYN-EQ-01、C10-SYN-EQ-02、C10-SYN-EQ-03、C10-SYN-ZD-01、C10-SYN-TT-01、C10-REBIRTH-16、C10-REBIRTH-17、C10-REBIRTH-18、C10-REBIRTH-19、C10-REBIRTH-20</x:v>
      </x:c>
    </x:row>
    <x:row r="46" ht="40" customHeight="1">
      <x:c r="A46" s="37" t="str">
        <x:v>EL-MAT-C03-Q01</x:v>
      </x:c>
      <x:c r="B46" s="38" t="str">
        <x:v>裂风崖羽</x:v>
      </x:c>
      <x:c r="C46" s="38" t="str">
        <x:v>材料</x:v>
      </x:c>
      <x:c r="D46" s="38" t="str">
        <x:v>普通怪证物</x:v>
      </x:c>
      <x:c r="E46" s="38" t="str">
        <x:v>C03</x:v>
      </x:c>
      <x:c r="F46" s="38" t="n">
        <x:v>940</x:v>
      </x:c>
      <x:c r="G46" s="38" t="n">
        <x:v>6431</x:v>
      </x:c>
      <x:c r="H46" s="38" t="str">
        <x:v>已正式入库</x:v>
      </x:c>
      <x:c r="I46" s="38" t="str">
        <x:v>可交易</x:v>
      </x:c>
      <x:c r="J46" s="38" t="str">
        <x:v>不作为自动回收主材</x:v>
      </x:c>
      <x:c r="K46" s="38" t="str">
        <x:v>产出实物默认不绑定，按现行材料脚本</x:v>
      </x:c>
      <x:c r="L46" s="38" t="str">
        <x:v>待经济反算</x:v>
      </x:c>
      <x:c r="M46" s="38" t="str">
        <x:v>材料编码数据库/十大陆NPC与配方V1.0</x:v>
      </x:c>
      <x:c r="N46" s="38" t="n">
        <x:f>COUNTIF('02_产出端'!$G$5:$G$600,A46)</x:f>
        <x:v>1</x:v>
      </x:c>
      <x:c r="O46" s="38" t="n">
        <x:f>COUNTIF('03_消耗端'!$E$5:$E$900,A46)</x:f>
        <x:v>2</x:v>
      </x:c>
      <x:c r="P46" s="38" t="str">
        <x:f>IF(C46="前置条件","条件",IF(AND(N46&gt;0,O46&gt;0),"循环闭合",IF(AND(N46&gt;0,OR(C46="装备",C46="装备/道具",C46="角色进度",C46="称号/进度",C46="系统结果")),"终端产物",IF(N46=0,"缺产出","缺消耗"))))</x:f>
        <x:v>循环闭合</x:v>
      </x:c>
      <x:c r="Q46" s="39" t="str">
        <x:v>掉落角色：按材料原类别投放 原用途：C03-SYN-EQ-02、C03-AOE-LV2</x:v>
      </x:c>
    </x:row>
    <x:row r="47" ht="40" customHeight="1">
      <x:c r="A47" s="37" t="str">
        <x:v>EL-MAT-C03-Q02</x:v>
      </x:c>
      <x:c r="B47" s="38" t="str">
        <x:v>商队火漆</x:v>
      </x:c>
      <x:c r="C47" s="38" t="str">
        <x:v>材料</x:v>
      </x:c>
      <x:c r="D47" s="38" t="str">
        <x:v>精英证物</x:v>
      </x:c>
      <x:c r="E47" s="38" t="str">
        <x:v>C03</x:v>
      </x:c>
      <x:c r="F47" s="38" t="n">
        <x:v>941</x:v>
      </x:c>
      <x:c r="G47" s="38" t="n">
        <x:v>6432</x:v>
      </x:c>
      <x:c r="H47" s="38" t="str">
        <x:v>已正式入库</x:v>
      </x:c>
      <x:c r="I47" s="38" t="str">
        <x:v>可交易</x:v>
      </x:c>
      <x:c r="J47" s="38" t="str">
        <x:v>不作为自动回收主材</x:v>
      </x:c>
      <x:c r="K47" s="38" t="str">
        <x:v>产出实物默认不绑定，按现行材料脚本</x:v>
      </x:c>
      <x:c r="L47" s="38" t="str">
        <x:v>待经济反算</x:v>
      </x:c>
      <x:c r="M47" s="38" t="str">
        <x:v>材料编码数据库/十大陆NPC与配方V1.0</x:v>
      </x:c>
      <x:c r="N47" s="38" t="n">
        <x:f>COUNTIF('02_产出端'!$G$5:$G$600,A47)</x:f>
        <x:v>1</x:v>
      </x:c>
      <x:c r="O47" s="38" t="n">
        <x:f>COUNTIF('03_消耗端'!$E$5:$E$900,A47)</x:f>
        <x:v>1</x:v>
      </x:c>
      <x:c r="P47" s="38" t="str">
        <x:f>IF(C47="前置条件","条件",IF(AND(N47&gt;0,O47&gt;0),"循环闭合",IF(AND(N47&gt;0,OR(C47="装备",C47="装备/道具",C47="角色进度",C47="称号/进度",C47="系统结果")),"终端产物",IF(N47=0,"缺产出","缺消耗"))))</x:f>
        <x:v>循环闭合</x:v>
      </x:c>
      <x:c r="Q47" s="39" t="str">
        <x:v>掉落角色：按材料原类别投放 原用途：待配方／任务接入</x:v>
      </x:c>
    </x:row>
    <x:row r="48" ht="40" customHeight="1">
      <x:c r="A48" s="37" t="str">
        <x:v>EL-MAT-C03-Q03</x:v>
      </x:c>
      <x:c r="B48" s="38" t="str">
        <x:v>守垒铜钥</x:v>
      </x:c>
      <x:c r="C48" s="38" t="str">
        <x:v>材料</x:v>
      </x:c>
      <x:c r="D48" s="38" t="str">
        <x:v>地图BOSS证物</x:v>
      </x:c>
      <x:c r="E48" s="38" t="str">
        <x:v>C03</x:v>
      </x:c>
      <x:c r="F48" s="38" t="n">
        <x:v>942</x:v>
      </x:c>
      <x:c r="G48" s="38" t="n">
        <x:v>6433</x:v>
      </x:c>
      <x:c r="H48" s="38" t="str">
        <x:v>已正式入库</x:v>
      </x:c>
      <x:c r="I48" s="38" t="str">
        <x:v>可交易</x:v>
      </x:c>
      <x:c r="J48" s="38" t="str">
        <x:v>不作为自动回收主材</x:v>
      </x:c>
      <x:c r="K48" s="38" t="str">
        <x:v>产出实物默认不绑定，按现行材料脚本</x:v>
      </x:c>
      <x:c r="L48" s="38" t="str">
        <x:v>待经济反算</x:v>
      </x:c>
      <x:c r="M48" s="38" t="str">
        <x:v>材料编码数据库/十大陆NPC与配方V1.0</x:v>
      </x:c>
      <x:c r="N48" s="38" t="n">
        <x:f>COUNTIF('02_产出端'!$G$5:$G$600,A48)</x:f>
        <x:v>1</x:v>
      </x:c>
      <x:c r="O48" s="38" t="n">
        <x:f>COUNTIF('03_消耗端'!$E$5:$E$900,A48)</x:f>
        <x:v>1</x:v>
      </x:c>
      <x:c r="P48" s="38" t="str">
        <x:f>IF(C48="前置条件","条件",IF(AND(N48&gt;0,O48&gt;0),"循环闭合",IF(AND(N48&gt;0,OR(C48="装备",C48="装备/道具",C48="角色进度",C48="称号/进度",C48="系统结果")),"终端产物",IF(N48=0,"缺产出","缺消耗"))))</x:f>
        <x:v>循环闭合</x:v>
      </x:c>
      <x:c r="Q48" s="39" t="str">
        <x:v>掉落角色：按材料原类别投放 原用途：C03-SYN-EQ-01</x:v>
      </x:c>
    </x:row>
    <x:row r="49" ht="40" customHeight="1">
      <x:c r="A49" s="37" t="str">
        <x:v>EL-MAT-C03-Q04</x:v>
      </x:c>
      <x:c r="B49" s="38" t="str">
        <x:v>哨垒旗冠</x:v>
      </x:c>
      <x:c r="C49" s="38" t="str">
        <x:v>材料</x:v>
      </x:c>
      <x:c r="D49" s="38" t="str">
        <x:v>守关BOSS证物</x:v>
      </x:c>
      <x:c r="E49" s="38" t="str">
        <x:v>C03</x:v>
      </x:c>
      <x:c r="F49" s="38" t="n">
        <x:v>943</x:v>
      </x:c>
      <x:c r="G49" s="38" t="n">
        <x:v>6434</x:v>
      </x:c>
      <x:c r="H49" s="38" t="str">
        <x:v>已正式入库</x:v>
      </x:c>
      <x:c r="I49" s="38" t="str">
        <x:v>可交易</x:v>
      </x:c>
      <x:c r="J49" s="38" t="str">
        <x:v>不作为自动回收主材</x:v>
      </x:c>
      <x:c r="K49" s="38" t="str">
        <x:v>产出实物默认不绑定，按现行材料脚本</x:v>
      </x:c>
      <x:c r="L49" s="38" t="str">
        <x:v>待经济反算</x:v>
      </x:c>
      <x:c r="M49" s="38" t="str">
        <x:v>材料编码数据库/十大陆NPC与配方V1.0</x:v>
      </x:c>
      <x:c r="N49" s="38" t="n">
        <x:f>COUNTIF('02_产出端'!$G$5:$G$600,A49)</x:f>
        <x:v>1</x:v>
      </x:c>
      <x:c r="O49" s="38" t="n">
        <x:f>COUNTIF('03_消耗端'!$E$5:$E$900,A49)</x:f>
        <x:v>2</x:v>
      </x:c>
      <x:c r="P49" s="38" t="str">
        <x:f>IF(C49="前置条件","条件",IF(AND(N49&gt;0,O49&gt;0),"循环闭合",IF(AND(N49&gt;0,OR(C49="装备",C49="装备/道具",C49="角色进度",C49="称号/进度",C49="系统结果")),"终端产物",IF(N49=0,"缺产出","缺消耗"))))</x:f>
        <x:v>循环闭合</x:v>
      </x:c>
      <x:c r="Q49" s="39" t="str">
        <x:v>掉落角色：按材料原类别投放 原用途：C03-SYN-EQ-02、C03-SYN-TT-01</x:v>
      </x:c>
    </x:row>
    <x:row r="50" ht="40" customHeight="1">
      <x:c r="A50" s="37" t="str">
        <x:v>EL-MAT-C04-Q01</x:v>
      </x:c>
      <x:c r="B50" s="38" t="str">
        <x:v>雾潮银鳞</x:v>
      </x:c>
      <x:c r="C50" s="38" t="str">
        <x:v>材料</x:v>
      </x:c>
      <x:c r="D50" s="38" t="str">
        <x:v>普通怪证物</x:v>
      </x:c>
      <x:c r="E50" s="38" t="str">
        <x:v>C04</x:v>
      </x:c>
      <x:c r="F50" s="38" t="n">
        <x:v>944</x:v>
      </x:c>
      <x:c r="G50" s="38" t="n">
        <x:v>6435</x:v>
      </x:c>
      <x:c r="H50" s="38" t="str">
        <x:v>已正式入库</x:v>
      </x:c>
      <x:c r="I50" s="38" t="str">
        <x:v>可交易</x:v>
      </x:c>
      <x:c r="J50" s="38" t="str">
        <x:v>不作为自动回收主材</x:v>
      </x:c>
      <x:c r="K50" s="38" t="str">
        <x:v>产出实物默认不绑定，按现行材料脚本</x:v>
      </x:c>
      <x:c r="L50" s="38" t="str">
        <x:v>待经济反算</x:v>
      </x:c>
      <x:c r="M50" s="38" t="str">
        <x:v>材料编码数据库/十大陆NPC与配方V1.0</x:v>
      </x:c>
      <x:c r="N50" s="38" t="n">
        <x:f>COUNTIF('02_产出端'!$G$5:$G$600,A50)</x:f>
        <x:v>1</x:v>
      </x:c>
      <x:c r="O50" s="38" t="n">
        <x:f>COUNTIF('03_消耗端'!$E$5:$E$900,A50)</x:f>
        <x:v>6</x:v>
      </x:c>
      <x:c r="P50" s="38" t="str">
        <x:f>IF(C50="前置条件","条件",IF(AND(N50&gt;0,O50&gt;0),"循环闭合",IF(AND(N50&gt;0,OR(C50="装备",C50="装备/道具",C50="角色进度",C50="称号/进度",C50="系统结果")),"终端产物",IF(N50=0,"缺产出","缺消耗"))))</x:f>
        <x:v>循环闭合</x:v>
      </x:c>
      <x:c r="Q50" s="39" t="str">
        <x:v>掉落角色：按材料原类别投放 原用途：C04-SYN-EQ-02、C04-REBIRTH-01、C04-REBIRTH-02、C04-REBIRTH-03、C04-REBIRTH-04、C04-REBIRTH-05</x:v>
      </x:c>
    </x:row>
    <x:row r="51" ht="40" customHeight="1">
      <x:c r="A51" s="37" t="str">
        <x:v>EL-MAT-C04-Q02</x:v>
      </x:c>
      <x:c r="B51" s="38" t="str">
        <x:v>沉船缆扣</x:v>
      </x:c>
      <x:c r="C51" s="38" t="str">
        <x:v>材料</x:v>
      </x:c>
      <x:c r="D51" s="38" t="str">
        <x:v>精英证物</x:v>
      </x:c>
      <x:c r="E51" s="38" t="str">
        <x:v>C04</x:v>
      </x:c>
      <x:c r="F51" s="38" t="n">
        <x:v>945</x:v>
      </x:c>
      <x:c r="G51" s="38" t="n">
        <x:v>6436</x:v>
      </x:c>
      <x:c r="H51" s="38" t="str">
        <x:v>已正式入库</x:v>
      </x:c>
      <x:c r="I51" s="38" t="str">
        <x:v>可交易</x:v>
      </x:c>
      <x:c r="J51" s="38" t="str">
        <x:v>不作为自动回收主材</x:v>
      </x:c>
      <x:c r="K51" s="38" t="str">
        <x:v>产出实物默认不绑定，按现行材料脚本</x:v>
      </x:c>
      <x:c r="L51" s="38" t="str">
        <x:v>待经济反算</x:v>
      </x:c>
      <x:c r="M51" s="38" t="str">
        <x:v>材料编码数据库/十大陆NPC与配方V1.0</x:v>
      </x:c>
      <x:c r="N51" s="38" t="n">
        <x:f>COUNTIF('02_产出端'!$G$5:$G$600,A51)</x:f>
        <x:v>1</x:v>
      </x:c>
      <x:c r="O51" s="38" t="n">
        <x:f>COUNTIF('03_消耗端'!$E$5:$E$900,A51)</x:f>
        <x:v>1</x:v>
      </x:c>
      <x:c r="P51" s="38" t="str">
        <x:f>IF(C51="前置条件","条件",IF(AND(N51&gt;0,O51&gt;0),"循环闭合",IF(AND(N51&gt;0,OR(C51="装备",C51="装备/道具",C51="角色进度",C51="称号/进度",C51="系统结果")),"终端产物",IF(N51=0,"缺产出","缺消耗"))))</x:f>
        <x:v>循环闭合</x:v>
      </x:c>
      <x:c r="Q51" s="39" t="str">
        <x:v>掉落角色：按材料原类别投放 原用途：C04-SYN-EQ-01</x:v>
      </x:c>
    </x:row>
    <x:row r="52" ht="40" customHeight="1">
      <x:c r="A52" s="37" t="str">
        <x:v>EL-MAT-C04-Q03</x:v>
      </x:c>
      <x:c r="B52" s="38" t="str">
        <x:v>深湖压舱印</x:v>
      </x:c>
      <x:c r="C52" s="38" t="str">
        <x:v>材料</x:v>
      </x:c>
      <x:c r="D52" s="38" t="str">
        <x:v>地图BOSS证物</x:v>
      </x:c>
      <x:c r="E52" s="38" t="str">
        <x:v>C04</x:v>
      </x:c>
      <x:c r="F52" s="38" t="n">
        <x:v>946</x:v>
      </x:c>
      <x:c r="G52" s="38" t="n">
        <x:v>6437</x:v>
      </x:c>
      <x:c r="H52" s="38" t="str">
        <x:v>已正式入库</x:v>
      </x:c>
      <x:c r="I52" s="38" t="str">
        <x:v>可交易</x:v>
      </x:c>
      <x:c r="J52" s="38" t="str">
        <x:v>不作为自动回收主材</x:v>
      </x:c>
      <x:c r="K52" s="38" t="str">
        <x:v>产出实物默认不绑定，按现行材料脚本</x:v>
      </x:c>
      <x:c r="L52" s="38" t="str">
        <x:v>待经济反算</x:v>
      </x:c>
      <x:c r="M52" s="38" t="str">
        <x:v>材料编码数据库/十大陆NPC与配方V1.0</x:v>
      </x:c>
      <x:c r="N52" s="38" t="n">
        <x:f>COUNTIF('02_产出端'!$G$5:$G$600,A52)</x:f>
        <x:v>1</x:v>
      </x:c>
      <x:c r="O52" s="38" t="n">
        <x:f>COUNTIF('03_消耗端'!$E$5:$E$900,A52)</x:f>
        <x:v>1</x:v>
      </x:c>
      <x:c r="P52" s="38" t="str">
        <x:f>IF(C52="前置条件","条件",IF(AND(N52&gt;0,O52&gt;0),"循环闭合",IF(AND(N52&gt;0,OR(C52="装备",C52="装备/道具",C52="角色进度",C52="称号/进度",C52="系统结果")),"终端产物",IF(N52=0,"缺产出","缺消耗"))))</x:f>
        <x:v>循环闭合</x:v>
      </x:c>
      <x:c r="Q52" s="39" t="str">
        <x:v>掉落角色：按材料原类别投放 原用途：C04-SYN-EQ-03</x:v>
      </x:c>
    </x:row>
    <x:row r="53" ht="40" customHeight="1">
      <x:c r="A53" s="37" t="str">
        <x:v>EL-MAT-C04-Q04</x:v>
      </x:c>
      <x:c r="B53" s="38" t="str">
        <x:v>湖底封门珠</x:v>
      </x:c>
      <x:c r="C53" s="38" t="str">
        <x:v>材料</x:v>
      </x:c>
      <x:c r="D53" s="38" t="str">
        <x:v>守关BOSS证物</x:v>
      </x:c>
      <x:c r="E53" s="38" t="str">
        <x:v>C04</x:v>
      </x:c>
      <x:c r="F53" s="38" t="n">
        <x:v>947</x:v>
      </x:c>
      <x:c r="G53" s="38" t="n">
        <x:v>6438</x:v>
      </x:c>
      <x:c r="H53" s="38" t="str">
        <x:v>已正式入库</x:v>
      </x:c>
      <x:c r="I53" s="38" t="str">
        <x:v>可交易</x:v>
      </x:c>
      <x:c r="J53" s="38" t="str">
        <x:v>不作为自动回收主材</x:v>
      </x:c>
      <x:c r="K53" s="38" t="str">
        <x:v>产出实物默认不绑定，按现行材料脚本</x:v>
      </x:c>
      <x:c r="L53" s="38" t="str">
        <x:v>待经济反算</x:v>
      </x:c>
      <x:c r="M53" s="38" t="str">
        <x:v>材料编码数据库/十大陆NPC与配方V1.0</x:v>
      </x:c>
      <x:c r="N53" s="38" t="n">
        <x:f>COUNTIF('02_产出端'!$G$5:$G$600,A53)</x:f>
        <x:v>1</x:v>
      </x:c>
      <x:c r="O53" s="38" t="n">
        <x:f>COUNTIF('03_消耗端'!$E$5:$E$900,A53)</x:f>
        <x:v>1</x:v>
      </x:c>
      <x:c r="P53" s="38" t="str">
        <x:f>IF(C53="前置条件","条件",IF(AND(N53&gt;0,O53&gt;0),"循环闭合",IF(AND(N53&gt;0,OR(C53="装备",C53="装备/道具",C53="角色进度",C53="称号/进度",C53="系统结果")),"终端产物",IF(N53=0,"缺产出","缺消耗"))))</x:f>
        <x:v>循环闭合</x:v>
      </x:c>
      <x:c r="Q53" s="39" t="str">
        <x:v>掉落角色：按材料原类别投放 原用途：C04-SYN-EQ-02</x:v>
      </x:c>
    </x:row>
    <x:row r="54" ht="40" customHeight="1">
      <x:c r="A54" s="37" t="str">
        <x:v>EL-MAT-C05-Q01</x:v>
      </x:c>
      <x:c r="B54" s="38" t="str">
        <x:v>雾月星砂</x:v>
      </x:c>
      <x:c r="C54" s="38" t="str">
        <x:v>材料</x:v>
      </x:c>
      <x:c r="D54" s="38" t="str">
        <x:v>普通怪证物</x:v>
      </x:c>
      <x:c r="E54" s="38" t="str">
        <x:v>C05</x:v>
      </x:c>
      <x:c r="F54" s="38" t="n">
        <x:v>948</x:v>
      </x:c>
      <x:c r="G54" s="38" t="n">
        <x:v>6439</x:v>
      </x:c>
      <x:c r="H54" s="38" t="str">
        <x:v>已正式入库</x:v>
      </x:c>
      <x:c r="I54" s="38" t="str">
        <x:v>可交易</x:v>
      </x:c>
      <x:c r="J54" s="38" t="str">
        <x:v>不作为自动回收主材</x:v>
      </x:c>
      <x:c r="K54" s="38" t="str">
        <x:v>产出实物默认不绑定，按现行材料脚本</x:v>
      </x:c>
      <x:c r="L54" s="38" t="str">
        <x:v>待经济反算</x:v>
      </x:c>
      <x:c r="M54" s="38" t="str">
        <x:v>材料编码数据库/十大陆NPC与配方V1.0</x:v>
      </x:c>
      <x:c r="N54" s="38" t="n">
        <x:f>COUNTIF('02_产出端'!$G$5:$G$600,A54)</x:f>
        <x:v>1</x:v>
      </x:c>
      <x:c r="O54" s="38" t="n">
        <x:f>COUNTIF('03_消耗端'!$E$5:$E$900,A54)</x:f>
        <x:v>2</x:v>
      </x:c>
      <x:c r="P54" s="38" t="str">
        <x:f>IF(C54="前置条件","条件",IF(AND(N54&gt;0,O54&gt;0),"循环闭合",IF(AND(N54&gt;0,OR(C54="装备",C54="装备/道具",C54="角色进度",C54="称号/进度",C54="系统结果")),"终端产物",IF(N54=0,"缺产出","缺消耗"))))</x:f>
        <x:v>循环闭合</x:v>
      </x:c>
      <x:c r="Q54" s="39" t="str">
        <x:v>掉落角色：按材料原类别投放 原用途：C05-SYN-EQ-02、C05-AOE-LV3</x:v>
      </x:c>
    </x:row>
    <x:row r="55" ht="40" customHeight="1">
      <x:c r="A55" s="37" t="str">
        <x:v>EL-MAT-C05-Q02</x:v>
      </x:c>
      <x:c r="B55" s="38" t="str">
        <x:v>学院封蜡</x:v>
      </x:c>
      <x:c r="C55" s="38" t="str">
        <x:v>材料</x:v>
      </x:c>
      <x:c r="D55" s="38" t="str">
        <x:v>精英证物</x:v>
      </x:c>
      <x:c r="E55" s="38" t="str">
        <x:v>C05</x:v>
      </x:c>
      <x:c r="F55" s="38" t="n">
        <x:v>949</x:v>
      </x:c>
      <x:c r="G55" s="38" t="n">
        <x:v>6440</x:v>
      </x:c>
      <x:c r="H55" s="38" t="str">
        <x:v>已正式入库</x:v>
      </x:c>
      <x:c r="I55" s="38" t="str">
        <x:v>可交易</x:v>
      </x:c>
      <x:c r="J55" s="38" t="str">
        <x:v>不作为自动回收主材</x:v>
      </x:c>
      <x:c r="K55" s="38" t="str">
        <x:v>产出实物默认不绑定，按现行材料脚本</x:v>
      </x:c>
      <x:c r="L55" s="38" t="str">
        <x:v>待经济反算</x:v>
      </x:c>
      <x:c r="M55" s="38" t="str">
        <x:v>材料编码数据库/十大陆NPC与配方V1.0</x:v>
      </x:c>
      <x:c r="N55" s="38" t="n">
        <x:f>COUNTIF('02_产出端'!$G$5:$G$600,A55)</x:f>
        <x:v>1</x:v>
      </x:c>
      <x:c r="O55" s="38" t="n">
        <x:f>COUNTIF('03_消耗端'!$E$5:$E$900,A55)</x:f>
        <x:v>1</x:v>
      </x:c>
      <x:c r="P55" s="38" t="str">
        <x:f>IF(C55="前置条件","条件",IF(AND(N55&gt;0,O55&gt;0),"循环闭合",IF(AND(N55&gt;0,OR(C55="装备",C55="装备/道具",C55="角色进度",C55="称号/进度",C55="系统结果")),"终端产物",IF(N55=0,"缺产出","缺消耗"))))</x:f>
        <x:v>循环闭合</x:v>
      </x:c>
      <x:c r="Q55" s="39" t="str">
        <x:v>掉落角色：按材料原类别投放 原用途：待配方／任务接入</x:v>
      </x:c>
    </x:row>
    <x:row r="56" ht="40" customHeight="1">
      <x:c r="A56" s="37" t="str">
        <x:v>EL-MAT-C05-Q03</x:v>
      </x:c>
      <x:c r="B56" s="38" t="str">
        <x:v>月蚀镜片</x:v>
      </x:c>
      <x:c r="C56" s="38" t="str">
        <x:v>材料</x:v>
      </x:c>
      <x:c r="D56" s="38" t="str">
        <x:v>地图BOSS证物</x:v>
      </x:c>
      <x:c r="E56" s="38" t="str">
        <x:v>C05</x:v>
      </x:c>
      <x:c r="F56" s="38" t="n">
        <x:v>950</x:v>
      </x:c>
      <x:c r="G56" s="38" t="n">
        <x:v>6441</x:v>
      </x:c>
      <x:c r="H56" s="38" t="str">
        <x:v>已正式入库</x:v>
      </x:c>
      <x:c r="I56" s="38" t="str">
        <x:v>可交易</x:v>
      </x:c>
      <x:c r="J56" s="38" t="str">
        <x:v>不作为自动回收主材</x:v>
      </x:c>
      <x:c r="K56" s="38" t="str">
        <x:v>产出实物默认不绑定，按现行材料脚本</x:v>
      </x:c>
      <x:c r="L56" s="38" t="str">
        <x:v>待经济反算</x:v>
      </x:c>
      <x:c r="M56" s="38" t="str">
        <x:v>材料编码数据库/十大陆NPC与配方V1.0</x:v>
      </x:c>
      <x:c r="N56" s="38" t="n">
        <x:f>COUNTIF('02_产出端'!$G$5:$G$600,A56)</x:f>
        <x:v>1</x:v>
      </x:c>
      <x:c r="O56" s="38" t="n">
        <x:f>COUNTIF('03_消耗端'!$E$5:$E$900,A56)</x:f>
        <x:v>1</x:v>
      </x:c>
      <x:c r="P56" s="38" t="str">
        <x:f>IF(C56="前置条件","条件",IF(AND(N56&gt;0,O56&gt;0),"循环闭合",IF(AND(N56&gt;0,OR(C56="装备",C56="装备/道具",C56="角色进度",C56="称号/进度",C56="系统结果")),"终端产物",IF(N56=0,"缺产出","缺消耗"))))</x:f>
        <x:v>循环闭合</x:v>
      </x:c>
      <x:c r="Q56" s="39" t="str">
        <x:v>掉落角色：按材料原类别投放 原用途：C05-SYN-EQ-01</x:v>
      </x:c>
    </x:row>
    <x:row r="57" ht="40" customHeight="1">
      <x:c r="A57" s="37" t="str">
        <x:v>EL-MAT-C05-Q04</x:v>
      </x:c>
      <x:c r="B57" s="38" t="str">
        <x:v>禁域星钥</x:v>
      </x:c>
      <x:c r="C57" s="38" t="str">
        <x:v>材料</x:v>
      </x:c>
      <x:c r="D57" s="38" t="str">
        <x:v>守关BOSS证物</x:v>
      </x:c>
      <x:c r="E57" s="38" t="str">
        <x:v>C05</x:v>
      </x:c>
      <x:c r="F57" s="38" t="n">
        <x:v>951</x:v>
      </x:c>
      <x:c r="G57" s="38" t="n">
        <x:v>6442</x:v>
      </x:c>
      <x:c r="H57" s="38" t="str">
        <x:v>已正式入库</x:v>
      </x:c>
      <x:c r="I57" s="38" t="str">
        <x:v>可交易</x:v>
      </x:c>
      <x:c r="J57" s="38" t="str">
        <x:v>不作为自动回收主材</x:v>
      </x:c>
      <x:c r="K57" s="38" t="str">
        <x:v>产出实物默认不绑定，按现行材料脚本</x:v>
      </x:c>
      <x:c r="L57" s="38" t="str">
        <x:v>待经济反算</x:v>
      </x:c>
      <x:c r="M57" s="38" t="str">
        <x:v>材料编码数据库/十大陆NPC与配方V1.0</x:v>
      </x:c>
      <x:c r="N57" s="38" t="n">
        <x:f>COUNTIF('02_产出端'!$G$5:$G$600,A57)</x:f>
        <x:v>1</x:v>
      </x:c>
      <x:c r="O57" s="38" t="n">
        <x:f>COUNTIF('03_消耗端'!$E$5:$E$900,A57)</x:f>
        <x:v>2</x:v>
      </x:c>
      <x:c r="P57" s="38" t="str">
        <x:f>IF(C57="前置条件","条件",IF(AND(N57&gt;0,O57&gt;0),"循环闭合",IF(AND(N57&gt;0,OR(C57="装备",C57="装备/道具",C57="角色进度",C57="称号/进度",C57="系统结果")),"终端产物",IF(N57=0,"缺产出","缺消耗"))))</x:f>
        <x:v>循环闭合</x:v>
      </x:c>
      <x:c r="Q57" s="39" t="str">
        <x:v>掉落角色：按材料原类别投放 原用途：C05-SYN-EQ-02、C05-SYN-TT-01</x:v>
      </x:c>
    </x:row>
    <x:row r="58" ht="40" customHeight="1">
      <x:c r="A58" s="37" t="str">
        <x:v>EL-MAT-C06-Q01</x:v>
      </x:c>
      <x:c r="B58" s="38" t="str">
        <x:v>红狮断箭</x:v>
      </x:c>
      <x:c r="C58" s="38" t="str">
        <x:v>材料</x:v>
      </x:c>
      <x:c r="D58" s="38" t="str">
        <x:v>普通怪证物</x:v>
      </x:c>
      <x:c r="E58" s="38" t="str">
        <x:v>C06</x:v>
      </x:c>
      <x:c r="F58" s="38" t="n">
        <x:v>952</x:v>
      </x:c>
      <x:c r="G58" s="38" t="n">
        <x:v>6443</x:v>
      </x:c>
      <x:c r="H58" s="38" t="str">
        <x:v>已正式入库</x:v>
      </x:c>
      <x:c r="I58" s="38" t="str">
        <x:v>可交易</x:v>
      </x:c>
      <x:c r="J58" s="38" t="str">
        <x:v>不作为自动回收主材</x:v>
      </x:c>
      <x:c r="K58" s="38" t="str">
        <x:v>产出实物默认不绑定，按现行材料脚本</x:v>
      </x:c>
      <x:c r="L58" s="38" t="str">
        <x:v>待经济反算</x:v>
      </x:c>
      <x:c r="M58" s="38" t="str">
        <x:v>材料编码数据库/十大陆NPC与配方V1.0</x:v>
      </x:c>
      <x:c r="N58" s="38" t="n">
        <x:f>COUNTIF('02_产出端'!$G$5:$G$600,A58)</x:f>
        <x:v>1</x:v>
      </x:c>
      <x:c r="O58" s="38" t="n">
        <x:f>COUNTIF('03_消耗端'!$E$5:$E$900,A58)</x:f>
        <x:v>1</x:v>
      </x:c>
      <x:c r="P58" s="38" t="str">
        <x:f>IF(C58="前置条件","条件",IF(AND(N58&gt;0,O58&gt;0),"循环闭合",IF(AND(N58&gt;0,OR(C58="装备",C58="装备/道具",C58="角色进度",C58="称号/进度",C58="系统结果")),"终端产物",IF(N58=0,"缺产出","缺消耗"))))</x:f>
        <x:v>循环闭合</x:v>
      </x:c>
      <x:c r="Q58" s="39" t="str">
        <x:v>掉落角色：按材料原类别投放 原用途：C06-SYN-EQ-01</x:v>
      </x:c>
    </x:row>
    <x:row r="59" ht="40" customHeight="1">
      <x:c r="A59" s="37" t="str">
        <x:v>EL-MAT-C06-Q02</x:v>
      </x:c>
      <x:c r="B59" s="38" t="str">
        <x:v>净火腺囊</x:v>
      </x:c>
      <x:c r="C59" s="38" t="str">
        <x:v>材料</x:v>
      </x:c>
      <x:c r="D59" s="38" t="str">
        <x:v>精英证物</x:v>
      </x:c>
      <x:c r="E59" s="38" t="str">
        <x:v>C06</x:v>
      </x:c>
      <x:c r="F59" s="38" t="n">
        <x:v>953</x:v>
      </x:c>
      <x:c r="G59" s="38" t="n">
        <x:v>6444</x:v>
      </x:c>
      <x:c r="H59" s="38" t="str">
        <x:v>已正式入库</x:v>
      </x:c>
      <x:c r="I59" s="38" t="str">
        <x:v>可交易</x:v>
      </x:c>
      <x:c r="J59" s="38" t="str">
        <x:v>不作为自动回收主材</x:v>
      </x:c>
      <x:c r="K59" s="38" t="str">
        <x:v>产出实物默认不绑定，按现行材料脚本</x:v>
      </x:c>
      <x:c r="L59" s="38" t="str">
        <x:v>待经济反算</x:v>
      </x:c>
      <x:c r="M59" s="38" t="str">
        <x:v>材料编码数据库/十大陆NPC与配方V1.0</x:v>
      </x:c>
      <x:c r="N59" s="38" t="n">
        <x:f>COUNTIF('02_产出端'!$G$5:$G$600,A59)</x:f>
        <x:v>1</x:v>
      </x:c>
      <x:c r="O59" s="38" t="n">
        <x:f>COUNTIF('03_消耗端'!$E$5:$E$900,A59)</x:f>
        <x:v>6</x:v>
      </x:c>
      <x:c r="P59" s="38" t="str">
        <x:f>IF(C59="前置条件","条件",IF(AND(N59&gt;0,O59&gt;0),"循环闭合",IF(AND(N59&gt;0,OR(C59="装备",C59="装备/道具",C59="角色进度",C59="称号/进度",C59="系统结果")),"终端产物",IF(N59=0,"缺产出","缺消耗"))))</x:f>
        <x:v>循环闭合</x:v>
      </x:c>
      <x:c r="Q59" s="39" t="str">
        <x:v>掉落角色：按材料原类别投放 原用途：C06-SYN-EQ-02、C06-REBIRTH-06、C06-REBIRTH-07、C06-REBIRTH-08、C06-REBIRTH-09、C06-REBIRTH-10</x:v>
      </x:c>
    </x:row>
    <x:row r="60" ht="40" customHeight="1">
      <x:c r="A60" s="37" t="str">
        <x:v>EL-MAT-C06-Q03</x:v>
      </x:c>
      <x:c r="B60" s="38" t="str">
        <x:v>龙窟熔牙</x:v>
      </x:c>
      <x:c r="C60" s="38" t="str">
        <x:v>材料</x:v>
      </x:c>
      <x:c r="D60" s="38" t="str">
        <x:v>地图BOSS证物</x:v>
      </x:c>
      <x:c r="E60" s="38" t="str">
        <x:v>C06</x:v>
      </x:c>
      <x:c r="F60" s="38" t="n">
        <x:v>954</x:v>
      </x:c>
      <x:c r="G60" s="38" t="n">
        <x:v>6445</x:v>
      </x:c>
      <x:c r="H60" s="38" t="str">
        <x:v>已正式入库</x:v>
      </x:c>
      <x:c r="I60" s="38" t="str">
        <x:v>可交易</x:v>
      </x:c>
      <x:c r="J60" s="38" t="str">
        <x:v>不作为自动回收主材</x:v>
      </x:c>
      <x:c r="K60" s="38" t="str">
        <x:v>产出实物默认不绑定，按现行材料脚本</x:v>
      </x:c>
      <x:c r="L60" s="38" t="str">
        <x:v>待经济反算</x:v>
      </x:c>
      <x:c r="M60" s="38" t="str">
        <x:v>材料编码数据库/十大陆NPC与配方V1.0</x:v>
      </x:c>
      <x:c r="N60" s="38" t="n">
        <x:f>COUNTIF('02_产出端'!$G$5:$G$600,A60)</x:f>
        <x:v>1</x:v>
      </x:c>
      <x:c r="O60" s="38" t="n">
        <x:f>COUNTIF('03_消耗端'!$E$5:$E$900,A60)</x:f>
        <x:v>1</x:v>
      </x:c>
      <x:c r="P60" s="38" t="str">
        <x:f>IF(C60="前置条件","条件",IF(AND(N60&gt;0,O60&gt;0),"循环闭合",IF(AND(N60&gt;0,OR(C60="装备",C60="装备/道具",C60="角色进度",C60="称号/进度",C60="系统结果")),"终端产物",IF(N60=0,"缺产出","缺消耗"))))</x:f>
        <x:v>循环闭合</x:v>
      </x:c>
      <x:c r="Q60" s="39" t="str">
        <x:v>掉落角色：按材料原类别投放 原用途：C06-SYN-EQ-02</x:v>
      </x:c>
    </x:row>
    <x:row r="61" ht="40" customHeight="1">
      <x:c r="A61" s="37" t="str">
        <x:v>EL-MAT-C06-Q04</x:v>
      </x:c>
      <x:c r="B61" s="38" t="str">
        <x:v>碎星仪仗钉</x:v>
      </x:c>
      <x:c r="C61" s="38" t="str">
        <x:v>材料</x:v>
      </x:c>
      <x:c r="D61" s="38" t="str">
        <x:v>守关BOSS证物</x:v>
      </x:c>
      <x:c r="E61" s="38" t="str">
        <x:v>C06</x:v>
      </x:c>
      <x:c r="F61" s="38" t="n">
        <x:v>955</x:v>
      </x:c>
      <x:c r="G61" s="38" t="n">
        <x:v>6446</x:v>
      </x:c>
      <x:c r="H61" s="38" t="str">
        <x:v>已正式入库</x:v>
      </x:c>
      <x:c r="I61" s="38" t="str">
        <x:v>可交易</x:v>
      </x:c>
      <x:c r="J61" s="38" t="str">
        <x:v>不作为自动回收主材</x:v>
      </x:c>
      <x:c r="K61" s="38" t="str">
        <x:v>产出实物默认不绑定，按现行材料脚本</x:v>
      </x:c>
      <x:c r="L61" s="38" t="str">
        <x:v>待经济反算</x:v>
      </x:c>
      <x:c r="M61" s="38" t="str">
        <x:v>材料编码数据库/十大陆NPC与配方V1.0</x:v>
      </x:c>
      <x:c r="N61" s="38" t="n">
        <x:f>COUNTIF('02_产出端'!$G$5:$G$600,A61)</x:f>
        <x:v>1</x:v>
      </x:c>
      <x:c r="O61" s="38" t="n">
        <x:f>COUNTIF('03_消耗端'!$E$5:$E$900,A61)</x:f>
        <x:v>1</x:v>
      </x:c>
      <x:c r="P61" s="38" t="str">
        <x:f>IF(C61="前置条件","条件",IF(AND(N61&gt;0,O61&gt;0),"循环闭合",IF(AND(N61&gt;0,OR(C61="装备",C61="装备/道具",C61="角色进度",C61="称号/进度",C61="系统结果")),"终端产物",IF(N61=0,"缺产出","缺消耗"))))</x:f>
        <x:v>循环闭合</x:v>
      </x:c>
      <x:c r="Q61" s="39" t="str">
        <x:v>掉落角色：按材料原类别投放 原用途：C06-SYN-EQ-03</x:v>
      </x:c>
    </x:row>
    <x:row r="62" ht="40" customHeight="1">
      <x:c r="A62" s="37" t="str">
        <x:v>EL-MAT-C07-Q01</x:v>
      </x:c>
      <x:c r="B62" s="38" t="str">
        <x:v>白金路标片</x:v>
      </x:c>
      <x:c r="C62" s="38" t="str">
        <x:v>材料</x:v>
      </x:c>
      <x:c r="D62" s="38" t="str">
        <x:v>普通怪证物</x:v>
      </x:c>
      <x:c r="E62" s="38" t="str">
        <x:v>C07</x:v>
      </x:c>
      <x:c r="F62" s="38" t="n">
        <x:v>956</x:v>
      </x:c>
      <x:c r="G62" s="38" t="n">
        <x:v>6447</x:v>
      </x:c>
      <x:c r="H62" s="38" t="str">
        <x:v>已正式入库</x:v>
      </x:c>
      <x:c r="I62" s="38" t="str">
        <x:v>可交易</x:v>
      </x:c>
      <x:c r="J62" s="38" t="str">
        <x:v>不作为自动回收主材</x:v>
      </x:c>
      <x:c r="K62" s="38" t="str">
        <x:v>产出实物默认不绑定，按现行材料脚本</x:v>
      </x:c>
      <x:c r="L62" s="38" t="str">
        <x:v>待经济反算</x:v>
      </x:c>
      <x:c r="M62" s="38" t="str">
        <x:v>材料编码数据库/十大陆NPC与配方V1.0</x:v>
      </x:c>
      <x:c r="N62" s="38" t="n">
        <x:f>COUNTIF('02_产出端'!$G$5:$G$600,A62)</x:f>
        <x:v>1</x:v>
      </x:c>
      <x:c r="O62" s="38" t="n">
        <x:f>COUNTIF('03_消耗端'!$E$5:$E$900,A62)</x:f>
        <x:v>1</x:v>
      </x:c>
      <x:c r="P62" s="38" t="str">
        <x:f>IF(C62="前置条件","条件",IF(AND(N62&gt;0,O62&gt;0),"循环闭合",IF(AND(N62&gt;0,OR(C62="装备",C62="装备/道具",C62="角色进度",C62="称号/进度",C62="系统结果")),"终端产物",IF(N62=0,"缺产出","缺消耗"))))</x:f>
        <x:v>循环闭合</x:v>
      </x:c>
      <x:c r="Q62" s="39" t="str">
        <x:v>掉落角色：按材料原类别投放 原用途：C07-SYN-EQ-01</x:v>
      </x:c>
    </x:row>
    <x:row r="63" ht="40" customHeight="1">
      <x:c r="A63" s="37" t="str">
        <x:v>EL-MAT-C07-Q02</x:v>
      </x:c>
      <x:c r="B63" s="38" t="str">
        <x:v>冻原银角</x:v>
      </x:c>
      <x:c r="C63" s="38" t="str">
        <x:v>材料</x:v>
      </x:c>
      <x:c r="D63" s="38" t="str">
        <x:v>精英证物</x:v>
      </x:c>
      <x:c r="E63" s="38" t="str">
        <x:v>C07</x:v>
      </x:c>
      <x:c r="F63" s="38" t="n">
        <x:v>957</x:v>
      </x:c>
      <x:c r="G63" s="38" t="n">
        <x:v>6448</x:v>
      </x:c>
      <x:c r="H63" s="38" t="str">
        <x:v>已正式入库</x:v>
      </x:c>
      <x:c r="I63" s="38" t="str">
        <x:v>可交易</x:v>
      </x:c>
      <x:c r="J63" s="38" t="str">
        <x:v>不作为自动回收主材</x:v>
      </x:c>
      <x:c r="K63" s="38" t="str">
        <x:v>产出实物默认不绑定，按现行材料脚本</x:v>
      </x:c>
      <x:c r="L63" s="38" t="str">
        <x:v>待经济反算</x:v>
      </x:c>
      <x:c r="M63" s="38" t="str">
        <x:v>材料编码数据库/十大陆NPC与配方V1.0</x:v>
      </x:c>
      <x:c r="N63" s="38" t="n">
        <x:f>COUNTIF('02_产出端'!$G$5:$G$600,A63)</x:f>
        <x:v>1</x:v>
      </x:c>
      <x:c r="O63" s="38" t="n">
        <x:f>COUNTIF('03_消耗端'!$E$5:$E$900,A63)</x:f>
        <x:v>1</x:v>
      </x:c>
      <x:c r="P63" s="38" t="str">
        <x:f>IF(C63="前置条件","条件",IF(AND(N63&gt;0,O63&gt;0),"循环闭合",IF(AND(N63&gt;0,OR(C63="装备",C63="装备/道具",C63="角色进度",C63="称号/进度",C63="系统结果")),"终端产物",IF(N63=0,"缺产出","缺消耗"))))</x:f>
        <x:v>循环闭合</x:v>
      </x:c>
      <x:c r="Q63" s="39" t="str">
        <x:v>掉落角色：按材料原类别投放 原用途：待配方／任务接入</x:v>
      </x:c>
    </x:row>
    <x:row r="64" ht="40" customHeight="1">
      <x:c r="A64" s="37" t="str">
        <x:v>EL-MAT-C07-Q03</x:v>
      </x:c>
      <x:c r="B64" s="38" t="str">
        <x:v>秘树霜芽</x:v>
      </x:c>
      <x:c r="C64" s="38" t="str">
        <x:v>材料</x:v>
      </x:c>
      <x:c r="D64" s="38" t="str">
        <x:v>地图BOSS证物</x:v>
      </x:c>
      <x:c r="E64" s="38" t="str">
        <x:v>C07</x:v>
      </x:c>
      <x:c r="F64" s="38" t="n">
        <x:v>958</x:v>
      </x:c>
      <x:c r="G64" s="38" t="n">
        <x:v>6449</x:v>
      </x:c>
      <x:c r="H64" s="38" t="str">
        <x:v>已正式入库</x:v>
      </x:c>
      <x:c r="I64" s="38" t="str">
        <x:v>可交易</x:v>
      </x:c>
      <x:c r="J64" s="38" t="str">
        <x:v>不作为自动回收主材</x:v>
      </x:c>
      <x:c r="K64" s="38" t="str">
        <x:v>产出实物默认不绑定，按现行材料脚本</x:v>
      </x:c>
      <x:c r="L64" s="38" t="str">
        <x:v>待经济反算</x:v>
      </x:c>
      <x:c r="M64" s="38" t="str">
        <x:v>材料编码数据库/十大陆NPC与配方V1.0</x:v>
      </x:c>
      <x:c r="N64" s="38" t="n">
        <x:f>COUNTIF('02_产出端'!$G$5:$G$600,A64)</x:f>
        <x:v>1</x:v>
      </x:c>
      <x:c r="O64" s="38" t="n">
        <x:f>COUNTIF('03_消耗端'!$E$5:$E$900,A64)</x:f>
        <x:v>2</x:v>
      </x:c>
      <x:c r="P64" s="38" t="str">
        <x:f>IF(C64="前置条件","条件",IF(AND(N64&gt;0,O64&gt;0),"循环闭合",IF(AND(N64&gt;0,OR(C64="装备",C64="装备/道具",C64="角色进度",C64="称号/进度",C64="系统结果")),"终端产物",IF(N64=0,"缺产出","缺消耗"))))</x:f>
        <x:v>循环闭合</x:v>
      </x:c>
      <x:c r="Q64" s="39" t="str">
        <x:v>掉落角色：按材料原类别投放 原用途：C07-SYN-EQ-02、C07-AOE-LV4</x:v>
      </x:c>
    </x:row>
    <x:row r="65" ht="40" customHeight="1">
      <x:c r="A65" s="37" t="str">
        <x:v>EL-MAT-C07-Q04</x:v>
      </x:c>
      <x:c r="B65" s="38" t="str">
        <x:v>圣雪门楔</x:v>
      </x:c>
      <x:c r="C65" s="38" t="str">
        <x:v>材料</x:v>
      </x:c>
      <x:c r="D65" s="38" t="str">
        <x:v>守关BOSS证物</x:v>
      </x:c>
      <x:c r="E65" s="38" t="str">
        <x:v>C07</x:v>
      </x:c>
      <x:c r="F65" s="38" t="n">
        <x:v>959</x:v>
      </x:c>
      <x:c r="G65" s="38" t="n">
        <x:v>6450</x:v>
      </x:c>
      <x:c r="H65" s="38" t="str">
        <x:v>已正式入库</x:v>
      </x:c>
      <x:c r="I65" s="38" t="str">
        <x:v>可交易</x:v>
      </x:c>
      <x:c r="J65" s="38" t="str">
        <x:v>不作为自动回收主材</x:v>
      </x:c>
      <x:c r="K65" s="38" t="str">
        <x:v>产出实物默认不绑定，按现行材料脚本</x:v>
      </x:c>
      <x:c r="L65" s="38" t="str">
        <x:v>待经济反算</x:v>
      </x:c>
      <x:c r="M65" s="38" t="str">
        <x:v>材料编码数据库/十大陆NPC与配方V1.0</x:v>
      </x:c>
      <x:c r="N65" s="38" t="n">
        <x:f>COUNTIF('02_产出端'!$G$5:$G$600,A65)</x:f>
        <x:v>1</x:v>
      </x:c>
      <x:c r="O65" s="38" t="n">
        <x:f>COUNTIF('03_消耗端'!$E$5:$E$900,A65)</x:f>
        <x:v>2</x:v>
      </x:c>
      <x:c r="P65" s="38" t="str">
        <x:f>IF(C65="前置条件","条件",IF(AND(N65&gt;0,O65&gt;0),"循环闭合",IF(AND(N65&gt;0,OR(C65="装备",C65="装备/道具",C65="角色进度",C65="称号/进度",C65="系统结果")),"终端产物",IF(N65=0,"缺产出","缺消耗"))))</x:f>
        <x:v>循环闭合</x:v>
      </x:c>
      <x:c r="Q65" s="39" t="str">
        <x:v>掉落角色：按材料原类别投放 原用途：C07-SYN-EQ-02、C07-SYN-TT-01</x:v>
      </x:c>
    </x:row>
    <x:row r="66" ht="40" customHeight="1">
      <x:c r="A66" s="37" t="str">
        <x:v>EL-MAT-C08-Q01</x:v>
      </x:c>
      <x:c r="B66" s="38" t="str">
        <x:v>登山铁楔</x:v>
      </x:c>
      <x:c r="C66" s="38" t="str">
        <x:v>材料</x:v>
      </x:c>
      <x:c r="D66" s="38" t="str">
        <x:v>普通怪证物</x:v>
      </x:c>
      <x:c r="E66" s="38" t="str">
        <x:v>C08</x:v>
      </x:c>
      <x:c r="F66" s="38" t="n">
        <x:v>960</x:v>
      </x:c>
      <x:c r="G66" s="38" t="n">
        <x:v>6451</x:v>
      </x:c>
      <x:c r="H66" s="38" t="str">
        <x:v>已正式入库</x:v>
      </x:c>
      <x:c r="I66" s="38" t="str">
        <x:v>可交易</x:v>
      </x:c>
      <x:c r="J66" s="38" t="str">
        <x:v>不作为自动回收主材</x:v>
      </x:c>
      <x:c r="K66" s="38" t="str">
        <x:v>产出实物默认不绑定，按现行材料脚本</x:v>
      </x:c>
      <x:c r="L66" s="38" t="str">
        <x:v>待经济反算</x:v>
      </x:c>
      <x:c r="M66" s="38" t="str">
        <x:v>材料编码数据库/十大陆NPC与配方V1.0</x:v>
      </x:c>
      <x:c r="N66" s="38" t="n">
        <x:f>COUNTIF('02_产出端'!$G$5:$G$600,A66)</x:f>
        <x:v>1</x:v>
      </x:c>
      <x:c r="O66" s="38" t="n">
        <x:f>COUNTIF('03_消耗端'!$E$5:$E$900,A66)</x:f>
        <x:v>1</x:v>
      </x:c>
      <x:c r="P66" s="38" t="str">
        <x:f>IF(C66="前置条件","条件",IF(AND(N66&gt;0,O66&gt;0),"循环闭合",IF(AND(N66&gt;0,OR(C66="装备",C66="装备/道具",C66="角色进度",C66="称号/进度",C66="系统结果")),"终端产物",IF(N66=0,"缺产出","缺消耗"))))</x:f>
        <x:v>循环闭合</x:v>
      </x:c>
      <x:c r="Q66" s="39" t="str">
        <x:v>掉落角色：按材料原类别投放 原用途：C08-SYN-EQ-01</x:v>
      </x:c>
    </x:row>
    <x:row r="67" ht="40" customHeight="1">
      <x:c r="A67" s="37" t="str">
        <x:v>EL-MAT-C08-Q02</x:v>
      </x:c>
      <x:c r="B67" s="38" t="str">
        <x:v>裂峰号角片</x:v>
      </x:c>
      <x:c r="C67" s="38" t="str">
        <x:v>材料</x:v>
      </x:c>
      <x:c r="D67" s="38" t="str">
        <x:v>精英证物</x:v>
      </x:c>
      <x:c r="E67" s="38" t="str">
        <x:v>C08</x:v>
      </x:c>
      <x:c r="F67" s="38" t="n">
        <x:v>961</x:v>
      </x:c>
      <x:c r="G67" s="38" t="n">
        <x:v>6452</x:v>
      </x:c>
      <x:c r="H67" s="38" t="str">
        <x:v>已正式入库</x:v>
      </x:c>
      <x:c r="I67" s="38" t="str">
        <x:v>可交易</x:v>
      </x:c>
      <x:c r="J67" s="38" t="str">
        <x:v>不作为自动回收主材</x:v>
      </x:c>
      <x:c r="K67" s="38" t="str">
        <x:v>产出实物默认不绑定，按现行材料脚本</x:v>
      </x:c>
      <x:c r="L67" s="38" t="str">
        <x:v>待经济反算</x:v>
      </x:c>
      <x:c r="M67" s="38" t="str">
        <x:v>材料编码数据库/十大陆NPC与配方V1.0</x:v>
      </x:c>
      <x:c r="N67" s="38" t="n">
        <x:f>COUNTIF('02_产出端'!$G$5:$G$600,A67)</x:f>
        <x:v>1</x:v>
      </x:c>
      <x:c r="O67" s="38" t="n">
        <x:f>COUNTIF('03_消耗端'!$E$5:$E$900,A67)</x:f>
        <x:v>6</x:v>
      </x:c>
      <x:c r="P67" s="38" t="str">
        <x:f>IF(C67="前置条件","条件",IF(AND(N67&gt;0,O67&gt;0),"循环闭合",IF(AND(N67&gt;0,OR(C67="装备",C67="装备/道具",C67="角色进度",C67="称号/进度",C67="系统结果")),"终端产物",IF(N67=0,"缺产出","缺消耗"))))</x:f>
        <x:v>循环闭合</x:v>
      </x:c>
      <x:c r="Q67" s="39" t="str">
        <x:v>掉落角色：按材料原类别投放 原用途：C08-SYN-EQ-02、C08-REBIRTH-11、C08-REBIRTH-12、C08-REBIRTH-13、C08-REBIRTH-14、C08-REBIRTH-15</x:v>
      </x:c>
    </x:row>
    <x:row r="68" ht="40" customHeight="1">
      <x:c r="A68" s="37" t="str">
        <x:v>EL-MAT-C08-Q03</x:v>
      </x:c>
      <x:c r="B68" s="38" t="str">
        <x:v>冰宫守门铃</x:v>
      </x:c>
      <x:c r="C68" s="38" t="str">
        <x:v>材料</x:v>
      </x:c>
      <x:c r="D68" s="38" t="str">
        <x:v>地图BOSS证物</x:v>
      </x:c>
      <x:c r="E68" s="38" t="str">
        <x:v>C08</x:v>
      </x:c>
      <x:c r="F68" s="38" t="n">
        <x:v>962</x:v>
      </x:c>
      <x:c r="G68" s="38" t="n">
        <x:v>6453</x:v>
      </x:c>
      <x:c r="H68" s="38" t="str">
        <x:v>已正式入库</x:v>
      </x:c>
      <x:c r="I68" s="38" t="str">
        <x:v>可交易</x:v>
      </x:c>
      <x:c r="J68" s="38" t="str">
        <x:v>不作为自动回收主材</x:v>
      </x:c>
      <x:c r="K68" s="38" t="str">
        <x:v>产出实物默认不绑定，按现行材料脚本</x:v>
      </x:c>
      <x:c r="L68" s="38" t="str">
        <x:v>待经济反算</x:v>
      </x:c>
      <x:c r="M68" s="38" t="str">
        <x:v>材料编码数据库/十大陆NPC与配方V1.0</x:v>
      </x:c>
      <x:c r="N68" s="38" t="n">
        <x:f>COUNTIF('02_产出端'!$G$5:$G$600,A68)</x:f>
        <x:v>1</x:v>
      </x:c>
      <x:c r="O68" s="38" t="n">
        <x:f>COUNTIF('03_消耗端'!$E$5:$E$900,A68)</x:f>
        <x:v>1</x:v>
      </x:c>
      <x:c r="P68" s="38" t="str">
        <x:f>IF(C68="前置条件","条件",IF(AND(N68&gt;0,O68&gt;0),"循环闭合",IF(AND(N68&gt;0,OR(C68="装备",C68="装备/道具",C68="角色进度",C68="称号/进度",C68="系统结果")),"终端产物",IF(N68=0,"缺产出","缺消耗"))))</x:f>
        <x:v>循环闭合</x:v>
      </x:c>
      <x:c r="Q68" s="39" t="str">
        <x:v>掉落角色：按材料原类别投放 原用途：C08-SYN-EQ-02</x:v>
      </x:c>
    </x:row>
    <x:row r="69" ht="40" customHeight="1">
      <x:c r="A69" s="37" t="str">
        <x:v>EL-MAT-C08-Q04</x:v>
      </x:c>
      <x:c r="B69" s="38" t="str">
        <x:v>王庭炉冠</x:v>
      </x:c>
      <x:c r="C69" s="38" t="str">
        <x:v>材料</x:v>
      </x:c>
      <x:c r="D69" s="38" t="str">
        <x:v>守关BOSS证物</x:v>
      </x:c>
      <x:c r="E69" s="38" t="str">
        <x:v>C08</x:v>
      </x:c>
      <x:c r="F69" s="38" t="n">
        <x:v>963</x:v>
      </x:c>
      <x:c r="G69" s="38" t="n">
        <x:v>6454</x:v>
      </x:c>
      <x:c r="H69" s="38" t="str">
        <x:v>已正式入库</x:v>
      </x:c>
      <x:c r="I69" s="38" t="str">
        <x:v>可交易</x:v>
      </x:c>
      <x:c r="J69" s="38" t="str">
        <x:v>不作为自动回收主材</x:v>
      </x:c>
      <x:c r="K69" s="38" t="str">
        <x:v>产出实物默认不绑定，按现行材料脚本</x:v>
      </x:c>
      <x:c r="L69" s="38" t="str">
        <x:v>待经济反算</x:v>
      </x:c>
      <x:c r="M69" s="38" t="str">
        <x:v>材料编码数据库/十大陆NPC与配方V1.0</x:v>
      </x:c>
      <x:c r="N69" s="38" t="n">
        <x:f>COUNTIF('02_产出端'!$G$5:$G$600,A69)</x:f>
        <x:v>1</x:v>
      </x:c>
      <x:c r="O69" s="38" t="n">
        <x:f>COUNTIF('03_消耗端'!$E$5:$E$900,A69)</x:f>
        <x:v>1</x:v>
      </x:c>
      <x:c r="P69" s="38" t="str">
        <x:f>IF(C69="前置条件","条件",IF(AND(N69&gt;0,O69&gt;0),"循环闭合",IF(AND(N69&gt;0,OR(C69="装备",C69="装备/道具",C69="角色进度",C69="称号/进度",C69="系统结果")),"终端产物",IF(N69=0,"缺产出","缺消耗"))))</x:f>
        <x:v>循环闭合</x:v>
      </x:c>
      <x:c r="Q69" s="39" t="str">
        <x:v>掉落角色：按材料原类别投放 原用途：C08-SYN-EQ-03</x:v>
      </x:c>
    </x:row>
    <x:row r="70" ht="40" customHeight="1">
      <x:c r="A70" s="37" t="str">
        <x:v>EL-MAT-C09-Q01</x:v>
      </x:c>
      <x:c r="B70" s="38" t="str">
        <x:v>金叶驿票</x:v>
      </x:c>
      <x:c r="C70" s="38" t="str">
        <x:v>材料</x:v>
      </x:c>
      <x:c r="D70" s="38" t="str">
        <x:v>普通怪证物</x:v>
      </x:c>
      <x:c r="E70" s="38" t="str">
        <x:v>C09</x:v>
      </x:c>
      <x:c r="F70" s="38" t="n">
        <x:v>964</x:v>
      </x:c>
      <x:c r="G70" s="38" t="n">
        <x:v>6455</x:v>
      </x:c>
      <x:c r="H70" s="38" t="str">
        <x:v>已正式入库</x:v>
      </x:c>
      <x:c r="I70" s="38" t="str">
        <x:v>可交易</x:v>
      </x:c>
      <x:c r="J70" s="38" t="str">
        <x:v>不作为自动回收主材</x:v>
      </x:c>
      <x:c r="K70" s="38" t="str">
        <x:v>产出实物默认不绑定，按现行材料脚本</x:v>
      </x:c>
      <x:c r="L70" s="38" t="str">
        <x:v>待经济反算</x:v>
      </x:c>
      <x:c r="M70" s="38" t="str">
        <x:v>材料编码数据库/十大陆NPC与配方V1.0</x:v>
      </x:c>
      <x:c r="N70" s="38" t="n">
        <x:f>COUNTIF('02_产出端'!$G$5:$G$600,A70)</x:f>
        <x:v>1</x:v>
      </x:c>
      <x:c r="O70" s="38" t="n">
        <x:f>COUNTIF('03_消耗端'!$E$5:$E$900,A70)</x:f>
        <x:v>1</x:v>
      </x:c>
      <x:c r="P70" s="38" t="str">
        <x:f>IF(C70="前置条件","条件",IF(AND(N70&gt;0,O70&gt;0),"循环闭合",IF(AND(N70&gt;0,OR(C70="装备",C70="装备/道具",C70="角色进度",C70="称号/进度",C70="系统结果")),"终端产物",IF(N70=0,"缺产出","缺消耗"))))</x:f>
        <x:v>循环闭合</x:v>
      </x:c>
      <x:c r="Q70" s="39" t="str">
        <x:v>掉落角色：按材料原类别投放 原用途：待配方／任务接入</x:v>
      </x:c>
    </x:row>
    <x:row r="71" ht="40" customHeight="1">
      <x:c r="A71" s="37" t="str">
        <x:v>EL-MAT-C09-Q02</x:v>
      </x:c>
      <x:c r="B71" s="38" t="str">
        <x:v>矿脉灯芯</x:v>
      </x:c>
      <x:c r="C71" s="38" t="str">
        <x:v>材料</x:v>
      </x:c>
      <x:c r="D71" s="38" t="str">
        <x:v>精英证物</x:v>
      </x:c>
      <x:c r="E71" s="38" t="str">
        <x:v>C09</x:v>
      </x:c>
      <x:c r="F71" s="38" t="n">
        <x:v>965</x:v>
      </x:c>
      <x:c r="G71" s="38" t="n">
        <x:v>6456</x:v>
      </x:c>
      <x:c r="H71" s="38" t="str">
        <x:v>已正式入库</x:v>
      </x:c>
      <x:c r="I71" s="38" t="str">
        <x:v>可交易</x:v>
      </x:c>
      <x:c r="J71" s="38" t="str">
        <x:v>不作为自动回收主材</x:v>
      </x:c>
      <x:c r="K71" s="38" t="str">
        <x:v>产出实物默认不绑定，按现行材料脚本</x:v>
      </x:c>
      <x:c r="L71" s="38" t="str">
        <x:v>待经济反算</x:v>
      </x:c>
      <x:c r="M71" s="38" t="str">
        <x:v>材料编码数据库/十大陆NPC与配方V1.0</x:v>
      </x:c>
      <x:c r="N71" s="38" t="n">
        <x:f>COUNTIF('02_产出端'!$G$5:$G$600,A71)</x:f>
        <x:v>1</x:v>
      </x:c>
      <x:c r="O71" s="38" t="n">
        <x:f>COUNTIF('03_消耗端'!$E$5:$E$900,A71)</x:f>
        <x:v>1</x:v>
      </x:c>
      <x:c r="P71" s="38" t="str">
        <x:f>IF(C71="前置条件","条件",IF(AND(N71&gt;0,O71&gt;0),"循环闭合",IF(AND(N71&gt;0,OR(C71="装备",C71="装备/道具",C71="角色进度",C71="称号/进度",C71="系统结果")),"终端产物",IF(N71=0,"缺产出","缺消耗"))))</x:f>
        <x:v>循环闭合</x:v>
      </x:c>
      <x:c r="Q71" s="39" t="str">
        <x:v>掉落角色：按材料原类别投放 原用途：待配方／任务接入</x:v>
      </x:c>
    </x:row>
    <x:row r="72" ht="40" customHeight="1">
      <x:c r="A72" s="37" t="str">
        <x:v>EL-MAT-C09-Q03</x:v>
      </x:c>
      <x:c r="B72" s="38" t="str">
        <x:v>裁文蜡封</x:v>
      </x:c>
      <x:c r="C72" s="38" t="str">
        <x:v>材料</x:v>
      </x:c>
      <x:c r="D72" s="38" t="str">
        <x:v>地图BOSS证物</x:v>
      </x:c>
      <x:c r="E72" s="38" t="str">
        <x:v>C09</x:v>
      </x:c>
      <x:c r="F72" s="38" t="n">
        <x:v>966</x:v>
      </x:c>
      <x:c r="G72" s="38" t="n">
        <x:v>6457</x:v>
      </x:c>
      <x:c r="H72" s="38" t="str">
        <x:v>已正式入库</x:v>
      </x:c>
      <x:c r="I72" s="38" t="str">
        <x:v>可交易</x:v>
      </x:c>
      <x:c r="J72" s="38" t="str">
        <x:v>不作为自动回收主材</x:v>
      </x:c>
      <x:c r="K72" s="38" t="str">
        <x:v>产出实物默认不绑定，按现行材料脚本</x:v>
      </x:c>
      <x:c r="L72" s="38" t="str">
        <x:v>待经济反算</x:v>
      </x:c>
      <x:c r="M72" s="38" t="str">
        <x:v>材料编码数据库/十大陆NPC与配方V1.0</x:v>
      </x:c>
      <x:c r="N72" s="38" t="n">
        <x:f>COUNTIF('02_产出端'!$G$5:$G$600,A72)</x:f>
        <x:v>1</x:v>
      </x:c>
      <x:c r="O72" s="38" t="n">
        <x:f>COUNTIF('03_消耗端'!$E$5:$E$900,A72)</x:f>
        <x:v>2</x:v>
      </x:c>
      <x:c r="P72" s="38" t="str">
        <x:f>IF(C72="前置条件","条件",IF(AND(N72&gt;0,O72&gt;0),"循环闭合",IF(AND(N72&gt;0,OR(C72="装备",C72="装备/道具",C72="角色进度",C72="称号/进度",C72="系统结果")),"终端产物",IF(N72=0,"缺产出","缺消耗"))))</x:f>
        <x:v>循环闭合</x:v>
      </x:c>
      <x:c r="Q72" s="39" t="str">
        <x:v>掉落角色：按材料原类别投放 原用途：C09-SYN-EQ-01、C09-AOE-LV5</x:v>
      </x:c>
    </x:row>
    <x:row r="73" ht="40" customHeight="1">
      <x:c r="A73" s="37" t="str">
        <x:v>EL-MAT-C09-Q04</x:v>
      </x:c>
      <x:c r="B73" s="38" t="str">
        <x:v>高原王诏金版</x:v>
      </x:c>
      <x:c r="C73" s="38" t="str">
        <x:v>材料</x:v>
      </x:c>
      <x:c r="D73" s="38" t="str">
        <x:v>守关BOSS证物</x:v>
      </x:c>
      <x:c r="E73" s="38" t="str">
        <x:v>C09</x:v>
      </x:c>
      <x:c r="F73" s="38" t="n">
        <x:v>967</x:v>
      </x:c>
      <x:c r="G73" s="38" t="n">
        <x:v>6458</x:v>
      </x:c>
      <x:c r="H73" s="38" t="str">
        <x:v>已正式入库</x:v>
      </x:c>
      <x:c r="I73" s="38" t="str">
        <x:v>可交易</x:v>
      </x:c>
      <x:c r="J73" s="38" t="str">
        <x:v>不作为自动回收主材</x:v>
      </x:c>
      <x:c r="K73" s="38" t="str">
        <x:v>产出实物默认不绑定，按现行材料脚本</x:v>
      </x:c>
      <x:c r="L73" s="38" t="str">
        <x:v>待经济反算</x:v>
      </x:c>
      <x:c r="M73" s="38" t="str">
        <x:v>材料编码数据库/十大陆NPC与配方V1.0</x:v>
      </x:c>
      <x:c r="N73" s="38" t="n">
        <x:f>COUNTIF('02_产出端'!$G$5:$G$600,A73)</x:f>
        <x:v>1</x:v>
      </x:c>
      <x:c r="O73" s="38" t="n">
        <x:f>COUNTIF('03_消耗端'!$E$5:$E$900,A73)</x:f>
        <x:v>2</x:v>
      </x:c>
      <x:c r="P73" s="38" t="str">
        <x:f>IF(C73="前置条件","条件",IF(AND(N73&gt;0,O73&gt;0),"循环闭合",IF(AND(N73&gt;0,OR(C73="装备",C73="装备/道具",C73="角色进度",C73="称号/进度",C73="系统结果")),"终端产物",IF(N73=0,"缺产出","缺消耗"))))</x:f>
        <x:v>循环闭合</x:v>
      </x:c>
      <x:c r="Q73" s="39" t="str">
        <x:v>掉落角色：按材料原类别投放 原用途：C09-SYN-EQ-02、C09-SYN-TT-01</x:v>
      </x:c>
    </x:row>
    <x:row r="74" ht="40" customHeight="1">
      <x:c r="A74" s="37" t="str">
        <x:v>EL-MAT-C10-Q01</x:v>
      </x:c>
      <x:c r="B74" s="38" t="str">
        <x:v>无名墓钉</x:v>
      </x:c>
      <x:c r="C74" s="38" t="str">
        <x:v>材料</x:v>
      </x:c>
      <x:c r="D74" s="38" t="str">
        <x:v>普通怪证物</x:v>
      </x:c>
      <x:c r="E74" s="38" t="str">
        <x:v>C10</x:v>
      </x:c>
      <x:c r="F74" s="38" t="n">
        <x:v>968</x:v>
      </x:c>
      <x:c r="G74" s="38" t="n">
        <x:v>6459</x:v>
      </x:c>
      <x:c r="H74" s="38" t="str">
        <x:v>已正式入库</x:v>
      </x:c>
      <x:c r="I74" s="38" t="str">
        <x:v>可交易</x:v>
      </x:c>
      <x:c r="J74" s="38" t="str">
        <x:v>不作为自动回收主材</x:v>
      </x:c>
      <x:c r="K74" s="38" t="str">
        <x:v>产出实物默认不绑定，按现行材料脚本</x:v>
      </x:c>
      <x:c r="L74" s="38" t="str">
        <x:v>待经济反算</x:v>
      </x:c>
      <x:c r="M74" s="38" t="str">
        <x:v>材料编码数据库/十大陆NPC与配方V1.0</x:v>
      </x:c>
      <x:c r="N74" s="38" t="n">
        <x:f>COUNTIF('02_产出端'!$G$5:$G$600,A74)</x:f>
        <x:v>1</x:v>
      </x:c>
      <x:c r="O74" s="38" t="n">
        <x:f>COUNTIF('03_消耗端'!$E$5:$E$900,A74)</x:f>
        <x:v>1</x:v>
      </x:c>
      <x:c r="P74" s="38" t="str">
        <x:f>IF(C74="前置条件","条件",IF(AND(N74&gt;0,O74&gt;0),"循环闭合",IF(AND(N74&gt;0,OR(C74="装备",C74="装备/道具",C74="角色进度",C74="称号/进度",C74="系统结果")),"终端产物",IF(N74=0,"缺产出","缺消耗"))))</x:f>
        <x:v>循环闭合</x:v>
      </x:c>
      <x:c r="Q74" s="39" t="str">
        <x:v>掉落角色：按材料原类别投放 原用途：C10-SYN-EQ-02</x:v>
      </x:c>
    </x:row>
    <x:row r="75" ht="40" customHeight="1">
      <x:c r="A75" s="37" t="str">
        <x:v>EL-MAT-C10-Q02</x:v>
      </x:c>
      <x:c r="B75" s="38" t="str">
        <x:v>旧渠阀芯</x:v>
      </x:c>
      <x:c r="C75" s="38" t="str">
        <x:v>材料</x:v>
      </x:c>
      <x:c r="D75" s="38" t="str">
        <x:v>精英证物</x:v>
      </x:c>
      <x:c r="E75" s="38" t="str">
        <x:v>C10</x:v>
      </x:c>
      <x:c r="F75" s="38" t="n">
        <x:v>969</x:v>
      </x:c>
      <x:c r="G75" s="38" t="n">
        <x:v>6460</x:v>
      </x:c>
      <x:c r="H75" s="38" t="str">
        <x:v>已正式入库</x:v>
      </x:c>
      <x:c r="I75" s="38" t="str">
        <x:v>可交易</x:v>
      </x:c>
      <x:c r="J75" s="38" t="str">
        <x:v>不作为自动回收主材</x:v>
      </x:c>
      <x:c r="K75" s="38" t="str">
        <x:v>产出实物默认不绑定，按现行材料脚本</x:v>
      </x:c>
      <x:c r="L75" s="38" t="str">
        <x:v>待经济反算</x:v>
      </x:c>
      <x:c r="M75" s="38" t="str">
        <x:v>材料编码数据库/十大陆NPC与配方V1.0</x:v>
      </x:c>
      <x:c r="N75" s="38" t="n">
        <x:f>COUNTIF('02_产出端'!$G$5:$G$600,A75)</x:f>
        <x:v>1</x:v>
      </x:c>
      <x:c r="O75" s="38" t="n">
        <x:f>COUNTIF('03_消耗端'!$E$5:$E$900,A75)</x:f>
        <x:v>1</x:v>
      </x:c>
      <x:c r="P75" s="38" t="str">
        <x:f>IF(C75="前置条件","条件",IF(AND(N75&gt;0,O75&gt;0),"循环闭合",IF(AND(N75&gt;0,OR(C75="装备",C75="装备/道具",C75="角色进度",C75="称号/进度",C75="系统结果")),"终端产物",IF(N75=0,"缺产出","缺消耗"))))</x:f>
        <x:v>循环闭合</x:v>
      </x:c>
      <x:c r="Q75" s="39" t="str">
        <x:v>掉落角色：按材料原类别投放 原用途：C10-SYN-EQ-03</x:v>
      </x:c>
    </x:row>
    <x:row r="76" ht="40" customHeight="1">
      <x:c r="A76" s="37" t="str">
        <x:v>EL-MAT-C10-Q03</x:v>
      </x:c>
      <x:c r="B76" s="38" t="str">
        <x:v>失温熔炉楔</x:v>
      </x:c>
      <x:c r="C76" s="38" t="str">
        <x:v>材料</x:v>
      </x:c>
      <x:c r="D76" s="38" t="str">
        <x:v>地图BOSS证物</x:v>
      </x:c>
      <x:c r="E76" s="38" t="str">
        <x:v>C10</x:v>
      </x:c>
      <x:c r="F76" s="38" t="n">
        <x:v>970</x:v>
      </x:c>
      <x:c r="G76" s="38" t="n">
        <x:v>6461</x:v>
      </x:c>
      <x:c r="H76" s="38" t="str">
        <x:v>已正式入库</x:v>
      </x:c>
      <x:c r="I76" s="38" t="str">
        <x:v>可交易</x:v>
      </x:c>
      <x:c r="J76" s="38" t="str">
        <x:v>不作为自动回收主材</x:v>
      </x:c>
      <x:c r="K76" s="38" t="str">
        <x:v>产出实物默认不绑定，按现行材料脚本</x:v>
      </x:c>
      <x:c r="L76" s="38" t="str">
        <x:v>待经济反算</x:v>
      </x:c>
      <x:c r="M76" s="38" t="str">
        <x:v>材料编码数据库/十大陆NPC与配方V1.0</x:v>
      </x:c>
      <x:c r="N76" s="38" t="n">
        <x:f>COUNTIF('02_产出端'!$G$5:$G$600,A76)</x:f>
        <x:v>1</x:v>
      </x:c>
      <x:c r="O76" s="38" t="n">
        <x:f>COUNTIF('03_消耗端'!$E$5:$E$900,A76)</x:f>
        <x:v>2</x:v>
      </x:c>
      <x:c r="P76" s="38" t="str">
        <x:f>IF(C76="前置条件","条件",IF(AND(N76&gt;0,O76&gt;0),"循环闭合",IF(AND(N76&gt;0,OR(C76="装备",C76="装备/道具",C76="角色进度",C76="称号/进度",C76="系统结果")),"终端产物",IF(N76=0,"缺产出","缺消耗"))))</x:f>
        <x:v>循环闭合</x:v>
      </x:c>
      <x:c r="Q76" s="39" t="str">
        <x:v>掉落角色：按材料原类别投放 原用途：C10-SYN-EQ-03</x:v>
      </x:c>
    </x:row>
    <x:row r="77" ht="40" customHeight="1">
      <x:c r="A77" s="37" t="str">
        <x:v>EL-MAT-C10-Q04</x:v>
      </x:c>
      <x:c r="B77" s="38" t="str">
        <x:v>王宫断冠片</x:v>
      </x:c>
      <x:c r="C77" s="38" t="str">
        <x:v>材料</x:v>
      </x:c>
      <x:c r="D77" s="38" t="str">
        <x:v>守关BOSS证物</x:v>
      </x:c>
      <x:c r="E77" s="38" t="str">
        <x:v>C10</x:v>
      </x:c>
      <x:c r="F77" s="38" t="n">
        <x:v>971</x:v>
      </x:c>
      <x:c r="G77" s="38" t="n">
        <x:v>6462</x:v>
      </x:c>
      <x:c r="H77" s="38" t="str">
        <x:v>已正式入库</x:v>
      </x:c>
      <x:c r="I77" s="38" t="str">
        <x:v>可交易</x:v>
      </x:c>
      <x:c r="J77" s="38" t="str">
        <x:v>不作为自动回收主材</x:v>
      </x:c>
      <x:c r="K77" s="38" t="str">
        <x:v>产出实物默认不绑定，按现行材料脚本</x:v>
      </x:c>
      <x:c r="L77" s="38" t="str">
        <x:v>待经济反算</x:v>
      </x:c>
      <x:c r="M77" s="38" t="str">
        <x:v>材料编码数据库/十大陆NPC与配方V1.0</x:v>
      </x:c>
      <x:c r="N77" s="38" t="n">
        <x:f>COUNTIF('02_产出端'!$G$5:$G$600,A77)</x:f>
        <x:v>1</x:v>
      </x:c>
      <x:c r="O77" s="38" t="n">
        <x:f>COUNTIF('03_消耗端'!$E$5:$E$900,A77)</x:f>
        <x:v>7</x:v>
      </x:c>
      <x:c r="P77" s="38" t="str">
        <x:f>IF(C77="前置条件","条件",IF(AND(N77&gt;0,O77&gt;0),"循环闭合",IF(AND(N77&gt;0,OR(C77="装备",C77="装备/道具",C77="角色进度",C77="称号/进度",C77="系统结果")),"终端产物",IF(N77=0,"缺产出","缺消耗"))))</x:f>
        <x:v>循环闭合</x:v>
      </x:c>
      <x:c r="Q77" s="39" t="str">
        <x:v>掉落角色：按材料原类别投放 原用途：C10-SYN-EQ-01、C10-SYN-TT-01、C10-REBIRTH-16、C10-REBIRTH-17、C10-REBIRTH-18、C10-REBIRTH-19、C10-REBIRTH-20</x:v>
      </x:c>
    </x:row>
    <x:row r="78" ht="40" customHeight="1">
      <x:c r="A78" s="37" t="str">
        <x:v>EL-MAT-C03-COLLECT</x:v>
      </x:c>
      <x:c r="B78" s="38" t="str">
        <x:v>西境风痕碑拓</x:v>
      </x:c>
      <x:c r="C78" s="38" t="str">
        <x:v>材料</x:v>
      </x:c>
      <x:c r="D78" s="38" t="str">
        <x:v>大陆收藏材料</x:v>
      </x:c>
      <x:c r="E78" s="38" t="str">
        <x:v>C03</x:v>
      </x:c>
      <x:c r="F78" s="38" t="n">
        <x:v>972</x:v>
      </x:c>
      <x:c r="G78" s="38" t="n">
        <x:v>7218</x:v>
      </x:c>
      <x:c r="H78" s="38" t="str">
        <x:v>隔离测试库已回读；正式生产写入与游戏内显示待验收</x:v>
      </x:c>
      <x:c r="I78" s="38" t="str">
        <x:v>可交易</x:v>
      </x:c>
      <x:c r="J78" s="38" t="str">
        <x:v>禁止普通回收</x:v>
      </x:c>
      <x:c r="K78" s="38" t="str">
        <x:v>产出实物默认不绑定，按现行材料脚本</x:v>
      </x:c>
      <x:c r="L78" s="38" t="str">
        <x:v>待经济反算</x:v>
      </x:c>
      <x:c r="M78" s="38" t="str">
        <x:v>远端六份核心档案V1.2</x:v>
      </x:c>
      <x:c r="N78" s="38" t="n">
        <x:f>COUNTIF('02_产出端'!$G$5:$G$600,A78)</x:f>
        <x:v>1</x:v>
      </x:c>
      <x:c r="O78" s="38" t="n">
        <x:f>COUNTIF('03_消耗端'!$E$5:$E$900,A78)</x:f>
        <x:v>1</x:v>
      </x:c>
      <x:c r="P78" s="38" t="str">
        <x:f>IF(C78="前置条件","条件",IF(AND(N78&gt;0,O78&gt;0),"循环闭合",IF(AND(N78&gt;0,OR(C78="装备",C78="装备/道具",C78="角色进度",C78="称号/进度",C78="系统结果")),"终端产物",IF(N78=0,"缺产出","缺消耗"))))</x:f>
        <x:v>循环闭合</x:v>
      </x:c>
      <x:c r="Q78" s="39" t="str">
        <x:v>掉落角色：本大陆所有怪物共用极低概率掉落 原用途：图鉴页面登记时消耗1件 V1.0材料角色表与同名V1.2来源表仍显示Looks待分配；按最新六档案覆盖为7218。</x:v>
      </x:c>
    </x:row>
    <x:row r="79" ht="40" customHeight="1">
      <x:c r="A79" s="37" t="str">
        <x:v>EL-MAT-C04-COLLECT</x:v>
      </x:c>
      <x:c r="B79" s="38" t="str">
        <x:v>月潮忆珀</x:v>
      </x:c>
      <x:c r="C79" s="38" t="str">
        <x:v>材料</x:v>
      </x:c>
      <x:c r="D79" s="38" t="str">
        <x:v>大陆收藏材料</x:v>
      </x:c>
      <x:c r="E79" s="38" t="str">
        <x:v>C04</x:v>
      </x:c>
      <x:c r="F79" s="38" t="n">
        <x:v>973</x:v>
      </x:c>
      <x:c r="G79" s="38" t="n">
        <x:v>7219</x:v>
      </x:c>
      <x:c r="H79" s="38" t="str">
        <x:v>隔离测试库已回读；正式生产写入与游戏内显示待验收</x:v>
      </x:c>
      <x:c r="I79" s="38" t="str">
        <x:v>可交易</x:v>
      </x:c>
      <x:c r="J79" s="38" t="str">
        <x:v>禁止普通回收</x:v>
      </x:c>
      <x:c r="K79" s="38" t="str">
        <x:v>产出实物默认不绑定，按现行材料脚本</x:v>
      </x:c>
      <x:c r="L79" s="38" t="str">
        <x:v>待经济反算</x:v>
      </x:c>
      <x:c r="M79" s="38" t="str">
        <x:v>远端六份核心档案V1.2</x:v>
      </x:c>
      <x:c r="N79" s="38" t="n">
        <x:f>COUNTIF('02_产出端'!$G$5:$G$600,A79)</x:f>
        <x:v>1</x:v>
      </x:c>
      <x:c r="O79" s="38" t="n">
        <x:f>COUNTIF('03_消耗端'!$E$5:$E$900,A79)</x:f>
        <x:v>1</x:v>
      </x:c>
      <x:c r="P79" s="38" t="str">
        <x:f>IF(C79="前置条件","条件",IF(AND(N79&gt;0,O79&gt;0),"循环闭合",IF(AND(N79&gt;0,OR(C79="装备",C79="装备/道具",C79="角色进度",C79="称号/进度",C79="系统结果")),"终端产物",IF(N79=0,"缺产出","缺消耗"))))</x:f>
        <x:v>循环闭合</x:v>
      </x:c>
      <x:c r="Q79" s="39" t="str">
        <x:v>掉落角色：本大陆所有怪物共用极低概率掉落 原用途：图鉴页面登记时消耗1件 V1.0材料角色表与同名V1.2来源表仍显示Looks待分配；按最新六档案覆盖为7219。</x:v>
      </x:c>
    </x:row>
    <x:row r="80" ht="40" customHeight="1">
      <x:c r="A80" s="37" t="str">
        <x:v>EL-MAT-C05-COLLECT</x:v>
      </x:c>
      <x:c r="B80" s="38" t="str">
        <x:v>湖心月谱残章</x:v>
      </x:c>
      <x:c r="C80" s="38" t="str">
        <x:v>材料</x:v>
      </x:c>
      <x:c r="D80" s="38" t="str">
        <x:v>大陆收藏材料</x:v>
      </x:c>
      <x:c r="E80" s="38" t="str">
        <x:v>C05</x:v>
      </x:c>
      <x:c r="F80" s="38" t="n">
        <x:v>974</x:v>
      </x:c>
      <x:c r="G80" s="38" t="n">
        <x:v>7220</x:v>
      </x:c>
      <x:c r="H80" s="38" t="str">
        <x:v>隔离测试库已回读；正式生产写入与游戏内显示待验收</x:v>
      </x:c>
      <x:c r="I80" s="38" t="str">
        <x:v>可交易</x:v>
      </x:c>
      <x:c r="J80" s="38" t="str">
        <x:v>禁止普通回收</x:v>
      </x:c>
      <x:c r="K80" s="38" t="str">
        <x:v>产出实物默认不绑定，按现行材料脚本</x:v>
      </x:c>
      <x:c r="L80" s="38" t="str">
        <x:v>待经济反算</x:v>
      </x:c>
      <x:c r="M80" s="38" t="str">
        <x:v>远端六份核心档案V1.2</x:v>
      </x:c>
      <x:c r="N80" s="38" t="n">
        <x:f>COUNTIF('02_产出端'!$G$5:$G$600,A80)</x:f>
        <x:v>1</x:v>
      </x:c>
      <x:c r="O80" s="38" t="n">
        <x:f>COUNTIF('03_消耗端'!$E$5:$E$900,A80)</x:f>
        <x:v>1</x:v>
      </x:c>
      <x:c r="P80" s="38" t="str">
        <x:f>IF(C80="前置条件","条件",IF(AND(N80&gt;0,O80&gt;0),"循环闭合",IF(AND(N80&gt;0,OR(C80="装备",C80="装备/道具",C80="角色进度",C80="称号/进度",C80="系统结果")),"终端产物",IF(N80=0,"缺产出","缺消耗"))))</x:f>
        <x:v>循环闭合</x:v>
      </x:c>
      <x:c r="Q80" s="39" t="str">
        <x:v>掉落角色：本大陆所有怪物共用极低概率掉落 原用途：图鉴页面登记时消耗1件 V1.0材料角色表与同名V1.2来源表仍显示Looks待分配；按最新六档案覆盖为7220。</x:v>
      </x:c>
    </x:row>
    <x:row r="81" ht="40" customHeight="1">
      <x:c r="A81" s="37" t="str">
        <x:v>EL-MAT-C06-COLLECT</x:v>
      </x:c>
      <x:c r="B81" s="38" t="str">
        <x:v>熔原罪火残章</x:v>
      </x:c>
      <x:c r="C81" s="38" t="str">
        <x:v>材料</x:v>
      </x:c>
      <x:c r="D81" s="38" t="str">
        <x:v>大陆收藏材料</x:v>
      </x:c>
      <x:c r="E81" s="38" t="str">
        <x:v>C06</x:v>
      </x:c>
      <x:c r="F81" s="38" t="n">
        <x:v>975</x:v>
      </x:c>
      <x:c r="G81" s="38" t="n">
        <x:v>7221</x:v>
      </x:c>
      <x:c r="H81" s="38" t="str">
        <x:v>隔离测试库已回读；正式生产写入与游戏内显示待验收</x:v>
      </x:c>
      <x:c r="I81" s="38" t="str">
        <x:v>可交易</x:v>
      </x:c>
      <x:c r="J81" s="38" t="str">
        <x:v>禁止普通回收</x:v>
      </x:c>
      <x:c r="K81" s="38" t="str">
        <x:v>产出实物默认不绑定，按现行材料脚本</x:v>
      </x:c>
      <x:c r="L81" s="38" t="str">
        <x:v>待经济反算</x:v>
      </x:c>
      <x:c r="M81" s="38" t="str">
        <x:v>远端六份核心档案V1.2</x:v>
      </x:c>
      <x:c r="N81" s="38" t="n">
        <x:f>COUNTIF('02_产出端'!$G$5:$G$600,A81)</x:f>
        <x:v>1</x:v>
      </x:c>
      <x:c r="O81" s="38" t="n">
        <x:f>COUNTIF('03_消耗端'!$E$5:$E$900,A81)</x:f>
        <x:v>1</x:v>
      </x:c>
      <x:c r="P81" s="38" t="str">
        <x:f>IF(C81="前置条件","条件",IF(AND(N81&gt;0,O81&gt;0),"循环闭合",IF(AND(N81&gt;0,OR(C81="装备",C81="装备/道具",C81="角色进度",C81="称号/进度",C81="系统结果")),"终端产物",IF(N81=0,"缺产出","缺消耗"))))</x:f>
        <x:v>循环闭合</x:v>
      </x:c>
      <x:c r="Q81" s="39" t="str">
        <x:v>掉落角色：本大陆所有怪物共用极低概率掉落 原用途：图鉴页面登记时消耗1件 V1.0材料角色表与同名V1.2来源表仍显示Looks待分配；按最新六档案覆盖为7221。</x:v>
      </x:c>
    </x:row>
    <x:row r="82" ht="40" customHeight="1">
      <x:c r="A82" s="37" t="str">
        <x:v>EL-MAT-C07-COLLECT</x:v>
      </x:c>
      <x:c r="B82" s="38" t="str">
        <x:v>永霜朝圣痕</x:v>
      </x:c>
      <x:c r="C82" s="38" t="str">
        <x:v>材料</x:v>
      </x:c>
      <x:c r="D82" s="38" t="str">
        <x:v>大陆收藏材料</x:v>
      </x:c>
      <x:c r="E82" s="38" t="str">
        <x:v>C07</x:v>
      </x:c>
      <x:c r="F82" s="38" t="n">
        <x:v>976</x:v>
      </x:c>
      <x:c r="G82" s="38" t="n">
        <x:v>7222</x:v>
      </x:c>
      <x:c r="H82" s="38" t="str">
        <x:v>隔离测试库已回读；正式生产写入与游戏内显示待验收</x:v>
      </x:c>
      <x:c r="I82" s="38" t="str">
        <x:v>可交易</x:v>
      </x:c>
      <x:c r="J82" s="38" t="str">
        <x:v>禁止普通回收</x:v>
      </x:c>
      <x:c r="K82" s="38" t="str">
        <x:v>产出实物默认不绑定，按现行材料脚本</x:v>
      </x:c>
      <x:c r="L82" s="38" t="str">
        <x:v>待经济反算</x:v>
      </x:c>
      <x:c r="M82" s="38" t="str">
        <x:v>远端六份核心档案V1.2</x:v>
      </x:c>
      <x:c r="N82" s="38" t="n">
        <x:f>COUNTIF('02_产出端'!$G$5:$G$600,A82)</x:f>
        <x:v>1</x:v>
      </x:c>
      <x:c r="O82" s="38" t="n">
        <x:f>COUNTIF('03_消耗端'!$E$5:$E$900,A82)</x:f>
        <x:v>1</x:v>
      </x:c>
      <x:c r="P82" s="38" t="str">
        <x:f>IF(C82="前置条件","条件",IF(AND(N82&gt;0,O82&gt;0),"循环闭合",IF(AND(N82&gt;0,OR(C82="装备",C82="装备/道具",C82="角色进度",C82="称号/进度",C82="系统结果")),"终端产物",IF(N82=0,"缺产出","缺消耗"))))</x:f>
        <x:v>循环闭合</x:v>
      </x:c>
      <x:c r="Q82" s="39" t="str">
        <x:v>掉落角色：本大陆所有怪物共用极低概率掉落 原用途：图鉴页面登记时消耗1件 V1.0材料角色表与同名V1.2来源表仍显示Looks待分配；按最新六档案覆盖为7222。</x:v>
      </x:c>
    </x:row>
    <x:row r="83" ht="40" customHeight="1">
      <x:c r="A83" s="37" t="str">
        <x:v>EL-MAT-C08-COLLECT</x:v>
      </x:c>
      <x:c r="B83" s="38" t="str">
        <x:v>穹霜碑珀</x:v>
      </x:c>
      <x:c r="C83" s="38" t="str">
        <x:v>材料</x:v>
      </x:c>
      <x:c r="D83" s="38" t="str">
        <x:v>大陆收藏材料</x:v>
      </x:c>
      <x:c r="E83" s="38" t="str">
        <x:v>C08</x:v>
      </x:c>
      <x:c r="F83" s="38" t="n">
        <x:v>977</x:v>
      </x:c>
      <x:c r="G83" s="38" t="n">
        <x:v>7223</x:v>
      </x:c>
      <x:c r="H83" s="38" t="str">
        <x:v>隔离测试库已回读；正式生产写入与游戏内显示待验收</x:v>
      </x:c>
      <x:c r="I83" s="38" t="str">
        <x:v>可交易</x:v>
      </x:c>
      <x:c r="J83" s="38" t="str">
        <x:v>禁止普通回收</x:v>
      </x:c>
      <x:c r="K83" s="38" t="str">
        <x:v>产出实物默认不绑定，按现行材料脚本</x:v>
      </x:c>
      <x:c r="L83" s="38" t="str">
        <x:v>待经济反算</x:v>
      </x:c>
      <x:c r="M83" s="38" t="str">
        <x:v>远端六份核心档案V1.2</x:v>
      </x:c>
      <x:c r="N83" s="38" t="n">
        <x:f>COUNTIF('02_产出端'!$G$5:$G$600,A83)</x:f>
        <x:v>1</x:v>
      </x:c>
      <x:c r="O83" s="38" t="n">
        <x:f>COUNTIF('03_消耗端'!$E$5:$E$900,A83)</x:f>
        <x:v>1</x:v>
      </x:c>
      <x:c r="P83" s="38" t="str">
        <x:f>IF(C83="前置条件","条件",IF(AND(N83&gt;0,O83&gt;0),"循环闭合",IF(AND(N83&gt;0,OR(C83="装备",C83="装备/道具",C83="角色进度",C83="称号/进度",C83="系统结果")),"终端产物",IF(N83=0,"缺产出","缺消耗"))))</x:f>
        <x:v>循环闭合</x:v>
      </x:c>
      <x:c r="Q83" s="39" t="str">
        <x:v>掉落角色：本大陆所有怪物共用极低概率掉落 原用途：图鉴页面登记时消耗1件 V1.0材料角色表与同名V1.2来源表仍显示Looks待分配；按最新六档案覆盖为7223。</x:v>
      </x:c>
    </x:row>
    <x:row r="84" ht="40" customHeight="1">
      <x:c r="A84" s="37" t="str">
        <x:v>EL-MAT-C09-COLLECT</x:v>
      </x:c>
      <x:c r="B84" s="38" t="str">
        <x:v>古坛鎏叶髓</x:v>
      </x:c>
      <x:c r="C84" s="38" t="str">
        <x:v>材料</x:v>
      </x:c>
      <x:c r="D84" s="38" t="str">
        <x:v>大陆收藏材料</x:v>
      </x:c>
      <x:c r="E84" s="38" t="str">
        <x:v>C09</x:v>
      </x:c>
      <x:c r="F84" s="38" t="n">
        <x:v>978</x:v>
      </x:c>
      <x:c r="G84" s="38" t="n">
        <x:v>7224</x:v>
      </x:c>
      <x:c r="H84" s="38" t="str">
        <x:v>隔离测试库已回读；正式生产写入与游戏内显示待验收</x:v>
      </x:c>
      <x:c r="I84" s="38" t="str">
        <x:v>可交易</x:v>
      </x:c>
      <x:c r="J84" s="38" t="str">
        <x:v>禁止普通回收</x:v>
      </x:c>
      <x:c r="K84" s="38" t="str">
        <x:v>产出实物默认不绑定，按现行材料脚本</x:v>
      </x:c>
      <x:c r="L84" s="38" t="str">
        <x:v>待经济反算</x:v>
      </x:c>
      <x:c r="M84" s="38" t="str">
        <x:v>远端六份核心档案V1.2</x:v>
      </x:c>
      <x:c r="N84" s="38" t="n">
        <x:f>COUNTIF('02_产出端'!$G$5:$G$600,A84)</x:f>
        <x:v>1</x:v>
      </x:c>
      <x:c r="O84" s="38" t="n">
        <x:f>COUNTIF('03_消耗端'!$E$5:$E$900,A84)</x:f>
        <x:v>1</x:v>
      </x:c>
      <x:c r="P84" s="38" t="str">
        <x:f>IF(C84="前置条件","条件",IF(AND(N84&gt;0,O84&gt;0),"循环闭合",IF(AND(N84&gt;0,OR(C84="装备",C84="装备/道具",C84="角色进度",C84="称号/进度",C84="系统结果")),"终端产物",IF(N84=0,"缺产出","缺消耗"))))</x:f>
        <x:v>循环闭合</x:v>
      </x:c>
      <x:c r="Q84" s="39" t="str">
        <x:v>掉落角色：本大陆所有怪物共用极低概率掉落 原用途：图鉴页面登记时消耗1件 V1.0材料角色表与同名V1.2来源表仍显示Looks待分配；按最新六档案覆盖为7224。</x:v>
      </x:c>
    </x:row>
    <x:row r="85" ht="40" customHeight="1">
      <x:c r="A85" s="37" t="str">
        <x:v>EL-MAT-C10-COLLECT</x:v>
      </x:c>
      <x:c r="B85" s="38" t="str">
        <x:v>穹律鎏痕拓片</x:v>
      </x:c>
      <x:c r="C85" s="38" t="str">
        <x:v>材料</x:v>
      </x:c>
      <x:c r="D85" s="38" t="str">
        <x:v>大陆收藏材料</x:v>
      </x:c>
      <x:c r="E85" s="38" t="str">
        <x:v>C10</x:v>
      </x:c>
      <x:c r="F85" s="38" t="n">
        <x:v>979</x:v>
      </x:c>
      <x:c r="G85" s="38" t="n">
        <x:v>7225</x:v>
      </x:c>
      <x:c r="H85" s="38" t="str">
        <x:v>隔离测试库已回读；正式生产写入与游戏内显示待验收</x:v>
      </x:c>
      <x:c r="I85" s="38" t="str">
        <x:v>可交易</x:v>
      </x:c>
      <x:c r="J85" s="38" t="str">
        <x:v>禁止普通回收</x:v>
      </x:c>
      <x:c r="K85" s="38" t="str">
        <x:v>产出实物默认不绑定，按现行材料脚本</x:v>
      </x:c>
      <x:c r="L85" s="38" t="str">
        <x:v>待经济反算</x:v>
      </x:c>
      <x:c r="M85" s="38" t="str">
        <x:v>远端六份核心档案V1.2</x:v>
      </x:c>
      <x:c r="N85" s="38" t="n">
        <x:f>COUNTIF('02_产出端'!$G$5:$G$600,A85)</x:f>
        <x:v>1</x:v>
      </x:c>
      <x:c r="O85" s="38" t="n">
        <x:f>COUNTIF('03_消耗端'!$E$5:$E$900,A85)</x:f>
        <x:v>1</x:v>
      </x:c>
      <x:c r="P85" s="38" t="str">
        <x:f>IF(C85="前置条件","条件",IF(AND(N85&gt;0,O85&gt;0),"循环闭合",IF(AND(N85&gt;0,OR(C85="装备",C85="装备/道具",C85="角色进度",C85="称号/进度",C85="系统结果")),"终端产物",IF(N85=0,"缺产出","缺消耗"))))</x:f>
        <x:v>循环闭合</x:v>
      </x:c>
      <x:c r="Q85" s="39" t="str">
        <x:v>掉落角色：本大陆所有怪物共用极低概率掉落 原用途：图鉴页面登记时消耗1件 V1.0材料角色表与同名V1.2来源表仍显示Looks待分配；按最新六档案覆盖为7225。</x:v>
      </x:c>
    </x:row>
    <x:row r="86" ht="40" customHeight="1">
      <x:c r="A86" s="37" t="str">
        <x:v>EL-MAT-C01-COLLECT-TBD</x:v>
      </x:c>
      <x:c r="B86" s="38" t="str">
        <x:v>C1大陆收藏材料（待命名/编码）</x:v>
      </x:c>
      <x:c r="C86" s="38" t="str">
        <x:v>材料</x:v>
      </x:c>
      <x:c r="D86" s="38" t="str">
        <x:v>大陆收藏材料</x:v>
      </x:c>
      <x:c r="E86" s="38" t="str">
        <x:v>C01</x:v>
      </x:c>
      <x:c r="F86" s="38"/>
      <x:c r="G86" s="38"/>
      <x:c r="H86" s="38" t="str">
        <x:v>硬缺口：名称、Idx、Items Looks均未定义</x:v>
      </x:c>
      <x:c r="I86" s="38" t="str">
        <x:v>计划可交易</x:v>
      </x:c>
      <x:c r="J86" s="38" t="str">
        <x:v>禁止普通回收</x:v>
      </x:c>
      <x:c r="K86" s="38" t="str">
        <x:v>计划为可交易实物；登记后消耗</x:v>
      </x:c>
      <x:c r="L86" s="38" t="str">
        <x:v>待经济反算</x:v>
      </x:c>
      <x:c r="M86" s="38" t="str">
        <x:v>用户现行每大陆1件收藏材料规则</x:v>
      </x:c>
      <x:c r="N86" s="38" t="n">
        <x:f>COUNTIF('02_产出端'!$G$5:$G$600,A86)</x:f>
        <x:v>1</x:v>
      </x:c>
      <x:c r="O86" s="38" t="n">
        <x:f>COUNTIF('03_消耗端'!$E$5:$E$900,A86)</x:f>
        <x:v>1</x:v>
      </x:c>
      <x:c r="P86" s="38" t="str">
        <x:f>IF(C86="前置条件","条件",IF(AND(N86&gt;0,O86&gt;0),"循环闭合",IF(AND(N86&gt;0,OR(C86="装备",C86="装备/道具",C86="角色进度",C86="称号/进度",C86="系统结果")),"终端产物",IF(N86=0,"缺产出","缺消耗"))))</x:f>
        <x:v>循环闭合</x:v>
      </x:c>
      <x:c r="Q86" s="39" t="str">
        <x:v>不得占用Idx 980—983或猜填Looks；编码不足时向用户索取。</x:v>
      </x:c>
    </x:row>
    <x:row r="87" ht="40" customHeight="1">
      <x:c r="A87" s="37" t="str">
        <x:v>EL-MAT-C02-COLLECT-TBD</x:v>
      </x:c>
      <x:c r="B87" s="38" t="str">
        <x:v>C2大陆收藏材料（待命名/编码）</x:v>
      </x:c>
      <x:c r="C87" s="38" t="str">
        <x:v>材料</x:v>
      </x:c>
      <x:c r="D87" s="38" t="str">
        <x:v>大陆收藏材料</x:v>
      </x:c>
      <x:c r="E87" s="38" t="str">
        <x:v>C02</x:v>
      </x:c>
      <x:c r="F87" s="38"/>
      <x:c r="G87" s="38"/>
      <x:c r="H87" s="38" t="str">
        <x:v>硬缺口：名称、Idx、Items Looks均未定义</x:v>
      </x:c>
      <x:c r="I87" s="38" t="str">
        <x:v>计划可交易</x:v>
      </x:c>
      <x:c r="J87" s="38" t="str">
        <x:v>禁止普通回收</x:v>
      </x:c>
      <x:c r="K87" s="38" t="str">
        <x:v>计划为可交易实物；登记后消耗</x:v>
      </x:c>
      <x:c r="L87" s="38" t="str">
        <x:v>待经济反算</x:v>
      </x:c>
      <x:c r="M87" s="38" t="str">
        <x:v>用户现行每大陆1件收藏材料规则</x:v>
      </x:c>
      <x:c r="N87" s="38" t="n">
        <x:f>COUNTIF('02_产出端'!$G$5:$G$600,A87)</x:f>
        <x:v>1</x:v>
      </x:c>
      <x:c r="O87" s="38" t="n">
        <x:f>COUNTIF('03_消耗端'!$E$5:$E$900,A87)</x:f>
        <x:v>1</x:v>
      </x:c>
      <x:c r="P87" s="38" t="str">
        <x:f>IF(C87="前置条件","条件",IF(AND(N87&gt;0,O87&gt;0),"循环闭合",IF(AND(N87&gt;0,OR(C87="装备",C87="装备/道具",C87="角色进度",C87="称号/进度",C87="系统结果")),"终端产物",IF(N87=0,"缺产出","缺消耗"))))</x:f>
        <x:v>循环闭合</x:v>
      </x:c>
      <x:c r="Q87" s="39" t="str">
        <x:v>不得占用Idx 980—983或猜填Looks；编码不足时向用户索取。</x:v>
      </x:c>
    </x:row>
    <x:row r="88" ht="40" customHeight="1">
      <x:c r="A88" s="37" t="str">
        <x:v>EQ-STANDARD</x:v>
      </x:c>
      <x:c r="B88" s="38" t="str">
        <x:v>制式装备（聚合）</x:v>
      </x:c>
      <x:c r="C88" s="38" t="str">
        <x:v>装备</x:v>
      </x:c>
      <x:c r="D88" s="38" t="str">
        <x:v>制式装备</x:v>
      </x:c>
      <x:c r="E88" s="38" t="str">
        <x:v>全服</x:v>
      </x:c>
      <x:c r="F88" s="38"/>
      <x:c r="G88" s="38"/>
      <x:c r="H88" s="38" t="str">
        <x:v>结构已确认；数值待经济反算</x:v>
      </x:c>
      <x:c r="I88" s="38" t="str">
        <x:v>可交易</x:v>
      </x:c>
      <x:c r="J88" s="38" t="str">
        <x:v>仅原始掉落件可按回收表回收</x:v>
      </x:c>
      <x:c r="K88" s="38" t="str">
        <x:v>沿用对应实物规则</x:v>
      </x:c>
      <x:c r="L88" s="38" t="str">
        <x:v>待经济反算</x:v>
      </x:c>
      <x:c r="M88" s="38" t="str">
        <x:v>十大陆NPC与配方总账V1.0</x:v>
      </x:c>
      <x:c r="N88" s="38" t="n">
        <x:f>COUNTIF('02_产出端'!$G$5:$G$600,A88)</x:f>
        <x:v>1</x:v>
      </x:c>
      <x:c r="O88" s="38" t="n">
        <x:f>COUNTIF('03_消耗端'!$E$5:$E$900,A88)</x:f>
        <x:v>0</x:v>
      </x:c>
      <x:c r="P88" s="38" t="str">
        <x:f>IF(C88="前置条件","条件",IF(AND(N88&gt;0,O88&gt;0),"循环闭合",IF(AND(N88&gt;0,OR(C88="装备",C88="装备/道具",C88="角色进度",C88="称号/进度",C88="系统结果")),"终端产物",IF(N88=0,"缺产出","缺消耗"))))</x:f>
        <x:v>终端产物</x:v>
      </x:c>
      <x:c r="Q88" s="39" t="str">
        <x:v>低频掉落；金币/元宝辅助来源</x:v>
      </x:c>
    </x:row>
    <x:row r="89" ht="40" customHeight="1">
      <x:c r="A89" s="37" t="str">
        <x:v>EQ-EXCLUSIVE-NORMAL</x:v>
      </x:c>
      <x:c r="B89" s="38" t="str">
        <x:v>普通怪专属装备（聚合）</x:v>
      </x:c>
      <x:c r="C89" s="38" t="str">
        <x:v>装备</x:v>
      </x:c>
      <x:c r="D89" s="38" t="str">
        <x:v>怪物专属</x:v>
      </x:c>
      <x:c r="E89" s="38" t="str">
        <x:v>全服</x:v>
      </x:c>
      <x:c r="F89" s="38"/>
      <x:c r="G89" s="38"/>
      <x:c r="H89" s="38" t="str">
        <x:v>结构已确认；数值待经济反算</x:v>
      </x:c>
      <x:c r="I89" s="38" t="str">
        <x:v>可交易</x:v>
      </x:c>
      <x:c r="J89" s="38" t="str">
        <x:v>可用于任务/称号/分解；是否直接回收待统一表</x:v>
      </x:c>
      <x:c r="K89" s="38" t="str">
        <x:v>沿用对应实物规则</x:v>
      </x:c>
      <x:c r="L89" s="38" t="str">
        <x:v>待经济反算</x:v>
      </x:c>
      <x:c r="M89" s="38" t="str">
        <x:v>十大陆NPC与配方总账V1.0</x:v>
      </x:c>
      <x:c r="N89" s="38" t="n">
        <x:f>COUNTIF('02_产出端'!$G$5:$G$600,A89)</x:f>
        <x:v>12</x:v>
      </x:c>
      <x:c r="O89" s="38" t="n">
        <x:f>COUNTIF('03_消耗端'!$E$5:$E$900,A89)</x:f>
        <x:v>0</x:v>
      </x:c>
      <x:c r="P89" s="38" t="str">
        <x:f>IF(C89="前置条件","条件",IF(AND(N89&gt;0,O89&gt;0),"循环闭合",IF(AND(N89&gt;0,OR(C89="装备",C89="装备/道具",C89="角色进度",C89="称号/进度",C89="系统结果")),"终端产物",IF(N89=0,"缺产出","缺消耗"))))</x:f>
        <x:v>终端产物</x:v>
      </x:c>
      <x:c r="Q89" s="39" t="str">
        <x:v>怪物自身专属基础掉落</x:v>
      </x:c>
    </x:row>
    <x:row r="90" ht="40" customHeight="1">
      <x:c r="A90" s="37" t="str">
        <x:v>EQ-EXCLUSIVE-ELITE</x:v>
      </x:c>
      <x:c r="B90" s="38" t="str">
        <x:v>精英怪专属装备（聚合）</x:v>
      </x:c>
      <x:c r="C90" s="38" t="str">
        <x:v>装备</x:v>
      </x:c>
      <x:c r="D90" s="38" t="str">
        <x:v>怪物专属</x:v>
      </x:c>
      <x:c r="E90" s="38" t="str">
        <x:v>全服</x:v>
      </x:c>
      <x:c r="F90" s="38"/>
      <x:c r="G90" s="38"/>
      <x:c r="H90" s="38" t="str">
        <x:v>结构已确认；数值待经济反算</x:v>
      </x:c>
      <x:c r="I90" s="38" t="str">
        <x:v>可交易</x:v>
      </x:c>
      <x:c r="J90" s="38" t="str">
        <x:v>可用于任务/称号/分解；是否直接回收待统一表</x:v>
      </x:c>
      <x:c r="K90" s="38" t="str">
        <x:v>沿用对应实物规则</x:v>
      </x:c>
      <x:c r="L90" s="38" t="str">
        <x:v>待经济反算</x:v>
      </x:c>
      <x:c r="M90" s="38" t="str">
        <x:v>十大陆NPC与配方总账V1.0</x:v>
      </x:c>
      <x:c r="N90" s="38" t="n">
        <x:f>COUNTIF('02_产出端'!$G$5:$G$600,A90)</x:f>
        <x:v>11</x:v>
      </x:c>
      <x:c r="O90" s="38" t="n">
        <x:f>COUNTIF('03_消耗端'!$E$5:$E$900,A90)</x:f>
        <x:v>0</x:v>
      </x:c>
      <x:c r="P90" s="38" t="str">
        <x:f>IF(C90="前置条件","条件",IF(AND(N90&gt;0,O90&gt;0),"循环闭合",IF(AND(N90&gt;0,OR(C90="装备",C90="装备/道具",C90="角色进度",C90="称号/进度",C90="系统结果")),"终端产物",IF(N90=0,"缺产出","缺消耗"))))</x:f>
        <x:v>终端产物</x:v>
      </x:c>
      <x:c r="Q90" s="39" t="str">
        <x:v>精英自身专属基础掉落</x:v>
      </x:c>
    </x:row>
    <x:row r="91" ht="40" customHeight="1">
      <x:c r="A91" s="37" t="str">
        <x:v>EQ-EXCLUSIVE-MAPBOSS</x:v>
      </x:c>
      <x:c r="B91" s="38" t="str">
        <x:v>地图BOSS专属装备（聚合）</x:v>
      </x:c>
      <x:c r="C91" s="38" t="str">
        <x:v>装备</x:v>
      </x:c>
      <x:c r="D91" s="38" t="str">
        <x:v>怪物专属</x:v>
      </x:c>
      <x:c r="E91" s="38" t="str">
        <x:v>全服</x:v>
      </x:c>
      <x:c r="F91" s="38"/>
      <x:c r="G91" s="38"/>
      <x:c r="H91" s="38" t="str">
        <x:v>结构已确认；数值待经济反算</x:v>
      </x:c>
      <x:c r="I91" s="38" t="str">
        <x:v>可交易</x:v>
      </x:c>
      <x:c r="J91" s="38" t="str">
        <x:v>可用于任务/称号/分解；是否直接回收待统一表</x:v>
      </x:c>
      <x:c r="K91" s="38" t="str">
        <x:v>沿用对应实物规则</x:v>
      </x:c>
      <x:c r="L91" s="38" t="str">
        <x:v>待经济反算</x:v>
      </x:c>
      <x:c r="M91" s="38" t="str">
        <x:v>十大陆NPC与配方总账V1.0</x:v>
      </x:c>
      <x:c r="N91" s="38" t="n">
        <x:f>COUNTIF('02_产出端'!$G$5:$G$600,A91)</x:f>
        <x:v>11</x:v>
      </x:c>
      <x:c r="O91" s="38" t="n">
        <x:f>COUNTIF('03_消耗端'!$E$5:$E$900,A91)</x:f>
        <x:v>0</x:v>
      </x:c>
      <x:c r="P91" s="38" t="str">
        <x:f>IF(C91="前置条件","条件",IF(AND(N91&gt;0,O91&gt;0),"循环闭合",IF(AND(N91&gt;0,OR(C91="装备",C91="装备/道具",C91="角色进度",C91="称号/进度",C91="系统结果")),"终端产物",IF(N91=0,"缺产出","缺消耗"))))</x:f>
        <x:v>终端产物</x:v>
      </x:c>
      <x:c r="Q91" s="39" t="str">
        <x:v>地图BOSS自身专属基础掉落</x:v>
      </x:c>
    </x:row>
    <x:row r="92" ht="40" customHeight="1">
      <x:c r="A92" s="37" t="str">
        <x:v>EQ-EXCLUSIVE-GUARDIAN</x:v>
      </x:c>
      <x:c r="B92" s="38" t="str">
        <x:v>主线守关BOSS专属装备（聚合）</x:v>
      </x:c>
      <x:c r="C92" s="38" t="str">
        <x:v>装备</x:v>
      </x:c>
      <x:c r="D92" s="38" t="str">
        <x:v>怪物专属</x:v>
      </x:c>
      <x:c r="E92" s="38" t="str">
        <x:v>全服</x:v>
      </x:c>
      <x:c r="F92" s="38"/>
      <x:c r="G92" s="38"/>
      <x:c r="H92" s="38" t="str">
        <x:v>结构已确认；数值待经济反算</x:v>
      </x:c>
      <x:c r="I92" s="38" t="str">
        <x:v>可交易</x:v>
      </x:c>
      <x:c r="J92" s="38" t="str">
        <x:v>可用于任务/称号/分解；是否直接回收待统一表</x:v>
      </x:c>
      <x:c r="K92" s="38" t="str">
        <x:v>沿用对应实物规则</x:v>
      </x:c>
      <x:c r="L92" s="38" t="str">
        <x:v>待经济反算</x:v>
      </x:c>
      <x:c r="M92" s="38" t="str">
        <x:v>十大陆NPC与配方总账V1.0</x:v>
      </x:c>
      <x:c r="N92" s="38" t="n">
        <x:f>COUNTIF('02_产出端'!$G$5:$G$600,A92)</x:f>
        <x:v>1</x:v>
      </x:c>
      <x:c r="O92" s="38" t="n">
        <x:f>COUNTIF('03_消耗端'!$E$5:$E$900,A92)</x:f>
        <x:v>0</x:v>
      </x:c>
      <x:c r="P92" s="38" t="str">
        <x:f>IF(C92="前置条件","条件",IF(AND(N92&gt;0,O92&gt;0),"循环闭合",IF(AND(N92&gt;0,OR(C92="装备",C92="装备/道具",C92="角色进度",C92="称号/进度",C92="系统结果")),"终端产物",IF(N92=0,"缺产出","缺消耗"))))</x:f>
        <x:v>终端产物</x:v>
      </x:c>
      <x:c r="Q92" s="39" t="str">
        <x:v>主线守关BOSS自身专属基础掉落</x:v>
      </x:c>
    </x:row>
    <x:row r="93" ht="40" customHeight="1">
      <x:c r="A93" s="37" t="str">
        <x:v>EQ-DREAM-ARTIFACT-POOL</x:v>
      </x:c>
      <x:c r="B93" s="38" t="str">
        <x:v>追梦六神器公共奖池（聚合）</x:v>
      </x:c>
      <x:c r="C93" s="38" t="str">
        <x:v>装备</x:v>
      </x:c>
      <x:c r="D93" s="38" t="str">
        <x:v>终极特殊装备</x:v>
      </x:c>
      <x:c r="E93" s="38" t="str">
        <x:v>全服</x:v>
      </x:c>
      <x:c r="F93" s="38"/>
      <x:c r="G93" s="38"/>
      <x:c r="H93" s="38" t="str">
        <x:v>结构已确认；数值待经济反算</x:v>
      </x:c>
      <x:c r="I93" s="38" t="str">
        <x:v>沿用现行神器交易规则</x:v>
      </x:c>
      <x:c r="J93" s="38" t="str">
        <x:v>禁止普通回收</x:v>
      </x:c>
      <x:c r="K93" s="38" t="str">
        <x:v>沿用对应实物规则</x:v>
      </x:c>
      <x:c r="L93" s="38" t="str">
        <x:v>待经济反算</x:v>
      </x:c>
      <x:c r="M93" s="38" t="str">
        <x:v>十大陆NPC与配方总账V1.0</x:v>
      </x:c>
      <x:c r="N93" s="38" t="n">
        <x:f>COUNTIF('02_产出端'!$G$5:$G$600,A93)</x:f>
        <x:v>1</x:v>
      </x:c>
      <x:c r="O93" s="38" t="n">
        <x:f>COUNTIF('03_消耗端'!$E$5:$E$900,A93)</x:f>
        <x:v>0</x:v>
      </x:c>
      <x:c r="P93" s="38" t="str">
        <x:f>IF(C93="前置条件","条件",IF(AND(N93&gt;0,O93&gt;0),"循环闭合",IF(AND(N93&gt;0,OR(C93="装备",C93="装备/道具",C93="角色进度",C93="称号/进度",C93="系统结果")),"终端产物",IF(N93=0,"缺产出","缺消耗"))))</x:f>
        <x:v>终端产物</x:v>
      </x:c>
      <x:c r="Q93" s="39" t="str">
        <x:v>C02及以后所有怪物共同触发一次奖池后六选一</x:v>
      </x:c>
    </x:row>
    <x:row r="94" ht="40" customHeight="1">
      <x:c r="A94" s="37" t="str">
        <x:v>MAT-WAR-ASH-DAILY</x:v>
      </x:c>
      <x:c r="B94" s="38" t="str">
        <x:v>每日守关武器附魔材料（聚合）</x:v>
      </x:c>
      <x:c r="C94" s="38" t="str">
        <x:v>材料</x:v>
      </x:c>
      <x:c r="D94" s="38" t="str">
        <x:v>战灰/武器附魔材料</x:v>
      </x:c>
      <x:c r="E94" s="38" t="str">
        <x:v>全服</x:v>
      </x:c>
      <x:c r="F94" s="38"/>
      <x:c r="G94" s="38"/>
      <x:c r="H94" s="38" t="str">
        <x:v>结构已确认；数值待经济反算</x:v>
      </x:c>
      <x:c r="I94" s="38" t="str">
        <x:v>按实际材料规则；未定义前待确认</x:v>
      </x:c>
      <x:c r="J94" s="38" t="str">
        <x:v>不作为自动回收主材</x:v>
      </x:c>
      <x:c r="K94" s="38" t="str">
        <x:v>沿用对应实物规则</x:v>
      </x:c>
      <x:c r="L94" s="38" t="str">
        <x:v>待经济反算</x:v>
      </x:c>
      <x:c r="M94" s="38" t="str">
        <x:v>十大陆NPC与配方总账V1.0</x:v>
      </x:c>
      <x:c r="N94" s="38" t="n">
        <x:f>COUNTIF('02_产出端'!$G$5:$G$600,A94)</x:f>
        <x:v>11</x:v>
      </x:c>
      <x:c r="O94" s="38" t="n">
        <x:f>COUNTIF('03_消耗端'!$E$5:$E$900,A94)</x:f>
        <x:v>0</x:v>
      </x:c>
      <x:c r="P94" s="38" t="str">
        <x:f>IF(C94="前置条件","条件",IF(AND(N94&gt;0,O94&gt;0),"循环闭合",IF(AND(N94&gt;0,OR(C94="装备",C94="装备/道具",C94="角色进度",C94="称号/进度",C94="系统结果")),"终端产物",IF(N94=0,"缺产出","缺消耗"))))</x:f>
        <x:v>缺消耗</x:v>
      </x:c>
      <x:c r="Q94" s="39" t="str">
        <x:v>仅每日额外守关福利池明确产出</x:v>
      </x:c>
    </x:row>
    <x:row r="95" ht="40" customHeight="1">
      <x:c r="A95" s="37" t="str">
        <x:v>OUT-8EFFB0A04010</x:v>
      </x:c>
      <x:c r="B95" s="38" t="str">
        <x:v>圣律之剑LV1—10／圣律真言</x:v>
      </x:c>
      <x:c r="C95" s="38" t="str">
        <x:v>装备</x:v>
      </x:c>
      <x:c r="D95" s="38" t="str">
        <x:v>既有成长</x:v>
      </x:c>
      <x:c r="E95" s="38" t="str">
        <x:v>CAMP</x:v>
      </x:c>
      <x:c r="F95" s="38"/>
      <x:c r="G95" s="38"/>
      <x:c r="H95" s="38" t="str">
        <x:v>结构已确认；数值待经济反算</x:v>
      </x:c>
      <x:c r="I95" s="38" t="str">
        <x:v>角色绑定</x:v>
      </x:c>
      <x:c r="J95" s="38" t="str">
        <x:v>不适用/沿用现有脚本</x:v>
      </x:c>
      <x:c r="K95" s="38" t="str">
        <x:v>角色绑定</x:v>
      </x:c>
      <x:c r="L95" s="38" t="str">
        <x:v>待经济反算</x:v>
      </x:c>
      <x:c r="M95" s="38" t="str">
        <x:v>十大陆NPC与配方总账V1.0</x:v>
      </x:c>
      <x:c r="N95" s="38" t="n">
        <x:f>COUNTIF('02_产出端'!$G$5:$G$600,A95)</x:f>
        <x:v>0</x:v>
      </x:c>
      <x:c r="O95" s="38" t="n">
        <x:f>COUNTIF('03_消耗端'!$E$5:$E$900,A95)</x:f>
        <x:v>0</x:v>
      </x:c>
      <x:c r="P95" s="38" t="str">
        <x:f>IF(C95="前置条件","条件",IF(AND(N95&gt;0,O95&gt;0),"循环闭合",IF(AND(N95&gt;0,OR(C95="装备",C95="装备/道具",C95="角色进度",C95="称号/进度",C95="系统结果")),"终端产物",IF(N95=0,"缺产出","缺消耗"))))</x:f>
        <x:v>缺产出</x:v>
      </x:c>
      <x:c r="Q95" s="39" t="str">
        <x:v>由NPC配方表自动登记。</x:v>
      </x:c>
    </x:row>
    <x:row r="96" ht="40" customHeight="1">
      <x:c r="A96" s="37" t="str">
        <x:v>OUT-37C06AA78CDB</x:v>
      </x:c>
      <x:c r="B96" s="38" t="str">
        <x:v>黄金圣物LV1—10／黄金之心</x:v>
      </x:c>
      <x:c r="C96" s="38" t="str">
        <x:v>装备</x:v>
      </x:c>
      <x:c r="D96" s="38" t="str">
        <x:v>既有成长</x:v>
      </x:c>
      <x:c r="E96" s="38" t="str">
        <x:v>CAMP</x:v>
      </x:c>
      <x:c r="F96" s="38"/>
      <x:c r="G96" s="38"/>
      <x:c r="H96" s="38" t="str">
        <x:v>结构已确认；数值待经济反算</x:v>
      </x:c>
      <x:c r="I96" s="38" t="str">
        <x:v>角色绑定</x:v>
      </x:c>
      <x:c r="J96" s="38" t="str">
        <x:v>不适用/沿用现有脚本</x:v>
      </x:c>
      <x:c r="K96" s="38" t="str">
        <x:v>角色绑定</x:v>
      </x:c>
      <x:c r="L96" s="38" t="str">
        <x:v>待经济反算</x:v>
      </x:c>
      <x:c r="M96" s="38" t="str">
        <x:v>十大陆NPC与配方总账V1.0</x:v>
      </x:c>
      <x:c r="N96" s="38" t="n">
        <x:f>COUNTIF('02_产出端'!$G$5:$G$600,A96)</x:f>
        <x:v>0</x:v>
      </x:c>
      <x:c r="O96" s="38" t="n">
        <x:f>COUNTIF('03_消耗端'!$E$5:$E$900,A96)</x:f>
        <x:v>0</x:v>
      </x:c>
      <x:c r="P96" s="38" t="str">
        <x:f>IF(C96="前置条件","条件",IF(AND(N96&gt;0,O96&gt;0),"循环闭合",IF(AND(N96&gt;0,OR(C96="装备",C96="装备/道具",C96="角色进度",C96="称号/进度",C96="系统结果")),"终端产物",IF(N96=0,"缺产出","缺消耗"))))</x:f>
        <x:v>缺产出</x:v>
      </x:c>
      <x:c r="Q96" s="39" t="str">
        <x:v>由NPC配方表自动登记。</x:v>
      </x:c>
    </x:row>
    <x:row r="97" ht="40" customHeight="1">
      <x:c r="A97" s="37" t="str">
        <x:v>OUT-43E88E6FE7E5</x:v>
      </x:c>
      <x:c r="B97" s="38" t="str">
        <x:v>贯穿式主线称号各阶段</x:v>
      </x:c>
      <x:c r="C97" s="38" t="str">
        <x:v>称号/进度</x:v>
      </x:c>
      <x:c r="D97" s="38" t="str">
        <x:v>贯穿称号</x:v>
      </x:c>
      <x:c r="E97" s="38" t="str">
        <x:v>CAMP</x:v>
      </x:c>
      <x:c r="F97" s="38"/>
      <x:c r="G97" s="38"/>
      <x:c r="H97" s="38" t="str">
        <x:v>结构已确认；数值待经济反算</x:v>
      </x:c>
      <x:c r="I97" s="38" t="str">
        <x:v>角色绑定</x:v>
      </x:c>
      <x:c r="J97" s="38" t="str">
        <x:v>不适用/沿用现有脚本</x:v>
      </x:c>
      <x:c r="K97" s="38" t="str">
        <x:v>角色绑定</x:v>
      </x:c>
      <x:c r="L97" s="38" t="str">
        <x:v>待经济反算</x:v>
      </x:c>
      <x:c r="M97" s="38" t="str">
        <x:v>十大陆NPC与配方总账V1.0</x:v>
      </x:c>
      <x:c r="N97" s="38" t="n">
        <x:f>COUNTIF('02_产出端'!$G$5:$G$600,A97)</x:f>
        <x:v>0</x:v>
      </x:c>
      <x:c r="O97" s="38" t="n">
        <x:f>COUNTIF('03_消耗端'!$E$5:$E$900,A97)</x:f>
        <x:v>0</x:v>
      </x:c>
      <x:c r="P97" s="38" t="str">
        <x:f>IF(C97="前置条件","条件",IF(AND(N97&gt;0,O97&gt;0),"循环闭合",IF(AND(N97&gt;0,OR(C97="装备",C97="装备/道具",C97="角色进度",C97="称号/进度",C97="系统结果")),"终端产物",IF(N97=0,"缺产出","缺消耗"))))</x:f>
        <x:v>缺产出</x:v>
      </x:c>
      <x:c r="Q97" s="39" t="str">
        <x:v>由NPC配方表自动登记。</x:v>
      </x:c>
    </x:row>
    <x:row r="98" ht="40" customHeight="1">
      <x:c r="A98" s="37" t="str">
        <x:v>OUT-4A6A5947EC8A</x:v>
      </x:c>
      <x:c r="B98" s="38" t="str">
        <x:v>当前选中槽命格×1次</x:v>
      </x:c>
      <x:c r="C98" s="38" t="str">
        <x:v>系统结果</x:v>
      </x:c>
      <x:c r="D98" s="38" t="str">
        <x:v>命格洗练</x:v>
      </x:c>
      <x:c r="E98" s="38" t="str">
        <x:v>C01</x:v>
      </x:c>
      <x:c r="F98" s="38"/>
      <x:c r="G98" s="38"/>
      <x:c r="H98" s="38" t="str">
        <x:v>结构已确认；数值待经济反算</x:v>
      </x:c>
      <x:c r="I98" s="38" t="str">
        <x:v>结果角色绑定</x:v>
      </x:c>
      <x:c r="J98" s="38" t="str">
        <x:v>不适用/沿用现有脚本</x:v>
      </x:c>
      <x:c r="K98" s="38" t="str">
        <x:v>结果角色绑定</x:v>
      </x:c>
      <x:c r="L98" s="38" t="str">
        <x:v>待经济反算</x:v>
      </x:c>
      <x:c r="M98" s="38" t="str">
        <x:v>十大陆NPC与配方总账V1.0</x:v>
      </x:c>
      <x:c r="N98" s="38" t="n">
        <x:f>COUNTIF('02_产出端'!$G$5:$G$600,A98)</x:f>
        <x:v>0</x:v>
      </x:c>
      <x:c r="O98" s="38" t="n">
        <x:f>COUNTIF('03_消耗端'!$E$5:$E$900,A98)</x:f>
        <x:v>0</x:v>
      </x:c>
      <x:c r="P98" s="38" t="str">
        <x:f>IF(C98="前置条件","条件",IF(AND(N98&gt;0,O98&gt;0),"循环闭合",IF(AND(N98&gt;0,OR(C98="装备",C98="装备/道具",C98="角色进度",C98="称号/进度",C98="系统结果")),"终端产物",IF(N98=0,"缺产出","缺消耗"))))</x:f>
        <x:v>缺产出</x:v>
      </x:c>
      <x:c r="Q98" s="39" t="str">
        <x:v>由NPC配方表自动登记。</x:v>
      </x:c>
    </x:row>
    <x:row r="99" ht="40" customHeight="1">
      <x:c r="A99" s="37" t="str">
        <x:v>OUT-93B0B4B0841C</x:v>
      </x:c>
      <x:c r="B99" s="38" t="str">
        <x:v>当前选中槽命格×10次</x:v>
      </x:c>
      <x:c r="C99" s="38" t="str">
        <x:v>系统结果</x:v>
      </x:c>
      <x:c r="D99" s="38" t="str">
        <x:v>命格洗练</x:v>
      </x:c>
      <x:c r="E99" s="38" t="str">
        <x:v>C01</x:v>
      </x:c>
      <x:c r="F99" s="38"/>
      <x:c r="G99" s="38"/>
      <x:c r="H99" s="38" t="str">
        <x:v>结构已确认；数值待经济反算</x:v>
      </x:c>
      <x:c r="I99" s="38" t="str">
        <x:v>结果角色绑定</x:v>
      </x:c>
      <x:c r="J99" s="38" t="str">
        <x:v>不适用/沿用现有脚本</x:v>
      </x:c>
      <x:c r="K99" s="38" t="str">
        <x:v>结果角色绑定</x:v>
      </x:c>
      <x:c r="L99" s="38" t="str">
        <x:v>待经济反算</x:v>
      </x:c>
      <x:c r="M99" s="38" t="str">
        <x:v>十大陆NPC与配方总账V1.0</x:v>
      </x:c>
      <x:c r="N99" s="38" t="n">
        <x:f>COUNTIF('02_产出端'!$G$5:$G$600,A99)</x:f>
        <x:v>0</x:v>
      </x:c>
      <x:c r="O99" s="38" t="n">
        <x:f>COUNTIF('03_消耗端'!$E$5:$E$900,A99)</x:f>
        <x:v>0</x:v>
      </x:c>
      <x:c r="P99" s="38" t="str">
        <x:f>IF(C99="前置条件","条件",IF(AND(N99&gt;0,O99&gt;0),"循环闭合",IF(AND(N99&gt;0,OR(C99="装备",C99="装备/道具",C99="角色进度",C99="称号/进度",C99="系统结果")),"终端产物",IF(N99=0,"缺产出","缺消耗"))))</x:f>
        <x:v>缺产出</x:v>
      </x:c>
      <x:c r="Q99" s="39" t="str">
        <x:v>由NPC配方表自动登记。</x:v>
      </x:c>
    </x:row>
    <x:row r="100" ht="40" customHeight="1">
      <x:c r="A100" s="37" t="str">
        <x:v>OUT-495C4B18D818</x:v>
      </x:c>
      <x:c r="B100" s="38" t="str">
        <x:v>命格槽位1—8</x:v>
      </x:c>
      <x:c r="C100" s="38" t="str">
        <x:v>系统结果</x:v>
      </x:c>
      <x:c r="D100" s="38" t="str">
        <x:v>命格槽位</x:v>
      </x:c>
      <x:c r="E100" s="38" t="str">
        <x:v>C01</x:v>
      </x:c>
      <x:c r="F100" s="38"/>
      <x:c r="G100" s="38"/>
      <x:c r="H100" s="38" t="str">
        <x:v>结构已确认；数值待经济反算</x:v>
      </x:c>
      <x:c r="I100" s="38" t="str">
        <x:v>角色绑定</x:v>
      </x:c>
      <x:c r="J100" s="38" t="str">
        <x:v>不适用/沿用现有脚本</x:v>
      </x:c>
      <x:c r="K100" s="38" t="str">
        <x:v>角色绑定</x:v>
      </x:c>
      <x:c r="L100" s="38" t="str">
        <x:v>待经济反算</x:v>
      </x:c>
      <x:c r="M100" s="38" t="str">
        <x:v>十大陆NPC与配方总账V1.0</x:v>
      </x:c>
      <x:c r="N100" s="38" t="n">
        <x:f>COUNTIF('02_产出端'!$G$5:$G$600,A100)</x:f>
        <x:v>0</x:v>
      </x:c>
      <x:c r="O100" s="38" t="n">
        <x:f>COUNTIF('03_消耗端'!$E$5:$E$900,A100)</x:f>
        <x:v>0</x:v>
      </x:c>
      <x:c r="P100" s="38" t="str">
        <x:f>IF(C100="前置条件","条件",IF(AND(N100&gt;0,O100&gt;0),"循环闭合",IF(AND(N100&gt;0,OR(C100="装备",C100="装备/道具",C100="角色进度",C100="称号/进度",C100="系统结果")),"终端产物",IF(N100=0,"缺产出","缺消耗"))))</x:f>
        <x:v>缺产出</x:v>
      </x:c>
      <x:c r="Q100" s="39" t="str">
        <x:v>由NPC配方表自动登记。</x:v>
      </x:c>
    </x:row>
    <x:row r="101" ht="40" customHeight="1">
      <x:c r="A101" s="37" t="str">
        <x:v>OUT-A674DD6EBD79</x:v>
      </x:c>
      <x:c r="B101" s="38" t="str">
        <x:v>普通PVP战灰</x:v>
      </x:c>
      <x:c r="C101" s="38" t="str">
        <x:v>系统结果</x:v>
      </x:c>
      <x:c r="D101" s="38" t="str">
        <x:v>战灰附魔</x:v>
      </x:c>
      <x:c r="E101" s="38" t="str">
        <x:v>C02</x:v>
      </x:c>
      <x:c r="F101" s="38"/>
      <x:c r="G101" s="38"/>
      <x:c r="H101" s="38" t="str">
        <x:v>结构已确认；数值待经济反算</x:v>
      </x:c>
      <x:c r="I101" s="38" t="str">
        <x:v>随武器状态</x:v>
      </x:c>
      <x:c r="J101" s="38" t="str">
        <x:v>不适用/沿用现有脚本</x:v>
      </x:c>
      <x:c r="K101" s="38" t="str">
        <x:v>随武器状态</x:v>
      </x:c>
      <x:c r="L101" s="38" t="str">
        <x:v>待经济反算</x:v>
      </x:c>
      <x:c r="M101" s="38" t="str">
        <x:v>十大陆NPC与配方总账V1.0</x:v>
      </x:c>
      <x:c r="N101" s="38" t="n">
        <x:f>COUNTIF('02_产出端'!$G$5:$G$600,A101)</x:f>
        <x:v>0</x:v>
      </x:c>
      <x:c r="O101" s="38" t="n">
        <x:f>COUNTIF('03_消耗端'!$E$5:$E$900,A101)</x:f>
        <x:v>0</x:v>
      </x:c>
      <x:c r="P101" s="38" t="str">
        <x:f>IF(C101="前置条件","条件",IF(AND(N101&gt;0,O101&gt;0),"循环闭合",IF(AND(N101&gt;0,OR(C101="装备",C101="装备/道具",C101="角色进度",C101="称号/进度",C101="系统结果")),"终端产物",IF(N101=0,"缺产出","缺消耗"))))</x:f>
        <x:v>缺产出</x:v>
      </x:c>
      <x:c r="Q101" s="39" t="str">
        <x:v>由NPC配方表自动登记。</x:v>
      </x:c>
    </x:row>
    <x:row r="102" ht="40" customHeight="1">
      <x:c r="A102" s="37" t="str">
        <x:v>OUT-502C473E9A45</x:v>
      </x:c>
      <x:c r="B102" s="38" t="str">
        <x:v>稀有PVP战灰</x:v>
      </x:c>
      <x:c r="C102" s="38" t="str">
        <x:v>系统结果</x:v>
      </x:c>
      <x:c r="D102" s="38" t="str">
        <x:v>战灰附魔</x:v>
      </x:c>
      <x:c r="E102" s="38" t="str">
        <x:v>C02</x:v>
      </x:c>
      <x:c r="F102" s="38"/>
      <x:c r="G102" s="38"/>
      <x:c r="H102" s="38" t="str">
        <x:v>结构已确认；数值待经济反算</x:v>
      </x:c>
      <x:c r="I102" s="38" t="str">
        <x:v>随武器状态</x:v>
      </x:c>
      <x:c r="J102" s="38" t="str">
        <x:v>不适用/沿用现有脚本</x:v>
      </x:c>
      <x:c r="K102" s="38" t="str">
        <x:v>随武器状态</x:v>
      </x:c>
      <x:c r="L102" s="38" t="str">
        <x:v>待经济反算</x:v>
      </x:c>
      <x:c r="M102" s="38" t="str">
        <x:v>十大陆NPC与配方总账V1.0</x:v>
      </x:c>
      <x:c r="N102" s="38" t="n">
        <x:f>COUNTIF('02_产出端'!$G$5:$G$600,A102)</x:f>
        <x:v>0</x:v>
      </x:c>
      <x:c r="O102" s="38" t="n">
        <x:f>COUNTIF('03_消耗端'!$E$5:$E$900,A102)</x:f>
        <x:v>0</x:v>
      </x:c>
      <x:c r="P102" s="38" t="str">
        <x:f>IF(C102="前置条件","条件",IF(AND(N102&gt;0,O102&gt;0),"循环闭合",IF(AND(N102&gt;0,OR(C102="装备",C102="装备/道具",C102="角色进度",C102="称号/进度",C102="系统结果")),"终端产物",IF(N102=0,"缺产出","缺消耗"))))</x:f>
        <x:v>缺产出</x:v>
      </x:c>
      <x:c r="Q102" s="39" t="str">
        <x:v>由NPC配方表自动登记。</x:v>
      </x:c>
    </x:row>
    <x:row r="103" ht="40" customHeight="1">
      <x:c r="A103" s="37" t="str">
        <x:v>OUT-F51DB75B909A</x:v>
      </x:c>
      <x:c r="B103" s="38" t="str">
        <x:v>覆盖／清除战灰</x:v>
      </x:c>
      <x:c r="C103" s="38" t="str">
        <x:v>系统结果</x:v>
      </x:c>
      <x:c r="D103" s="38" t="str">
        <x:v>战灰操作</x:v>
      </x:c>
      <x:c r="E103" s="38" t="str">
        <x:v>C02</x:v>
      </x:c>
      <x:c r="F103" s="38"/>
      <x:c r="G103" s="38"/>
      <x:c r="H103" s="38" t="str">
        <x:v>结构已确认；数值待经济反算</x:v>
      </x:c>
      <x:c r="I103" s="38" t="str">
        <x:v>随武器状态</x:v>
      </x:c>
      <x:c r="J103" s="38" t="str">
        <x:v>不适用/沿用现有脚本</x:v>
      </x:c>
      <x:c r="K103" s="38" t="str">
        <x:v>随武器状态</x:v>
      </x:c>
      <x:c r="L103" s="38" t="str">
        <x:v>待经济反算</x:v>
      </x:c>
      <x:c r="M103" s="38" t="str">
        <x:v>十大陆NPC与配方总账V1.0</x:v>
      </x:c>
      <x:c r="N103" s="38" t="n">
        <x:f>COUNTIF('02_产出端'!$G$5:$G$600,A103)</x:f>
        <x:v>0</x:v>
      </x:c>
      <x:c r="O103" s="38" t="n">
        <x:f>COUNTIF('03_消耗端'!$E$5:$E$900,A103)</x:f>
        <x:v>0</x:v>
      </x:c>
      <x:c r="P103" s="38" t="str">
        <x:f>IF(C103="前置条件","条件",IF(AND(N103&gt;0,O103&gt;0),"循环闭合",IF(AND(N103&gt;0,OR(C103="装备",C103="装备/道具",C103="角色进度",C103="称号/进度",C103="系统结果")),"终端产物",IF(N103=0,"缺产出","缺消耗"))))</x:f>
        <x:v>缺产出</x:v>
      </x:c>
      <x:c r="Q103" s="39" t="str">
        <x:v>由NPC配方表自动登记。</x:v>
      </x:c>
    </x:row>
    <x:row r="104" ht="40" customHeight="1">
      <x:c r="A104" s="37" t="str">
        <x:v>OUT-8238FB25EDF3</x:v>
      </x:c>
      <x:c r="B104" s="38" t="str">
        <x:v>潮归秘戒</x:v>
      </x:c>
      <x:c r="C104" s="38" t="str">
        <x:v>装备</x:v>
      </x:c>
      <x:c r="D104" s="38" t="str">
        <x:v>装备合成</x:v>
      </x:c>
      <x:c r="E104" s="38" t="str">
        <x:v>C01</x:v>
      </x:c>
      <x:c r="F104" s="38"/>
      <x:c r="G104" s="38"/>
      <x:c r="H104" s="38" t="str">
        <x:v>结构已确认；数值待经济反算</x:v>
      </x:c>
      <x:c r="I104" s="38" t="str">
        <x:v>成品可交易</x:v>
      </x:c>
      <x:c r="J104" s="38" t="str">
        <x:v>禁止回收</x:v>
      </x:c>
      <x:c r="K104" s="38" t="str">
        <x:v>成品可交易</x:v>
      </x:c>
      <x:c r="L104" s="38" t="str">
        <x:v>待经济反算</x:v>
      </x:c>
      <x:c r="M104" s="38" t="str">
        <x:v>十大陆NPC与配方总账V1.0</x:v>
      </x:c>
      <x:c r="N104" s="38" t="n">
        <x:f>COUNTIF('02_产出端'!$G$5:$G$600,A104)</x:f>
        <x:v>0</x:v>
      </x:c>
      <x:c r="O104" s="38" t="n">
        <x:f>COUNTIF('03_消耗端'!$E$5:$E$900,A104)</x:f>
        <x:v>0</x:v>
      </x:c>
      <x:c r="P104" s="38" t="str">
        <x:f>IF(C104="前置条件","条件",IF(AND(N104&gt;0,O104&gt;0),"循环闭合",IF(AND(N104&gt;0,OR(C104="装备",C104="装备/道具",C104="角色进度",C104="称号/进度",C104="系统结果")),"终端产物",IF(N104=0,"缺产出","缺消耗"))))</x:f>
        <x:v>缺产出</x:v>
      </x:c>
      <x:c r="Q104" s="39" t="str">
        <x:v>合成产物可交易性与禁止回收是两条独立规则。</x:v>
      </x:c>
    </x:row>
    <x:row r="105" ht="40" customHeight="1">
      <x:c r="A105" s="37" t="str">
        <x:v>OUT-F1C18A8AD991</x:v>
      </x:c>
      <x:c r="B105" s="38" t="str">
        <x:v>风暴王庭链</x:v>
      </x:c>
      <x:c r="C105" s="38" t="str">
        <x:v>装备</x:v>
      </x:c>
      <x:c r="D105" s="38" t="str">
        <x:v>装备合成</x:v>
      </x:c>
      <x:c r="E105" s="38" t="str">
        <x:v>C02</x:v>
      </x:c>
      <x:c r="F105" s="38"/>
      <x:c r="G105" s="38"/>
      <x:c r="H105" s="38" t="str">
        <x:v>结构已确认；数值待经济反算</x:v>
      </x:c>
      <x:c r="I105" s="38" t="str">
        <x:v>成品可交易</x:v>
      </x:c>
      <x:c r="J105" s="38" t="str">
        <x:v>禁止回收</x:v>
      </x:c>
      <x:c r="K105" s="38" t="str">
        <x:v>成品可交易</x:v>
      </x:c>
      <x:c r="L105" s="38" t="str">
        <x:v>待经济反算</x:v>
      </x:c>
      <x:c r="M105" s="38" t="str">
        <x:v>十大陆NPC与配方总账V1.0</x:v>
      </x:c>
      <x:c r="N105" s="38" t="n">
        <x:f>COUNTIF('02_产出端'!$G$5:$G$600,A105)</x:f>
        <x:v>0</x:v>
      </x:c>
      <x:c r="O105" s="38" t="n">
        <x:f>COUNTIF('03_消耗端'!$E$5:$E$900,A105)</x:f>
        <x:v>0</x:v>
      </x:c>
      <x:c r="P105" s="38" t="str">
        <x:f>IF(C105="前置条件","条件",IF(AND(N105&gt;0,O105&gt;0),"循环闭合",IF(AND(N105&gt;0,OR(C105="装备",C105="装备/道具",C105="角色进度",C105="称号/进度",C105="系统结果")),"终端产物",IF(N105=0,"缺产出","缺消耗"))))</x:f>
        <x:v>缺产出</x:v>
      </x:c>
      <x:c r="Q105" s="39" t="str">
        <x:v>合成产物可交易性与禁止回收是两条独立规则。</x:v>
      </x:c>
    </x:row>
    <x:row r="106" ht="40" customHeight="1">
      <x:c r="A106" s="37" t="str">
        <x:v>OUT-5FA94E7F968E</x:v>
      </x:c>
      <x:c r="B106" s="38" t="str">
        <x:v>百指接肢腕</x:v>
      </x:c>
      <x:c r="C106" s="38" t="str">
        <x:v>装备</x:v>
      </x:c>
      <x:c r="D106" s="38" t="str">
        <x:v>装备合成</x:v>
      </x:c>
      <x:c r="E106" s="38" t="str">
        <x:v>C02</x:v>
      </x:c>
      <x:c r="F106" s="38"/>
      <x:c r="G106" s="38"/>
      <x:c r="H106" s="38" t="str">
        <x:v>结构已确认；数值待经济反算</x:v>
      </x:c>
      <x:c r="I106" s="38" t="str">
        <x:v>成品可交易</x:v>
      </x:c>
      <x:c r="J106" s="38" t="str">
        <x:v>禁止回收</x:v>
      </x:c>
      <x:c r="K106" s="38" t="str">
        <x:v>成品可交易</x:v>
      </x:c>
      <x:c r="L106" s="38" t="str">
        <x:v>待经济反算</x:v>
      </x:c>
      <x:c r="M106" s="38" t="str">
        <x:v>十大陆NPC与配方总账V1.0</x:v>
      </x:c>
      <x:c r="N106" s="38" t="n">
        <x:f>COUNTIF('02_产出端'!$G$5:$G$600,A106)</x:f>
        <x:v>0</x:v>
      </x:c>
      <x:c r="O106" s="38" t="n">
        <x:f>COUNTIF('03_消耗端'!$E$5:$E$900,A106)</x:f>
        <x:v>0</x:v>
      </x:c>
      <x:c r="P106" s="38" t="str">
        <x:f>IF(C106="前置条件","条件",IF(AND(N106&gt;0,O106&gt;0),"循环闭合",IF(AND(N106&gt;0,OR(C106="装备",C106="装备/道具",C106="角色进度",C106="称号/进度",C106="系统结果")),"终端产物",IF(N106=0,"缺产出","缺消耗"))))</x:f>
        <x:v>缺产出</x:v>
      </x:c>
      <x:c r="Q106" s="39" t="str">
        <x:v>合成产物可交易性与禁止回收是两条独立规则。</x:v>
      </x:c>
    </x:row>
    <x:row r="107" ht="40" customHeight="1">
      <x:c r="A107" s="37" t="str">
        <x:v>OUT-A16D00C39C87</x:v>
      </x:c>
      <x:c r="B107" s="38" t="str">
        <x:v>断途战冠</x:v>
      </x:c>
      <x:c r="C107" s="38" t="str">
        <x:v>装备</x:v>
      </x:c>
      <x:c r="D107" s="38" t="str">
        <x:v>装备合成</x:v>
      </x:c>
      <x:c r="E107" s="38" t="str">
        <x:v>C03</x:v>
      </x:c>
      <x:c r="F107" s="38"/>
      <x:c r="G107" s="38"/>
      <x:c r="H107" s="38" t="str">
        <x:v>结构已确认；数值待经济反算</x:v>
      </x:c>
      <x:c r="I107" s="38" t="str">
        <x:v>成品可交易</x:v>
      </x:c>
      <x:c r="J107" s="38" t="str">
        <x:v>禁止回收</x:v>
      </x:c>
      <x:c r="K107" s="38" t="str">
        <x:v>成品可交易</x:v>
      </x:c>
      <x:c r="L107" s="38" t="str">
        <x:v>待经济反算</x:v>
      </x:c>
      <x:c r="M107" s="38" t="str">
        <x:v>十大陆NPC与配方总账V1.0</x:v>
      </x:c>
      <x:c r="N107" s="38" t="n">
        <x:f>COUNTIF('02_产出端'!$G$5:$G$600,A107)</x:f>
        <x:v>0</x:v>
      </x:c>
      <x:c r="O107" s="38" t="n">
        <x:f>COUNTIF('03_消耗端'!$E$5:$E$900,A107)</x:f>
        <x:v>0</x:v>
      </x:c>
      <x:c r="P107" s="38" t="str">
        <x:f>IF(C107="前置条件","条件",IF(AND(N107&gt;0,O107&gt;0),"循环闭合",IF(AND(N107&gt;0,OR(C107="装备",C107="装备/道具",C107="角色进度",C107="称号/进度",C107="系统结果")),"终端产物",IF(N107=0,"缺产出","缺消耗"))))</x:f>
        <x:v>缺产出</x:v>
      </x:c>
      <x:c r="Q107" s="39" t="str">
        <x:v>合成产物可交易性与禁止回收是两条独立规则。</x:v>
      </x:c>
    </x:row>
    <x:row r="108" ht="40" customHeight="1">
      <x:c r="A108" s="37" t="str">
        <x:v>OUT-936701C220F7</x:v>
      </x:c>
      <x:c r="B108" s="38" t="str">
        <x:v>逐风征靴</x:v>
      </x:c>
      <x:c r="C108" s="38" t="str">
        <x:v>装备</x:v>
      </x:c>
      <x:c r="D108" s="38" t="str">
        <x:v>装备合成</x:v>
      </x:c>
      <x:c r="E108" s="38" t="str">
        <x:v>C03</x:v>
      </x:c>
      <x:c r="F108" s="38"/>
      <x:c r="G108" s="38"/>
      <x:c r="H108" s="38" t="str">
        <x:v>结构已确认；数值待经济反算</x:v>
      </x:c>
      <x:c r="I108" s="38" t="str">
        <x:v>成品可交易</x:v>
      </x:c>
      <x:c r="J108" s="38" t="str">
        <x:v>禁止回收</x:v>
      </x:c>
      <x:c r="K108" s="38" t="str">
        <x:v>成品可交易</x:v>
      </x:c>
      <x:c r="L108" s="38" t="str">
        <x:v>待经济反算</x:v>
      </x:c>
      <x:c r="M108" s="38" t="str">
        <x:v>十大陆NPC与配方总账V1.0</x:v>
      </x:c>
      <x:c r="N108" s="38" t="n">
        <x:f>COUNTIF('02_产出端'!$G$5:$G$600,A108)</x:f>
        <x:v>0</x:v>
      </x:c>
      <x:c r="O108" s="38" t="n">
        <x:f>COUNTIF('03_消耗端'!$E$5:$E$900,A108)</x:f>
        <x:v>0</x:v>
      </x:c>
      <x:c r="P108" s="38" t="str">
        <x:f>IF(C108="前置条件","条件",IF(AND(N108&gt;0,O108&gt;0),"循环闭合",IF(AND(N108&gt;0,OR(C108="装备",C108="装备/道具",C108="角色进度",C108="称号/进度",C108="系统结果")),"终端产物",IF(N108=0,"缺产出","缺消耗"))))</x:f>
        <x:v>缺产出</x:v>
      </x:c>
      <x:c r="Q108" s="39" t="str">
        <x:v>合成产物可交易性与禁止回收是两条独立规则。</x:v>
      </x:c>
    </x:row>
    <x:row r="109" ht="40" customHeight="1">
      <x:c r="A109" s="37" t="str">
        <x:v>OUT-35447BF772E3</x:v>
      </x:c>
      <x:c r="B109" s="38" t="str">
        <x:v>闭潮王带</x:v>
      </x:c>
      <x:c r="C109" s="38" t="str">
        <x:v>装备</x:v>
      </x:c>
      <x:c r="D109" s="38" t="str">
        <x:v>装备合成</x:v>
      </x:c>
      <x:c r="E109" s="38" t="str">
        <x:v>C04</x:v>
      </x:c>
      <x:c r="F109" s="38"/>
      <x:c r="G109" s="38"/>
      <x:c r="H109" s="38" t="str">
        <x:v>结构已确认；数值待经济反算</x:v>
      </x:c>
      <x:c r="I109" s="38" t="str">
        <x:v>成品可交易</x:v>
      </x:c>
      <x:c r="J109" s="38" t="str">
        <x:v>禁止回收</x:v>
      </x:c>
      <x:c r="K109" s="38" t="str">
        <x:v>成品可交易</x:v>
      </x:c>
      <x:c r="L109" s="38" t="str">
        <x:v>待经济反算</x:v>
      </x:c>
      <x:c r="M109" s="38" t="str">
        <x:v>十大陆NPC与配方总账V1.0</x:v>
      </x:c>
      <x:c r="N109" s="38" t="n">
        <x:f>COUNTIF('02_产出端'!$G$5:$G$600,A109)</x:f>
        <x:v>0</x:v>
      </x:c>
      <x:c r="O109" s="38" t="n">
        <x:f>COUNTIF('03_消耗端'!$E$5:$E$900,A109)</x:f>
        <x:v>0</x:v>
      </x:c>
      <x:c r="P109" s="38" t="str">
        <x:f>IF(C109="前置条件","条件",IF(AND(N109&gt;0,O109&gt;0),"循环闭合",IF(AND(N109&gt;0,OR(C109="装备",C109="装备/道具",C109="角色进度",C109="称号/进度",C109="系统结果")),"终端产物",IF(N109=0,"缺产出","缺消耗"))))</x:f>
        <x:v>缺产出</x:v>
      </x:c>
      <x:c r="Q109" s="39" t="str">
        <x:v>合成产物可交易性与禁止回收是两条独立规则。</x:v>
      </x:c>
    </x:row>
    <x:row r="110" ht="40" customHeight="1">
      <x:c r="A110" s="37" t="str">
        <x:v>OUT-CEFD1659FA03</x:v>
      </x:c>
      <x:c r="B110" s="38" t="str">
        <x:v>月渊秘戒</x:v>
      </x:c>
      <x:c r="C110" s="38" t="str">
        <x:v>装备</x:v>
      </x:c>
      <x:c r="D110" s="38" t="str">
        <x:v>装备合成</x:v>
      </x:c>
      <x:c r="E110" s="38" t="str">
        <x:v>C04</x:v>
      </x:c>
      <x:c r="F110" s="38"/>
      <x:c r="G110" s="38"/>
      <x:c r="H110" s="38" t="str">
        <x:v>结构已确认；数值待经济反算</x:v>
      </x:c>
      <x:c r="I110" s="38" t="str">
        <x:v>成品可交易</x:v>
      </x:c>
      <x:c r="J110" s="38" t="str">
        <x:v>禁止回收</x:v>
      </x:c>
      <x:c r="K110" s="38" t="str">
        <x:v>成品可交易</x:v>
      </x:c>
      <x:c r="L110" s="38" t="str">
        <x:v>待经济反算</x:v>
      </x:c>
      <x:c r="M110" s="38" t="str">
        <x:v>十大陆NPC与配方总账V1.0</x:v>
      </x:c>
      <x:c r="N110" s="38" t="n">
        <x:f>COUNTIF('02_产出端'!$G$5:$G$600,A110)</x:f>
        <x:v>0</x:v>
      </x:c>
      <x:c r="O110" s="38" t="n">
        <x:f>COUNTIF('03_消耗端'!$E$5:$E$900,A110)</x:f>
        <x:v>0</x:v>
      </x:c>
      <x:c r="P110" s="38" t="str">
        <x:f>IF(C110="前置条件","条件",IF(AND(N110&gt;0,O110&gt;0),"循环闭合",IF(AND(N110&gt;0,OR(C110="装备",C110="装备/道具",C110="角色进度",C110="称号/进度",C110="系统结果")),"终端产物",IF(N110=0,"缺产出","缺消耗"))))</x:f>
        <x:v>缺产出</x:v>
      </x:c>
      <x:c r="Q110" s="39" t="str">
        <x:v>合成产物可交易性与禁止回收是两条独立规则。</x:v>
      </x:c>
    </x:row>
    <x:row r="111" ht="40" customHeight="1">
      <x:c r="A111" s="37" t="str">
        <x:v>OUT-294006661932</x:v>
      </x:c>
      <x:c r="B111" s="38" t="str">
        <x:v>闭潮秘饰</x:v>
      </x:c>
      <x:c r="C111" s="38" t="str">
        <x:v>装备</x:v>
      </x:c>
      <x:c r="D111" s="38" t="str">
        <x:v>装备合成</x:v>
      </x:c>
      <x:c r="E111" s="38" t="str">
        <x:v>C04</x:v>
      </x:c>
      <x:c r="F111" s="38"/>
      <x:c r="G111" s="38"/>
      <x:c r="H111" s="38" t="str">
        <x:v>结构已确认；数值待经济反算</x:v>
      </x:c>
      <x:c r="I111" s="38" t="str">
        <x:v>成品可交易</x:v>
      </x:c>
      <x:c r="J111" s="38" t="str">
        <x:v>禁止回收</x:v>
      </x:c>
      <x:c r="K111" s="38" t="str">
        <x:v>成品可交易</x:v>
      </x:c>
      <x:c r="L111" s="38" t="str">
        <x:v>待经济反算</x:v>
      </x:c>
      <x:c r="M111" s="38" t="str">
        <x:v>十大陆NPC与配方总账V1.0</x:v>
      </x:c>
      <x:c r="N111" s="38" t="n">
        <x:f>COUNTIF('02_产出端'!$G$5:$G$600,A111)</x:f>
        <x:v>0</x:v>
      </x:c>
      <x:c r="O111" s="38" t="n">
        <x:f>COUNTIF('03_消耗端'!$E$5:$E$900,A111)</x:f>
        <x:v>0</x:v>
      </x:c>
      <x:c r="P111" s="38" t="str">
        <x:f>IF(C111="前置条件","条件",IF(AND(N111&gt;0,O111&gt;0),"循环闭合",IF(AND(N111&gt;0,OR(C111="装备",C111="装备/道具",C111="角色进度",C111="称号/进度",C111="系统结果")),"终端产物",IF(N111=0,"缺产出","缺消耗"))))</x:f>
        <x:v>缺产出</x:v>
      </x:c>
      <x:c r="Q111" s="39" t="str">
        <x:v>合成产物可交易性与禁止回收是两条独立规则。</x:v>
      </x:c>
    </x:row>
    <x:row r="112" ht="40" customHeight="1">
      <x:c r="A112" s="37" t="str">
        <x:v>OUT-0A070972B401</x:v>
      </x:c>
      <x:c r="B112" s="38" t="str">
        <x:v>卡利亚月裁长刃</x:v>
      </x:c>
      <x:c r="C112" s="38" t="str">
        <x:v>装备</x:v>
      </x:c>
      <x:c r="D112" s="38" t="str">
        <x:v>装备合成</x:v>
      </x:c>
      <x:c r="E112" s="38" t="str">
        <x:v>C05</x:v>
      </x:c>
      <x:c r="F112" s="38"/>
      <x:c r="G112" s="38"/>
      <x:c r="H112" s="38" t="str">
        <x:v>结构已确认；数值待经济反算</x:v>
      </x:c>
      <x:c r="I112" s="38" t="str">
        <x:v>成品可交易</x:v>
      </x:c>
      <x:c r="J112" s="38" t="str">
        <x:v>禁止回收</x:v>
      </x:c>
      <x:c r="K112" s="38" t="str">
        <x:v>成品可交易</x:v>
      </x:c>
      <x:c r="L112" s="38" t="str">
        <x:v>待经济反算</x:v>
      </x:c>
      <x:c r="M112" s="38" t="str">
        <x:v>十大陆NPC与配方总账V1.0</x:v>
      </x:c>
      <x:c r="N112" s="38" t="n">
        <x:f>COUNTIF('02_产出端'!$G$5:$G$600,A112)</x:f>
        <x:v>0</x:v>
      </x:c>
      <x:c r="O112" s="38" t="n">
        <x:f>COUNTIF('03_消耗端'!$E$5:$E$900,A112)</x:f>
        <x:v>0</x:v>
      </x:c>
      <x:c r="P112" s="38" t="str">
        <x:f>IF(C112="前置条件","条件",IF(AND(N112&gt;0,O112&gt;0),"循环闭合",IF(AND(N112&gt;0,OR(C112="装备",C112="装备/道具",C112="角色进度",C112="称号/进度",C112="系统结果")),"终端产物",IF(N112=0,"缺产出","缺消耗"))))</x:f>
        <x:v>缺产出</x:v>
      </x:c>
      <x:c r="Q112" s="39" t="str">
        <x:v>合成产物可交易性与禁止回收是两条独立规则。</x:v>
      </x:c>
    </x:row>
    <x:row r="113" ht="40" customHeight="1">
      <x:c r="A113" s="37" t="str">
        <x:v>OUT-C3D1CF45FB43</x:v>
      </x:c>
      <x:c r="B113" s="38" t="str">
        <x:v>辉月镜戒</x:v>
      </x:c>
      <x:c r="C113" s="38" t="str">
        <x:v>装备</x:v>
      </x:c>
      <x:c r="D113" s="38" t="str">
        <x:v>装备合成</x:v>
      </x:c>
      <x:c r="E113" s="38" t="str">
        <x:v>C05</x:v>
      </x:c>
      <x:c r="F113" s="38"/>
      <x:c r="G113" s="38"/>
      <x:c r="H113" s="38" t="str">
        <x:v>结构已确认；数值待经济反算</x:v>
      </x:c>
      <x:c r="I113" s="38" t="str">
        <x:v>成品可交易</x:v>
      </x:c>
      <x:c r="J113" s="38" t="str">
        <x:v>禁止回收</x:v>
      </x:c>
      <x:c r="K113" s="38" t="str">
        <x:v>成品可交易</x:v>
      </x:c>
      <x:c r="L113" s="38" t="str">
        <x:v>待经济反算</x:v>
      </x:c>
      <x:c r="M113" s="38" t="str">
        <x:v>十大陆NPC与配方总账V1.0</x:v>
      </x:c>
      <x:c r="N113" s="38" t="n">
        <x:f>COUNTIF('02_产出端'!$G$5:$G$600,A113)</x:f>
        <x:v>0</x:v>
      </x:c>
      <x:c r="O113" s="38" t="n">
        <x:f>COUNTIF('03_消耗端'!$E$5:$E$900,A113)</x:f>
        <x:v>0</x:v>
      </x:c>
      <x:c r="P113" s="38" t="str">
        <x:f>IF(C113="前置条件","条件",IF(AND(N113&gt;0,O113&gt;0),"循环闭合",IF(AND(N113&gt;0,OR(C113="装备",C113="装备/道具",C113="角色进度",C113="称号/进度",C113="系统结果")),"终端产物",IF(N113=0,"缺产出","缺消耗"))))</x:f>
        <x:v>缺产出</x:v>
      </x:c>
      <x:c r="Q113" s="39" t="str">
        <x:v>合成产物可交易性与禁止回收是两条独立规则。</x:v>
      </x:c>
    </x:row>
    <x:row r="114" ht="40" customHeight="1">
      <x:c r="A114" s="37" t="str">
        <x:v>OUT-9AF067FFF8DB</x:v>
      </x:c>
      <x:c r="B114" s="38" t="str">
        <x:v>碎星红狮战甲</x:v>
      </x:c>
      <x:c r="C114" s="38" t="str">
        <x:v>装备</x:v>
      </x:c>
      <x:c r="D114" s="38" t="str">
        <x:v>装备合成</x:v>
      </x:c>
      <x:c r="E114" s="38" t="str">
        <x:v>C06</x:v>
      </x:c>
      <x:c r="F114" s="38"/>
      <x:c r="G114" s="38"/>
      <x:c r="H114" s="38" t="str">
        <x:v>结构已确认；数值待经济反算</x:v>
      </x:c>
      <x:c r="I114" s="38" t="str">
        <x:v>成品可交易</x:v>
      </x:c>
      <x:c r="J114" s="38" t="str">
        <x:v>禁止回收</x:v>
      </x:c>
      <x:c r="K114" s="38" t="str">
        <x:v>成品可交易</x:v>
      </x:c>
      <x:c r="L114" s="38" t="str">
        <x:v>待经济反算</x:v>
      </x:c>
      <x:c r="M114" s="38" t="str">
        <x:v>十大陆NPC与配方总账V1.0</x:v>
      </x:c>
      <x:c r="N114" s="38" t="n">
        <x:f>COUNTIF('02_产出端'!$G$5:$G$600,A114)</x:f>
        <x:v>0</x:v>
      </x:c>
      <x:c r="O114" s="38" t="n">
        <x:f>COUNTIF('03_消耗端'!$E$5:$E$900,A114)</x:f>
        <x:v>0</x:v>
      </x:c>
      <x:c r="P114" s="38" t="str">
        <x:f>IF(C114="前置条件","条件",IF(AND(N114&gt;0,O114&gt;0),"循环闭合",IF(AND(N114&gt;0,OR(C114="装备",C114="装备/道具",C114="角色进度",C114="称号/进度",C114="系统结果")),"终端产物",IF(N114=0,"缺产出","缺消耗"))))</x:f>
        <x:v>缺产出</x:v>
      </x:c>
      <x:c r="Q114" s="39" t="str">
        <x:v>合成产物可交易性与禁止回收是两条独立规则。</x:v>
      </x:c>
    </x:row>
    <x:row r="115" ht="40" customHeight="1">
      <x:c r="A115" s="37" t="str">
        <x:v>OUT-9E7D597701BC</x:v>
      </x:c>
      <x:c r="B115" s="38" t="str">
        <x:v>龙火刑腕</x:v>
      </x:c>
      <x:c r="C115" s="38" t="str">
        <x:v>装备</x:v>
      </x:c>
      <x:c r="D115" s="38" t="str">
        <x:v>装备合成</x:v>
      </x:c>
      <x:c r="E115" s="38" t="str">
        <x:v>C06</x:v>
      </x:c>
      <x:c r="F115" s="38"/>
      <x:c r="G115" s="38"/>
      <x:c r="H115" s="38" t="str">
        <x:v>结构已确认；数值待经济反算</x:v>
      </x:c>
      <x:c r="I115" s="38" t="str">
        <x:v>成品可交易</x:v>
      </x:c>
      <x:c r="J115" s="38" t="str">
        <x:v>禁止回收</x:v>
      </x:c>
      <x:c r="K115" s="38" t="str">
        <x:v>成品可交易</x:v>
      </x:c>
      <x:c r="L115" s="38" t="str">
        <x:v>待经济反算</x:v>
      </x:c>
      <x:c r="M115" s="38" t="str">
        <x:v>十大陆NPC与配方总账V1.0</x:v>
      </x:c>
      <x:c r="N115" s="38" t="n">
        <x:f>COUNTIF('02_产出端'!$G$5:$G$600,A115)</x:f>
        <x:v>0</x:v>
      </x:c>
      <x:c r="O115" s="38" t="n">
        <x:f>COUNTIF('03_消耗端'!$E$5:$E$900,A115)</x:f>
        <x:v>0</x:v>
      </x:c>
      <x:c r="P115" s="38" t="str">
        <x:f>IF(C115="前置条件","条件",IF(AND(N115&gt;0,O115&gt;0),"循环闭合",IF(AND(N115&gt;0,OR(C115="装备",C115="装备/道具",C115="角色进度",C115="称号/进度",C115="系统结果")),"终端产物",IF(N115=0,"缺产出","缺消耗"))))</x:f>
        <x:v>缺产出</x:v>
      </x:c>
      <x:c r="Q115" s="39" t="str">
        <x:v>合成产物可交易性与禁止回收是两条独立规则。</x:v>
      </x:c>
    </x:row>
    <x:row r="116" ht="40" customHeight="1">
      <x:c r="A116" s="37" t="str">
        <x:v>OUT-74A54609FB57</x:v>
      </x:c>
      <x:c r="B116" s="38" t="str">
        <x:v>红狮余烬王衣</x:v>
      </x:c>
      <x:c r="C116" s="38" t="str">
        <x:v>装备</x:v>
      </x:c>
      <x:c r="D116" s="38" t="str">
        <x:v>装备合成</x:v>
      </x:c>
      <x:c r="E116" s="38" t="str">
        <x:v>C06</x:v>
      </x:c>
      <x:c r="F116" s="38"/>
      <x:c r="G116" s="38"/>
      <x:c r="H116" s="38" t="str">
        <x:v>结构已确认；数值待经济反算</x:v>
      </x:c>
      <x:c r="I116" s="38" t="str">
        <x:v>成品可交易</x:v>
      </x:c>
      <x:c r="J116" s="38" t="str">
        <x:v>禁止回收</x:v>
      </x:c>
      <x:c r="K116" s="38" t="str">
        <x:v>成品可交易</x:v>
      </x:c>
      <x:c r="L116" s="38" t="str">
        <x:v>待经济反算</x:v>
      </x:c>
      <x:c r="M116" s="38" t="str">
        <x:v>十大陆NPC与配方总账V1.0</x:v>
      </x:c>
      <x:c r="N116" s="38" t="n">
        <x:f>COUNTIF('02_产出端'!$G$5:$G$600,A116)</x:f>
        <x:v>0</x:v>
      </x:c>
      <x:c r="O116" s="38" t="n">
        <x:f>COUNTIF('03_消耗端'!$E$5:$E$900,A116)</x:f>
        <x:v>0</x:v>
      </x:c>
      <x:c r="P116" s="38" t="str">
        <x:f>IF(C116="前置条件","条件",IF(AND(N116&gt;0,O116&gt;0),"循环闭合",IF(AND(N116&gt;0,OR(C116="装备",C116="装备/道具",C116="角色进度",C116="称号/进度",C116="系统结果")),"终端产物",IF(N116=0,"缺产出","缺消耗"))))</x:f>
        <x:v>缺产出</x:v>
      </x:c>
      <x:c r="Q116" s="39" t="str">
        <x:v>合成产物可交易性与禁止回收是两条独立规则。</x:v>
      </x:c>
    </x:row>
    <x:row r="117" ht="40" customHeight="1">
      <x:c r="A117" s="37" t="str">
        <x:v>OUT-9A57417F45A9</x:v>
      </x:c>
      <x:c r="B117" s="38" t="str">
        <x:v>永霜白金刃</x:v>
      </x:c>
      <x:c r="C117" s="38" t="str">
        <x:v>装备</x:v>
      </x:c>
      <x:c r="D117" s="38" t="str">
        <x:v>装备合成</x:v>
      </x:c>
      <x:c r="E117" s="38" t="str">
        <x:v>C07</x:v>
      </x:c>
      <x:c r="F117" s="38"/>
      <x:c r="G117" s="38"/>
      <x:c r="H117" s="38" t="str">
        <x:v>结构已确认；数值待经济反算</x:v>
      </x:c>
      <x:c r="I117" s="38" t="str">
        <x:v>成品可交易</x:v>
      </x:c>
      <x:c r="J117" s="38" t="str">
        <x:v>禁止回收</x:v>
      </x:c>
      <x:c r="K117" s="38" t="str">
        <x:v>成品可交易</x:v>
      </x:c>
      <x:c r="L117" s="38" t="str">
        <x:v>待经济反算</x:v>
      </x:c>
      <x:c r="M117" s="38" t="str">
        <x:v>十大陆NPC与配方总账V1.0</x:v>
      </x:c>
      <x:c r="N117" s="38" t="n">
        <x:f>COUNTIF('02_产出端'!$G$5:$G$600,A117)</x:f>
        <x:v>0</x:v>
      </x:c>
      <x:c r="O117" s="38" t="n">
        <x:f>COUNTIF('03_消耗端'!$E$5:$E$900,A117)</x:f>
        <x:v>0</x:v>
      </x:c>
      <x:c r="P117" s="38" t="str">
        <x:f>IF(C117="前置条件","条件",IF(AND(N117&gt;0,O117&gt;0),"循环闭合",IF(AND(N117&gt;0,OR(C117="装备",C117="装备/道具",C117="角色进度",C117="称号/进度",C117="系统结果")),"终端产物",IF(N117=0,"缺产出","缺消耗"))))</x:f>
        <x:v>缺产出</x:v>
      </x:c>
      <x:c r="Q117" s="39" t="str">
        <x:v>合成产物可交易性与禁止回收是两条独立规则。</x:v>
      </x:c>
    </x:row>
    <x:row r="118" ht="40" customHeight="1">
      <x:c r="A118" s="37" t="str">
        <x:v>OUT-167A8A6846B6</x:v>
      </x:c>
      <x:c r="B118" s="38" t="str">
        <x:v>圣雪无火礼衣</x:v>
      </x:c>
      <x:c r="C118" s="38" t="str">
        <x:v>装备</x:v>
      </x:c>
      <x:c r="D118" s="38" t="str">
        <x:v>装备合成</x:v>
      </x:c>
      <x:c r="E118" s="38" t="str">
        <x:v>C07</x:v>
      </x:c>
      <x:c r="F118" s="38"/>
      <x:c r="G118" s="38"/>
      <x:c r="H118" s="38" t="str">
        <x:v>结构已确认；数值待经济反算</x:v>
      </x:c>
      <x:c r="I118" s="38" t="str">
        <x:v>成品可交易</x:v>
      </x:c>
      <x:c r="J118" s="38" t="str">
        <x:v>禁止回收</x:v>
      </x:c>
      <x:c r="K118" s="38" t="str">
        <x:v>成品可交易</x:v>
      </x:c>
      <x:c r="L118" s="38" t="str">
        <x:v>待经济反算</x:v>
      </x:c>
      <x:c r="M118" s="38" t="str">
        <x:v>十大陆NPC与配方总账V1.0</x:v>
      </x:c>
      <x:c r="N118" s="38" t="n">
        <x:f>COUNTIF('02_产出端'!$G$5:$G$600,A118)</x:f>
        <x:v>0</x:v>
      </x:c>
      <x:c r="O118" s="38" t="n">
        <x:f>COUNTIF('03_消耗端'!$E$5:$E$900,A118)</x:f>
        <x:v>0</x:v>
      </x:c>
      <x:c r="P118" s="38" t="str">
        <x:f>IF(C118="前置条件","条件",IF(AND(N118&gt;0,O118&gt;0),"循环闭合",IF(AND(N118&gt;0,OR(C118="装备",C118="装备/道具",C118="角色进度",C118="称号/进度",C118="系统结果")),"终端产物",IF(N118=0,"缺产出","缺消耗"))))</x:f>
        <x:v>缺产出</x:v>
      </x:c>
      <x:c r="Q118" s="39" t="str">
        <x:v>合成产物可交易性与禁止回收是两条独立规则。</x:v>
      </x:c>
    </x:row>
    <x:row r="119" ht="40" customHeight="1">
      <x:c r="A119" s="37" t="str">
        <x:v>OUT-7151BA16D83D</x:v>
      </x:c>
      <x:c r="B119" s="38" t="str">
        <x:v>巨人炉心颈环</x:v>
      </x:c>
      <x:c r="C119" s="38" t="str">
        <x:v>装备</x:v>
      </x:c>
      <x:c r="D119" s="38" t="str">
        <x:v>装备合成</x:v>
      </x:c>
      <x:c r="E119" s="38" t="str">
        <x:v>C08</x:v>
      </x:c>
      <x:c r="F119" s="38"/>
      <x:c r="G119" s="38"/>
      <x:c r="H119" s="38" t="str">
        <x:v>结构已确认；数值待经济反算</x:v>
      </x:c>
      <x:c r="I119" s="38" t="str">
        <x:v>成品可交易</x:v>
      </x:c>
      <x:c r="J119" s="38" t="str">
        <x:v>禁止回收</x:v>
      </x:c>
      <x:c r="K119" s="38" t="str">
        <x:v>成品可交易</x:v>
      </x:c>
      <x:c r="L119" s="38" t="str">
        <x:v>待经济反算</x:v>
      </x:c>
      <x:c r="M119" s="38" t="str">
        <x:v>十大陆NPC与配方总账V1.0</x:v>
      </x:c>
      <x:c r="N119" s="38" t="n">
        <x:f>COUNTIF('02_产出端'!$G$5:$G$600,A119)</x:f>
        <x:v>0</x:v>
      </x:c>
      <x:c r="O119" s="38" t="n">
        <x:f>COUNTIF('03_消耗端'!$E$5:$E$900,A119)</x:f>
        <x:v>0</x:v>
      </x:c>
      <x:c r="P119" s="38" t="str">
        <x:f>IF(C119="前置条件","条件",IF(AND(N119&gt;0,O119&gt;0),"循环闭合",IF(AND(N119&gt;0,OR(C119="装备",C119="装备/道具",C119="角色进度",C119="称号/进度",C119="系统结果")),"终端产物",IF(N119=0,"缺产出","缺消耗"))))</x:f>
        <x:v>缺产出</x:v>
      </x:c>
      <x:c r="Q119" s="39" t="str">
        <x:v>合成产物可交易性与禁止回收是两条独立规则。</x:v>
      </x:c>
    </x:row>
    <x:row r="120" ht="40" customHeight="1">
      <x:c r="A120" s="37" t="str">
        <x:v>OUT-20FAFFE3B5BD</x:v>
      </x:c>
      <x:c r="B120" s="38" t="str">
        <x:v>吞日霜壁</x:v>
      </x:c>
      <x:c r="C120" s="38" t="str">
        <x:v>装备</x:v>
      </x:c>
      <x:c r="D120" s="38" t="str">
        <x:v>装备合成</x:v>
      </x:c>
      <x:c r="E120" s="38" t="str">
        <x:v>C08</x:v>
      </x:c>
      <x:c r="F120" s="38"/>
      <x:c r="G120" s="38"/>
      <x:c r="H120" s="38" t="str">
        <x:v>结构已确认；数值待经济反算</x:v>
      </x:c>
      <x:c r="I120" s="38" t="str">
        <x:v>成品可交易</x:v>
      </x:c>
      <x:c r="J120" s="38" t="str">
        <x:v>禁止回收</x:v>
      </x:c>
      <x:c r="K120" s="38" t="str">
        <x:v>成品可交易</x:v>
      </x:c>
      <x:c r="L120" s="38" t="str">
        <x:v>待经济反算</x:v>
      </x:c>
      <x:c r="M120" s="38" t="str">
        <x:v>十大陆NPC与配方总账V1.0</x:v>
      </x:c>
      <x:c r="N120" s="38" t="n">
        <x:f>COUNTIF('02_产出端'!$G$5:$G$600,A120)</x:f>
        <x:v>0</x:v>
      </x:c>
      <x:c r="O120" s="38" t="n">
        <x:f>COUNTIF('03_消耗端'!$E$5:$E$900,A120)</x:f>
        <x:v>0</x:v>
      </x:c>
      <x:c r="P120" s="38" t="str">
        <x:f>IF(C120="前置条件","条件",IF(AND(N120&gt;0,O120&gt;0),"循环闭合",IF(AND(N120&gt;0,OR(C120="装备",C120="装备/道具",C120="角色进度",C120="称号/进度",C120="系统结果")),"终端产物",IF(N120=0,"缺产出","缺消耗"))))</x:f>
        <x:v>缺产出</x:v>
      </x:c>
      <x:c r="Q120" s="39" t="str">
        <x:v>合成产物可交易性与禁止回收是两条独立规则。</x:v>
      </x:c>
    </x:row>
    <x:row r="121" ht="40" customHeight="1">
      <x:c r="A121" s="37" t="str">
        <x:v>OUT-83374D39C0AA</x:v>
      </x:c>
      <x:c r="B121" s="38" t="str">
        <x:v>穹霜炉心秘饰</x:v>
      </x:c>
      <x:c r="C121" s="38" t="str">
        <x:v>装备</x:v>
      </x:c>
      <x:c r="D121" s="38" t="str">
        <x:v>装备合成</x:v>
      </x:c>
      <x:c r="E121" s="38" t="str">
        <x:v>C08</x:v>
      </x:c>
      <x:c r="F121" s="38"/>
      <x:c r="G121" s="38"/>
      <x:c r="H121" s="38" t="str">
        <x:v>结构已确认；数值待经济反算</x:v>
      </x:c>
      <x:c r="I121" s="38" t="str">
        <x:v>成品可交易</x:v>
      </x:c>
      <x:c r="J121" s="38" t="str">
        <x:v>禁止回收</x:v>
      </x:c>
      <x:c r="K121" s="38" t="str">
        <x:v>成品可交易</x:v>
      </x:c>
      <x:c r="L121" s="38" t="str">
        <x:v>待经济反算</x:v>
      </x:c>
      <x:c r="M121" s="38" t="str">
        <x:v>十大陆NPC与配方总账V1.0</x:v>
      </x:c>
      <x:c r="N121" s="38" t="n">
        <x:f>COUNTIF('02_产出端'!$G$5:$G$600,A121)</x:f>
        <x:v>0</x:v>
      </x:c>
      <x:c r="O121" s="38" t="n">
        <x:f>COUNTIF('03_消耗端'!$E$5:$E$900,A121)</x:f>
        <x:v>0</x:v>
      </x:c>
      <x:c r="P121" s="38" t="str">
        <x:f>IF(C121="前置条件","条件",IF(AND(N121&gt;0,O121&gt;0),"循环闭合",IF(AND(N121&gt;0,OR(C121="装备",C121="装备/道具",C121="角色进度",C121="称号/进度",C121="系统结果")),"终端产物",IF(N121=0,"缺产出","缺消耗"))))</x:f>
        <x:v>缺产出</x:v>
      </x:c>
      <x:c r="Q121" s="39" t="str">
        <x:v>合成产物可交易性与禁止回收是两条独立规则。</x:v>
      </x:c>
    </x:row>
    <x:row r="122" ht="40" customHeight="1">
      <x:c r="A122" s="37" t="str">
        <x:v>OUT-D7F95A94F8D3</x:v>
      </x:c>
      <x:c r="B122" s="38" t="str">
        <x:v>黄金律裁阳刃</x:v>
      </x:c>
      <x:c r="C122" s="38" t="str">
        <x:v>装备</x:v>
      </x:c>
      <x:c r="D122" s="38" t="str">
        <x:v>装备合成</x:v>
      </x:c>
      <x:c r="E122" s="38" t="str">
        <x:v>C09</x:v>
      </x:c>
      <x:c r="F122" s="38"/>
      <x:c r="G122" s="38"/>
      <x:c r="H122" s="38" t="str">
        <x:v>结构已确认；数值待经济反算</x:v>
      </x:c>
      <x:c r="I122" s="38" t="str">
        <x:v>成品可交易</x:v>
      </x:c>
      <x:c r="J122" s="38" t="str">
        <x:v>禁止回收</x:v>
      </x:c>
      <x:c r="K122" s="38" t="str">
        <x:v>成品可交易</x:v>
      </x:c>
      <x:c r="L122" s="38" t="str">
        <x:v>待经济反算</x:v>
      </x:c>
      <x:c r="M122" s="38" t="str">
        <x:v>十大陆NPC与配方总账V1.0</x:v>
      </x:c>
      <x:c r="N122" s="38" t="n">
        <x:f>COUNTIF('02_产出端'!$G$5:$G$600,A122)</x:f>
        <x:v>0</x:v>
      </x:c>
      <x:c r="O122" s="38" t="n">
        <x:f>COUNTIF('03_消耗端'!$E$5:$E$900,A122)</x:f>
        <x:v>0</x:v>
      </x:c>
      <x:c r="P122" s="38" t="str">
        <x:f>IF(C122="前置条件","条件",IF(AND(N122&gt;0,O122&gt;0),"循环闭合",IF(AND(N122&gt;0,OR(C122="装备",C122="装备/道具",C122="角色进度",C122="称号/进度",C122="系统结果")),"终端产物",IF(N122=0,"缺产出","缺消耗"))))</x:f>
        <x:v>缺产出</x:v>
      </x:c>
      <x:c r="Q122" s="39" t="str">
        <x:v>合成产物可交易性与禁止回收是两条独立规则。</x:v>
      </x:c>
    </x:row>
    <x:row r="123" ht="40" customHeight="1">
      <x:c r="A123" s="37" t="str">
        <x:v>OUT-76EDBF864334</x:v>
      </x:c>
      <x:c r="B123" s="38" t="str">
        <x:v>鎏日王仪战衣</x:v>
      </x:c>
      <x:c r="C123" s="38" t="str">
        <x:v>装备</x:v>
      </x:c>
      <x:c r="D123" s="38" t="str">
        <x:v>装备合成</x:v>
      </x:c>
      <x:c r="E123" s="38" t="str">
        <x:v>C09</x:v>
      </x:c>
      <x:c r="F123" s="38"/>
      <x:c r="G123" s="38"/>
      <x:c r="H123" s="38" t="str">
        <x:v>结构已确认；数值待经济反算</x:v>
      </x:c>
      <x:c r="I123" s="38" t="str">
        <x:v>成品可交易</x:v>
      </x:c>
      <x:c r="J123" s="38" t="str">
        <x:v>禁止回收</x:v>
      </x:c>
      <x:c r="K123" s="38" t="str">
        <x:v>成品可交易</x:v>
      </x:c>
      <x:c r="L123" s="38" t="str">
        <x:v>待经济反算</x:v>
      </x:c>
      <x:c r="M123" s="38" t="str">
        <x:v>十大陆NPC与配方总账V1.0</x:v>
      </x:c>
      <x:c r="N123" s="38" t="n">
        <x:f>COUNTIF('02_产出端'!$G$5:$G$600,A123)</x:f>
        <x:v>0</x:v>
      </x:c>
      <x:c r="O123" s="38" t="n">
        <x:f>COUNTIF('03_消耗端'!$E$5:$E$900,A123)</x:f>
        <x:v>0</x:v>
      </x:c>
      <x:c r="P123" s="38" t="str">
        <x:f>IF(C123="前置条件","条件",IF(AND(N123&gt;0,O123&gt;0),"循环闭合",IF(AND(N123&gt;0,OR(C123="装备",C123="装备/道具",C123="角色进度",C123="称号/进度",C123="系统结果")),"终端产物",IF(N123=0,"缺产出","缺消耗"))))</x:f>
        <x:v>缺产出</x:v>
      </x:c>
      <x:c r="Q123" s="39" t="str">
        <x:v>合成产物可交易性与禁止回收是两条独立规则。</x:v>
      </x:c>
    </x:row>
    <x:row r="124" ht="40" customHeight="1">
      <x:c r="A124" s="37" t="str">
        <x:v>OUT-CC57C0EFC199</x:v>
      </x:c>
      <x:c r="B124" s="38" t="str">
        <x:v>王座终裁圣刃</x:v>
      </x:c>
      <x:c r="C124" s="38" t="str">
        <x:v>装备</x:v>
      </x:c>
      <x:c r="D124" s="38" t="str">
        <x:v>装备合成</x:v>
      </x:c>
      <x:c r="E124" s="38" t="str">
        <x:v>C10</x:v>
      </x:c>
      <x:c r="F124" s="38"/>
      <x:c r="G124" s="38"/>
      <x:c r="H124" s="38" t="str">
        <x:v>结构已确认；数值待经济反算</x:v>
      </x:c>
      <x:c r="I124" s="38" t="str">
        <x:v>成品可交易</x:v>
      </x:c>
      <x:c r="J124" s="38" t="str">
        <x:v>禁止回收</x:v>
      </x:c>
      <x:c r="K124" s="38" t="str">
        <x:v>成品可交易</x:v>
      </x:c>
      <x:c r="L124" s="38" t="str">
        <x:v>待经济反算</x:v>
      </x:c>
      <x:c r="M124" s="38" t="str">
        <x:v>十大陆NPC与配方总账V1.0</x:v>
      </x:c>
      <x:c r="N124" s="38" t="n">
        <x:f>COUNTIF('02_产出端'!$G$5:$G$600,A124)</x:f>
        <x:v>0</x:v>
      </x:c>
      <x:c r="O124" s="38" t="n">
        <x:f>COUNTIF('03_消耗端'!$E$5:$E$900,A124)</x:f>
        <x:v>0</x:v>
      </x:c>
      <x:c r="P124" s="38" t="str">
        <x:f>IF(C124="前置条件","条件",IF(AND(N124&gt;0,O124&gt;0),"循环闭合",IF(AND(N124&gt;0,OR(C124="装备",C124="装备/道具",C124="角色进度",C124="称号/进度",C124="系统结果")),"终端产物",IF(N124=0,"缺产出","缺消耗"))))</x:f>
        <x:v>缺产出</x:v>
      </x:c>
      <x:c r="Q124" s="39" t="str">
        <x:v>合成产物可交易性与禁止回收是两条独立规则。</x:v>
      </x:c>
    </x:row>
    <x:row r="125" ht="40" customHeight="1">
      <x:c r="A125" s="37" t="str">
        <x:v>OUT-F7C382444B58</x:v>
      </x:c>
      <x:c r="B125" s="38" t="str">
        <x:v>艾尔登无冕王衣</x:v>
      </x:c>
      <x:c r="C125" s="38" t="str">
        <x:v>装备</x:v>
      </x:c>
      <x:c r="D125" s="38" t="str">
        <x:v>装备合成</x:v>
      </x:c>
      <x:c r="E125" s="38" t="str">
        <x:v>C10</x:v>
      </x:c>
      <x:c r="F125" s="38"/>
      <x:c r="G125" s="38"/>
      <x:c r="H125" s="38" t="str">
        <x:v>结构已确认；数值待经济反算</x:v>
      </x:c>
      <x:c r="I125" s="38" t="str">
        <x:v>成品可交易</x:v>
      </x:c>
      <x:c r="J125" s="38" t="str">
        <x:v>禁止回收</x:v>
      </x:c>
      <x:c r="K125" s="38" t="str">
        <x:v>成品可交易</x:v>
      </x:c>
      <x:c r="L125" s="38" t="str">
        <x:v>待经济反算</x:v>
      </x:c>
      <x:c r="M125" s="38" t="str">
        <x:v>十大陆NPC与配方总账V1.0</x:v>
      </x:c>
      <x:c r="N125" s="38" t="n">
        <x:f>COUNTIF('02_产出端'!$G$5:$G$600,A125)</x:f>
        <x:v>0</x:v>
      </x:c>
      <x:c r="O125" s="38" t="n">
        <x:f>COUNTIF('03_消耗端'!$E$5:$E$900,A125)</x:f>
        <x:v>0</x:v>
      </x:c>
      <x:c r="P125" s="38" t="str">
        <x:f>IF(C125="前置条件","条件",IF(AND(N125&gt;0,O125&gt;0),"循环闭合",IF(AND(N125&gt;0,OR(C125="装备",C125="装备/道具",C125="角色进度",C125="称号/进度",C125="系统结果")),"终端产物",IF(N125=0,"缺产出","缺消耗"))))</x:f>
        <x:v>缺产出</x:v>
      </x:c>
      <x:c r="Q125" s="39" t="str">
        <x:v>合成产物可交易性与禁止回收是两条独立规则。</x:v>
      </x:c>
    </x:row>
    <x:row r="126" ht="40" customHeight="1">
      <x:c r="A126" s="37" t="str">
        <x:v>OUT-0F20F61281B6</x:v>
      </x:c>
      <x:c r="B126" s="38" t="str">
        <x:v>无上王徽秘饰</x:v>
      </x:c>
      <x:c r="C126" s="38" t="str">
        <x:v>装备</x:v>
      </x:c>
      <x:c r="D126" s="38" t="str">
        <x:v>装备合成</x:v>
      </x:c>
      <x:c r="E126" s="38" t="str">
        <x:v>C10</x:v>
      </x:c>
      <x:c r="F126" s="38"/>
      <x:c r="G126" s="38"/>
      <x:c r="H126" s="38" t="str">
        <x:v>结构已确认；数值待经济反算</x:v>
      </x:c>
      <x:c r="I126" s="38" t="str">
        <x:v>成品可交易</x:v>
      </x:c>
      <x:c r="J126" s="38" t="str">
        <x:v>禁止回收</x:v>
      </x:c>
      <x:c r="K126" s="38" t="str">
        <x:v>成品可交易</x:v>
      </x:c>
      <x:c r="L126" s="38" t="str">
        <x:v>待经济反算</x:v>
      </x:c>
      <x:c r="M126" s="38" t="str">
        <x:v>十大陆NPC与配方总账V1.0</x:v>
      </x:c>
      <x:c r="N126" s="38" t="n">
        <x:f>COUNTIF('02_产出端'!$G$5:$G$600,A126)</x:f>
        <x:v>0</x:v>
      </x:c>
      <x:c r="O126" s="38" t="n">
        <x:f>COUNTIF('03_消耗端'!$E$5:$E$900,A126)</x:f>
        <x:v>0</x:v>
      </x:c>
      <x:c r="P126" s="38" t="str">
        <x:f>IF(C126="前置条件","条件",IF(AND(N126&gt;0,O126&gt;0),"循环闭合",IF(AND(N126&gt;0,OR(C126="装备",C126="装备/道具",C126="角色进度",C126="称号/进度",C126="系统结果")),"终端产物",IF(N126=0,"缺产出","缺消耗"))))</x:f>
        <x:v>缺产出</x:v>
      </x:c>
      <x:c r="Q126" s="39" t="str">
        <x:v>合成产物可交易性与禁止回收是两条独立规则。</x:v>
      </x:c>
    </x:row>
    <x:row r="127" ht="40" customHeight="1">
      <x:c r="A127" s="37" t="str">
        <x:v>OUT-16088D35CF3E</x:v>
      </x:c>
      <x:c r="B127" s="38" t="str">
        <x:v>子鼠·潮舱寻金</x:v>
      </x:c>
      <x:c r="C127" s="38" t="str">
        <x:v>装备</x:v>
      </x:c>
      <x:c r="D127" s="38" t="str">
        <x:v>生肖合成</x:v>
      </x:c>
      <x:c r="E127" s="38" t="str">
        <x:v>C01</x:v>
      </x:c>
      <x:c r="F127" s="38"/>
      <x:c r="G127" s="38"/>
      <x:c r="H127" s="38" t="str">
        <x:v>结构已确认；数值待经济反算</x:v>
      </x:c>
      <x:c r="I127" s="38" t="str">
        <x:v>成品可交易</x:v>
      </x:c>
      <x:c r="J127" s="38" t="str">
        <x:v>禁止回收</x:v>
      </x:c>
      <x:c r="K127" s="38" t="str">
        <x:v>成品可交易</x:v>
      </x:c>
      <x:c r="L127" s="38" t="str">
        <x:v>待经济反算</x:v>
      </x:c>
      <x:c r="M127" s="38" t="str">
        <x:v>十大陆NPC与配方总账V1.0</x:v>
      </x:c>
      <x:c r="N127" s="38" t="n">
        <x:f>COUNTIF('02_产出端'!$G$5:$G$600,A127)</x:f>
        <x:v>0</x:v>
      </x:c>
      <x:c r="O127" s="38" t="n">
        <x:f>COUNTIF('03_消耗端'!$E$5:$E$900,A127)</x:f>
        <x:v>0</x:v>
      </x:c>
      <x:c r="P127" s="38" t="str">
        <x:f>IF(C127="前置条件","条件",IF(AND(N127&gt;0,O127&gt;0),"循环闭合",IF(AND(N127&gt;0,OR(C127="装备",C127="装备/道具",C127="角色进度",C127="称号/进度",C127="系统结果")),"终端产物",IF(N127=0,"缺产出","缺消耗"))))</x:f>
        <x:v>缺产出</x:v>
      </x:c>
      <x:c r="Q127" s="39" t="str">
        <x:v>合成产物可交易性与禁止回收是两条独立规则。</x:v>
      </x:c>
    </x:row>
    <x:row r="128" ht="40" customHeight="1">
      <x:c r="A128" s="37" t="str">
        <x:v>OUT-E2CDE072E9E8</x:v>
      </x:c>
      <x:c r="B128" s="38" t="str">
        <x:v>丑牛·风暴负山</x:v>
      </x:c>
      <x:c r="C128" s="38" t="str">
        <x:v>装备</x:v>
      </x:c>
      <x:c r="D128" s="38" t="str">
        <x:v>生肖合成</x:v>
      </x:c>
      <x:c r="E128" s="38" t="str">
        <x:v>C02</x:v>
      </x:c>
      <x:c r="F128" s="38"/>
      <x:c r="G128" s="38"/>
      <x:c r="H128" s="38" t="str">
        <x:v>结构已确认；数值待经济反算</x:v>
      </x:c>
      <x:c r="I128" s="38" t="str">
        <x:v>成品可交易</x:v>
      </x:c>
      <x:c r="J128" s="38" t="str">
        <x:v>禁止回收</x:v>
      </x:c>
      <x:c r="K128" s="38" t="str">
        <x:v>成品可交易</x:v>
      </x:c>
      <x:c r="L128" s="38" t="str">
        <x:v>待经济反算</x:v>
      </x:c>
      <x:c r="M128" s="38" t="str">
        <x:v>十大陆NPC与配方总账V1.0</x:v>
      </x:c>
      <x:c r="N128" s="38" t="n">
        <x:f>COUNTIF('02_产出端'!$G$5:$G$600,A128)</x:f>
        <x:v>0</x:v>
      </x:c>
      <x:c r="O128" s="38" t="n">
        <x:f>COUNTIF('03_消耗端'!$E$5:$E$900,A128)</x:f>
        <x:v>0</x:v>
      </x:c>
      <x:c r="P128" s="38" t="str">
        <x:f>IF(C128="前置条件","条件",IF(AND(N128&gt;0,O128&gt;0),"循环闭合",IF(AND(N128&gt;0,OR(C128="装备",C128="装备/道具",C128="角色进度",C128="称号/进度",C128="系统结果")),"终端产物",IF(N128=0,"缺产出","缺消耗"))))</x:f>
        <x:v>缺产出</x:v>
      </x:c>
      <x:c r="Q128" s="39" t="str">
        <x:v>合成产物可交易性与禁止回收是两条独立规则。</x:v>
      </x:c>
    </x:row>
    <x:row r="129" ht="40" customHeight="1">
      <x:c r="A129" s="37" t="str">
        <x:v>OUT-4F4E2EED997B</x:v>
      </x:c>
      <x:c r="B129" s="38" t="str">
        <x:v>辰龙·荒原逐风</x:v>
      </x:c>
      <x:c r="C129" s="38" t="str">
        <x:v>装备</x:v>
      </x:c>
      <x:c r="D129" s="38" t="str">
        <x:v>生肖合成</x:v>
      </x:c>
      <x:c r="E129" s="38" t="str">
        <x:v>C03</x:v>
      </x:c>
      <x:c r="F129" s="38"/>
      <x:c r="G129" s="38"/>
      <x:c r="H129" s="38" t="str">
        <x:v>结构已确认；数值待经济反算</x:v>
      </x:c>
      <x:c r="I129" s="38" t="str">
        <x:v>成品可交易</x:v>
      </x:c>
      <x:c r="J129" s="38" t="str">
        <x:v>禁止回收</x:v>
      </x:c>
      <x:c r="K129" s="38" t="str">
        <x:v>成品可交易</x:v>
      </x:c>
      <x:c r="L129" s="38" t="str">
        <x:v>待经济反算</x:v>
      </x:c>
      <x:c r="M129" s="38" t="str">
        <x:v>十大陆NPC与配方总账V1.0</x:v>
      </x:c>
      <x:c r="N129" s="38" t="n">
        <x:f>COUNTIF('02_产出端'!$G$5:$G$600,A129)</x:f>
        <x:v>0</x:v>
      </x:c>
      <x:c r="O129" s="38" t="n">
        <x:f>COUNTIF('03_消耗端'!$E$5:$E$900,A129)</x:f>
        <x:v>0</x:v>
      </x:c>
      <x:c r="P129" s="38" t="str">
        <x:f>IF(C129="前置条件","条件",IF(AND(N129&gt;0,O129&gt;0),"循环闭合",IF(AND(N129&gt;0,OR(C129="装备",C129="装备/道具",C129="角色进度",C129="称号/进度",C129="系统结果")),"终端产物",IF(N129=0,"缺产出","缺消耗"))))</x:f>
        <x:v>缺产出</x:v>
      </x:c>
      <x:c r="Q129" s="39" t="str">
        <x:v>合成产物可交易性与禁止回收是两条独立规则。</x:v>
      </x:c>
    </x:row>
    <x:row r="130" ht="40" customHeight="1">
      <x:c r="A130" s="37" t="str">
        <x:v>OUT-538F3A4C6B4B</x:v>
      </x:c>
      <x:c r="B130" s="38" t="str">
        <x:v>巳蛇·沉潮缚月</x:v>
      </x:c>
      <x:c r="C130" s="38" t="str">
        <x:v>装备</x:v>
      </x:c>
      <x:c r="D130" s="38" t="str">
        <x:v>生肖合成</x:v>
      </x:c>
      <x:c r="E130" s="38" t="str">
        <x:v>C04</x:v>
      </x:c>
      <x:c r="F130" s="38"/>
      <x:c r="G130" s="38"/>
      <x:c r="H130" s="38" t="str">
        <x:v>结构已确认；数值待经济反算</x:v>
      </x:c>
      <x:c r="I130" s="38" t="str">
        <x:v>成品可交易</x:v>
      </x:c>
      <x:c r="J130" s="38" t="str">
        <x:v>禁止回收</x:v>
      </x:c>
      <x:c r="K130" s="38" t="str">
        <x:v>成品可交易</x:v>
      </x:c>
      <x:c r="L130" s="38" t="str">
        <x:v>待经济反算</x:v>
      </x:c>
      <x:c r="M130" s="38" t="str">
        <x:v>十大陆NPC与配方总账V1.0</x:v>
      </x:c>
      <x:c r="N130" s="38" t="n">
        <x:f>COUNTIF('02_产出端'!$G$5:$G$600,A130)</x:f>
        <x:v>0</x:v>
      </x:c>
      <x:c r="O130" s="38" t="n">
        <x:f>COUNTIF('03_消耗端'!$E$5:$E$900,A130)</x:f>
        <x:v>0</x:v>
      </x:c>
      <x:c r="P130" s="38" t="str">
        <x:f>IF(C130="前置条件","条件",IF(AND(N130&gt;0,O130&gt;0),"循环闭合",IF(AND(N130&gt;0,OR(C130="装备",C130="装备/道具",C130="角色进度",C130="称号/进度",C130="系统结果")),"终端产物",IF(N130=0,"缺产出","缺消耗"))))</x:f>
        <x:v>缺产出</x:v>
      </x:c>
      <x:c r="Q130" s="39" t="str">
        <x:v>合成产物可交易性与禁止回收是两条独立规则。</x:v>
      </x:c>
    </x:row>
    <x:row r="131" ht="40" customHeight="1">
      <x:c r="A131" s="37" t="str">
        <x:v>OUT-6D19DA0E954F</x:v>
      </x:c>
      <x:c r="B131" s="38" t="str">
        <x:v>卯兔·镜月折辉</x:v>
      </x:c>
      <x:c r="C131" s="38" t="str">
        <x:v>装备</x:v>
      </x:c>
      <x:c r="D131" s="38" t="str">
        <x:v>生肖合成</x:v>
      </x:c>
      <x:c r="E131" s="38" t="str">
        <x:v>C05</x:v>
      </x:c>
      <x:c r="F131" s="38"/>
      <x:c r="G131" s="38"/>
      <x:c r="H131" s="38" t="str">
        <x:v>结构已确认；数值待经济反算</x:v>
      </x:c>
      <x:c r="I131" s="38" t="str">
        <x:v>成品可交易</x:v>
      </x:c>
      <x:c r="J131" s="38" t="str">
        <x:v>禁止回收</x:v>
      </x:c>
      <x:c r="K131" s="38" t="str">
        <x:v>成品可交易</x:v>
      </x:c>
      <x:c r="L131" s="38" t="str">
        <x:v>待经济反算</x:v>
      </x:c>
      <x:c r="M131" s="38" t="str">
        <x:v>十大陆NPC与配方总账V1.0</x:v>
      </x:c>
      <x:c r="N131" s="38" t="n">
        <x:f>COUNTIF('02_产出端'!$G$5:$G$600,A131)</x:f>
        <x:v>0</x:v>
      </x:c>
      <x:c r="O131" s="38" t="n">
        <x:f>COUNTIF('03_消耗端'!$E$5:$E$900,A131)</x:f>
        <x:v>0</x:v>
      </x:c>
      <x:c r="P131" s="38" t="str">
        <x:f>IF(C131="前置条件","条件",IF(AND(N131&gt;0,O131&gt;0),"循环闭合",IF(AND(N131&gt;0,OR(C131="装备",C131="装备/道具",C131="角色进度",C131="称号/进度",C131="系统结果")),"终端产物",IF(N131=0,"缺产出","缺消耗"))))</x:f>
        <x:v>缺产出</x:v>
      </x:c>
      <x:c r="Q131" s="39" t="str">
        <x:v>合成产物可交易性与禁止回收是两条独立规则。</x:v>
      </x:c>
    </x:row>
    <x:row r="132" ht="40" customHeight="1">
      <x:c r="A132" s="37" t="str">
        <x:v>OUT-36AA5502B335</x:v>
      </x:c>
      <x:c r="B132" s="38" t="str">
        <x:v>寅虎·红狮焚原</x:v>
      </x:c>
      <x:c r="C132" s="38" t="str">
        <x:v>装备</x:v>
      </x:c>
      <x:c r="D132" s="38" t="str">
        <x:v>生肖合成</x:v>
      </x:c>
      <x:c r="E132" s="38" t="str">
        <x:v>C06</x:v>
      </x:c>
      <x:c r="F132" s="38"/>
      <x:c r="G132" s="38"/>
      <x:c r="H132" s="38" t="str">
        <x:v>结构已确认；数值待经济反算</x:v>
      </x:c>
      <x:c r="I132" s="38" t="str">
        <x:v>成品可交易</x:v>
      </x:c>
      <x:c r="J132" s="38" t="str">
        <x:v>禁止回收</x:v>
      </x:c>
      <x:c r="K132" s="38" t="str">
        <x:v>成品可交易</x:v>
      </x:c>
      <x:c r="L132" s="38" t="str">
        <x:v>待经济反算</x:v>
      </x:c>
      <x:c r="M132" s="38" t="str">
        <x:v>十大陆NPC与配方总账V1.0</x:v>
      </x:c>
      <x:c r="N132" s="38" t="n">
        <x:f>COUNTIF('02_产出端'!$G$5:$G$600,A132)</x:f>
        <x:v>0</x:v>
      </x:c>
      <x:c r="O132" s="38" t="n">
        <x:f>COUNTIF('03_消耗端'!$E$5:$E$900,A132)</x:f>
        <x:v>0</x:v>
      </x:c>
      <x:c r="P132" s="38" t="str">
        <x:f>IF(C132="前置条件","条件",IF(AND(N132&gt;0,O132&gt;0),"循环闭合",IF(AND(N132&gt;0,OR(C132="装备",C132="装备/道具",C132="角色进度",C132="称号/进度",C132="系统结果")),"终端产物",IF(N132=0,"缺产出","缺消耗"))))</x:f>
        <x:v>缺产出</x:v>
      </x:c>
      <x:c r="Q132" s="39" t="str">
        <x:v>合成产物可交易性与禁止回收是两条独立规则。</x:v>
      </x:c>
    </x:row>
    <x:row r="133" ht="40" customHeight="1">
      <x:c r="A133" s="37" t="str">
        <x:v>OUT-DE5EE567FE62</x:v>
      </x:c>
      <x:c r="B133" s="38" t="str">
        <x:v>未羊·永霜引路</x:v>
      </x:c>
      <x:c r="C133" s="38" t="str">
        <x:v>装备</x:v>
      </x:c>
      <x:c r="D133" s="38" t="str">
        <x:v>生肖合成</x:v>
      </x:c>
      <x:c r="E133" s="38" t="str">
        <x:v>C07</x:v>
      </x:c>
      <x:c r="F133" s="38"/>
      <x:c r="G133" s="38"/>
      <x:c r="H133" s="38" t="str">
        <x:v>结构已确认；数值待经济反算</x:v>
      </x:c>
      <x:c r="I133" s="38" t="str">
        <x:v>成品可交易</x:v>
      </x:c>
      <x:c r="J133" s="38" t="str">
        <x:v>禁止回收</x:v>
      </x:c>
      <x:c r="K133" s="38" t="str">
        <x:v>成品可交易</x:v>
      </x:c>
      <x:c r="L133" s="38" t="str">
        <x:v>待经济反算</x:v>
      </x:c>
      <x:c r="M133" s="38" t="str">
        <x:v>十大陆NPC与配方总账V1.0</x:v>
      </x:c>
      <x:c r="N133" s="38" t="n">
        <x:f>COUNTIF('02_产出端'!$G$5:$G$600,A133)</x:f>
        <x:v>0</x:v>
      </x:c>
      <x:c r="O133" s="38" t="n">
        <x:f>COUNTIF('03_消耗端'!$E$5:$E$900,A133)</x:f>
        <x:v>0</x:v>
      </x:c>
      <x:c r="P133" s="38" t="str">
        <x:f>IF(C133="前置条件","条件",IF(AND(N133&gt;0,O133&gt;0),"循环闭合",IF(AND(N133&gt;0,OR(C133="装备",C133="装备/道具",C133="角色进度",C133="称号/进度",C133="系统结果")),"终端产物",IF(N133=0,"缺产出","缺消耗"))))</x:f>
        <x:v>缺产出</x:v>
      </x:c>
      <x:c r="Q133" s="39" t="str">
        <x:v>合成产物可交易性与禁止回收是两条独立规则。</x:v>
      </x:c>
    </x:row>
    <x:row r="134" ht="40" customHeight="1">
      <x:c r="A134" s="37" t="str">
        <x:v>OUT-0DDB97C5842E</x:v>
      </x:c>
      <x:c r="B134" s="38" t="str">
        <x:v>午马·霜脊踏天</x:v>
      </x:c>
      <x:c r="C134" s="38" t="str">
        <x:v>装备</x:v>
      </x:c>
      <x:c r="D134" s="38" t="str">
        <x:v>生肖合成</x:v>
      </x:c>
      <x:c r="E134" s="38" t="str">
        <x:v>C08</x:v>
      </x:c>
      <x:c r="F134" s="38"/>
      <x:c r="G134" s="38"/>
      <x:c r="H134" s="38" t="str">
        <x:v>结构已确认；数值待经济反算</x:v>
      </x:c>
      <x:c r="I134" s="38" t="str">
        <x:v>成品可交易</x:v>
      </x:c>
      <x:c r="J134" s="38" t="str">
        <x:v>禁止回收</x:v>
      </x:c>
      <x:c r="K134" s="38" t="str">
        <x:v>成品可交易</x:v>
      </x:c>
      <x:c r="L134" s="38" t="str">
        <x:v>待经济反算</x:v>
      </x:c>
      <x:c r="M134" s="38" t="str">
        <x:v>十大陆NPC与配方总账V1.0</x:v>
      </x:c>
      <x:c r="N134" s="38" t="n">
        <x:f>COUNTIF('02_产出端'!$G$5:$G$600,A134)</x:f>
        <x:v>0</x:v>
      </x:c>
      <x:c r="O134" s="38" t="n">
        <x:f>COUNTIF('03_消耗端'!$E$5:$E$900,A134)</x:f>
        <x:v>0</x:v>
      </x:c>
      <x:c r="P134" s="38" t="str">
        <x:f>IF(C134="前置条件","条件",IF(AND(N134&gt;0,O134&gt;0),"循环闭合",IF(AND(N134&gt;0,OR(C134="装备",C134="装备/道具",C134="角色进度",C134="称号/进度",C134="系统结果")),"终端产物",IF(N134=0,"缺产出","缺消耗"))))</x:f>
        <x:v>缺产出</x:v>
      </x:c>
      <x:c r="Q134" s="39" t="str">
        <x:v>合成产物可交易性与禁止回收是两条独立规则。</x:v>
      </x:c>
    </x:row>
    <x:row r="135" ht="40" customHeight="1">
      <x:c r="A135" s="37" t="str">
        <x:v>OUT-2436A018E16A</x:v>
      </x:c>
      <x:c r="B135" s="38" t="str">
        <x:v>酉鸡·鎏日司晨</x:v>
      </x:c>
      <x:c r="C135" s="38" t="str">
        <x:v>装备</x:v>
      </x:c>
      <x:c r="D135" s="38" t="str">
        <x:v>生肖合成</x:v>
      </x:c>
      <x:c r="E135" s="38" t="str">
        <x:v>C09</x:v>
      </x:c>
      <x:c r="F135" s="38"/>
      <x:c r="G135" s="38"/>
      <x:c r="H135" s="38" t="str">
        <x:v>结构已确认；数值待经济反算</x:v>
      </x:c>
      <x:c r="I135" s="38" t="str">
        <x:v>成品可交易</x:v>
      </x:c>
      <x:c r="J135" s="38" t="str">
        <x:v>禁止回收</x:v>
      </x:c>
      <x:c r="K135" s="38" t="str">
        <x:v>成品可交易</x:v>
      </x:c>
      <x:c r="L135" s="38" t="str">
        <x:v>待经济反算</x:v>
      </x:c>
      <x:c r="M135" s="38" t="str">
        <x:v>十大陆NPC与配方总账V1.0</x:v>
      </x:c>
      <x:c r="N135" s="38" t="n">
        <x:f>COUNTIF('02_产出端'!$G$5:$G$600,A135)</x:f>
        <x:v>0</x:v>
      </x:c>
      <x:c r="O135" s="38" t="n">
        <x:f>COUNTIF('03_消耗端'!$E$5:$E$900,A135)</x:f>
        <x:v>0</x:v>
      </x:c>
      <x:c r="P135" s="38" t="str">
        <x:f>IF(C135="前置条件","条件",IF(AND(N135&gt;0,O135&gt;0),"循环闭合",IF(AND(N135&gt;0,OR(C135="装备",C135="装备/道具",C135="角色进度",C135="称号/进度",C135="系统结果")),"终端产物",IF(N135=0,"缺产出","缺消耗"))))</x:f>
        <x:v>缺产出</x:v>
      </x:c>
      <x:c r="Q135" s="39" t="str">
        <x:v>合成产物可交易性与禁止回收是两条独立规则。</x:v>
      </x:c>
    </x:row>
    <x:row r="136" ht="40" customHeight="1">
      <x:c r="A136" s="37" t="str">
        <x:v>OUT-F51F9A870E15</x:v>
      </x:c>
      <x:c r="B136" s="38" t="str">
        <x:v>戌狗·王座守门</x:v>
      </x:c>
      <x:c r="C136" s="38" t="str">
        <x:v>装备</x:v>
      </x:c>
      <x:c r="D136" s="38" t="str">
        <x:v>生肖合成</x:v>
      </x:c>
      <x:c r="E136" s="38" t="str">
        <x:v>C10</x:v>
      </x:c>
      <x:c r="F136" s="38"/>
      <x:c r="G136" s="38"/>
      <x:c r="H136" s="38" t="str">
        <x:v>结构已确认；数值待经济反算</x:v>
      </x:c>
      <x:c r="I136" s="38" t="str">
        <x:v>成品可交易</x:v>
      </x:c>
      <x:c r="J136" s="38" t="str">
        <x:v>禁止回收</x:v>
      </x:c>
      <x:c r="K136" s="38" t="str">
        <x:v>成品可交易</x:v>
      </x:c>
      <x:c r="L136" s="38" t="str">
        <x:v>待经济反算</x:v>
      </x:c>
      <x:c r="M136" s="38" t="str">
        <x:v>十大陆NPC与配方总账V1.0</x:v>
      </x:c>
      <x:c r="N136" s="38" t="n">
        <x:f>COUNTIF('02_产出端'!$G$5:$G$600,A136)</x:f>
        <x:v>0</x:v>
      </x:c>
      <x:c r="O136" s="38" t="n">
        <x:f>COUNTIF('03_消耗端'!$E$5:$E$900,A136)</x:f>
        <x:v>0</x:v>
      </x:c>
      <x:c r="P136" s="38" t="str">
        <x:f>IF(C136="前置条件","条件",IF(AND(N136&gt;0,O136&gt;0),"循环闭合",IF(AND(N136&gt;0,OR(C136="装备",C136="装备/道具",C136="角色进度",C136="称号/进度",C136="系统结果")),"终端产物",IF(N136=0,"缺产出","缺消耗"))))</x:f>
        <x:v>缺产出</x:v>
      </x:c>
      <x:c r="Q136" s="39" t="str">
        <x:v>合成产物可交易性与禁止回收是两条独立规则。</x:v>
      </x:c>
    </x:row>
    <x:row r="137" ht="40" customHeight="1">
      <x:c r="A137" s="37" t="str">
        <x:v>OUT-7C755536A734</x:v>
      </x:c>
      <x:c r="B137" s="38" t="str">
        <x:v>[称号]海岸初誓</x:v>
      </x:c>
      <x:c r="C137" s="38" t="str">
        <x:v>称号/进度</x:v>
      </x:c>
      <x:c r="D137" s="38" t="str">
        <x:v>独立称号</x:v>
      </x:c>
      <x:c r="E137" s="38" t="str">
        <x:v>C01</x:v>
      </x:c>
      <x:c r="F137" s="38"/>
      <x:c r="G137" s="38"/>
      <x:c r="H137" s="38" t="str">
        <x:v>结构已确认；数值待经济反算</x:v>
      </x:c>
      <x:c r="I137" s="38" t="str">
        <x:v>角色绑定</x:v>
      </x:c>
      <x:c r="J137" s="38" t="str">
        <x:v>不适用/沿用现有脚本</x:v>
      </x:c>
      <x:c r="K137" s="38" t="str">
        <x:v>角色绑定</x:v>
      </x:c>
      <x:c r="L137" s="38" t="str">
        <x:v>待经济反算</x:v>
      </x:c>
      <x:c r="M137" s="38" t="str">
        <x:v>十大陆NPC与配方总账V1.0</x:v>
      </x:c>
      <x:c r="N137" s="38" t="n">
        <x:f>COUNTIF('02_产出端'!$G$5:$G$600,A137)</x:f>
        <x:v>0</x:v>
      </x:c>
      <x:c r="O137" s="38" t="n">
        <x:f>COUNTIF('03_消耗端'!$E$5:$E$900,A137)</x:f>
        <x:v>0</x:v>
      </x:c>
      <x:c r="P137" s="38" t="str">
        <x:f>IF(C137="前置条件","条件",IF(AND(N137&gt;0,O137&gt;0),"循环闭合",IF(AND(N137&gt;0,OR(C137="装备",C137="装备/道具",C137="角色进度",C137="称号/进度",C137="系统结果")),"终端产物",IF(N137=0,"缺产出","缺消耗"))))</x:f>
        <x:v>缺产出</x:v>
      </x:c>
      <x:c r="Q137" s="39" t="str">
        <x:v>由NPC配方表自动登记。</x:v>
      </x:c>
    </x:row>
    <x:row r="138" ht="40" customHeight="1">
      <x:c r="A138" s="37" t="str">
        <x:v>OUT-987272FF8DD3</x:v>
      </x:c>
      <x:c r="B138" s="38" t="str">
        <x:v>[称号]西境拓荒者</x:v>
      </x:c>
      <x:c r="C138" s="38" t="str">
        <x:v>称号/进度</x:v>
      </x:c>
      <x:c r="D138" s="38" t="str">
        <x:v>独立称号</x:v>
      </x:c>
      <x:c r="E138" s="38" t="str">
        <x:v>C03</x:v>
      </x:c>
      <x:c r="F138" s="38"/>
      <x:c r="G138" s="38"/>
      <x:c r="H138" s="38" t="str">
        <x:v>结构已确认；数值待经济反算</x:v>
      </x:c>
      <x:c r="I138" s="38" t="str">
        <x:v>角色绑定</x:v>
      </x:c>
      <x:c r="J138" s="38" t="str">
        <x:v>不适用/沿用现有脚本</x:v>
      </x:c>
      <x:c r="K138" s="38" t="str">
        <x:v>角色绑定</x:v>
      </x:c>
      <x:c r="L138" s="38" t="str">
        <x:v>待经济反算</x:v>
      </x:c>
      <x:c r="M138" s="38" t="str">
        <x:v>十大陆NPC与配方总账V1.0</x:v>
      </x:c>
      <x:c r="N138" s="38" t="n">
        <x:f>COUNTIF('02_产出端'!$G$5:$G$600,A138)</x:f>
        <x:v>0</x:v>
      </x:c>
      <x:c r="O138" s="38" t="n">
        <x:f>COUNTIF('03_消耗端'!$E$5:$E$900,A138)</x:f>
        <x:v>0</x:v>
      </x:c>
      <x:c r="P138" s="38" t="str">
        <x:f>IF(C138="前置条件","条件",IF(AND(N138&gt;0,O138&gt;0),"循环闭合",IF(AND(N138&gt;0,OR(C138="装备",C138="装备/道具",C138="角色进度",C138="称号/进度",C138="系统结果")),"终端产物",IF(N138=0,"缺产出","缺消耗"))))</x:f>
        <x:v>缺产出</x:v>
      </x:c>
      <x:c r="Q138" s="39" t="str">
        <x:v>由NPC配方表自动登记。</x:v>
      </x:c>
    </x:row>
    <x:row r="139" ht="40" customHeight="1">
      <x:c r="A139" s="37" t="str">
        <x:v>OUT-7DEB053860DB</x:v>
      </x:c>
      <x:c r="B139" s="38" t="str">
        <x:v>[称号]满月见证者</x:v>
      </x:c>
      <x:c r="C139" s="38" t="str">
        <x:v>称号/进度</x:v>
      </x:c>
      <x:c r="D139" s="38" t="str">
        <x:v>独立称号</x:v>
      </x:c>
      <x:c r="E139" s="38" t="str">
        <x:v>C05</x:v>
      </x:c>
      <x:c r="F139" s="38"/>
      <x:c r="G139" s="38"/>
      <x:c r="H139" s="38" t="str">
        <x:v>结构已确认；数值待经济反算</x:v>
      </x:c>
      <x:c r="I139" s="38" t="str">
        <x:v>角色绑定</x:v>
      </x:c>
      <x:c r="J139" s="38" t="str">
        <x:v>不适用/沿用现有脚本</x:v>
      </x:c>
      <x:c r="K139" s="38" t="str">
        <x:v>角色绑定</x:v>
      </x:c>
      <x:c r="L139" s="38" t="str">
        <x:v>待经济反算</x:v>
      </x:c>
      <x:c r="M139" s="38" t="str">
        <x:v>十大陆NPC与配方总账V1.0</x:v>
      </x:c>
      <x:c r="N139" s="38" t="n">
        <x:f>COUNTIF('02_产出端'!$G$5:$G$600,A139)</x:f>
        <x:v>0</x:v>
      </x:c>
      <x:c r="O139" s="38" t="n">
        <x:f>COUNTIF('03_消耗端'!$E$5:$E$900,A139)</x:f>
        <x:v>0</x:v>
      </x:c>
      <x:c r="P139" s="38" t="str">
        <x:f>IF(C139="前置条件","条件",IF(AND(N139&gt;0,O139&gt;0),"循环闭合",IF(AND(N139&gt;0,OR(C139="装备",C139="装备/道具",C139="角色进度",C139="称号/进度",C139="系统结果")),"终端产物",IF(N139=0,"缺产出","缺消耗"))))</x:f>
        <x:v>缺产出</x:v>
      </x:c>
      <x:c r="Q139" s="39" t="str">
        <x:v>由NPC配方表自动登记。</x:v>
      </x:c>
    </x:row>
    <x:row r="140" ht="40" customHeight="1">
      <x:c r="A140" s="37" t="str">
        <x:v>OUT-E016E7165F53</x:v>
      </x:c>
      <x:c r="B140" s="38" t="str">
        <x:v>[称号]永霜朝圣者</x:v>
      </x:c>
      <x:c r="C140" s="38" t="str">
        <x:v>称号/进度</x:v>
      </x:c>
      <x:c r="D140" s="38" t="str">
        <x:v>独立称号</x:v>
      </x:c>
      <x:c r="E140" s="38" t="str">
        <x:v>C07</x:v>
      </x:c>
      <x:c r="F140" s="38"/>
      <x:c r="G140" s="38"/>
      <x:c r="H140" s="38" t="str">
        <x:v>结构已确认；数值待经济反算</x:v>
      </x:c>
      <x:c r="I140" s="38" t="str">
        <x:v>角色绑定</x:v>
      </x:c>
      <x:c r="J140" s="38" t="str">
        <x:v>不适用/沿用现有脚本</x:v>
      </x:c>
      <x:c r="K140" s="38" t="str">
        <x:v>角色绑定</x:v>
      </x:c>
      <x:c r="L140" s="38" t="str">
        <x:v>待经济反算</x:v>
      </x:c>
      <x:c r="M140" s="38" t="str">
        <x:v>十大陆NPC与配方总账V1.0</x:v>
      </x:c>
      <x:c r="N140" s="38" t="n">
        <x:f>COUNTIF('02_产出端'!$G$5:$G$600,A140)</x:f>
        <x:v>0</x:v>
      </x:c>
      <x:c r="O140" s="38" t="n">
        <x:f>COUNTIF('03_消耗端'!$E$5:$E$900,A140)</x:f>
        <x:v>0</x:v>
      </x:c>
      <x:c r="P140" s="38" t="str">
        <x:f>IF(C140="前置条件","条件",IF(AND(N140&gt;0,O140&gt;0),"循环闭合",IF(AND(N140&gt;0,OR(C140="装备",C140="装备/道具",C140="角色进度",C140="称号/进度",C140="系统结果")),"终端产物",IF(N140=0,"缺产出","缺消耗"))))</x:f>
        <x:v>缺产出</x:v>
      </x:c>
      <x:c r="Q140" s="39" t="str">
        <x:v>由NPC配方表自动登记。</x:v>
      </x:c>
    </x:row>
    <x:row r="141" ht="40" customHeight="1">
      <x:c r="A141" s="37" t="str">
        <x:v>OUT-CFDDD4747D39</x:v>
      </x:c>
      <x:c r="B141" s="38" t="str">
        <x:v>[称号]黄金律见证者</x:v>
      </x:c>
      <x:c r="C141" s="38" t="str">
        <x:v>称号/进度</x:v>
      </x:c>
      <x:c r="D141" s="38" t="str">
        <x:v>独立称号</x:v>
      </x:c>
      <x:c r="E141" s="38" t="str">
        <x:v>C09</x:v>
      </x:c>
      <x:c r="F141" s="38"/>
      <x:c r="G141" s="38"/>
      <x:c r="H141" s="38" t="str">
        <x:v>结构已确认；数值待经济反算</x:v>
      </x:c>
      <x:c r="I141" s="38" t="str">
        <x:v>角色绑定</x:v>
      </x:c>
      <x:c r="J141" s="38" t="str">
        <x:v>不适用/沿用现有脚本</x:v>
      </x:c>
      <x:c r="K141" s="38" t="str">
        <x:v>角色绑定</x:v>
      </x:c>
      <x:c r="L141" s="38" t="str">
        <x:v>待经济反算</x:v>
      </x:c>
      <x:c r="M141" s="38" t="str">
        <x:v>十大陆NPC与配方总账V1.0</x:v>
      </x:c>
      <x:c r="N141" s="38" t="n">
        <x:f>COUNTIF('02_产出端'!$G$5:$G$600,A141)</x:f>
        <x:v>0</x:v>
      </x:c>
      <x:c r="O141" s="38" t="n">
        <x:f>COUNTIF('03_消耗端'!$E$5:$E$900,A141)</x:f>
        <x:v>0</x:v>
      </x:c>
      <x:c r="P141" s="38" t="str">
        <x:f>IF(C141="前置条件","条件",IF(AND(N141&gt;0,O141&gt;0),"循环闭合",IF(AND(N141&gt;0,OR(C141="装备",C141="装备/道具",C141="角色进度",C141="称号/进度",C141="系统结果")),"终端产物",IF(N141=0,"缺产出","缺消耗"))))</x:f>
        <x:v>缺产出</x:v>
      </x:c>
      <x:c r="Q141" s="39" t="str">
        <x:v>由NPC配方表自动登记。</x:v>
      </x:c>
    </x:row>
    <x:row r="142" ht="40" customHeight="1">
      <x:c r="A142" s="37" t="str">
        <x:v>OUT-BFF2870BFB9E</x:v>
      </x:c>
      <x:c r="B142" s="38" t="str">
        <x:v>[称号]艾尔登之王</x:v>
      </x:c>
      <x:c r="C142" s="38" t="str">
        <x:v>称号/进度</x:v>
      </x:c>
      <x:c r="D142" s="38" t="str">
        <x:v>独立称号</x:v>
      </x:c>
      <x:c r="E142" s="38" t="str">
        <x:v>C10</x:v>
      </x:c>
      <x:c r="F142" s="38"/>
      <x:c r="G142" s="38"/>
      <x:c r="H142" s="38" t="str">
        <x:v>结构已确认；数值待经济反算</x:v>
      </x:c>
      <x:c r="I142" s="38" t="str">
        <x:v>角色绑定</x:v>
      </x:c>
      <x:c r="J142" s="38" t="str">
        <x:v>不适用/沿用现有脚本</x:v>
      </x:c>
      <x:c r="K142" s="38" t="str">
        <x:v>角色绑定</x:v>
      </x:c>
      <x:c r="L142" s="38" t="str">
        <x:v>待经济反算</x:v>
      </x:c>
      <x:c r="M142" s="38" t="str">
        <x:v>十大陆NPC与配方总账V1.0</x:v>
      </x:c>
      <x:c r="N142" s="38" t="n">
        <x:f>COUNTIF('02_产出端'!$G$5:$G$600,A142)</x:f>
        <x:v>0</x:v>
      </x:c>
      <x:c r="O142" s="38" t="n">
        <x:f>COUNTIF('03_消耗端'!$E$5:$E$900,A142)</x:f>
        <x:v>0</x:v>
      </x:c>
      <x:c r="P142" s="38" t="str">
        <x:f>IF(C142="前置条件","条件",IF(AND(N142&gt;0,O142&gt;0),"循环闭合",IF(AND(N142&gt;0,OR(C142="装备",C142="装备/道具",C142="角色进度",C142="称号/进度",C142="系统结果")),"终端产物",IF(N142=0,"缺产出","缺消耗"))))</x:f>
        <x:v>缺产出</x:v>
      </x:c>
      <x:c r="Q142" s="39" t="str">
        <x:v>由NPC配方表自动登记。</x:v>
      </x:c>
    </x:row>
    <x:row r="143" ht="40" customHeight="1">
      <x:c r="A143" s="37" t="str">
        <x:v>OUT-E50E1540C8DE</x:v>
      </x:c>
      <x:c r="B143" s="38" t="str">
        <x:v>群星之核LV1</x:v>
      </x:c>
      <x:c r="C143" s="38" t="str">
        <x:v>装备</x:v>
      </x:c>
      <x:c r="D143" s="38" t="str">
        <x:v>群攻生肖</x:v>
      </x:c>
      <x:c r="E143" s="38" t="str">
        <x:v>C02</x:v>
      </x:c>
      <x:c r="F143" s="38"/>
      <x:c r="G143" s="38"/>
      <x:c r="H143" s="38" t="str">
        <x:v>结构已确认；数值待经济反算</x:v>
      </x:c>
      <x:c r="I143" s="38" t="str">
        <x:v>成品可交易</x:v>
      </x:c>
      <x:c r="J143" s="38" t="str">
        <x:v>禁止回收</x:v>
      </x:c>
      <x:c r="K143" s="38" t="str">
        <x:v>成品可交易</x:v>
      </x:c>
      <x:c r="L143" s="38" t="str">
        <x:v>待经济反算</x:v>
      </x:c>
      <x:c r="M143" s="38" t="str">
        <x:v>十大陆NPC与配方总账V1.0</x:v>
      </x:c>
      <x:c r="N143" s="38" t="n">
        <x:f>COUNTIF('02_产出端'!$G$5:$G$600,A143)</x:f>
        <x:v>0</x:v>
      </x:c>
      <x:c r="O143" s="38" t="n">
        <x:f>COUNTIF('03_消耗端'!$E$5:$E$900,A143)</x:f>
        <x:v>1</x:v>
      </x:c>
      <x:c r="P143" s="38" t="str">
        <x:f>IF(C143="前置条件","条件",IF(AND(N143&gt;0,O143&gt;0),"循环闭合",IF(AND(N143&gt;0,OR(C143="装备",C143="装备/道具",C143="角色进度",C143="称号/进度",C143="系统结果")),"终端产物",IF(N143=0,"缺产出","缺消耗"))))</x:f>
        <x:v>缺产出</x:v>
      </x:c>
      <x:c r="Q143" s="39" t="str">
        <x:v>合成产物可交易性与禁止回收是两条独立规则。</x:v>
      </x:c>
    </x:row>
    <x:row r="144" ht="40" customHeight="1">
      <x:c r="A144" s="37" t="str">
        <x:v>OUT-6AB8C5238DDB</x:v>
      </x:c>
      <x:c r="B144" s="38" t="str">
        <x:v>群星之核LV2</x:v>
      </x:c>
      <x:c r="C144" s="38" t="str">
        <x:v>装备</x:v>
      </x:c>
      <x:c r="D144" s="38" t="str">
        <x:v>群攻生肖</x:v>
      </x:c>
      <x:c r="E144" s="38" t="str">
        <x:v>C03</x:v>
      </x:c>
      <x:c r="F144" s="38"/>
      <x:c r="G144" s="38"/>
      <x:c r="H144" s="38" t="str">
        <x:v>结构已确认；数值待经济反算</x:v>
      </x:c>
      <x:c r="I144" s="38" t="str">
        <x:v>成品可交易</x:v>
      </x:c>
      <x:c r="J144" s="38" t="str">
        <x:v>禁止回收</x:v>
      </x:c>
      <x:c r="K144" s="38" t="str">
        <x:v>成品可交易</x:v>
      </x:c>
      <x:c r="L144" s="38" t="str">
        <x:v>待经济反算</x:v>
      </x:c>
      <x:c r="M144" s="38" t="str">
        <x:v>十大陆NPC与配方总账V1.0</x:v>
      </x:c>
      <x:c r="N144" s="38" t="n">
        <x:f>COUNTIF('02_产出端'!$G$5:$G$600,A144)</x:f>
        <x:v>0</x:v>
      </x:c>
      <x:c r="O144" s="38" t="n">
        <x:f>COUNTIF('03_消耗端'!$E$5:$E$900,A144)</x:f>
        <x:v>1</x:v>
      </x:c>
      <x:c r="P144" s="38" t="str">
        <x:f>IF(C144="前置条件","条件",IF(AND(N144&gt;0,O144&gt;0),"循环闭合",IF(AND(N144&gt;0,OR(C144="装备",C144="装备/道具",C144="角色进度",C144="称号/进度",C144="系统结果")),"终端产物",IF(N144=0,"缺产出","缺消耗"))))</x:f>
        <x:v>缺产出</x:v>
      </x:c>
      <x:c r="Q144" s="39" t="str">
        <x:v>合成产物可交易性与禁止回收是两条独立规则。</x:v>
      </x:c>
    </x:row>
    <x:row r="145" ht="40" customHeight="1">
      <x:c r="A145" s="37" t="str">
        <x:v>OUT-7359D4860D40</x:v>
      </x:c>
      <x:c r="B145" s="38" t="str">
        <x:v>群星之核LV3</x:v>
      </x:c>
      <x:c r="C145" s="38" t="str">
        <x:v>装备</x:v>
      </x:c>
      <x:c r="D145" s="38" t="str">
        <x:v>群攻生肖</x:v>
      </x:c>
      <x:c r="E145" s="38" t="str">
        <x:v>C05</x:v>
      </x:c>
      <x:c r="F145" s="38"/>
      <x:c r="G145" s="38"/>
      <x:c r="H145" s="38" t="str">
        <x:v>结构已确认；数值待经济反算</x:v>
      </x:c>
      <x:c r="I145" s="38" t="str">
        <x:v>成品可交易</x:v>
      </x:c>
      <x:c r="J145" s="38" t="str">
        <x:v>禁止回收</x:v>
      </x:c>
      <x:c r="K145" s="38" t="str">
        <x:v>成品可交易</x:v>
      </x:c>
      <x:c r="L145" s="38" t="str">
        <x:v>待经济反算</x:v>
      </x:c>
      <x:c r="M145" s="38" t="str">
        <x:v>十大陆NPC与配方总账V1.0</x:v>
      </x:c>
      <x:c r="N145" s="38" t="n">
        <x:f>COUNTIF('02_产出端'!$G$5:$G$600,A145)</x:f>
        <x:v>0</x:v>
      </x:c>
      <x:c r="O145" s="38" t="n">
        <x:f>COUNTIF('03_消耗端'!$E$5:$E$900,A145)</x:f>
        <x:v>1</x:v>
      </x:c>
      <x:c r="P145" s="38" t="str">
        <x:f>IF(C145="前置条件","条件",IF(AND(N145&gt;0,O145&gt;0),"循环闭合",IF(AND(N145&gt;0,OR(C145="装备",C145="装备/道具",C145="角色进度",C145="称号/进度",C145="系统结果")),"终端产物",IF(N145=0,"缺产出","缺消耗"))))</x:f>
        <x:v>缺产出</x:v>
      </x:c>
      <x:c r="Q145" s="39" t="str">
        <x:v>合成产物可交易性与禁止回收是两条独立规则。</x:v>
      </x:c>
    </x:row>
    <x:row r="146" ht="40" customHeight="1">
      <x:c r="A146" s="37" t="str">
        <x:v>OUT-68B764297B22</x:v>
      </x:c>
      <x:c r="B146" s="38" t="str">
        <x:v>群星之核LV4</x:v>
      </x:c>
      <x:c r="C146" s="38" t="str">
        <x:v>装备</x:v>
      </x:c>
      <x:c r="D146" s="38" t="str">
        <x:v>群攻生肖</x:v>
      </x:c>
      <x:c r="E146" s="38" t="str">
        <x:v>C07</x:v>
      </x:c>
      <x:c r="F146" s="38"/>
      <x:c r="G146" s="38"/>
      <x:c r="H146" s="38" t="str">
        <x:v>结构已确认；数值待经济反算</x:v>
      </x:c>
      <x:c r="I146" s="38" t="str">
        <x:v>成品可交易</x:v>
      </x:c>
      <x:c r="J146" s="38" t="str">
        <x:v>禁止回收</x:v>
      </x:c>
      <x:c r="K146" s="38" t="str">
        <x:v>成品可交易</x:v>
      </x:c>
      <x:c r="L146" s="38" t="str">
        <x:v>待经济反算</x:v>
      </x:c>
      <x:c r="M146" s="38" t="str">
        <x:v>十大陆NPC与配方总账V1.0</x:v>
      </x:c>
      <x:c r="N146" s="38" t="n">
        <x:f>COUNTIF('02_产出端'!$G$5:$G$600,A146)</x:f>
        <x:v>0</x:v>
      </x:c>
      <x:c r="O146" s="38" t="n">
        <x:f>COUNTIF('03_消耗端'!$E$5:$E$900,A146)</x:f>
        <x:v>1</x:v>
      </x:c>
      <x:c r="P146" s="38" t="str">
        <x:f>IF(C146="前置条件","条件",IF(AND(N146&gt;0,O146&gt;0),"循环闭合",IF(AND(N146&gt;0,OR(C146="装备",C146="装备/道具",C146="角色进度",C146="称号/进度",C146="系统结果")),"终端产物",IF(N146=0,"缺产出","缺消耗"))))</x:f>
        <x:v>缺产出</x:v>
      </x:c>
      <x:c r="Q146" s="39" t="str">
        <x:v>合成产物可交易性与禁止回收是两条独立规则。</x:v>
      </x:c>
    </x:row>
    <x:row r="147" ht="40" customHeight="1">
      <x:c r="A147" s="37" t="str">
        <x:v>OUT-E5B7597E92E9</x:v>
      </x:c>
      <x:c r="B147" s="38" t="str">
        <x:v>群星之核LV5</x:v>
      </x:c>
      <x:c r="C147" s="38" t="str">
        <x:v>装备</x:v>
      </x:c>
      <x:c r="D147" s="38" t="str">
        <x:v>群攻生肖</x:v>
      </x:c>
      <x:c r="E147" s="38" t="str">
        <x:v>C09</x:v>
      </x:c>
      <x:c r="F147" s="38"/>
      <x:c r="G147" s="38"/>
      <x:c r="H147" s="38" t="str">
        <x:v>结构已确认；数值待经济反算</x:v>
      </x:c>
      <x:c r="I147" s="38" t="str">
        <x:v>成品可交易</x:v>
      </x:c>
      <x:c r="J147" s="38" t="str">
        <x:v>禁止回收</x:v>
      </x:c>
      <x:c r="K147" s="38" t="str">
        <x:v>成品可交易</x:v>
      </x:c>
      <x:c r="L147" s="38" t="str">
        <x:v>待经济反算</x:v>
      </x:c>
      <x:c r="M147" s="38" t="str">
        <x:v>十大陆NPC与配方总账V1.0</x:v>
      </x:c>
      <x:c r="N147" s="38" t="n">
        <x:f>COUNTIF('02_产出端'!$G$5:$G$600,A147)</x:f>
        <x:v>0</x:v>
      </x:c>
      <x:c r="O147" s="38" t="n">
        <x:f>COUNTIF('03_消耗端'!$E$5:$E$900,A147)</x:f>
        <x:v>0</x:v>
      </x:c>
      <x:c r="P147" s="38" t="str">
        <x:f>IF(C147="前置条件","条件",IF(AND(N147&gt;0,O147&gt;0),"循环闭合",IF(AND(N147&gt;0,OR(C147="装备",C147="装备/道具",C147="角色进度",C147="称号/进度",C147="系统结果")),"终端产物",IF(N147=0,"缺产出","缺消耗"))))</x:f>
        <x:v>缺产出</x:v>
      </x:c>
      <x:c r="Q147" s="39" t="str">
        <x:v>合成产物可交易性与禁止回收是两条独立规则。</x:v>
      </x:c>
    </x:row>
    <x:row r="148" ht="40" customHeight="1">
      <x:c r="A148" s="37" t="str">
        <x:v>OUT-CB09934A8056</x:v>
      </x:c>
      <x:c r="B148" s="38" t="str">
        <x:v>第1转·雾潮初醒</x:v>
      </x:c>
      <x:c r="C148" s="38" t="str">
        <x:v>角色进度</x:v>
      </x:c>
      <x:c r="D148" s="38" t="str">
        <x:v>转生</x:v>
      </x:c>
      <x:c r="E148" s="38" t="str">
        <x:v>C04</x:v>
      </x:c>
      <x:c r="F148" s="38"/>
      <x:c r="G148" s="38"/>
      <x:c r="H148" s="38" t="str">
        <x:v>结构已确认；数值待经济反算</x:v>
      </x:c>
      <x:c r="I148" s="38" t="str">
        <x:v>角色绑定</x:v>
      </x:c>
      <x:c r="J148" s="38" t="str">
        <x:v>不适用/沿用现有脚本</x:v>
      </x:c>
      <x:c r="K148" s="38" t="str">
        <x:v>角色绑定</x:v>
      </x:c>
      <x:c r="L148" s="38" t="str">
        <x:v>待经济反算</x:v>
      </x:c>
      <x:c r="M148" s="38" t="str">
        <x:v>十大陆NPC与配方总账V1.0</x:v>
      </x:c>
      <x:c r="N148" s="38" t="n">
        <x:f>COUNTIF('02_产出端'!$G$5:$G$600,A148)</x:f>
        <x:v>0</x:v>
      </x:c>
      <x:c r="O148" s="38" t="n">
        <x:f>COUNTIF('03_消耗端'!$E$5:$E$900,A148)</x:f>
        <x:v>0</x:v>
      </x:c>
      <x:c r="P148" s="38" t="str">
        <x:f>IF(C148="前置条件","条件",IF(AND(N148&gt;0,O148&gt;0),"循环闭合",IF(AND(N148&gt;0,OR(C148="装备",C148="装备/道具",C148="角色进度",C148="称号/进度",C148="系统结果")),"终端产物",IF(N148=0,"缺产出","缺消耗"))))</x:f>
        <x:v>缺产出</x:v>
      </x:c>
      <x:c r="Q148" s="39" t="str">
        <x:v>由NPC配方表自动登记。</x:v>
      </x:c>
    </x:row>
    <x:row r="149" ht="40" customHeight="1">
      <x:c r="A149" s="37" t="str">
        <x:v>OUT-549D022CAAED</x:v>
      </x:c>
      <x:c r="B149" s="38" t="str">
        <x:v>第2转·沉舟回魂</x:v>
      </x:c>
      <x:c r="C149" s="38" t="str">
        <x:v>角色进度</x:v>
      </x:c>
      <x:c r="D149" s="38" t="str">
        <x:v>转生</x:v>
      </x:c>
      <x:c r="E149" s="38" t="str">
        <x:v>C04</x:v>
      </x:c>
      <x:c r="F149" s="38"/>
      <x:c r="G149" s="38"/>
      <x:c r="H149" s="38" t="str">
        <x:v>结构已确认；数值待经济反算</x:v>
      </x:c>
      <x:c r="I149" s="38" t="str">
        <x:v>角色绑定</x:v>
      </x:c>
      <x:c r="J149" s="38" t="str">
        <x:v>不适用/沿用现有脚本</x:v>
      </x:c>
      <x:c r="K149" s="38" t="str">
        <x:v>角色绑定</x:v>
      </x:c>
      <x:c r="L149" s="38" t="str">
        <x:v>待经济反算</x:v>
      </x:c>
      <x:c r="M149" s="38" t="str">
        <x:v>十大陆NPC与配方总账V1.0</x:v>
      </x:c>
      <x:c r="N149" s="38" t="n">
        <x:f>COUNTIF('02_产出端'!$G$5:$G$600,A149)</x:f>
        <x:v>0</x:v>
      </x:c>
      <x:c r="O149" s="38" t="n">
        <x:f>COUNTIF('03_消耗端'!$E$5:$E$900,A149)</x:f>
        <x:v>0</x:v>
      </x:c>
      <x:c r="P149" s="38" t="str">
        <x:f>IF(C149="前置条件","条件",IF(AND(N149&gt;0,O149&gt;0),"循环闭合",IF(AND(N149&gt;0,OR(C149="装备",C149="装备/道具",C149="角色进度",C149="称号/进度",C149="系统结果")),"终端产物",IF(N149=0,"缺产出","缺消耗"))))</x:f>
        <x:v>缺产出</x:v>
      </x:c>
      <x:c r="Q149" s="39" t="str">
        <x:v>由NPC配方表自动登记。</x:v>
      </x:c>
    </x:row>
    <x:row r="150" ht="40" customHeight="1">
      <x:c r="A150" s="37" t="str">
        <x:v>OUT-AF0C28466D54</x:v>
      </x:c>
      <x:c r="B150" s="38" t="str">
        <x:v>第3转·月水洗身</x:v>
      </x:c>
      <x:c r="C150" s="38" t="str">
        <x:v>角色进度</x:v>
      </x:c>
      <x:c r="D150" s="38" t="str">
        <x:v>转生</x:v>
      </x:c>
      <x:c r="E150" s="38" t="str">
        <x:v>C04</x:v>
      </x:c>
      <x:c r="F150" s="38"/>
      <x:c r="G150" s="38"/>
      <x:c r="H150" s="38" t="str">
        <x:v>结构已确认；数值待经济反算</x:v>
      </x:c>
      <x:c r="I150" s="38" t="str">
        <x:v>角色绑定</x:v>
      </x:c>
      <x:c r="J150" s="38" t="str">
        <x:v>不适用/沿用现有脚本</x:v>
      </x:c>
      <x:c r="K150" s="38" t="str">
        <x:v>角色绑定</x:v>
      </x:c>
      <x:c r="L150" s="38" t="str">
        <x:v>待经济反算</x:v>
      </x:c>
      <x:c r="M150" s="38" t="str">
        <x:v>十大陆NPC与配方总账V1.0</x:v>
      </x:c>
      <x:c r="N150" s="38" t="n">
        <x:f>COUNTIF('02_产出端'!$G$5:$G$600,A150)</x:f>
        <x:v>0</x:v>
      </x:c>
      <x:c r="O150" s="38" t="n">
        <x:f>COUNTIF('03_消耗端'!$E$5:$E$900,A150)</x:f>
        <x:v>0</x:v>
      </x:c>
      <x:c r="P150" s="38" t="str">
        <x:f>IF(C150="前置条件","条件",IF(AND(N150&gt;0,O150&gt;0),"循环闭合",IF(AND(N150&gt;0,OR(C150="装备",C150="装备/道具",C150="角色进度",C150="称号/进度",C150="系统结果")),"终端产物",IF(N150=0,"缺产出","缺消耗"))))</x:f>
        <x:v>缺产出</x:v>
      </x:c>
      <x:c r="Q150" s="39" t="str">
        <x:v>由NPC配方表自动登记。</x:v>
      </x:c>
    </x:row>
    <x:row r="151" ht="40" customHeight="1">
      <x:c r="A151" s="37" t="str">
        <x:v>OUT-2E9719F6CCC2</x:v>
      </x:c>
      <x:c r="B151" s="38" t="str">
        <x:v>第4转·湖誓重铸</x:v>
      </x:c>
      <x:c r="C151" s="38" t="str">
        <x:v>角色进度</x:v>
      </x:c>
      <x:c r="D151" s="38" t="str">
        <x:v>转生</x:v>
      </x:c>
      <x:c r="E151" s="38" t="str">
        <x:v>C04</x:v>
      </x:c>
      <x:c r="F151" s="38"/>
      <x:c r="G151" s="38"/>
      <x:c r="H151" s="38" t="str">
        <x:v>结构已确认；数值待经济反算</x:v>
      </x:c>
      <x:c r="I151" s="38" t="str">
        <x:v>角色绑定</x:v>
      </x:c>
      <x:c r="J151" s="38" t="str">
        <x:v>不适用/沿用现有脚本</x:v>
      </x:c>
      <x:c r="K151" s="38" t="str">
        <x:v>角色绑定</x:v>
      </x:c>
      <x:c r="L151" s="38" t="str">
        <x:v>待经济反算</x:v>
      </x:c>
      <x:c r="M151" s="38" t="str">
        <x:v>十大陆NPC与配方总账V1.0</x:v>
      </x:c>
      <x:c r="N151" s="38" t="n">
        <x:f>COUNTIF('02_产出端'!$G$5:$G$600,A151)</x:f>
        <x:v>0</x:v>
      </x:c>
      <x:c r="O151" s="38" t="n">
        <x:f>COUNTIF('03_消耗端'!$E$5:$E$900,A151)</x:f>
        <x:v>0</x:v>
      </x:c>
      <x:c r="P151" s="38" t="str">
        <x:f>IF(C151="前置条件","条件",IF(AND(N151&gt;0,O151&gt;0),"循环闭合",IF(AND(N151&gt;0,OR(C151="装备",C151="装备/道具",C151="角色进度",C151="称号/进度",C151="系统结果")),"终端产物",IF(N151=0,"缺产出","缺消耗"))))</x:f>
        <x:v>缺产出</x:v>
      </x:c>
      <x:c r="Q151" s="39" t="str">
        <x:v>由NPC配方表自动登记。</x:v>
      </x:c>
    </x:row>
    <x:row r="152" ht="40" customHeight="1">
      <x:c r="A152" s="37" t="str">
        <x:v>OUT-5CB22339AF76</x:v>
      </x:c>
      <x:c r="B152" s="38" t="str">
        <x:v>第5转·闭潮新生</x:v>
      </x:c>
      <x:c r="C152" s="38" t="str">
        <x:v>角色进度</x:v>
      </x:c>
      <x:c r="D152" s="38" t="str">
        <x:v>转生</x:v>
      </x:c>
      <x:c r="E152" s="38" t="str">
        <x:v>C04</x:v>
      </x:c>
      <x:c r="F152" s="38"/>
      <x:c r="G152" s="38"/>
      <x:c r="H152" s="38" t="str">
        <x:v>结构已确认；数值待经济反算</x:v>
      </x:c>
      <x:c r="I152" s="38" t="str">
        <x:v>角色绑定</x:v>
      </x:c>
      <x:c r="J152" s="38" t="str">
        <x:v>不适用/沿用现有脚本</x:v>
      </x:c>
      <x:c r="K152" s="38" t="str">
        <x:v>角色绑定</x:v>
      </x:c>
      <x:c r="L152" s="38" t="str">
        <x:v>待经济反算</x:v>
      </x:c>
      <x:c r="M152" s="38" t="str">
        <x:v>十大陆NPC与配方总账V1.0</x:v>
      </x:c>
      <x:c r="N152" s="38" t="n">
        <x:f>COUNTIF('02_产出端'!$G$5:$G$600,A152)</x:f>
        <x:v>0</x:v>
      </x:c>
      <x:c r="O152" s="38" t="n">
        <x:f>COUNTIF('03_消耗端'!$E$5:$E$900,A152)</x:f>
        <x:v>0</x:v>
      </x:c>
      <x:c r="P152" s="38" t="str">
        <x:f>IF(C152="前置条件","条件",IF(AND(N152&gt;0,O152&gt;0),"循环闭合",IF(AND(N152&gt;0,OR(C152="装备",C152="装备/道具",C152="角色进度",C152="称号/进度",C152="系统结果")),"终端产物",IF(N152=0,"缺产出","缺消耗"))))</x:f>
        <x:v>缺产出</x:v>
      </x:c>
      <x:c r="Q152" s="39" t="str">
        <x:v>由NPC配方表自动登记。</x:v>
      </x:c>
    </x:row>
    <x:row r="153" ht="40" customHeight="1">
      <x:c r="A153" s="37" t="str">
        <x:v>OUT-DB39AFD48212</x:v>
      </x:c>
      <x:c r="B153" s="38" t="str">
        <x:v>第6转·灰原灼骨</x:v>
      </x:c>
      <x:c r="C153" s="38" t="str">
        <x:v>角色进度</x:v>
      </x:c>
      <x:c r="D153" s="38" t="str">
        <x:v>转生</x:v>
      </x:c>
      <x:c r="E153" s="38" t="str">
        <x:v>C06</x:v>
      </x:c>
      <x:c r="F153" s="38"/>
      <x:c r="G153" s="38"/>
      <x:c r="H153" s="38" t="str">
        <x:v>结构已确认；数值待经济反算</x:v>
      </x:c>
      <x:c r="I153" s="38" t="str">
        <x:v>角色绑定</x:v>
      </x:c>
      <x:c r="J153" s="38" t="str">
        <x:v>不适用/沿用现有脚本</x:v>
      </x:c>
      <x:c r="K153" s="38" t="str">
        <x:v>角色绑定</x:v>
      </x:c>
      <x:c r="L153" s="38" t="str">
        <x:v>待经济反算</x:v>
      </x:c>
      <x:c r="M153" s="38" t="str">
        <x:v>十大陆NPC与配方总账V1.0</x:v>
      </x:c>
      <x:c r="N153" s="38" t="n">
        <x:f>COUNTIF('02_产出端'!$G$5:$G$600,A153)</x:f>
        <x:v>0</x:v>
      </x:c>
      <x:c r="O153" s="38" t="n">
        <x:f>COUNTIF('03_消耗端'!$E$5:$E$900,A153)</x:f>
        <x:v>0</x:v>
      </x:c>
      <x:c r="P153" s="38" t="str">
        <x:f>IF(C153="前置条件","条件",IF(AND(N153&gt;0,O153&gt;0),"循环闭合",IF(AND(N153&gt;0,OR(C153="装备",C153="装备/道具",C153="角色进度",C153="称号/进度",C153="系统结果")),"终端产物",IF(N153=0,"缺产出","缺消耗"))))</x:f>
        <x:v>缺产出</x:v>
      </x:c>
      <x:c r="Q153" s="39" t="str">
        <x:v>由NPC配方表自动登记。</x:v>
      </x:c>
    </x:row>
    <x:row r="154" ht="40" customHeight="1">
      <x:c r="A154" s="37" t="str">
        <x:v>OUT-AF767EC761F1</x:v>
      </x:c>
      <x:c r="B154" s="38" t="str">
        <x:v>第7转·腐焰炼血</x:v>
      </x:c>
      <x:c r="C154" s="38" t="str">
        <x:v>角色进度</x:v>
      </x:c>
      <x:c r="D154" s="38" t="str">
        <x:v>转生</x:v>
      </x:c>
      <x:c r="E154" s="38" t="str">
        <x:v>C06</x:v>
      </x:c>
      <x:c r="F154" s="38"/>
      <x:c r="G154" s="38"/>
      <x:c r="H154" s="38" t="str">
        <x:v>结构已确认；数值待经济反算</x:v>
      </x:c>
      <x:c r="I154" s="38" t="str">
        <x:v>角色绑定</x:v>
      </x:c>
      <x:c r="J154" s="38" t="str">
        <x:v>不适用/沿用现有脚本</x:v>
      </x:c>
      <x:c r="K154" s="38" t="str">
        <x:v>角色绑定</x:v>
      </x:c>
      <x:c r="L154" s="38" t="str">
        <x:v>待经济反算</x:v>
      </x:c>
      <x:c r="M154" s="38" t="str">
        <x:v>十大陆NPC与配方总账V1.0</x:v>
      </x:c>
      <x:c r="N154" s="38" t="n">
        <x:f>COUNTIF('02_产出端'!$G$5:$G$600,A154)</x:f>
        <x:v>0</x:v>
      </x:c>
      <x:c r="O154" s="38" t="n">
        <x:f>COUNTIF('03_消耗端'!$E$5:$E$900,A154)</x:f>
        <x:v>0</x:v>
      </x:c>
      <x:c r="P154" s="38" t="str">
        <x:f>IF(C154="前置条件","条件",IF(AND(N154&gt;0,O154&gt;0),"循环闭合",IF(AND(N154&gt;0,OR(C154="装备",C154="装备/道具",C154="角色进度",C154="称号/进度",C154="系统结果")),"终端产物",IF(N154=0,"缺产出","缺消耗"))))</x:f>
        <x:v>缺产出</x:v>
      </x:c>
      <x:c r="Q154" s="39" t="str">
        <x:v>由NPC配方表自动登记。</x:v>
      </x:c>
    </x:row>
    <x:row r="155" ht="40" customHeight="1">
      <x:c r="A155" s="37" t="str">
        <x:v>OUT-95C4F70738E9</x:v>
      </x:c>
      <x:c r="B155" s="38" t="str">
        <x:v>第8转·红狮战心</x:v>
      </x:c>
      <x:c r="C155" s="38" t="str">
        <x:v>角色进度</x:v>
      </x:c>
      <x:c r="D155" s="38" t="str">
        <x:v>转生</x:v>
      </x:c>
      <x:c r="E155" s="38" t="str">
        <x:v>C06</x:v>
      </x:c>
      <x:c r="F155" s="38"/>
      <x:c r="G155" s="38"/>
      <x:c r="H155" s="38" t="str">
        <x:v>结构已确认；数值待经济反算</x:v>
      </x:c>
      <x:c r="I155" s="38" t="str">
        <x:v>角色绑定</x:v>
      </x:c>
      <x:c r="J155" s="38" t="str">
        <x:v>不适用/沿用现有脚本</x:v>
      </x:c>
      <x:c r="K155" s="38" t="str">
        <x:v>角色绑定</x:v>
      </x:c>
      <x:c r="L155" s="38" t="str">
        <x:v>待经济反算</x:v>
      </x:c>
      <x:c r="M155" s="38" t="str">
        <x:v>十大陆NPC与配方总账V1.0</x:v>
      </x:c>
      <x:c r="N155" s="38" t="n">
        <x:f>COUNTIF('02_产出端'!$G$5:$G$600,A155)</x:f>
        <x:v>0</x:v>
      </x:c>
      <x:c r="O155" s="38" t="n">
        <x:f>COUNTIF('03_消耗端'!$E$5:$E$900,A155)</x:f>
        <x:v>0</x:v>
      </x:c>
      <x:c r="P155" s="38" t="str">
        <x:f>IF(C155="前置条件","条件",IF(AND(N155&gt;0,O155&gt;0),"循环闭合",IF(AND(N155&gt;0,OR(C155="装备",C155="装备/道具",C155="角色进度",C155="称号/进度",C155="系统结果")),"终端产物",IF(N155=0,"缺产出","缺消耗"))))</x:f>
        <x:v>缺产出</x:v>
      </x:c>
      <x:c r="Q155" s="39" t="str">
        <x:v>由NPC配方表自动登记。</x:v>
      </x:c>
    </x:row>
    <x:row r="156" ht="40" customHeight="1">
      <x:c r="A156" s="37" t="str">
        <x:v>OUT-73C3AED86ACC</x:v>
      </x:c>
      <x:c r="B156" s="38" t="str">
        <x:v>第9转·龙火淬魂</x:v>
      </x:c>
      <x:c r="C156" s="38" t="str">
        <x:v>角色进度</x:v>
      </x:c>
      <x:c r="D156" s="38" t="str">
        <x:v>转生</x:v>
      </x:c>
      <x:c r="E156" s="38" t="str">
        <x:v>C06</x:v>
      </x:c>
      <x:c r="F156" s="38"/>
      <x:c r="G156" s="38"/>
      <x:c r="H156" s="38" t="str">
        <x:v>结构已确认；数值待经济反算</x:v>
      </x:c>
      <x:c r="I156" s="38" t="str">
        <x:v>角色绑定</x:v>
      </x:c>
      <x:c r="J156" s="38" t="str">
        <x:v>不适用/沿用现有脚本</x:v>
      </x:c>
      <x:c r="K156" s="38" t="str">
        <x:v>角色绑定</x:v>
      </x:c>
      <x:c r="L156" s="38" t="str">
        <x:v>待经济反算</x:v>
      </x:c>
      <x:c r="M156" s="38" t="str">
        <x:v>十大陆NPC与配方总账V1.0</x:v>
      </x:c>
      <x:c r="N156" s="38" t="n">
        <x:f>COUNTIF('02_产出端'!$G$5:$G$600,A156)</x:f>
        <x:v>0</x:v>
      </x:c>
      <x:c r="O156" s="38" t="n">
        <x:f>COUNTIF('03_消耗端'!$E$5:$E$900,A156)</x:f>
        <x:v>0</x:v>
      </x:c>
      <x:c r="P156" s="38" t="str">
        <x:f>IF(C156="前置条件","条件",IF(AND(N156&gt;0,O156&gt;0),"循环闭合",IF(AND(N156&gt;0,OR(C156="装备",C156="装备/道具",C156="角色进度",C156="称号/进度",C156="系统结果")),"终端产物",IF(N156=0,"缺产出","缺消耗"))))</x:f>
        <x:v>缺产出</x:v>
      </x:c>
      <x:c r="Q156" s="39" t="str">
        <x:v>由NPC配方表自动登记。</x:v>
      </x:c>
    </x:row>
    <x:row r="157" ht="40" customHeight="1">
      <x:c r="A157" s="37" t="str">
        <x:v>OUT-5F7ADA3903AD</x:v>
      </x:c>
      <x:c r="B157" s="38" t="str">
        <x:v>第10转·碎星再临</x:v>
      </x:c>
      <x:c r="C157" s="38" t="str">
        <x:v>角色进度</x:v>
      </x:c>
      <x:c r="D157" s="38" t="str">
        <x:v>转生</x:v>
      </x:c>
      <x:c r="E157" s="38" t="str">
        <x:v>C06</x:v>
      </x:c>
      <x:c r="F157" s="38"/>
      <x:c r="G157" s="38"/>
      <x:c r="H157" s="38" t="str">
        <x:v>结构已确认；数值待经济反算</x:v>
      </x:c>
      <x:c r="I157" s="38" t="str">
        <x:v>角色绑定</x:v>
      </x:c>
      <x:c r="J157" s="38" t="str">
        <x:v>不适用/沿用现有脚本</x:v>
      </x:c>
      <x:c r="K157" s="38" t="str">
        <x:v>角色绑定</x:v>
      </x:c>
      <x:c r="L157" s="38" t="str">
        <x:v>待经济反算</x:v>
      </x:c>
      <x:c r="M157" s="38" t="str">
        <x:v>十大陆NPC与配方总账V1.0</x:v>
      </x:c>
      <x:c r="N157" s="38" t="n">
        <x:f>COUNTIF('02_产出端'!$G$5:$G$600,A157)</x:f>
        <x:v>0</x:v>
      </x:c>
      <x:c r="O157" s="38" t="n">
        <x:f>COUNTIF('03_消耗端'!$E$5:$E$900,A157)</x:f>
        <x:v>0</x:v>
      </x:c>
      <x:c r="P157" s="38" t="str">
        <x:f>IF(C157="前置条件","条件",IF(AND(N157&gt;0,O157&gt;0),"循环闭合",IF(AND(N157&gt;0,OR(C157="装备",C157="装备/道具",C157="角色进度",C157="称号/进度",C157="系统结果")),"终端产物",IF(N157=0,"缺产出","缺消耗"))))</x:f>
        <x:v>缺产出</x:v>
      </x:c>
      <x:c r="Q157" s="39" t="str">
        <x:v>由NPC配方表自动登记。</x:v>
      </x:c>
    </x:row>
    <x:row r="158" ht="40" customHeight="1">
      <x:c r="A158" s="37" t="str">
        <x:v>OUT-F46EA095856F</x:v>
      </x:c>
      <x:c r="B158" s="38" t="str">
        <x:v>第11转·登霜换骨</x:v>
      </x:c>
      <x:c r="C158" s="38" t="str">
        <x:v>角色进度</x:v>
      </x:c>
      <x:c r="D158" s="38" t="str">
        <x:v>转生</x:v>
      </x:c>
      <x:c r="E158" s="38" t="str">
        <x:v>C08</x:v>
      </x:c>
      <x:c r="F158" s="38"/>
      <x:c r="G158" s="38"/>
      <x:c r="H158" s="38" t="str">
        <x:v>结构已确认；数值待经济反算</x:v>
      </x:c>
      <x:c r="I158" s="38" t="str">
        <x:v>角色绑定</x:v>
      </x:c>
      <x:c r="J158" s="38" t="str">
        <x:v>不适用/沿用现有脚本</x:v>
      </x:c>
      <x:c r="K158" s="38" t="str">
        <x:v>角色绑定</x:v>
      </x:c>
      <x:c r="L158" s="38" t="str">
        <x:v>待经济反算</x:v>
      </x:c>
      <x:c r="M158" s="38" t="str">
        <x:v>十大陆NPC与配方总账V1.0</x:v>
      </x:c>
      <x:c r="N158" s="38" t="n">
        <x:f>COUNTIF('02_产出端'!$G$5:$G$600,A158)</x:f>
        <x:v>0</x:v>
      </x:c>
      <x:c r="O158" s="38" t="n">
        <x:f>COUNTIF('03_消耗端'!$E$5:$E$900,A158)</x:f>
        <x:v>0</x:v>
      </x:c>
      <x:c r="P158" s="38" t="str">
        <x:f>IF(C158="前置条件","条件",IF(AND(N158&gt;0,O158&gt;0),"循环闭合",IF(AND(N158&gt;0,OR(C158="装备",C158="装备/道具",C158="角色进度",C158="称号/进度",C158="系统结果")),"终端产物",IF(N158=0,"缺产出","缺消耗"))))</x:f>
        <x:v>缺产出</x:v>
      </x:c>
      <x:c r="Q158" s="39" t="str">
        <x:v>由NPC配方表自动登记。</x:v>
      </x:c>
    </x:row>
    <x:row r="159" ht="40" customHeight="1">
      <x:c r="A159" s="37" t="str">
        <x:v>OUT-1AED4978CB0C</x:v>
      </x:c>
      <x:c r="B159" s="38" t="str">
        <x:v>第12转·炉火铸心</x:v>
      </x:c>
      <x:c r="C159" s="38" t="str">
        <x:v>角色进度</x:v>
      </x:c>
      <x:c r="D159" s="38" t="str">
        <x:v>转生</x:v>
      </x:c>
      <x:c r="E159" s="38" t="str">
        <x:v>C08</x:v>
      </x:c>
      <x:c r="F159" s="38"/>
      <x:c r="G159" s="38"/>
      <x:c r="H159" s="38" t="str">
        <x:v>结构已确认；数值待经济反算</x:v>
      </x:c>
      <x:c r="I159" s="38" t="str">
        <x:v>角色绑定</x:v>
      </x:c>
      <x:c r="J159" s="38" t="str">
        <x:v>不适用/沿用现有脚本</x:v>
      </x:c>
      <x:c r="K159" s="38" t="str">
        <x:v>角色绑定</x:v>
      </x:c>
      <x:c r="L159" s="38" t="str">
        <x:v>待经济反算</x:v>
      </x:c>
      <x:c r="M159" s="38" t="str">
        <x:v>十大陆NPC与配方总账V1.0</x:v>
      </x:c>
      <x:c r="N159" s="38" t="n">
        <x:f>COUNTIF('02_产出端'!$G$5:$G$600,A159)</x:f>
        <x:v>0</x:v>
      </x:c>
      <x:c r="O159" s="38" t="n">
        <x:f>COUNTIF('03_消耗端'!$E$5:$E$900,A159)</x:f>
        <x:v>0</x:v>
      </x:c>
      <x:c r="P159" s="38" t="str">
        <x:f>IF(C159="前置条件","条件",IF(AND(N159&gt;0,O159&gt;0),"循环闭合",IF(AND(N159&gt;0,OR(C159="装备",C159="装备/道具",C159="角色进度",C159="称号/进度",C159="系统结果")),"终端产物",IF(N159=0,"缺产出","缺消耗"))))</x:f>
        <x:v>缺产出</x:v>
      </x:c>
      <x:c r="Q159" s="39" t="str">
        <x:v>由NPC配方表自动登记。</x:v>
      </x:c>
    </x:row>
    <x:row r="160" ht="40" customHeight="1">
      <x:c r="A160" s="37" t="str">
        <x:v>OUT-35C40B93E89B</x:v>
      </x:c>
      <x:c r="B160" s="38" t="str">
        <x:v>第13转·巨人燃血</x:v>
      </x:c>
      <x:c r="C160" s="38" t="str">
        <x:v>角色进度</x:v>
      </x:c>
      <x:c r="D160" s="38" t="str">
        <x:v>转生</x:v>
      </x:c>
      <x:c r="E160" s="38" t="str">
        <x:v>C08</x:v>
      </x:c>
      <x:c r="F160" s="38"/>
      <x:c r="G160" s="38"/>
      <x:c r="H160" s="38" t="str">
        <x:v>结构已确认；数值待经济反算</x:v>
      </x:c>
      <x:c r="I160" s="38" t="str">
        <x:v>角色绑定</x:v>
      </x:c>
      <x:c r="J160" s="38" t="str">
        <x:v>不适用/沿用现有脚本</x:v>
      </x:c>
      <x:c r="K160" s="38" t="str">
        <x:v>角色绑定</x:v>
      </x:c>
      <x:c r="L160" s="38" t="str">
        <x:v>待经济反算</x:v>
      </x:c>
      <x:c r="M160" s="38" t="str">
        <x:v>十大陆NPC与配方总账V1.0</x:v>
      </x:c>
      <x:c r="N160" s="38" t="n">
        <x:f>COUNTIF('02_产出端'!$G$5:$G$600,A160)</x:f>
        <x:v>0</x:v>
      </x:c>
      <x:c r="O160" s="38" t="n">
        <x:f>COUNTIF('03_消耗端'!$E$5:$E$900,A160)</x:f>
        <x:v>0</x:v>
      </x:c>
      <x:c r="P160" s="38" t="str">
        <x:f>IF(C160="前置条件","条件",IF(AND(N160&gt;0,O160&gt;0),"循环闭合",IF(AND(N160&gt;0,OR(C160="装备",C160="装备/道具",C160="角色进度",C160="称号/进度",C160="系统结果")),"终端产物",IF(N160=0,"缺产出","缺消耗"))))</x:f>
        <x:v>缺产出</x:v>
      </x:c>
      <x:c r="Q160" s="39" t="str">
        <x:v>由NPC配方表自动登记。</x:v>
      </x:c>
    </x:row>
    <x:row r="161" ht="40" customHeight="1">
      <x:c r="A161" s="37" t="str">
        <x:v>OUT-528C69E7FB51</x:v>
      </x:c>
      <x:c r="B161" s="38" t="str">
        <x:v>第14转·吞日化躯</x:v>
      </x:c>
      <x:c r="C161" s="38" t="str">
        <x:v>角色进度</x:v>
      </x:c>
      <x:c r="D161" s="38" t="str">
        <x:v>转生</x:v>
      </x:c>
      <x:c r="E161" s="38" t="str">
        <x:v>C08</x:v>
      </x:c>
      <x:c r="F161" s="38"/>
      <x:c r="G161" s="38"/>
      <x:c r="H161" s="38" t="str">
        <x:v>结构已确认；数值待经济反算</x:v>
      </x:c>
      <x:c r="I161" s="38" t="str">
        <x:v>角色绑定</x:v>
      </x:c>
      <x:c r="J161" s="38" t="str">
        <x:v>不适用/沿用现有脚本</x:v>
      </x:c>
      <x:c r="K161" s="38" t="str">
        <x:v>角色绑定</x:v>
      </x:c>
      <x:c r="L161" s="38" t="str">
        <x:v>待经济反算</x:v>
      </x:c>
      <x:c r="M161" s="38" t="str">
        <x:v>十大陆NPC与配方总账V1.0</x:v>
      </x:c>
      <x:c r="N161" s="38" t="n">
        <x:f>COUNTIF('02_产出端'!$G$5:$G$600,A161)</x:f>
        <x:v>0</x:v>
      </x:c>
      <x:c r="O161" s="38" t="n">
        <x:f>COUNTIF('03_消耗端'!$E$5:$E$900,A161)</x:f>
        <x:v>0</x:v>
      </x:c>
      <x:c r="P161" s="38" t="str">
        <x:f>IF(C161="前置条件","条件",IF(AND(N161&gt;0,O161&gt;0),"循环闭合",IF(AND(N161&gt;0,OR(C161="装备",C161="装备/道具",C161="角色进度",C161="称号/进度",C161="系统结果")),"终端产物",IF(N161=0,"缺产出","缺消耗"))))</x:f>
        <x:v>缺产出</x:v>
      </x:c>
      <x:c r="Q161" s="39" t="str">
        <x:v>由NPC配方表自动登记。</x:v>
      </x:c>
    </x:row>
    <x:row r="162" ht="40" customHeight="1">
      <x:c r="A162" s="37" t="str">
        <x:v>OUT-A937D63A9F68</x:v>
      </x:c>
      <x:c r="B162" s="38" t="str">
        <x:v>第15转·山巅归一</x:v>
      </x:c>
      <x:c r="C162" s="38" t="str">
        <x:v>角色进度</x:v>
      </x:c>
      <x:c r="D162" s="38" t="str">
        <x:v>转生</x:v>
      </x:c>
      <x:c r="E162" s="38" t="str">
        <x:v>C08</x:v>
      </x:c>
      <x:c r="F162" s="38"/>
      <x:c r="G162" s="38"/>
      <x:c r="H162" s="38" t="str">
        <x:v>结构已确认；数值待经济反算</x:v>
      </x:c>
      <x:c r="I162" s="38" t="str">
        <x:v>角色绑定</x:v>
      </x:c>
      <x:c r="J162" s="38" t="str">
        <x:v>不适用/沿用现有脚本</x:v>
      </x:c>
      <x:c r="K162" s="38" t="str">
        <x:v>角色绑定</x:v>
      </x:c>
      <x:c r="L162" s="38" t="str">
        <x:v>待经济反算</x:v>
      </x:c>
      <x:c r="M162" s="38" t="str">
        <x:v>十大陆NPC与配方总账V1.0</x:v>
      </x:c>
      <x:c r="N162" s="38" t="n">
        <x:f>COUNTIF('02_产出端'!$G$5:$G$600,A162)</x:f>
        <x:v>0</x:v>
      </x:c>
      <x:c r="O162" s="38" t="n">
        <x:f>COUNTIF('03_消耗端'!$E$5:$E$900,A162)</x:f>
        <x:v>0</x:v>
      </x:c>
      <x:c r="P162" s="38" t="str">
        <x:f>IF(C162="前置条件","条件",IF(AND(N162&gt;0,O162&gt;0),"循环闭合",IF(AND(N162&gt;0,OR(C162="装备",C162="装备/道具",C162="角色进度",C162="称号/进度",C162="系统结果")),"终端产物",IF(N162=0,"缺产出","缺消耗"))))</x:f>
        <x:v>缺产出</x:v>
      </x:c>
      <x:c r="Q162" s="39" t="str">
        <x:v>由NPC配方表自动登记。</x:v>
      </x:c>
    </x:row>
    <x:row r="163" ht="40" customHeight="1">
      <x:c r="A163" s="37" t="str">
        <x:v>OUT-A76422CFA6C1</x:v>
      </x:c>
      <x:c r="B163" s="38" t="str">
        <x:v>第16转·王律铭身</x:v>
      </x:c>
      <x:c r="C163" s="38" t="str">
        <x:v>角色进度</x:v>
      </x:c>
      <x:c r="D163" s="38" t="str">
        <x:v>转生</x:v>
      </x:c>
      <x:c r="E163" s="38" t="str">
        <x:v>C10</x:v>
      </x:c>
      <x:c r="F163" s="38"/>
      <x:c r="G163" s="38"/>
      <x:c r="H163" s="38" t="str">
        <x:v>结构已确认；数值待经济反算</x:v>
      </x:c>
      <x:c r="I163" s="38" t="str">
        <x:v>角色绑定</x:v>
      </x:c>
      <x:c r="J163" s="38" t="str">
        <x:v>不适用/沿用现有脚本</x:v>
      </x:c>
      <x:c r="K163" s="38" t="str">
        <x:v>角色绑定</x:v>
      </x:c>
      <x:c r="L163" s="38" t="str">
        <x:v>待经济反算</x:v>
      </x:c>
      <x:c r="M163" s="38" t="str">
        <x:v>十大陆NPC与配方总账V1.0</x:v>
      </x:c>
      <x:c r="N163" s="38" t="n">
        <x:f>COUNTIF('02_产出端'!$G$5:$G$600,A163)</x:f>
        <x:v>0</x:v>
      </x:c>
      <x:c r="O163" s="38" t="n">
        <x:f>COUNTIF('03_消耗端'!$E$5:$E$900,A163)</x:f>
        <x:v>0</x:v>
      </x:c>
      <x:c r="P163" s="38" t="str">
        <x:f>IF(C163="前置条件","条件",IF(AND(N163&gt;0,O163&gt;0),"循环闭合",IF(AND(N163&gt;0,OR(C163="装备",C163="装备/道具",C163="角色进度",C163="称号/进度",C163="系统结果")),"终端产物",IF(N163=0,"缺产出","缺消耗"))))</x:f>
        <x:v>缺产出</x:v>
      </x:c>
      <x:c r="Q163" s="39" t="str">
        <x:v>由NPC配方表自动登记。</x:v>
      </x:c>
    </x:row>
    <x:row r="164" ht="40" customHeight="1">
      <x:c r="A164" s="37" t="str">
        <x:v>OUT-411015F2BD35</x:v>
      </x:c>
      <x:c r="B164" s="38" t="str">
        <x:v>第17转·金树烙魂</x:v>
      </x:c>
      <x:c r="C164" s="38" t="str">
        <x:v>角色进度</x:v>
      </x:c>
      <x:c r="D164" s="38" t="str">
        <x:v>转生</x:v>
      </x:c>
      <x:c r="E164" s="38" t="str">
        <x:v>C10</x:v>
      </x:c>
      <x:c r="F164" s="38"/>
      <x:c r="G164" s="38"/>
      <x:c r="H164" s="38" t="str">
        <x:v>结构已确认；数值待经济反算</x:v>
      </x:c>
      <x:c r="I164" s="38" t="str">
        <x:v>角色绑定</x:v>
      </x:c>
      <x:c r="J164" s="38" t="str">
        <x:v>不适用/沿用现有脚本</x:v>
      </x:c>
      <x:c r="K164" s="38" t="str">
        <x:v>角色绑定</x:v>
      </x:c>
      <x:c r="L164" s="38" t="str">
        <x:v>待经济反算</x:v>
      </x:c>
      <x:c r="M164" s="38" t="str">
        <x:v>十大陆NPC与配方总账V1.0</x:v>
      </x:c>
      <x:c r="N164" s="38" t="n">
        <x:f>COUNTIF('02_产出端'!$G$5:$G$600,A164)</x:f>
        <x:v>0</x:v>
      </x:c>
      <x:c r="O164" s="38" t="n">
        <x:f>COUNTIF('03_消耗端'!$E$5:$E$900,A164)</x:f>
        <x:v>0</x:v>
      </x:c>
      <x:c r="P164" s="38" t="str">
        <x:f>IF(C164="前置条件","条件",IF(AND(N164&gt;0,O164&gt;0),"循环闭合",IF(AND(N164&gt;0,OR(C164="装备",C164="装备/道具",C164="角色进度",C164="称号/进度",C164="系统结果")),"终端产物",IF(N164=0,"缺产出","缺消耗"))))</x:f>
        <x:v>缺产出</x:v>
      </x:c>
      <x:c r="Q164" s="39" t="str">
        <x:v>由NPC配方表自动登记。</x:v>
      </x:c>
    </x:row>
    <x:row r="165" ht="40" customHeight="1">
      <x:c r="A165" s="37" t="str">
        <x:v>OUT-D88D7CE2CC2E</x:v>
      </x:c>
      <x:c r="B165" s="38" t="str">
        <x:v>第18转·王座承命</x:v>
      </x:c>
      <x:c r="C165" s="38" t="str">
        <x:v>角色进度</x:v>
      </x:c>
      <x:c r="D165" s="38" t="str">
        <x:v>转生</x:v>
      </x:c>
      <x:c r="E165" s="38" t="str">
        <x:v>C10</x:v>
      </x:c>
      <x:c r="F165" s="38"/>
      <x:c r="G165" s="38"/>
      <x:c r="H165" s="38" t="str">
        <x:v>结构已确认；数值待经济反算</x:v>
      </x:c>
      <x:c r="I165" s="38" t="str">
        <x:v>角色绑定</x:v>
      </x:c>
      <x:c r="J165" s="38" t="str">
        <x:v>不适用/沿用现有脚本</x:v>
      </x:c>
      <x:c r="K165" s="38" t="str">
        <x:v>角色绑定</x:v>
      </x:c>
      <x:c r="L165" s="38" t="str">
        <x:v>待经济反算</x:v>
      </x:c>
      <x:c r="M165" s="38" t="str">
        <x:v>十大陆NPC与配方总账V1.0</x:v>
      </x:c>
      <x:c r="N165" s="38" t="n">
        <x:f>COUNTIF('02_产出端'!$G$5:$G$600,A165)</x:f>
        <x:v>0</x:v>
      </x:c>
      <x:c r="O165" s="38" t="n">
        <x:f>COUNTIF('03_消耗端'!$E$5:$E$900,A165)</x:f>
        <x:v>0</x:v>
      </x:c>
      <x:c r="P165" s="38" t="str">
        <x:f>IF(C165="前置条件","条件",IF(AND(N165&gt;0,O165&gt;0),"循环闭合",IF(AND(N165&gt;0,OR(C165="装备",C165="装备/道具",C165="角色进度",C165="称号/进度",C165="系统结果")),"终端产物",IF(N165=0,"缺产出","缺消耗"))))</x:f>
        <x:v>缺产出</x:v>
      </x:c>
      <x:c r="Q165" s="39" t="str">
        <x:v>由NPC配方表自动登记。</x:v>
      </x:c>
    </x:row>
    <x:row r="166" ht="40" customHeight="1">
      <x:c r="A166" s="37" t="str">
        <x:v>OUT-9F2FF567DCB6</x:v>
      </x:c>
      <x:c r="B166" s="38" t="str">
        <x:v>第19转·无冕登临</x:v>
      </x:c>
      <x:c r="C166" s="38" t="str">
        <x:v>角色进度</x:v>
      </x:c>
      <x:c r="D166" s="38" t="str">
        <x:v>转生</x:v>
      </x:c>
      <x:c r="E166" s="38" t="str">
        <x:v>C10</x:v>
      </x:c>
      <x:c r="F166" s="38"/>
      <x:c r="G166" s="38"/>
      <x:c r="H166" s="38" t="str">
        <x:v>结构已确认；数值待经济反算</x:v>
      </x:c>
      <x:c r="I166" s="38" t="str">
        <x:v>角色绑定</x:v>
      </x:c>
      <x:c r="J166" s="38" t="str">
        <x:v>不适用/沿用现有脚本</x:v>
      </x:c>
      <x:c r="K166" s="38" t="str">
        <x:v>角色绑定</x:v>
      </x:c>
      <x:c r="L166" s="38" t="str">
        <x:v>待经济反算</x:v>
      </x:c>
      <x:c r="M166" s="38" t="str">
        <x:v>十大陆NPC与配方总账V1.0</x:v>
      </x:c>
      <x:c r="N166" s="38" t="n">
        <x:f>COUNTIF('02_产出端'!$G$5:$G$600,A166)</x:f>
        <x:v>0</x:v>
      </x:c>
      <x:c r="O166" s="38" t="n">
        <x:f>COUNTIF('03_消耗端'!$E$5:$E$900,A166)</x:f>
        <x:v>0</x:v>
      </x:c>
      <x:c r="P166" s="38" t="str">
        <x:f>IF(C166="前置条件","条件",IF(AND(N166&gt;0,O166&gt;0),"循环闭合",IF(AND(N166&gt;0,OR(C166="装备",C166="装备/道具",C166="角色进度",C166="称号/进度",C166="系统结果")),"终端产物",IF(N166=0,"缺产出","缺消耗"))))</x:f>
        <x:v>缺产出</x:v>
      </x:c>
      <x:c r="Q166" s="39" t="str">
        <x:v>由NPC配方表自动登记。</x:v>
      </x:c>
    </x:row>
    <x:row r="167" ht="40" customHeight="1">
      <x:c r="A167" s="37" t="str">
        <x:v>OUT-51227816E3D0</x:v>
      </x:c>
      <x:c r="B167" s="38" t="str">
        <x:v>第20转·艾尔登新生</x:v>
      </x:c>
      <x:c r="C167" s="38" t="str">
        <x:v>角色进度</x:v>
      </x:c>
      <x:c r="D167" s="38" t="str">
        <x:v>转生</x:v>
      </x:c>
      <x:c r="E167" s="38" t="str">
        <x:v>C10</x:v>
      </x:c>
      <x:c r="F167" s="38"/>
      <x:c r="G167" s="38"/>
      <x:c r="H167" s="38" t="str">
        <x:v>结构已确认；数值待经济反算</x:v>
      </x:c>
      <x:c r="I167" s="38" t="str">
        <x:v>角色绑定</x:v>
      </x:c>
      <x:c r="J167" s="38" t="str">
        <x:v>不适用/沿用现有脚本</x:v>
      </x:c>
      <x:c r="K167" s="38" t="str">
        <x:v>角色绑定</x:v>
      </x:c>
      <x:c r="L167" s="38" t="str">
        <x:v>待经济反算</x:v>
      </x:c>
      <x:c r="M167" s="38" t="str">
        <x:v>十大陆NPC与配方总账V1.0</x:v>
      </x:c>
      <x:c r="N167" s="38" t="n">
        <x:f>COUNTIF('02_产出端'!$G$5:$G$600,A167)</x:f>
        <x:v>0</x:v>
      </x:c>
      <x:c r="O167" s="38" t="n">
        <x:f>COUNTIF('03_消耗端'!$E$5:$E$900,A167)</x:f>
        <x:v>0</x:v>
      </x:c>
      <x:c r="P167" s="38" t="str">
        <x:f>IF(C167="前置条件","条件",IF(AND(N167&gt;0,O167&gt;0),"循环闭合",IF(AND(N167&gt;0,OR(C167="装备",C167="装备/道具",C167="角色进度",C167="称号/进度",C167="系统结果")),"终端产物",IF(N167=0,"缺产出","缺消耗"))))</x:f>
        <x:v>缺产出</x:v>
      </x:c>
      <x:c r="Q167" s="39" t="str">
        <x:v>由NPC配方表自动登记。</x:v>
      </x:c>
    </x:row>
    <x:row r="168" ht="40" customHeight="1">
      <x:c r="A168" s="37" t="str">
        <x:v>REQ-EB58E599FBBB</x:v>
      </x:c>
      <x:c r="B168" s="38" t="str">
        <x:v>现有脚本条件</x:v>
      </x:c>
      <x:c r="C168" s="38" t="str">
        <x:v>前置条件</x:v>
      </x:c>
      <x:c r="D168" s="38" t="str">
        <x:v>状态/进度条件</x:v>
      </x:c>
      <x:c r="E168" s="38" t="str">
        <x:v>全服</x:v>
      </x:c>
      <x:c r="F168" s="38"/>
      <x:c r="G168" s="38"/>
      <x:c r="H168" s="38" t="str">
        <x:v>沿用现有脚本</x:v>
      </x:c>
      <x:c r="I168" s="38" t="str">
        <x:v>不可交易</x:v>
      </x:c>
      <x:c r="J168" s="38" t="str">
        <x:v>不适用</x:v>
      </x:c>
      <x:c r="K168" s="38" t="str">
        <x:v>角色状态</x:v>
      </x:c>
      <x:c r="L168" s="38" t="str">
        <x:v>待经济反算</x:v>
      </x:c>
      <x:c r="M168" s="38" t="str">
        <x:v>十大陆NPC与配方总账V1.0</x:v>
      </x:c>
      <x:c r="N168" s="38" t="n">
        <x:f>COUNTIF('02_产出端'!$G$5:$G$600,A168)</x:f>
        <x:v>0</x:v>
      </x:c>
      <x:c r="O168" s="38" t="n">
        <x:f>COUNTIF('03_消耗端'!$E$5:$E$900,A168)</x:f>
        <x:v>2</x:v>
      </x:c>
      <x:c r="P168" s="38" t="str">
        <x:f>IF(C168="前置条件","条件",IF(AND(N168&gt;0,O168&gt;0),"循环闭合",IF(AND(N168&gt;0,OR(C168="装备",C168="装备/道具",C168="角色进度",C168="称号/进度",C168="系统结果")),"终端产物",IF(N168=0,"缺产出","缺消耗"))))</x:f>
        <x:v>条件</x:v>
      </x:c>
      <x:c r="Q168" s="39" t="str">
        <x:v>仅校验，不作为实物消耗。</x:v>
      </x:c>
    </x:row>
    <x:row r="169" ht="40" customHeight="1">
      <x:c r="A169" s="37" t="str">
        <x:v>REQ-8DD4C82CC90F</x:v>
      </x:c>
      <x:c r="B169" s="38" t="str">
        <x:v>上一阶段称号</x:v>
      </x:c>
      <x:c r="C169" s="38" t="str">
        <x:v>前置条件</x:v>
      </x:c>
      <x:c r="D169" s="38" t="str">
        <x:v>状态/进度条件</x:v>
      </x:c>
      <x:c r="E169" s="38" t="str">
        <x:v>全服</x:v>
      </x:c>
      <x:c r="F169" s="38"/>
      <x:c r="G169" s="38"/>
      <x:c r="H169" s="38" t="str">
        <x:v>沿用现有脚本</x:v>
      </x:c>
      <x:c r="I169" s="38" t="str">
        <x:v>不可交易</x:v>
      </x:c>
      <x:c r="J169" s="38" t="str">
        <x:v>不适用</x:v>
      </x:c>
      <x:c r="K169" s="38" t="str">
        <x:v>角色状态</x:v>
      </x:c>
      <x:c r="L169" s="38" t="str">
        <x:v>待经济反算</x:v>
      </x:c>
      <x:c r="M169" s="38" t="str">
        <x:v>十大陆NPC与配方总账V1.0</x:v>
      </x:c>
      <x:c r="N169" s="38" t="n">
        <x:f>COUNTIF('02_产出端'!$G$5:$G$600,A169)</x:f>
        <x:v>0</x:v>
      </x:c>
      <x:c r="O169" s="38" t="n">
        <x:f>COUNTIF('03_消耗端'!$E$5:$E$900,A169)</x:f>
        <x:v>1</x:v>
      </x:c>
      <x:c r="P169" s="38" t="str">
        <x:f>IF(C169="前置条件","条件",IF(AND(N169&gt;0,O169&gt;0),"循环闭合",IF(AND(N169&gt;0,OR(C169="装备",C169="装备/道具",C169="角色进度",C169="称号/进度",C169="系统结果")),"终端产物",IF(N169=0,"缺产出","缺消耗"))))</x:f>
        <x:v>条件</x:v>
      </x:c>
      <x:c r="Q169" s="39" t="str">
        <x:v>仅校验，不作为实物消耗。</x:v>
      </x:c>
    </x:row>
    <x:row r="170" ht="40" customHeight="1">
      <x:c r="A170" s="37" t="str">
        <x:v>ITEM-8BE76790A0FB</x:v>
      </x:c>
      <x:c r="B170" s="38" t="str">
        <x:v>目标武器</x:v>
      </x:c>
      <x:c r="C170" s="38" t="str">
        <x:v>装备/道具</x:v>
      </x:c>
      <x:c r="D170" s="38" t="str">
        <x:v>战灰附魔</x:v>
      </x:c>
      <x:c r="E170" s="38" t="str">
        <x:v>C02</x:v>
      </x:c>
      <x:c r="F170" s="38"/>
      <x:c r="G170" s="38"/>
      <x:c r="H170" s="38" t="str">
        <x:v>结构已确认；数值待经济反算</x:v>
      </x:c>
      <x:c r="I170" s="38" t="str">
        <x:v>可交易（沿用原物品规则）</x:v>
      </x:c>
      <x:c r="J170" s="38" t="str">
        <x:v>沿用原物品；若为合成成品则禁止回收</x:v>
      </x:c>
      <x:c r="K170" s="38" t="str">
        <x:v>沿用配方交易/绑定列</x:v>
      </x:c>
      <x:c r="L170" s="38" t="str">
        <x:v>待经济反算</x:v>
      </x:c>
      <x:c r="M170" s="38" t="str">
        <x:v>十大陆NPC与配方总账V1.0</x:v>
      </x:c>
      <x:c r="N170" s="38" t="n">
        <x:f>COUNTIF('02_产出端'!$G$5:$G$600,A170)</x:f>
        <x:v>0</x:v>
      </x:c>
      <x:c r="O170" s="38" t="n">
        <x:f>COUNTIF('03_消耗端'!$E$5:$E$900,A170)</x:f>
        <x:v>3</x:v>
      </x:c>
      <x:c r="P170" s="38" t="str">
        <x:f>IF(C170="前置条件","条件",IF(AND(N170&gt;0,O170&gt;0),"循环闭合",IF(AND(N170&gt;0,OR(C170="装备",C170="装备/道具",C170="角色进度",C170="称号/进度",C170="系统结果")),"终端产物",IF(N170=0,"缺产出","缺消耗"))))</x:f>
        <x:v>缺产出</x:v>
      </x:c>
      <x:c r="Q170" s="39" t="str">
        <x:v>由NPC配方表自动登记。</x:v>
      </x:c>
    </x:row>
    <x:row r="171" ht="40" customHeight="1">
      <x:c r="A171" s="37" t="str">
        <x:v>ITEM-D1690C961471</x:v>
      </x:c>
      <x:c r="B171" s="38" t="str">
        <x:v>猎犬骨戒</x:v>
      </x:c>
      <x:c r="C171" s="38" t="str">
        <x:v>装备/道具</x:v>
      </x:c>
      <x:c r="D171" s="38" t="str">
        <x:v>装备合成</x:v>
      </x:c>
      <x:c r="E171" s="38" t="str">
        <x:v>C01</x:v>
      </x:c>
      <x:c r="F171" s="38"/>
      <x:c r="G171" s="38"/>
      <x:c r="H171" s="38" t="str">
        <x:v>结构已确认；数值待经济反算</x:v>
      </x:c>
      <x:c r="I171" s="38" t="str">
        <x:v>可交易（沿用原物品规则）</x:v>
      </x:c>
      <x:c r="J171" s="38" t="str">
        <x:v>沿用原物品；若为合成成品则禁止回收</x:v>
      </x:c>
      <x:c r="K171" s="38" t="str">
        <x:v>沿用配方交易/绑定列</x:v>
      </x:c>
      <x:c r="L171" s="38" t="str">
        <x:v>待经济反算</x:v>
      </x:c>
      <x:c r="M171" s="38" t="str">
        <x:v>十大陆NPC与配方总账V1.0</x:v>
      </x:c>
      <x:c r="N171" s="38" t="n">
        <x:f>COUNTIF('02_产出端'!$G$5:$G$600,A171)</x:f>
        <x:v>0</x:v>
      </x:c>
      <x:c r="O171" s="38" t="n">
        <x:f>COUNTIF('03_消耗端'!$E$5:$E$900,A171)</x:f>
        <x:v>1</x:v>
      </x:c>
      <x:c r="P171" s="38" t="str">
        <x:f>IF(C171="前置条件","条件",IF(AND(N171&gt;0,O171&gt;0),"循环闭合",IF(AND(N171&gt;0,OR(C171="装备",C171="装备/道具",C171="角色进度",C171="称号/进度",C171="系统结果")),"终端产物",IF(N171=0,"缺产出","缺消耗"))))</x:f>
        <x:v>缺产出</x:v>
      </x:c>
      <x:c r="Q171" s="39" t="str">
        <x:v>由NPC配方表自动登记。</x:v>
      </x:c>
    </x:row>
    <x:row r="172" ht="40" customHeight="1">
      <x:c r="A172" s="37" t="str">
        <x:v>ITEM-213999C05C5C</x:v>
      </x:c>
      <x:c r="B172" s="38" t="str">
        <x:v>王庭秘戒</x:v>
      </x:c>
      <x:c r="C172" s="38" t="str">
        <x:v>装备/道具</x:v>
      </x:c>
      <x:c r="D172" s="38" t="str">
        <x:v>装备合成</x:v>
      </x:c>
      <x:c r="E172" s="38" t="str">
        <x:v>C01</x:v>
      </x:c>
      <x:c r="F172" s="38"/>
      <x:c r="G172" s="38"/>
      <x:c r="H172" s="38" t="str">
        <x:v>结构已确认；数值待经济反算</x:v>
      </x:c>
      <x:c r="I172" s="38" t="str">
        <x:v>可交易（沿用原物品规则）</x:v>
      </x:c>
      <x:c r="J172" s="38" t="str">
        <x:v>沿用原物品；若为合成成品则禁止回收</x:v>
      </x:c>
      <x:c r="K172" s="38" t="str">
        <x:v>沿用配方交易/绑定列</x:v>
      </x:c>
      <x:c r="L172" s="38" t="str">
        <x:v>待经济反算</x:v>
      </x:c>
      <x:c r="M172" s="38" t="str">
        <x:v>十大陆NPC与配方总账V1.0</x:v>
      </x:c>
      <x:c r="N172" s="38" t="n">
        <x:f>COUNTIF('02_产出端'!$G$5:$G$600,A172)</x:f>
        <x:v>0</x:v>
      </x:c>
      <x:c r="O172" s="38" t="n">
        <x:f>COUNTIF('03_消耗端'!$E$5:$E$900,A172)</x:f>
        <x:v>1</x:v>
      </x:c>
      <x:c r="P172" s="38" t="str">
        <x:f>IF(C172="前置条件","条件",IF(AND(N172&gt;0,O172&gt;0),"循环闭合",IF(AND(N172&gt;0,OR(C172="装备",C172="装备/道具",C172="角色进度",C172="称号/进度",C172="系统结果")),"终端产物",IF(N172=0,"缺产出","缺消耗"))))</x:f>
        <x:v>缺产出</x:v>
      </x:c>
      <x:c r="Q172" s="39" t="str">
        <x:v>由NPC配方表自动登记。</x:v>
      </x:c>
    </x:row>
    <x:row r="173" ht="40" customHeight="1">
      <x:c r="A173" s="37" t="str">
        <x:v>ITEM-8E2963B4933C</x:v>
      </x:c>
      <x:c r="B173" s="38" t="str">
        <x:v>破垒鹰链</x:v>
      </x:c>
      <x:c r="C173" s="38" t="str">
        <x:v>装备/道具</x:v>
      </x:c>
      <x:c r="D173" s="38" t="str">
        <x:v>装备合成</x:v>
      </x:c>
      <x:c r="E173" s="38" t="str">
        <x:v>C02</x:v>
      </x:c>
      <x:c r="F173" s="38"/>
      <x:c r="G173" s="38"/>
      <x:c r="H173" s="38" t="str">
        <x:v>结构已确认；数值待经济反算</x:v>
      </x:c>
      <x:c r="I173" s="38" t="str">
        <x:v>可交易（沿用原物品规则）</x:v>
      </x:c>
      <x:c r="J173" s="38" t="str">
        <x:v>沿用原物品；若为合成成品则禁止回收</x:v>
      </x:c>
      <x:c r="K173" s="38" t="str">
        <x:v>沿用配方交易/绑定列</x:v>
      </x:c>
      <x:c r="L173" s="38" t="str">
        <x:v>待经济反算</x:v>
      </x:c>
      <x:c r="M173" s="38" t="str">
        <x:v>十大陆NPC与配方总账V1.0</x:v>
      </x:c>
      <x:c r="N173" s="38" t="n">
        <x:f>COUNTIF('02_产出端'!$G$5:$G$600,A173)</x:f>
        <x:v>0</x:v>
      </x:c>
      <x:c r="O173" s="38" t="n">
        <x:f>COUNTIF('03_消耗端'!$E$5:$E$900,A173)</x:f>
        <x:v>1</x:v>
      </x:c>
      <x:c r="P173" s="38" t="str">
        <x:f>IF(C173="前置条件","条件",IF(AND(N173&gt;0,O173&gt;0),"循环闭合",IF(AND(N173&gt;0,OR(C173="装备",C173="装备/道具",C173="角色进度",C173="称号/进度",C173="系统结果")),"终端产物",IF(N173=0,"缺产出","缺消耗"))))</x:f>
        <x:v>缺产出</x:v>
      </x:c>
      <x:c r="Q173" s="39" t="str">
        <x:v>由NPC配方表自动登记。</x:v>
      </x:c>
    </x:row>
    <x:row r="174" ht="40" customHeight="1">
      <x:c r="A174" s="37" t="str">
        <x:v>ITEM-8B49EB190B10</x:v>
      </x:c>
      <x:c r="B174" s="38" t="str">
        <x:v>古树祷链</x:v>
      </x:c>
      <x:c r="C174" s="38" t="str">
        <x:v>装备/道具</x:v>
      </x:c>
      <x:c r="D174" s="38" t="str">
        <x:v>装备合成</x:v>
      </x:c>
      <x:c r="E174" s="38" t="str">
        <x:v>C02</x:v>
      </x:c>
      <x:c r="F174" s="38"/>
      <x:c r="G174" s="38"/>
      <x:c r="H174" s="38" t="str">
        <x:v>结构已确认；数值待经济反算</x:v>
      </x:c>
      <x:c r="I174" s="38" t="str">
        <x:v>可交易（沿用原物品规则）</x:v>
      </x:c>
      <x:c r="J174" s="38" t="str">
        <x:v>沿用原物品；若为合成成品则禁止回收</x:v>
      </x:c>
      <x:c r="K174" s="38" t="str">
        <x:v>沿用配方交易/绑定列</x:v>
      </x:c>
      <x:c r="L174" s="38" t="str">
        <x:v>待经济反算</x:v>
      </x:c>
      <x:c r="M174" s="38" t="str">
        <x:v>十大陆NPC与配方总账V1.0</x:v>
      </x:c>
      <x:c r="N174" s="38" t="n">
        <x:f>COUNTIF('02_产出端'!$G$5:$G$600,A174)</x:f>
        <x:v>0</x:v>
      </x:c>
      <x:c r="O174" s="38" t="n">
        <x:f>COUNTIF('03_消耗端'!$E$5:$E$900,A174)</x:f>
        <x:v>1</x:v>
      </x:c>
      <x:c r="P174" s="38" t="str">
        <x:f>IF(C174="前置条件","条件",IF(AND(N174&gt;0,O174&gt;0),"循环闭合",IF(AND(N174&gt;0,OR(C174="装备",C174="装备/道具",C174="角色进度",C174="称号/进度",C174="系统结果")),"终端产物",IF(N174=0,"缺产出","缺消耗"))))</x:f>
        <x:v>缺产出</x:v>
      </x:c>
      <x:c r="Q174" s="39" t="str">
        <x:v>由NPC配方表自动登记。</x:v>
      </x:c>
    </x:row>
    <x:row r="175" ht="40" customHeight="1">
      <x:c r="A175" s="37" t="str">
        <x:v>ITEM-8F457C02455F</x:v>
      </x:c>
      <x:c r="B175" s="38" t="str">
        <x:v>流放腕铠</x:v>
      </x:c>
      <x:c r="C175" s="38" t="str">
        <x:v>装备/道具</x:v>
      </x:c>
      <x:c r="D175" s="38" t="str">
        <x:v>装备合成</x:v>
      </x:c>
      <x:c r="E175" s="38" t="str">
        <x:v>C02</x:v>
      </x:c>
      <x:c r="F175" s="38"/>
      <x:c r="G175" s="38"/>
      <x:c r="H175" s="38" t="str">
        <x:v>结构已确认；数值待经济反算</x:v>
      </x:c>
      <x:c r="I175" s="38" t="str">
        <x:v>可交易（沿用原物品规则）</x:v>
      </x:c>
      <x:c r="J175" s="38" t="str">
        <x:v>沿用原物品；若为合成成品则禁止回收</x:v>
      </x:c>
      <x:c r="K175" s="38" t="str">
        <x:v>沿用配方交易/绑定列</x:v>
      </x:c>
      <x:c r="L175" s="38" t="str">
        <x:v>待经济反算</x:v>
      </x:c>
      <x:c r="M175" s="38" t="str">
        <x:v>十大陆NPC与配方总账V1.0</x:v>
      </x:c>
      <x:c r="N175" s="38" t="n">
        <x:f>COUNTIF('02_产出端'!$G$5:$G$600,A175)</x:f>
        <x:v>0</x:v>
      </x:c>
      <x:c r="O175" s="38" t="n">
        <x:f>COUNTIF('03_消耗端'!$E$5:$E$900,A175)</x:f>
        <x:v>1</x:v>
      </x:c>
      <x:c r="P175" s="38" t="str">
        <x:f>IF(C175="前置条件","条件",IF(AND(N175&gt;0,O175&gt;0),"循环闭合",IF(AND(N175&gt;0,OR(C175="装备",C175="装备/道具",C175="角色进度",C175="称号/进度",C175="系统结果")),"终端产物",IF(N175=0,"缺产出","缺消耗"))))</x:f>
        <x:v>缺产出</x:v>
      </x:c>
      <x:c r="Q175" s="39" t="str">
        <x:v>由NPC配方表自动登记。</x:v>
      </x:c>
    </x:row>
    <x:row r="176" ht="40" customHeight="1">
      <x:c r="A176" s="37" t="str">
        <x:v>ITEM-6745B5054C9A</x:v>
      </x:c>
      <x:c r="B176" s="38" t="str">
        <x:v>百指腕甲</x:v>
      </x:c>
      <x:c r="C176" s="38" t="str">
        <x:v>装备/道具</x:v>
      </x:c>
      <x:c r="D176" s="38" t="str">
        <x:v>装备合成</x:v>
      </x:c>
      <x:c r="E176" s="38" t="str">
        <x:v>C02</x:v>
      </x:c>
      <x:c r="F176" s="38"/>
      <x:c r="G176" s="38"/>
      <x:c r="H176" s="38" t="str">
        <x:v>结构已确认；数值待经济反算</x:v>
      </x:c>
      <x:c r="I176" s="38" t="str">
        <x:v>可交易（沿用原物品规则）</x:v>
      </x:c>
      <x:c r="J176" s="38" t="str">
        <x:v>沿用原物品；若为合成成品则禁止回收</x:v>
      </x:c>
      <x:c r="K176" s="38" t="str">
        <x:v>沿用配方交易/绑定列</x:v>
      </x:c>
      <x:c r="L176" s="38" t="str">
        <x:v>待经济反算</x:v>
      </x:c>
      <x:c r="M176" s="38" t="str">
        <x:v>十大陆NPC与配方总账V1.0</x:v>
      </x:c>
      <x:c r="N176" s="38" t="n">
        <x:f>COUNTIF('02_产出端'!$G$5:$G$600,A176)</x:f>
        <x:v>0</x:v>
      </x:c>
      <x:c r="O176" s="38" t="n">
        <x:f>COUNTIF('03_消耗端'!$E$5:$E$900,A176)</x:f>
        <x:v>1</x:v>
      </x:c>
      <x:c r="P176" s="38" t="str">
        <x:f>IF(C176="前置条件","条件",IF(AND(N176&gt;0,O176&gt;0),"循环闭合",IF(AND(N176&gt;0,OR(C176="装备",C176="装备/道具",C176="角色进度",C176="称号/进度",C176="系统结果")),"终端产物",IF(N176=0,"缺产出","缺消耗"))))</x:f>
        <x:v>缺产出</x:v>
      </x:c>
      <x:c r="Q176" s="39" t="str">
        <x:v>由NPC配方表自动登记。</x:v>
      </x:c>
    </x:row>
    <x:row r="177" ht="40" customHeight="1">
      <x:c r="A177" s="37" t="str">
        <x:v>ITEM-70ED0B9BF8CD</x:v>
      </x:c>
      <x:c r="B177" s="38" t="str">
        <x:v>西境军盔</x:v>
      </x:c>
      <x:c r="C177" s="38" t="str">
        <x:v>装备/道具</x:v>
      </x:c>
      <x:c r="D177" s="38" t="str">
        <x:v>装备合成</x:v>
      </x:c>
      <x:c r="E177" s="38" t="str">
        <x:v>C03</x:v>
      </x:c>
      <x:c r="F177" s="38"/>
      <x:c r="G177" s="38"/>
      <x:c r="H177" s="38" t="str">
        <x:v>结构已确认；数值待经济反算</x:v>
      </x:c>
      <x:c r="I177" s="38" t="str">
        <x:v>可交易（沿用原物品规则）</x:v>
      </x:c>
      <x:c r="J177" s="38" t="str">
        <x:v>沿用原物品；若为合成成品则禁止回收</x:v>
      </x:c>
      <x:c r="K177" s="38" t="str">
        <x:v>沿用配方交易/绑定列</x:v>
      </x:c>
      <x:c r="L177" s="38" t="str">
        <x:v>待经济反算</x:v>
      </x:c>
      <x:c r="M177" s="38" t="str">
        <x:v>十大陆NPC与配方总账V1.0</x:v>
      </x:c>
      <x:c r="N177" s="38" t="n">
        <x:f>COUNTIF('02_产出端'!$G$5:$G$600,A177)</x:f>
        <x:v>0</x:v>
      </x:c>
      <x:c r="O177" s="38" t="n">
        <x:f>COUNTIF('03_消耗端'!$E$5:$E$900,A177)</x:f>
        <x:v>1</x:v>
      </x:c>
      <x:c r="P177" s="38" t="str">
        <x:f>IF(C177="前置条件","条件",IF(AND(N177&gt;0,O177&gt;0),"循环闭合",IF(AND(N177&gt;0,OR(C177="装备",C177="装备/道具",C177="角色进度",C177="称号/进度",C177="系统结果")),"终端产物",IF(N177=0,"缺产出","缺消耗"))))</x:f>
        <x:v>缺产出</x:v>
      </x:c>
      <x:c r="Q177" s="39" t="str">
        <x:v>由NPC配方表自动登记。</x:v>
      </x:c>
    </x:row>
    <x:row r="178" ht="40" customHeight="1">
      <x:c r="A178" s="37" t="str">
        <x:v>ITEM-9EA4EB0997DC</x:v>
      </x:c>
      <x:c r="B178" s="38" t="str">
        <x:v>西境征服冠</x:v>
      </x:c>
      <x:c r="C178" s="38" t="str">
        <x:v>装备/道具</x:v>
      </x:c>
      <x:c r="D178" s="38" t="str">
        <x:v>装备合成</x:v>
      </x:c>
      <x:c r="E178" s="38" t="str">
        <x:v>C03</x:v>
      </x:c>
      <x:c r="F178" s="38"/>
      <x:c r="G178" s="38"/>
      <x:c r="H178" s="38" t="str">
        <x:v>结构已确认；数值待经济反算</x:v>
      </x:c>
      <x:c r="I178" s="38" t="str">
        <x:v>可交易（沿用原物品规则）</x:v>
      </x:c>
      <x:c r="J178" s="38" t="str">
        <x:v>沿用原物品；若为合成成品则禁止回收</x:v>
      </x:c>
      <x:c r="K178" s="38" t="str">
        <x:v>沿用配方交易/绑定列</x:v>
      </x:c>
      <x:c r="L178" s="38" t="str">
        <x:v>待经济反算</x:v>
      </x:c>
      <x:c r="M178" s="38" t="str">
        <x:v>十大陆NPC与配方总账V1.0</x:v>
      </x:c>
      <x:c r="N178" s="38" t="n">
        <x:f>COUNTIF('02_产出端'!$G$5:$G$600,A178)</x:f>
        <x:v>0</x:v>
      </x:c>
      <x:c r="O178" s="38" t="n">
        <x:f>COUNTIF('03_消耗端'!$E$5:$E$900,A178)</x:f>
        <x:v>1</x:v>
      </x:c>
      <x:c r="P178" s="38" t="str">
        <x:f>IF(C178="前置条件","条件",IF(AND(N178&gt;0,O178&gt;0),"循环闭合",IF(AND(N178&gt;0,OR(C178="装备",C178="装备/道具",C178="角色进度",C178="称号/进度",C178="系统结果")),"终端产物",IF(N178=0,"缺产出","缺消耗"))))</x:f>
        <x:v>缺产出</x:v>
      </x:c>
      <x:c r="Q178" s="39" t="str">
        <x:v>由NPC配方表自动登记。</x:v>
      </x:c>
    </x:row>
    <x:row r="179" ht="40" customHeight="1">
      <x:c r="A179" s="37" t="str">
        <x:v>ITEM-2212B810087E</x:v>
      </x:c>
      <x:c r="B179" s="38" t="str">
        <x:v>百夫战靴</x:v>
      </x:c>
      <x:c r="C179" s="38" t="str">
        <x:v>装备/道具</x:v>
      </x:c>
      <x:c r="D179" s="38" t="str">
        <x:v>装备合成</x:v>
      </x:c>
      <x:c r="E179" s="38" t="str">
        <x:v>C03</x:v>
      </x:c>
      <x:c r="F179" s="38"/>
      <x:c r="G179" s="38"/>
      <x:c r="H179" s="38" t="str">
        <x:v>结构已确认；数值待经济反算</x:v>
      </x:c>
      <x:c r="I179" s="38" t="str">
        <x:v>可交易（沿用原物品规则）</x:v>
      </x:c>
      <x:c r="J179" s="38" t="str">
        <x:v>沿用原物品；若为合成成品则禁止回收</x:v>
      </x:c>
      <x:c r="K179" s="38" t="str">
        <x:v>沿用配方交易/绑定列</x:v>
      </x:c>
      <x:c r="L179" s="38" t="str">
        <x:v>待经济反算</x:v>
      </x:c>
      <x:c r="M179" s="38" t="str">
        <x:v>十大陆NPC与配方总账V1.0</x:v>
      </x:c>
      <x:c r="N179" s="38" t="n">
        <x:f>COUNTIF('02_产出端'!$G$5:$G$600,A179)</x:f>
        <x:v>0</x:v>
      </x:c>
      <x:c r="O179" s="38" t="n">
        <x:f>COUNTIF('03_消耗端'!$E$5:$E$900,A179)</x:f>
        <x:v>1</x:v>
      </x:c>
      <x:c r="P179" s="38" t="str">
        <x:f>IF(C179="前置条件","条件",IF(AND(N179&gt;0,O179&gt;0),"循环闭合",IF(AND(N179&gt;0,OR(C179="装备",C179="装备/道具",C179="角色进度",C179="称号/进度",C179="系统结果")),"终端产物",IF(N179=0,"缺产出","缺消耗"))))</x:f>
        <x:v>缺产出</x:v>
      </x:c>
      <x:c r="Q179" s="39" t="str">
        <x:v>由NPC配方表自动登记。</x:v>
      </x:c>
    </x:row>
    <x:row r="180" ht="40" customHeight="1">
      <x:c r="A180" s="37" t="str">
        <x:v>ITEM-B91A3656CC06</x:v>
      </x:c>
      <x:c r="B180" s="38" t="str">
        <x:v>赐福战靴</x:v>
      </x:c>
      <x:c r="C180" s="38" t="str">
        <x:v>装备/道具</x:v>
      </x:c>
      <x:c r="D180" s="38" t="str">
        <x:v>装备合成</x:v>
      </x:c>
      <x:c r="E180" s="38" t="str">
        <x:v>C03</x:v>
      </x:c>
      <x:c r="F180" s="38"/>
      <x:c r="G180" s="38"/>
      <x:c r="H180" s="38" t="str">
        <x:v>结构已确认；数值待经济反算</x:v>
      </x:c>
      <x:c r="I180" s="38" t="str">
        <x:v>可交易（沿用原物品规则）</x:v>
      </x:c>
      <x:c r="J180" s="38" t="str">
        <x:v>沿用原物品；若为合成成品则禁止回收</x:v>
      </x:c>
      <x:c r="K180" s="38" t="str">
        <x:v>沿用配方交易/绑定列</x:v>
      </x:c>
      <x:c r="L180" s="38" t="str">
        <x:v>待经济反算</x:v>
      </x:c>
      <x:c r="M180" s="38" t="str">
        <x:v>十大陆NPC与配方总账V1.0</x:v>
      </x:c>
      <x:c r="N180" s="38" t="n">
        <x:f>COUNTIF('02_产出端'!$G$5:$G$600,A180)</x:f>
        <x:v>0</x:v>
      </x:c>
      <x:c r="O180" s="38" t="n">
        <x:f>COUNTIF('03_消耗端'!$E$5:$E$900,A180)</x:f>
        <x:v>1</x:v>
      </x:c>
      <x:c r="P180" s="38" t="str">
        <x:f>IF(C180="前置条件","条件",IF(AND(N180&gt;0,O180&gt;0),"循环闭合",IF(AND(N180&gt;0,OR(C180="装备",C180="装备/道具",C180="角色进度",C180="称号/进度",C180="系统结果")),"终端产物",IF(N180=0,"缺产出","缺消耗"))))</x:f>
        <x:v>缺产出</x:v>
      </x:c>
      <x:c r="Q180" s="39" t="str">
        <x:v>由NPC配方表自动登记。</x:v>
      </x:c>
    </x:row>
    <x:row r="181" ht="40" customHeight="1">
      <x:c r="A181" s="37" t="str">
        <x:v>ITEM-E6EE0BFC1EDB</x:v>
      </x:c>
      <x:c r="B181" s="38" t="str">
        <x:v>孢母菌带</x:v>
      </x:c>
      <x:c r="C181" s="38" t="str">
        <x:v>装备/道具</x:v>
      </x:c>
      <x:c r="D181" s="38" t="str">
        <x:v>装备合成</x:v>
      </x:c>
      <x:c r="E181" s="38" t="str">
        <x:v>C04</x:v>
      </x:c>
      <x:c r="F181" s="38"/>
      <x:c r="G181" s="38"/>
      <x:c r="H181" s="38" t="str">
        <x:v>结构已确认；数值待经济反算</x:v>
      </x:c>
      <x:c r="I181" s="38" t="str">
        <x:v>可交易（沿用原物品规则）</x:v>
      </x:c>
      <x:c r="J181" s="38" t="str">
        <x:v>沿用原物品；若为合成成品则禁止回收</x:v>
      </x:c>
      <x:c r="K181" s="38" t="str">
        <x:v>沿用配方交易/绑定列</x:v>
      </x:c>
      <x:c r="L181" s="38" t="str">
        <x:v>待经济反算</x:v>
      </x:c>
      <x:c r="M181" s="38" t="str">
        <x:v>十大陆NPC与配方总账V1.0</x:v>
      </x:c>
      <x:c r="N181" s="38" t="n">
        <x:f>COUNTIF('02_产出端'!$G$5:$G$600,A181)</x:f>
        <x:v>0</x:v>
      </x:c>
      <x:c r="O181" s="38" t="n">
        <x:f>COUNTIF('03_消耗端'!$E$5:$E$900,A181)</x:f>
        <x:v>1</x:v>
      </x:c>
      <x:c r="P181" s="38" t="str">
        <x:f>IF(C181="前置条件","条件",IF(AND(N181&gt;0,O181&gt;0),"循环闭合",IF(AND(N181&gt;0,OR(C181="装备",C181="装备/道具",C181="角色进度",C181="称号/进度",C181="系统结果")),"终端产物",IF(N181=0,"缺产出","缺消耗"))))</x:f>
        <x:v>缺产出</x:v>
      </x:c>
      <x:c r="Q181" s="39" t="str">
        <x:v>由NPC配方表自动登记。</x:v>
      </x:c>
    </x:row>
    <x:row r="182" ht="40" customHeight="1">
      <x:c r="A182" s="37" t="str">
        <x:v>ITEM-4811860B004A</x:v>
      </x:c>
      <x:c r="B182" s="38" t="str">
        <x:v>缝舱腰箍</x:v>
      </x:c>
      <x:c r="C182" s="38" t="str">
        <x:v>装备/道具</x:v>
      </x:c>
      <x:c r="D182" s="38" t="str">
        <x:v>装备合成</x:v>
      </x:c>
      <x:c r="E182" s="38" t="str">
        <x:v>C04</x:v>
      </x:c>
      <x:c r="F182" s="38"/>
      <x:c r="G182" s="38"/>
      <x:c r="H182" s="38" t="str">
        <x:v>结构已确认；数值待经济反算</x:v>
      </x:c>
      <x:c r="I182" s="38" t="str">
        <x:v>可交易（沿用原物品规则）</x:v>
      </x:c>
      <x:c r="J182" s="38" t="str">
        <x:v>沿用原物品；若为合成成品则禁止回收</x:v>
      </x:c>
      <x:c r="K182" s="38" t="str">
        <x:v>沿用配方交易/绑定列</x:v>
      </x:c>
      <x:c r="L182" s="38" t="str">
        <x:v>待经济反算</x:v>
      </x:c>
      <x:c r="M182" s="38" t="str">
        <x:v>十大陆NPC与配方总账V1.0</x:v>
      </x:c>
      <x:c r="N182" s="38" t="n">
        <x:f>COUNTIF('02_产出端'!$G$5:$G$600,A182)</x:f>
        <x:v>0</x:v>
      </x:c>
      <x:c r="O182" s="38" t="n">
        <x:f>COUNTIF('03_消耗端'!$E$5:$E$900,A182)</x:f>
        <x:v>1</x:v>
      </x:c>
      <x:c r="P182" s="38" t="str">
        <x:f>IF(C182="前置条件","条件",IF(AND(N182&gt;0,O182&gt;0),"循环闭合",IF(AND(N182&gt;0,OR(C182="装备",C182="装备/道具",C182="角色进度",C182="称号/进度",C182="系统结果")),"终端产物",IF(N182=0,"缺产出","缺消耗"))))</x:f>
        <x:v>缺产出</x:v>
      </x:c>
      <x:c r="Q182" s="39" t="str">
        <x:v>由NPC配方表自动登记。</x:v>
      </x:c>
    </x:row>
    <x:row r="183" ht="40" customHeight="1">
      <x:c r="A183" s="37" t="str">
        <x:v>ITEM-D50092E6C716</x:v>
      </x:c>
      <x:c r="B183" s="38" t="str">
        <x:v>蓝焰祷戒</x:v>
      </x:c>
      <x:c r="C183" s="38" t="str">
        <x:v>装备/道具</x:v>
      </x:c>
      <x:c r="D183" s="38" t="str">
        <x:v>装备合成</x:v>
      </x:c>
      <x:c r="E183" s="38" t="str">
        <x:v>C04</x:v>
      </x:c>
      <x:c r="F183" s="38"/>
      <x:c r="G183" s="38"/>
      <x:c r="H183" s="38" t="str">
        <x:v>结构已确认；数值待经济反算</x:v>
      </x:c>
      <x:c r="I183" s="38" t="str">
        <x:v>可交易（沿用原物品规则）</x:v>
      </x:c>
      <x:c r="J183" s="38" t="str">
        <x:v>沿用原物品；若为合成成品则禁止回收</x:v>
      </x:c>
      <x:c r="K183" s="38" t="str">
        <x:v>沿用配方交易/绑定列</x:v>
      </x:c>
      <x:c r="L183" s="38" t="str">
        <x:v>待经济反算</x:v>
      </x:c>
      <x:c r="M183" s="38" t="str">
        <x:v>十大陆NPC与配方总账V1.0</x:v>
      </x:c>
      <x:c r="N183" s="38" t="n">
        <x:f>COUNTIF('02_产出端'!$G$5:$G$600,A183)</x:f>
        <x:v>0</x:v>
      </x:c>
      <x:c r="O183" s="38" t="n">
        <x:f>COUNTIF('03_消耗端'!$E$5:$E$900,A183)</x:f>
        <x:v>1</x:v>
      </x:c>
      <x:c r="P183" s="38" t="str">
        <x:f>IF(C183="前置条件","条件",IF(AND(N183&gt;0,O183&gt;0),"循环闭合",IF(AND(N183&gt;0,OR(C183="装备",C183="装备/道具",C183="角色进度",C183="称号/进度",C183="系统结果")),"终端产物",IF(N183=0,"缺产出","缺消耗"))))</x:f>
        <x:v>缺产出</x:v>
      </x:c>
      <x:c r="Q183" s="39" t="str">
        <x:v>由NPC配方表自动登记。</x:v>
      </x:c>
    </x:row>
    <x:row r="184" ht="40" customHeight="1">
      <x:c r="A184" s="37" t="str">
        <x:v>ITEM-6D52D7379831</x:v>
      </x:c>
      <x:c r="B184" s="38" t="str">
        <x:v>湖尸钥戒</x:v>
      </x:c>
      <x:c r="C184" s="38" t="str">
        <x:v>装备/道具</x:v>
      </x:c>
      <x:c r="D184" s="38" t="str">
        <x:v>装备合成</x:v>
      </x:c>
      <x:c r="E184" s="38" t="str">
        <x:v>C04</x:v>
      </x:c>
      <x:c r="F184" s="38"/>
      <x:c r="G184" s="38"/>
      <x:c r="H184" s="38" t="str">
        <x:v>结构已确认；数值待经济反算</x:v>
      </x:c>
      <x:c r="I184" s="38" t="str">
        <x:v>可交易（沿用原物品规则）</x:v>
      </x:c>
      <x:c r="J184" s="38" t="str">
        <x:v>沿用原物品；若为合成成品则禁止回收</x:v>
      </x:c>
      <x:c r="K184" s="38" t="str">
        <x:v>沿用配方交易/绑定列</x:v>
      </x:c>
      <x:c r="L184" s="38" t="str">
        <x:v>待经济反算</x:v>
      </x:c>
      <x:c r="M184" s="38" t="str">
        <x:v>十大陆NPC与配方总账V1.0</x:v>
      </x:c>
      <x:c r="N184" s="38" t="n">
        <x:f>COUNTIF('02_产出端'!$G$5:$G$600,A184)</x:f>
        <x:v>0</x:v>
      </x:c>
      <x:c r="O184" s="38" t="n">
        <x:f>COUNTIF('03_消耗端'!$E$5:$E$900,A184)</x:f>
        <x:v>1</x:v>
      </x:c>
      <x:c r="P184" s="38" t="str">
        <x:f>IF(C184="前置条件","条件",IF(AND(N184&gt;0,O184&gt;0),"循环闭合",IF(AND(N184&gt;0,OR(C184="装备",C184="装备/道具",C184="角色进度",C184="称号/进度",C184="系统结果")),"终端产物",IF(N184=0,"缺产出","缺消耗"))))</x:f>
        <x:v>缺产出</x:v>
      </x:c>
      <x:c r="Q184" s="39" t="str">
        <x:v>由NPC配方表自动登记。</x:v>
      </x:c>
    </x:row>
    <x:row r="185" ht="40" customHeight="1">
      <x:c r="A185" s="37" t="str">
        <x:v>ITEM-FACB32E312D2</x:v>
      </x:c>
      <x:c r="B185" s="38" t="str">
        <x:v>塞芙拉无声衣</x:v>
      </x:c>
      <x:c r="C185" s="38" t="str">
        <x:v>装备/道具</x:v>
      </x:c>
      <x:c r="D185" s="38" t="str">
        <x:v>装备合成</x:v>
      </x:c>
      <x:c r="E185" s="38" t="str">
        <x:v>C04</x:v>
      </x:c>
      <x:c r="F185" s="38"/>
      <x:c r="G185" s="38"/>
      <x:c r="H185" s="38" t="str">
        <x:v>结构已确认；数值待经济反算</x:v>
      </x:c>
      <x:c r="I185" s="38" t="str">
        <x:v>可交易（沿用原物品规则）</x:v>
      </x:c>
      <x:c r="J185" s="38" t="str">
        <x:v>沿用原物品；若为合成成品则禁止回收</x:v>
      </x:c>
      <x:c r="K185" s="38" t="str">
        <x:v>沿用配方交易/绑定列</x:v>
      </x:c>
      <x:c r="L185" s="38" t="str">
        <x:v>待经济反算</x:v>
      </x:c>
      <x:c r="M185" s="38" t="str">
        <x:v>十大陆NPC与配方总账V1.0</x:v>
      </x:c>
      <x:c r="N185" s="38" t="n">
        <x:f>COUNTIF('02_产出端'!$G$5:$G$600,A185)</x:f>
        <x:v>0</x:v>
      </x:c>
      <x:c r="O185" s="38" t="n">
        <x:f>COUNTIF('03_消耗端'!$E$5:$E$900,A185)</x:f>
        <x:v>1</x:v>
      </x:c>
      <x:c r="P185" s="38" t="str">
        <x:f>IF(C185="前置条件","条件",IF(AND(N185&gt;0,O185&gt;0),"循环闭合",IF(AND(N185&gt;0,OR(C185="装备",C185="装备/道具",C185="角色进度",C185="称号/进度",C185="系统结果")),"终端产物",IF(N185=0,"缺产出","缺消耗"))))</x:f>
        <x:v>缺产出</x:v>
      </x:c>
      <x:c r="Q185" s="39" t="str">
        <x:v>由NPC配方表自动登记。</x:v>
      </x:c>
    </x:row>
    <x:row r="186" ht="40" customHeight="1">
      <x:c r="A186" s="37" t="str">
        <x:v>ITEM-ACF38C9E3615</x:v>
      </x:c>
      <x:c r="B186" s="38" t="str">
        <x:v>莱弥恩的封湖巨剑</x:v>
      </x:c>
      <x:c r="C186" s="38" t="str">
        <x:v>装备/道具</x:v>
      </x:c>
      <x:c r="D186" s="38" t="str">
        <x:v>装备合成</x:v>
      </x:c>
      <x:c r="E186" s="38" t="str">
        <x:v>C04</x:v>
      </x:c>
      <x:c r="F186" s="38"/>
      <x:c r="G186" s="38"/>
      <x:c r="H186" s="38" t="str">
        <x:v>结构已确认；数值待经济反算</x:v>
      </x:c>
      <x:c r="I186" s="38" t="str">
        <x:v>可交易（沿用原物品规则）</x:v>
      </x:c>
      <x:c r="J186" s="38" t="str">
        <x:v>沿用原物品；若为合成成品则禁止回收</x:v>
      </x:c>
      <x:c r="K186" s="38" t="str">
        <x:v>沿用配方交易/绑定列</x:v>
      </x:c>
      <x:c r="L186" s="38" t="str">
        <x:v>待经济反算</x:v>
      </x:c>
      <x:c r="M186" s="38" t="str">
        <x:v>十大陆NPC与配方总账V1.0</x:v>
      </x:c>
      <x:c r="N186" s="38" t="n">
        <x:f>COUNTIF('02_产出端'!$G$5:$G$600,A186)</x:f>
        <x:v>0</x:v>
      </x:c>
      <x:c r="O186" s="38" t="n">
        <x:f>COUNTIF('03_消耗端'!$E$5:$E$900,A186)</x:f>
        <x:v>1</x:v>
      </x:c>
      <x:c r="P186" s="38" t="str">
        <x:f>IF(C186="前置条件","条件",IF(AND(N186&gt;0,O186&gt;0),"循环闭合",IF(AND(N186&gt;0,OR(C186="装备",C186="装备/道具",C186="角色进度",C186="称号/进度",C186="系统结果")),"终端产物",IF(N186=0,"缺产出","缺消耗"))))</x:f>
        <x:v>缺产出</x:v>
      </x:c>
      <x:c r="Q186" s="39" t="str">
        <x:v>由NPC配方表自动登记。</x:v>
      </x:c>
    </x:row>
    <x:row r="187" ht="40" customHeight="1">
      <x:c r="A187" s="37" t="str">
        <x:v>ITEM-5DF121B5AF1F</x:v>
      </x:c>
      <x:c r="B187" s="38" t="str">
        <x:v>深潮王女权杖</x:v>
      </x:c>
      <x:c r="C187" s="38" t="str">
        <x:v>装备/道具</x:v>
      </x:c>
      <x:c r="D187" s="38" t="str">
        <x:v>装备合成</x:v>
      </x:c>
      <x:c r="E187" s="38" t="str">
        <x:v>C05</x:v>
      </x:c>
      <x:c r="F187" s="38"/>
      <x:c r="G187" s="38"/>
      <x:c r="H187" s="38" t="str">
        <x:v>结构已确认；数值待经济反算</x:v>
      </x:c>
      <x:c r="I187" s="38" t="str">
        <x:v>可交易（沿用原物品规则）</x:v>
      </x:c>
      <x:c r="J187" s="38" t="str">
        <x:v>沿用原物品；若为合成成品则禁止回收</x:v>
      </x:c>
      <x:c r="K187" s="38" t="str">
        <x:v>沿用配方交易/绑定列</x:v>
      </x:c>
      <x:c r="L187" s="38" t="str">
        <x:v>待经济反算</x:v>
      </x:c>
      <x:c r="M187" s="38" t="str">
        <x:v>十大陆NPC与配方总账V1.0</x:v>
      </x:c>
      <x:c r="N187" s="38" t="n">
        <x:f>COUNTIF('02_产出端'!$G$5:$G$600,A187)</x:f>
        <x:v>0</x:v>
      </x:c>
      <x:c r="O187" s="38" t="n">
        <x:f>COUNTIF('03_消耗端'!$E$5:$E$900,A187)</x:f>
        <x:v>1</x:v>
      </x:c>
      <x:c r="P187" s="38" t="str">
        <x:f>IF(C187="前置条件","条件",IF(AND(N187&gt;0,O187&gt;0),"循环闭合",IF(AND(N187&gt;0,OR(C187="装备",C187="装备/道具",C187="角色进度",C187="称号/进度",C187="系统结果")),"终端产物",IF(N187=0,"缺产出","缺消耗"))))</x:f>
        <x:v>缺产出</x:v>
      </x:c>
      <x:c r="Q187" s="39" t="str">
        <x:v>由NPC配方表自动登记。</x:v>
      </x:c>
    </x:row>
    <x:row r="188" ht="40" customHeight="1">
      <x:c r="A188" s="37" t="str">
        <x:v>ITEM-57F56D85D50C</x:v>
      </x:c>
      <x:c r="B188" s="38" t="str">
        <x:v>终誓月裁剑</x:v>
      </x:c>
      <x:c r="C188" s="38" t="str">
        <x:v>装备/道具</x:v>
      </x:c>
      <x:c r="D188" s="38" t="str">
        <x:v>装备合成</x:v>
      </x:c>
      <x:c r="E188" s="38" t="str">
        <x:v>C05</x:v>
      </x:c>
      <x:c r="F188" s="38"/>
      <x:c r="G188" s="38"/>
      <x:c r="H188" s="38" t="str">
        <x:v>结构已确认；数值待经济反算</x:v>
      </x:c>
      <x:c r="I188" s="38" t="str">
        <x:v>可交易（沿用原物品规则）</x:v>
      </x:c>
      <x:c r="J188" s="38" t="str">
        <x:v>沿用原物品；若为合成成品则禁止回收</x:v>
      </x:c>
      <x:c r="K188" s="38" t="str">
        <x:v>沿用配方交易/绑定列</x:v>
      </x:c>
      <x:c r="L188" s="38" t="str">
        <x:v>待经济反算</x:v>
      </x:c>
      <x:c r="M188" s="38" t="str">
        <x:v>十大陆NPC与配方总账V1.0</x:v>
      </x:c>
      <x:c r="N188" s="38" t="n">
        <x:f>COUNTIF('02_产出端'!$G$5:$G$600,A188)</x:f>
        <x:v>0</x:v>
      </x:c>
      <x:c r="O188" s="38" t="n">
        <x:f>COUNTIF('03_消耗端'!$E$5:$E$900,A188)</x:f>
        <x:v>1</x:v>
      </x:c>
      <x:c r="P188" s="38" t="str">
        <x:f>IF(C188="前置条件","条件",IF(AND(N188&gt;0,O188&gt;0),"循环闭合",IF(AND(N188&gt;0,OR(C188="装备",C188="装备/道具",C188="角色进度",C188="称号/进度",C188="系统结果")),"终端产物",IF(N188=0,"缺产出","缺消耗"))))</x:f>
        <x:v>缺产出</x:v>
      </x:c>
      <x:c r="Q188" s="39" t="str">
        <x:v>由NPC配方表自动登记。</x:v>
      </x:c>
    </x:row>
    <x:row r="189" ht="40" customHeight="1">
      <x:c r="A189" s="37" t="str">
        <x:v>ITEM-2ADA894342CC</x:v>
      </x:c>
      <x:c r="B189" s="38" t="str">
        <x:v>黄金树戒</x:v>
      </x:c>
      <x:c r="C189" s="38" t="str">
        <x:v>装备/道具</x:v>
      </x:c>
      <x:c r="D189" s="38" t="str">
        <x:v>装备合成</x:v>
      </x:c>
      <x:c r="E189" s="38" t="str">
        <x:v>C05</x:v>
      </x:c>
      <x:c r="F189" s="38"/>
      <x:c r="G189" s="38"/>
      <x:c r="H189" s="38" t="str">
        <x:v>结构已确认；数值待经济反算</x:v>
      </x:c>
      <x:c r="I189" s="38" t="str">
        <x:v>可交易（沿用原物品规则）</x:v>
      </x:c>
      <x:c r="J189" s="38" t="str">
        <x:v>沿用原物品；若为合成成品则禁止回收</x:v>
      </x:c>
      <x:c r="K189" s="38" t="str">
        <x:v>沿用配方交易/绑定列</x:v>
      </x:c>
      <x:c r="L189" s="38" t="str">
        <x:v>待经济反算</x:v>
      </x:c>
      <x:c r="M189" s="38" t="str">
        <x:v>十大陆NPC与配方总账V1.0</x:v>
      </x:c>
      <x:c r="N189" s="38" t="n">
        <x:f>COUNTIF('02_产出端'!$G$5:$G$600,A189)</x:f>
        <x:v>0</x:v>
      </x:c>
      <x:c r="O189" s="38" t="n">
        <x:f>COUNTIF('03_消耗端'!$E$5:$E$900,A189)</x:f>
        <x:v>1</x:v>
      </x:c>
      <x:c r="P189" s="38" t="str">
        <x:f>IF(C189="前置条件","条件",IF(AND(N189&gt;0,O189&gt;0),"循环闭合",IF(AND(N189&gt;0,OR(C189="装备",C189="装备/道具",C189="角色进度",C189="称号/进度",C189="系统结果")),"终端产物",IF(N189=0,"缺产出","缺消耗"))))</x:f>
        <x:v>缺产出</x:v>
      </x:c>
      <x:c r="Q189" s="39" t="str">
        <x:v>由NPC配方表自动登记。</x:v>
      </x:c>
    </x:row>
    <x:row r="190" ht="40" customHeight="1">
      <x:c r="A190" s="37" t="str">
        <x:v>ITEM-7847CCC17296</x:v>
      </x:c>
      <x:c r="B190" s="38" t="str">
        <x:v>青曜噬光戒</x:v>
      </x:c>
      <x:c r="C190" s="38" t="str">
        <x:v>装备/道具</x:v>
      </x:c>
      <x:c r="D190" s="38" t="str">
        <x:v>装备合成</x:v>
      </x:c>
      <x:c r="E190" s="38" t="str">
        <x:v>C05</x:v>
      </x:c>
      <x:c r="F190" s="38"/>
      <x:c r="G190" s="38"/>
      <x:c r="H190" s="38" t="str">
        <x:v>结构已确认；数值待经济反算</x:v>
      </x:c>
      <x:c r="I190" s="38" t="str">
        <x:v>可交易（沿用原物品规则）</x:v>
      </x:c>
      <x:c r="J190" s="38" t="str">
        <x:v>沿用原物品；若为合成成品则禁止回收</x:v>
      </x:c>
      <x:c r="K190" s="38" t="str">
        <x:v>沿用配方交易/绑定列</x:v>
      </x:c>
      <x:c r="L190" s="38" t="str">
        <x:v>待经济反算</x:v>
      </x:c>
      <x:c r="M190" s="38" t="str">
        <x:v>十大陆NPC与配方总账V1.0</x:v>
      </x:c>
      <x:c r="N190" s="38" t="n">
        <x:f>COUNTIF('02_产出端'!$G$5:$G$600,A190)</x:f>
        <x:v>0</x:v>
      </x:c>
      <x:c r="O190" s="38" t="n">
        <x:f>COUNTIF('03_消耗端'!$E$5:$E$900,A190)</x:f>
        <x:v>1</x:v>
      </x:c>
      <x:c r="P190" s="38" t="str">
        <x:f>IF(C190="前置条件","条件",IF(AND(N190&gt;0,O190&gt;0),"循环闭合",IF(AND(N190&gt;0,OR(C190="装备",C190="装备/道具",C190="角色进度",C190="称号/进度",C190="系统结果")),"终端产物",IF(N190=0,"缺产出","缺消耗"))))</x:f>
        <x:v>缺产出</x:v>
      </x:c>
      <x:c r="Q190" s="39" t="str">
        <x:v>由NPC配方表自动登记。</x:v>
      </x:c>
    </x:row>
    <x:row r="191" ht="40" customHeight="1">
      <x:c r="A191" s="37" t="str">
        <x:v>ITEM-A5CF8BA59827</x:v>
      </x:c>
      <x:c r="B191" s="38" t="str">
        <x:v>雷奥尼斯狮铠</x:v>
      </x:c>
      <x:c r="C191" s="38" t="str">
        <x:v>装备/道具</x:v>
      </x:c>
      <x:c r="D191" s="38" t="str">
        <x:v>装备合成</x:v>
      </x:c>
      <x:c r="E191" s="38" t="str">
        <x:v>C06</x:v>
      </x:c>
      <x:c r="F191" s="38"/>
      <x:c r="G191" s="38"/>
      <x:c r="H191" s="38" t="str">
        <x:v>结构已确认；数值待经济反算</x:v>
      </x:c>
      <x:c r="I191" s="38" t="str">
        <x:v>可交易（沿用原物品规则）</x:v>
      </x:c>
      <x:c r="J191" s="38" t="str">
        <x:v>沿用原物品；若为合成成品则禁止回收</x:v>
      </x:c>
      <x:c r="K191" s="38" t="str">
        <x:v>沿用配方交易/绑定列</x:v>
      </x:c>
      <x:c r="L191" s="38" t="str">
        <x:v>待经济反算</x:v>
      </x:c>
      <x:c r="M191" s="38" t="str">
        <x:v>十大陆NPC与配方总账V1.0</x:v>
      </x:c>
      <x:c r="N191" s="38" t="n">
        <x:f>COUNTIF('02_产出端'!$G$5:$G$600,A191)</x:f>
        <x:v>0</x:v>
      </x:c>
      <x:c r="O191" s="38" t="n">
        <x:f>COUNTIF('03_消耗端'!$E$5:$E$900,A191)</x:f>
        <x:v>1</x:v>
      </x:c>
      <x:c r="P191" s="38" t="str">
        <x:f>IF(C191="前置条件","条件",IF(AND(N191&gt;0,O191&gt;0),"循环闭合",IF(AND(N191&gt;0,OR(C191="装备",C191="装备/道具",C191="角色进度",C191="称号/进度",C191="系统结果")),"终端产物",IF(N191=0,"缺产出","缺消耗"))))</x:f>
        <x:v>缺产出</x:v>
      </x:c>
      <x:c r="Q191" s="39" t="str">
        <x:v>由NPC配方表自动登记。</x:v>
      </x:c>
    </x:row>
    <x:row r="192" ht="40" customHeight="1">
      <x:c r="A192" s="37" t="str">
        <x:v>ITEM-716BB73EBA94</x:v>
      </x:c>
      <x:c r="B192" s="38" t="str">
        <x:v>瑟芮血衣</x:v>
      </x:c>
      <x:c r="C192" s="38" t="str">
        <x:v>装备/道具</x:v>
      </x:c>
      <x:c r="D192" s="38" t="str">
        <x:v>装备合成</x:v>
      </x:c>
      <x:c r="E192" s="38" t="str">
        <x:v>C06</x:v>
      </x:c>
      <x:c r="F192" s="38"/>
      <x:c r="G192" s="38"/>
      <x:c r="H192" s="38" t="str">
        <x:v>结构已确认；数值待经济反算</x:v>
      </x:c>
      <x:c r="I192" s="38" t="str">
        <x:v>可交易（沿用原物品规则）</x:v>
      </x:c>
      <x:c r="J192" s="38" t="str">
        <x:v>沿用原物品；若为合成成品则禁止回收</x:v>
      </x:c>
      <x:c r="K192" s="38" t="str">
        <x:v>沿用配方交易/绑定列</x:v>
      </x:c>
      <x:c r="L192" s="38" t="str">
        <x:v>待经济反算</x:v>
      </x:c>
      <x:c r="M192" s="38" t="str">
        <x:v>十大陆NPC与配方总账V1.0</x:v>
      </x:c>
      <x:c r="N192" s="38" t="n">
        <x:f>COUNTIF('02_产出端'!$G$5:$G$600,A192)</x:f>
        <x:v>0</x:v>
      </x:c>
      <x:c r="O192" s="38" t="n">
        <x:f>COUNTIF('03_消耗端'!$E$5:$E$900,A192)</x:f>
        <x:v>1</x:v>
      </x:c>
      <x:c r="P192" s="38" t="str">
        <x:f>IF(C192="前置条件","条件",IF(AND(N192&gt;0,O192&gt;0),"循环闭合",IF(AND(N192&gt;0,OR(C192="装备",C192="装备/道具",C192="角色进度",C192="称号/进度",C192="系统结果")),"终端产物",IF(N192=0,"缺产出","缺消耗"))))</x:f>
        <x:v>缺产出</x:v>
      </x:c>
      <x:c r="Q192" s="39" t="str">
        <x:v>由NPC配方表自动登记。</x:v>
      </x:c>
    </x:row>
    <x:row r="193" ht="40" customHeight="1">
      <x:c r="A193" s="37" t="str">
        <x:v>ITEM-4E6601EF8783</x:v>
      </x:c>
      <x:c r="B193" s="38" t="str">
        <x:v>烬鳞护腕</x:v>
      </x:c>
      <x:c r="C193" s="38" t="str">
        <x:v>装备/道具</x:v>
      </x:c>
      <x:c r="D193" s="38" t="str">
        <x:v>装备合成</x:v>
      </x:c>
      <x:c r="E193" s="38" t="str">
        <x:v>C06</x:v>
      </x:c>
      <x:c r="F193" s="38"/>
      <x:c r="G193" s="38"/>
      <x:c r="H193" s="38" t="str">
        <x:v>结构已确认；数值待经济反算</x:v>
      </x:c>
      <x:c r="I193" s="38" t="str">
        <x:v>可交易（沿用原物品规则）</x:v>
      </x:c>
      <x:c r="J193" s="38" t="str">
        <x:v>沿用原物品；若为合成成品则禁止回收</x:v>
      </x:c>
      <x:c r="K193" s="38" t="str">
        <x:v>沿用配方交易/绑定列</x:v>
      </x:c>
      <x:c r="L193" s="38" t="str">
        <x:v>待经济反算</x:v>
      </x:c>
      <x:c r="M193" s="38" t="str">
        <x:v>十大陆NPC与配方总账V1.0</x:v>
      </x:c>
      <x:c r="N193" s="38" t="n">
        <x:f>COUNTIF('02_产出端'!$G$5:$G$600,A193)</x:f>
        <x:v>0</x:v>
      </x:c>
      <x:c r="O193" s="38" t="n">
        <x:f>COUNTIF('03_消耗端'!$E$5:$E$900,A193)</x:f>
        <x:v>1</x:v>
      </x:c>
      <x:c r="P193" s="38" t="str">
        <x:f>IF(C193="前置条件","条件",IF(AND(N193&gt;0,O193&gt;0),"循环闭合",IF(AND(N193&gt;0,OR(C193="装备",C193="装备/道具",C193="角色进度",C193="称号/进度",C193="系统结果")),"终端产物",IF(N193=0,"缺产出","缺消耗"))))</x:f>
        <x:v>缺产出</x:v>
      </x:c>
      <x:c r="Q193" s="39" t="str">
        <x:v>由NPC配方表自动登记。</x:v>
      </x:c>
    </x:row>
    <x:row r="194" ht="40" customHeight="1">
      <x:c r="A194" s="37" t="str">
        <x:v>ITEM-A33D076209BF</x:v>
      </x:c>
      <x:c r="B194" s="38" t="str">
        <x:v>血菌腕轮</x:v>
      </x:c>
      <x:c r="C194" s="38" t="str">
        <x:v>装备/道具</x:v>
      </x:c>
      <x:c r="D194" s="38" t="str">
        <x:v>装备合成</x:v>
      </x:c>
      <x:c r="E194" s="38" t="str">
        <x:v>C06</x:v>
      </x:c>
      <x:c r="F194" s="38"/>
      <x:c r="G194" s="38"/>
      <x:c r="H194" s="38" t="str">
        <x:v>结构已确认；数值待经济反算</x:v>
      </x:c>
      <x:c r="I194" s="38" t="str">
        <x:v>可交易（沿用原物品规则）</x:v>
      </x:c>
      <x:c r="J194" s="38" t="str">
        <x:v>沿用原物品；若为合成成品则禁止回收</x:v>
      </x:c>
      <x:c r="K194" s="38" t="str">
        <x:v>沿用配方交易/绑定列</x:v>
      </x:c>
      <x:c r="L194" s="38" t="str">
        <x:v>待经济反算</x:v>
      </x:c>
      <x:c r="M194" s="38" t="str">
        <x:v>十大陆NPC与配方总账V1.0</x:v>
      </x:c>
      <x:c r="N194" s="38" t="n">
        <x:f>COUNTIF('02_产出端'!$G$5:$G$600,A194)</x:f>
        <x:v>0</x:v>
      </x:c>
      <x:c r="O194" s="38" t="n">
        <x:f>COUNTIF('03_消耗端'!$E$5:$E$900,A194)</x:f>
        <x:v>1</x:v>
      </x:c>
      <x:c r="P194" s="38" t="str">
        <x:f>IF(C194="前置条件","条件",IF(AND(N194&gt;0,O194&gt;0),"循环闭合",IF(AND(N194&gt;0,OR(C194="装备",C194="装备/道具",C194="角色进度",C194="称号/进度",C194="系统结果")),"终端产物",IF(N194=0,"缺产出","缺消耗"))))</x:f>
        <x:v>缺产出</x:v>
      </x:c>
      <x:c r="Q194" s="39" t="str">
        <x:v>由NPC配方表自动登记。</x:v>
      </x:c>
    </x:row>
    <x:row r="195" ht="40" customHeight="1">
      <x:c r="A195" s="37" t="str">
        <x:v>ITEM-9C1F1B68F874</x:v>
      </x:c>
      <x:c r="B195" s="38" t="str">
        <x:v>塞维拉狱衣</x:v>
      </x:c>
      <x:c r="C195" s="38" t="str">
        <x:v>装备/道具</x:v>
      </x:c>
      <x:c r="D195" s="38" t="str">
        <x:v>装备合成</x:v>
      </x:c>
      <x:c r="E195" s="38" t="str">
        <x:v>C06</x:v>
      </x:c>
      <x:c r="F195" s="38"/>
      <x:c r="G195" s="38"/>
      <x:c r="H195" s="38" t="str">
        <x:v>结构已确认；数值待经济反算</x:v>
      </x:c>
      <x:c r="I195" s="38" t="str">
        <x:v>可交易（沿用原物品规则）</x:v>
      </x:c>
      <x:c r="J195" s="38" t="str">
        <x:v>沿用原物品；若为合成成品则禁止回收</x:v>
      </x:c>
      <x:c r="K195" s="38" t="str">
        <x:v>沿用配方交易/绑定列</x:v>
      </x:c>
      <x:c r="L195" s="38" t="str">
        <x:v>待经济反算</x:v>
      </x:c>
      <x:c r="M195" s="38" t="str">
        <x:v>十大陆NPC与配方总账V1.0</x:v>
      </x:c>
      <x:c r="N195" s="38" t="n">
        <x:f>COUNTIF('02_产出端'!$G$5:$G$600,A195)</x:f>
        <x:v>0</x:v>
      </x:c>
      <x:c r="O195" s="38" t="n">
        <x:f>COUNTIF('03_消耗端'!$E$5:$E$900,A195)</x:f>
        <x:v>1</x:v>
      </x:c>
      <x:c r="P195" s="38" t="str">
        <x:f>IF(C195="前置条件","条件",IF(AND(N195&gt;0,O195&gt;0),"循环闭合",IF(AND(N195&gt;0,OR(C195="装备",C195="装备/道具",C195="角色进度",C195="称号/进度",C195="系统结果")),"终端产物",IF(N195=0,"缺产出","缺消耗"))))</x:f>
        <x:v>缺产出</x:v>
      </x:c>
      <x:c r="Q195" s="39" t="str">
        <x:v>由NPC配方表自动登记。</x:v>
      </x:c>
    </x:row>
    <x:row r="196" ht="40" customHeight="1">
      <x:c r="A196" s="37" t="str">
        <x:v>ITEM-7FA8F5A1350F</x:v>
      </x:c>
      <x:c r="B196" s="38" t="str">
        <x:v>拉塔恩碎星巨刃</x:v>
      </x:c>
      <x:c r="C196" s="38" t="str">
        <x:v>装备/道具</x:v>
      </x:c>
      <x:c r="D196" s="38" t="str">
        <x:v>装备合成</x:v>
      </x:c>
      <x:c r="E196" s="38" t="str">
        <x:v>C06</x:v>
      </x:c>
      <x:c r="F196" s="38"/>
      <x:c r="G196" s="38"/>
      <x:c r="H196" s="38" t="str">
        <x:v>结构已确认；数值待经济反算</x:v>
      </x:c>
      <x:c r="I196" s="38" t="str">
        <x:v>可交易（沿用原物品规则）</x:v>
      </x:c>
      <x:c r="J196" s="38" t="str">
        <x:v>沿用原物品；若为合成成品则禁止回收</x:v>
      </x:c>
      <x:c r="K196" s="38" t="str">
        <x:v>沿用配方交易/绑定列</x:v>
      </x:c>
      <x:c r="L196" s="38" t="str">
        <x:v>待经济反算</x:v>
      </x:c>
      <x:c r="M196" s="38" t="str">
        <x:v>十大陆NPC与配方总账V1.0</x:v>
      </x:c>
      <x:c r="N196" s="38" t="n">
        <x:f>COUNTIF('02_产出端'!$G$5:$G$600,A196)</x:f>
        <x:v>0</x:v>
      </x:c>
      <x:c r="O196" s="38" t="n">
        <x:f>COUNTIF('03_消耗端'!$E$5:$E$900,A196)</x:f>
        <x:v>1</x:v>
      </x:c>
      <x:c r="P196" s="38" t="str">
        <x:f>IF(C196="前置条件","条件",IF(AND(N196&gt;0,O196&gt;0),"循环闭合",IF(AND(N196&gt;0,OR(C196="装备",C196="装备/道具",C196="角色进度",C196="称号/进度",C196="系统结果")),"终端产物",IF(N196=0,"缺产出","缺消耗"))))</x:f>
        <x:v>缺产出</x:v>
      </x:c>
      <x:c r="Q196" s="39" t="str">
        <x:v>由NPC配方表自动登记。</x:v>
      </x:c>
    </x:row>
    <x:row r="197" ht="40" customHeight="1">
      <x:c r="A197" s="37" t="str">
        <x:v>ITEM-841990ED0CAB</x:v>
      </x:c>
      <x:c r="B197" s="38" t="str">
        <x:v>诺薇霜镰</x:v>
      </x:c>
      <x:c r="C197" s="38" t="str">
        <x:v>装备/道具</x:v>
      </x:c>
      <x:c r="D197" s="38" t="str">
        <x:v>装备合成</x:v>
      </x:c>
      <x:c r="E197" s="38" t="str">
        <x:v>C07</x:v>
      </x:c>
      <x:c r="F197" s="38"/>
      <x:c r="G197" s="38"/>
      <x:c r="H197" s="38" t="str">
        <x:v>结构已确认；数值待经济反算</x:v>
      </x:c>
      <x:c r="I197" s="38" t="str">
        <x:v>可交易（沿用原物品规则）</x:v>
      </x:c>
      <x:c r="J197" s="38" t="str">
        <x:v>沿用原物品；若为合成成品则禁止回收</x:v>
      </x:c>
      <x:c r="K197" s="38" t="str">
        <x:v>沿用配方交易/绑定列</x:v>
      </x:c>
      <x:c r="L197" s="38" t="str">
        <x:v>待经济反算</x:v>
      </x:c>
      <x:c r="M197" s="38" t="str">
        <x:v>十大陆NPC与配方总账V1.0</x:v>
      </x:c>
      <x:c r="N197" s="38" t="n">
        <x:f>COUNTIF('02_产出端'!$G$5:$G$600,A197)</x:f>
        <x:v>0</x:v>
      </x:c>
      <x:c r="O197" s="38" t="n">
        <x:f>COUNTIF('03_消耗端'!$E$5:$E$900,A197)</x:f>
        <x:v>1</x:v>
      </x:c>
      <x:c r="P197" s="38" t="str">
        <x:f>IF(C197="前置条件","条件",IF(AND(N197&gt;0,O197&gt;0),"循环闭合",IF(AND(N197&gt;0,OR(C197="装备",C197="装备/道具",C197="角色进度",C197="称号/进度",C197="系统结果")),"终端产物",IF(N197=0,"缺产出","缺消耗"))))</x:f>
        <x:v>缺产出</x:v>
      </x:c>
      <x:c r="Q197" s="39" t="str">
        <x:v>由NPC配方表自动登记。</x:v>
      </x:c>
    </x:row>
    <x:row r="198" ht="40" customHeight="1">
      <x:c r="A198" s="37" t="str">
        <x:v>ITEM-0895556BC753</x:v>
      </x:c>
      <x:c r="B198" s="38" t="str">
        <x:v>赫洛冻拳</x:v>
      </x:c>
      <x:c r="C198" s="38" t="str">
        <x:v>装备/道具</x:v>
      </x:c>
      <x:c r="D198" s="38" t="str">
        <x:v>装备合成</x:v>
      </x:c>
      <x:c r="E198" s="38" t="str">
        <x:v>C07</x:v>
      </x:c>
      <x:c r="F198" s="38"/>
      <x:c r="G198" s="38"/>
      <x:c r="H198" s="38" t="str">
        <x:v>结构已确认；数值待经济反算</x:v>
      </x:c>
      <x:c r="I198" s="38" t="str">
        <x:v>可交易（沿用原物品规则）</x:v>
      </x:c>
      <x:c r="J198" s="38" t="str">
        <x:v>沿用原物品；若为合成成品则禁止回收</x:v>
      </x:c>
      <x:c r="K198" s="38" t="str">
        <x:v>沿用配方交易/绑定列</x:v>
      </x:c>
      <x:c r="L198" s="38" t="str">
        <x:v>待经济反算</x:v>
      </x:c>
      <x:c r="M198" s="38" t="str">
        <x:v>十大陆NPC与配方总账V1.0</x:v>
      </x:c>
      <x:c r="N198" s="38" t="n">
        <x:f>COUNTIF('02_产出端'!$G$5:$G$600,A198)</x:f>
        <x:v>0</x:v>
      </x:c>
      <x:c r="O198" s="38" t="n">
        <x:f>COUNTIF('03_消耗端'!$E$5:$E$900,A198)</x:f>
        <x:v>1</x:v>
      </x:c>
      <x:c r="P198" s="38" t="str">
        <x:f>IF(C198="前置条件","条件",IF(AND(N198&gt;0,O198&gt;0),"循环闭合",IF(AND(N198&gt;0,OR(C198="装备",C198="装备/道具",C198="角色进度",C198="称号/进度",C198="系统结果")),"终端产物",IF(N198=0,"缺产出","缺消耗"))))</x:f>
        <x:v>缺产出</x:v>
      </x:c>
      <x:c r="Q198" s="39" t="str">
        <x:v>由NPC配方表自动登记。</x:v>
      </x:c>
    </x:row>
    <x:row r="199" ht="40" customHeight="1">
      <x:c r="A199" s="37" t="str">
        <x:v>ITEM-7AA7376F22A4</x:v>
      </x:c>
      <x:c r="B199" s="38" t="str">
        <x:v>乌尔寒铠</x:v>
      </x:c>
      <x:c r="C199" s="38" t="str">
        <x:v>装备/道具</x:v>
      </x:c>
      <x:c r="D199" s="38" t="str">
        <x:v>装备合成</x:v>
      </x:c>
      <x:c r="E199" s="38" t="str">
        <x:v>C07</x:v>
      </x:c>
      <x:c r="F199" s="38"/>
      <x:c r="G199" s="38"/>
      <x:c r="H199" s="38" t="str">
        <x:v>结构已确认；数值待经济反算</x:v>
      </x:c>
      <x:c r="I199" s="38" t="str">
        <x:v>可交易（沿用原物品规则）</x:v>
      </x:c>
      <x:c r="J199" s="38" t="str">
        <x:v>沿用原物品；若为合成成品则禁止回收</x:v>
      </x:c>
      <x:c r="K199" s="38" t="str">
        <x:v>沿用配方交易/绑定列</x:v>
      </x:c>
      <x:c r="L199" s="38" t="str">
        <x:v>待经济反算</x:v>
      </x:c>
      <x:c r="M199" s="38" t="str">
        <x:v>十大陆NPC与配方总账V1.0</x:v>
      </x:c>
      <x:c r="N199" s="38" t="n">
        <x:f>COUNTIF('02_产出端'!$G$5:$G$600,A199)</x:f>
        <x:v>0</x:v>
      </x:c>
      <x:c r="O199" s="38" t="n">
        <x:f>COUNTIF('03_消耗端'!$E$5:$E$900,A199)</x:f>
        <x:v>1</x:v>
      </x:c>
      <x:c r="P199" s="38" t="str">
        <x:f>IF(C199="前置条件","条件",IF(AND(N199&gt;0,O199&gt;0),"循环闭合",IF(AND(N199&gt;0,OR(C199="装备",C199="装备/道具",C199="角色进度",C199="称号/进度",C199="系统结果")),"终端产物",IF(N199=0,"缺产出","缺消耗"))))</x:f>
        <x:v>缺产出</x:v>
      </x:c>
      <x:c r="Q199" s="39" t="str">
        <x:v>由NPC配方表自动登记。</x:v>
      </x:c>
    </x:row>
    <x:row r="200" ht="40" customHeight="1">
      <x:c r="A200" s="37" t="str">
        <x:v>ITEM-0DA88E0337A6</x:v>
      </x:c>
      <x:c r="B200" s="38" t="str">
        <x:v>埃琉斯永霜铠</x:v>
      </x:c>
      <x:c r="C200" s="38" t="str">
        <x:v>装备/道具</x:v>
      </x:c>
      <x:c r="D200" s="38" t="str">
        <x:v>装备合成</x:v>
      </x:c>
      <x:c r="E200" s="38" t="str">
        <x:v>C07</x:v>
      </x:c>
      <x:c r="F200" s="38"/>
      <x:c r="G200" s="38"/>
      <x:c r="H200" s="38" t="str">
        <x:v>结构已确认；数值待经济反算</x:v>
      </x:c>
      <x:c r="I200" s="38" t="str">
        <x:v>可交易（沿用原物品规则）</x:v>
      </x:c>
      <x:c r="J200" s="38" t="str">
        <x:v>沿用原物品；若为合成成品则禁止回收</x:v>
      </x:c>
      <x:c r="K200" s="38" t="str">
        <x:v>沿用配方交易/绑定列</x:v>
      </x:c>
      <x:c r="L200" s="38" t="str">
        <x:v>待经济反算</x:v>
      </x:c>
      <x:c r="M200" s="38" t="str">
        <x:v>十大陆NPC与配方总账V1.0</x:v>
      </x:c>
      <x:c r="N200" s="38" t="n">
        <x:f>COUNTIF('02_产出端'!$G$5:$G$600,A200)</x:f>
        <x:v>0</x:v>
      </x:c>
      <x:c r="O200" s="38" t="n">
        <x:f>COUNTIF('03_消耗端'!$E$5:$E$900,A200)</x:f>
        <x:v>1</x:v>
      </x:c>
      <x:c r="P200" s="38" t="str">
        <x:f>IF(C200="前置条件","条件",IF(AND(N200&gt;0,O200&gt;0),"循环闭合",IF(AND(N200&gt;0,OR(C200="装备",C200="装备/道具",C200="角色进度",C200="称号/进度",C200="系统结果")),"终端产物",IF(N200=0,"缺产出","缺消耗"))))</x:f>
        <x:v>缺产出</x:v>
      </x:c>
      <x:c r="Q200" s="39" t="str">
        <x:v>由NPC配方表自动登记。</x:v>
      </x:c>
    </x:row>
    <x:row r="201" ht="40" customHeight="1">
      <x:c r="A201" s="37" t="str">
        <x:v>ITEM-EF7688FC6090</x:v>
      </x:c>
      <x:c r="B201" s="38" t="str">
        <x:v>雪鸦冰喙坠</x:v>
      </x:c>
      <x:c r="C201" s="38" t="str">
        <x:v>装备/道具</x:v>
      </x:c>
      <x:c r="D201" s="38" t="str">
        <x:v>装备合成</x:v>
      </x:c>
      <x:c r="E201" s="38" t="str">
        <x:v>C08</x:v>
      </x:c>
      <x:c r="F201" s="38"/>
      <x:c r="G201" s="38"/>
      <x:c r="H201" s="38" t="str">
        <x:v>结构已确认；数值待经济反算</x:v>
      </x:c>
      <x:c r="I201" s="38" t="str">
        <x:v>可交易（沿用原物品规则）</x:v>
      </x:c>
      <x:c r="J201" s="38" t="str">
        <x:v>沿用原物品；若为合成成品则禁止回收</x:v>
      </x:c>
      <x:c r="K201" s="38" t="str">
        <x:v>沿用配方交易/绑定列</x:v>
      </x:c>
      <x:c r="L201" s="38" t="str">
        <x:v>待经济反算</x:v>
      </x:c>
      <x:c r="M201" s="38" t="str">
        <x:v>十大陆NPC与配方总账V1.0</x:v>
      </x:c>
      <x:c r="N201" s="38" t="n">
        <x:f>COUNTIF('02_产出端'!$G$5:$G$600,A201)</x:f>
        <x:v>0</x:v>
      </x:c>
      <x:c r="O201" s="38" t="n">
        <x:f>COUNTIF('03_消耗端'!$E$5:$E$900,A201)</x:f>
        <x:v>1</x:v>
      </x:c>
      <x:c r="P201" s="38" t="str">
        <x:f>IF(C201="前置条件","条件",IF(AND(N201&gt;0,O201&gt;0),"循环闭合",IF(AND(N201&gt;0,OR(C201="装备",C201="装备/道具",C201="角色进度",C201="称号/进度",C201="系统结果")),"终端产物",IF(N201=0,"缺产出","缺消耗"))))</x:f>
        <x:v>缺产出</x:v>
      </x:c>
      <x:c r="Q201" s="39" t="str">
        <x:v>由NPC配方表自动登记。</x:v>
      </x:c>
    </x:row>
    <x:row r="202" ht="40" customHeight="1">
      <x:c r="A202" s="37" t="str">
        <x:v>ITEM-CE5D5784AD0C</x:v>
      </x:c>
      <x:c r="B202" s="38" t="str">
        <x:v>寒翼听风坠</x:v>
      </x:c>
      <x:c r="C202" s="38" t="str">
        <x:v>装备/道具</x:v>
      </x:c>
      <x:c r="D202" s="38" t="str">
        <x:v>装备合成</x:v>
      </x:c>
      <x:c r="E202" s="38" t="str">
        <x:v>C08</x:v>
      </x:c>
      <x:c r="F202" s="38"/>
      <x:c r="G202" s="38"/>
      <x:c r="H202" s="38" t="str">
        <x:v>结构已确认；数值待经济反算</x:v>
      </x:c>
      <x:c r="I202" s="38" t="str">
        <x:v>可交易（沿用原物品规则）</x:v>
      </x:c>
      <x:c r="J202" s="38" t="str">
        <x:v>沿用原物品；若为合成成品则禁止回收</x:v>
      </x:c>
      <x:c r="K202" s="38" t="str">
        <x:v>沿用配方交易/绑定列</x:v>
      </x:c>
      <x:c r="L202" s="38" t="str">
        <x:v>待经济反算</x:v>
      </x:c>
      <x:c r="M202" s="38" t="str">
        <x:v>十大陆NPC与配方总账V1.0</x:v>
      </x:c>
      <x:c r="N202" s="38" t="n">
        <x:f>COUNTIF('02_产出端'!$G$5:$G$600,A202)</x:f>
        <x:v>0</x:v>
      </x:c>
      <x:c r="O202" s="38" t="n">
        <x:f>COUNTIF('03_消耗端'!$E$5:$E$900,A202)</x:f>
        <x:v>1</x:v>
      </x:c>
      <x:c r="P202" s="38" t="str">
        <x:f>IF(C202="前置条件","条件",IF(AND(N202&gt;0,O202&gt;0),"循环闭合",IF(AND(N202&gt;0,OR(C202="装备",C202="装备/道具",C202="角色进度",C202="称号/进度",C202="系统结果")),"终端产物",IF(N202=0,"缺产出","缺消耗"))))</x:f>
        <x:v>缺产出</x:v>
      </x:c>
      <x:c r="Q202" s="39" t="str">
        <x:v>由NPC配方表自动登记。</x:v>
      </x:c>
    </x:row>
    <x:row r="203" ht="40" customHeight="1">
      <x:c r="A203" s="37" t="str">
        <x:v>ITEM-E017483DACCA</x:v>
      </x:c>
      <x:c r="B203" s="38" t="str">
        <x:v>负碑王座盾</x:v>
      </x:c>
      <x:c r="C203" s="38" t="str">
        <x:v>装备/道具</x:v>
      </x:c>
      <x:c r="D203" s="38" t="str">
        <x:v>装备合成</x:v>
      </x:c>
      <x:c r="E203" s="38" t="str">
        <x:v>C08</x:v>
      </x:c>
      <x:c r="F203" s="38"/>
      <x:c r="G203" s="38"/>
      <x:c r="H203" s="38" t="str">
        <x:v>结构已确认；数值待经济反算</x:v>
      </x:c>
      <x:c r="I203" s="38" t="str">
        <x:v>可交易（沿用原物品规则）</x:v>
      </x:c>
      <x:c r="J203" s="38" t="str">
        <x:v>沿用原物品；若为合成成品则禁止回收</x:v>
      </x:c>
      <x:c r="K203" s="38" t="str">
        <x:v>沿用配方交易/绑定列</x:v>
      </x:c>
      <x:c r="L203" s="38" t="str">
        <x:v>待经济反算</x:v>
      </x:c>
      <x:c r="M203" s="38" t="str">
        <x:v>十大陆NPC与配方总账V1.0</x:v>
      </x:c>
      <x:c r="N203" s="38" t="n">
        <x:f>COUNTIF('02_产出端'!$G$5:$G$600,A203)</x:f>
        <x:v>0</x:v>
      </x:c>
      <x:c r="O203" s="38" t="n">
        <x:f>COUNTIF('03_消耗端'!$E$5:$E$900,A203)</x:f>
        <x:v>1</x:v>
      </x:c>
      <x:c r="P203" s="38" t="str">
        <x:f>IF(C203="前置条件","条件",IF(AND(N203&gt;0,O203&gt;0),"循环闭合",IF(AND(N203&gt;0,OR(C203="装备",C203="装备/道具",C203="角色进度",C203="称号/进度",C203="系统结果")),"终端产物",IF(N203=0,"缺产出","缺消耗"))))</x:f>
        <x:v>缺产出</x:v>
      </x:c>
      <x:c r="Q203" s="39" t="str">
        <x:v>由NPC配方表自动登记。</x:v>
      </x:c>
    </x:row>
    <x:row r="204" ht="40" customHeight="1">
      <x:c r="A204" s="37" t="str">
        <x:v>ITEM-354728E5DEDF</x:v>
      </x:c>
      <x:c r="B204" s="38" t="str">
        <x:v>外廊纹冰盾</x:v>
      </x:c>
      <x:c r="C204" s="38" t="str">
        <x:v>装备/道具</x:v>
      </x:c>
      <x:c r="D204" s="38" t="str">
        <x:v>装备合成</x:v>
      </x:c>
      <x:c r="E204" s="38" t="str">
        <x:v>C08</x:v>
      </x:c>
      <x:c r="F204" s="38"/>
      <x:c r="G204" s="38"/>
      <x:c r="H204" s="38" t="str">
        <x:v>结构已确认；数值待经济反算</x:v>
      </x:c>
      <x:c r="I204" s="38" t="str">
        <x:v>可交易（沿用原物品规则）</x:v>
      </x:c>
      <x:c r="J204" s="38" t="str">
        <x:v>沿用原物品；若为合成成品则禁止回收</x:v>
      </x:c>
      <x:c r="K204" s="38" t="str">
        <x:v>沿用配方交易/绑定列</x:v>
      </x:c>
      <x:c r="L204" s="38" t="str">
        <x:v>待经济反算</x:v>
      </x:c>
      <x:c r="M204" s="38" t="str">
        <x:v>十大陆NPC与配方总账V1.0</x:v>
      </x:c>
      <x:c r="N204" s="38" t="n">
        <x:f>COUNTIF('02_产出端'!$G$5:$G$600,A204)</x:f>
        <x:v>0</x:v>
      </x:c>
      <x:c r="O204" s="38" t="n">
        <x:f>COUNTIF('03_消耗端'!$E$5:$E$900,A204)</x:f>
        <x:v>1</x:v>
      </x:c>
      <x:c r="P204" s="38" t="str">
        <x:f>IF(C204="前置条件","条件",IF(AND(N204&gt;0,O204&gt;0),"循环闭合",IF(AND(N204&gt;0,OR(C204="装备",C204="装备/道具",C204="角色进度",C204="称号/进度",C204="系统结果")),"终端产物",IF(N204=0,"缺产出","缺消耗"))))</x:f>
        <x:v>缺产出</x:v>
      </x:c>
      <x:c r="Q204" s="39" t="str">
        <x:v>由NPC配方表自动登记。</x:v>
      </x:c>
    </x:row>
    <x:row r="205" ht="40" customHeight="1">
      <x:c r="A205" s="37" t="str">
        <x:v>ITEM-0EBEA2C2AEF0</x:v>
      </x:c>
      <x:c r="B205" s="38" t="str">
        <x:v>赫芮迦穹霜王衣</x:v>
      </x:c>
      <x:c r="C205" s="38" t="str">
        <x:v>装备/道具</x:v>
      </x:c>
      <x:c r="D205" s="38" t="str">
        <x:v>装备合成</x:v>
      </x:c>
      <x:c r="E205" s="38" t="str">
        <x:v>C08</x:v>
      </x:c>
      <x:c r="F205" s="38"/>
      <x:c r="G205" s="38"/>
      <x:c r="H205" s="38" t="str">
        <x:v>结构已确认；数值待经济反算</x:v>
      </x:c>
      <x:c r="I205" s="38" t="str">
        <x:v>可交易（沿用原物品规则）</x:v>
      </x:c>
      <x:c r="J205" s="38" t="str">
        <x:v>沿用原物品；若为合成成品则禁止回收</x:v>
      </x:c>
      <x:c r="K205" s="38" t="str">
        <x:v>沿用配方交易/绑定列</x:v>
      </x:c>
      <x:c r="L205" s="38" t="str">
        <x:v>待经济反算</x:v>
      </x:c>
      <x:c r="M205" s="38" t="str">
        <x:v>十大陆NPC与配方总账V1.0</x:v>
      </x:c>
      <x:c r="N205" s="38" t="n">
        <x:f>COUNTIF('02_产出端'!$G$5:$G$600,A205)</x:f>
        <x:v>0</x:v>
      </x:c>
      <x:c r="O205" s="38" t="n">
        <x:f>COUNTIF('03_消耗端'!$E$5:$E$900,A205)</x:f>
        <x:v>1</x:v>
      </x:c>
      <x:c r="P205" s="38" t="str">
        <x:f>IF(C205="前置条件","条件",IF(AND(N205&gt;0,O205&gt;0),"循环闭合",IF(AND(N205&gt;0,OR(C205="装备",C205="装备/道具",C205="角色进度",C205="称号/进度",C205="系统结果")),"终端产物",IF(N205=0,"缺产出","缺消耗"))))</x:f>
        <x:v>缺产出</x:v>
      </x:c>
      <x:c r="Q205" s="39" t="str">
        <x:v>由NPC配方表自动登记。</x:v>
      </x:c>
    </x:row>
    <x:row r="206" ht="40" customHeight="1">
      <x:c r="A206" s="37" t="str">
        <x:v>ITEM-F5B2C5100D48</x:v>
      </x:c>
      <x:c r="B206" s="38" t="str">
        <x:v>乌尔迈吞日巨剑</x:v>
      </x:c>
      <x:c r="C206" s="38" t="str">
        <x:v>装备/道具</x:v>
      </x:c>
      <x:c r="D206" s="38" t="str">
        <x:v>装备合成</x:v>
      </x:c>
      <x:c r="E206" s="38" t="str">
        <x:v>C08</x:v>
      </x:c>
      <x:c r="F206" s="38"/>
      <x:c r="G206" s="38"/>
      <x:c r="H206" s="38" t="str">
        <x:v>结构已确认；数值待经济反算</x:v>
      </x:c>
      <x:c r="I206" s="38" t="str">
        <x:v>可交易（沿用原物品规则）</x:v>
      </x:c>
      <x:c r="J206" s="38" t="str">
        <x:v>沿用原物品；若为合成成品则禁止回收</x:v>
      </x:c>
      <x:c r="K206" s="38" t="str">
        <x:v>沿用配方交易/绑定列</x:v>
      </x:c>
      <x:c r="L206" s="38" t="str">
        <x:v>待经济反算</x:v>
      </x:c>
      <x:c r="M206" s="38" t="str">
        <x:v>十大陆NPC与配方总账V1.0</x:v>
      </x:c>
      <x:c r="N206" s="38" t="n">
        <x:f>COUNTIF('02_产出端'!$G$5:$G$600,A206)</x:f>
        <x:v>0</x:v>
      </x:c>
      <x:c r="O206" s="38" t="n">
        <x:f>COUNTIF('03_消耗端'!$E$5:$E$900,A206)</x:f>
        <x:v>1</x:v>
      </x:c>
      <x:c r="P206" s="38" t="str">
        <x:f>IF(C206="前置条件","条件",IF(AND(N206&gt;0,O206&gt;0),"循环闭合",IF(AND(N206&gt;0,OR(C206="装备",C206="装备/道具",C206="角色进度",C206="称号/进度",C206="系统结果")),"终端产物",IF(N206=0,"缺产出","缺消耗"))))</x:f>
        <x:v>缺产出</x:v>
      </x:c>
      <x:c r="Q206" s="39" t="str">
        <x:v>由NPC配方表自动登记。</x:v>
      </x:c>
    </x:row>
    <x:row r="207" ht="40" customHeight="1">
      <x:c r="A207" s="37" t="str">
        <x:v>ITEM-565190B1477D</x:v>
      </x:c>
      <x:c r="B207" s="38" t="str">
        <x:v>罗梵迪壁垒长戟</x:v>
      </x:c>
      <x:c r="C207" s="38" t="str">
        <x:v>装备/道具</x:v>
      </x:c>
      <x:c r="D207" s="38" t="str">
        <x:v>装备合成</x:v>
      </x:c>
      <x:c r="E207" s="38" t="str">
        <x:v>C09</x:v>
      </x:c>
      <x:c r="F207" s="38"/>
      <x:c r="G207" s="38"/>
      <x:c r="H207" s="38" t="str">
        <x:v>结构已确认；数值待经济反算</x:v>
      </x:c>
      <x:c r="I207" s="38" t="str">
        <x:v>可交易（沿用原物品规则）</x:v>
      </x:c>
      <x:c r="J207" s="38" t="str">
        <x:v>沿用原物品；若为合成成品则禁止回收</x:v>
      </x:c>
      <x:c r="K207" s="38" t="str">
        <x:v>沿用配方交易/绑定列</x:v>
      </x:c>
      <x:c r="L207" s="38" t="str">
        <x:v>待经济反算</x:v>
      </x:c>
      <x:c r="M207" s="38" t="str">
        <x:v>十大陆NPC与配方总账V1.0</x:v>
      </x:c>
      <x:c r="N207" s="38" t="n">
        <x:f>COUNTIF('02_产出端'!$G$5:$G$600,A207)</x:f>
        <x:v>0</x:v>
      </x:c>
      <x:c r="O207" s="38" t="n">
        <x:f>COUNTIF('03_消耗端'!$E$5:$E$900,A207)</x:f>
        <x:v>1</x:v>
      </x:c>
      <x:c r="P207" s="38" t="str">
        <x:f>IF(C207="前置条件","条件",IF(AND(N207&gt;0,O207&gt;0),"循环闭合",IF(AND(N207&gt;0,OR(C207="装备",C207="装备/道具",C207="角色进度",C207="称号/进度",C207="系统结果")),"终端产物",IF(N207=0,"缺产出","缺消耗"))))</x:f>
        <x:v>缺产出</x:v>
      </x:c>
      <x:c r="Q207" s="39" t="str">
        <x:v>由NPC配方表自动登记。</x:v>
      </x:c>
    </x:row>
    <x:row r="208" ht="40" customHeight="1">
      <x:c r="A208" s="37" t="str">
        <x:v>ITEM-E5BFA4694EFB</x:v>
      </x:c>
      <x:c r="B208" s="38" t="str">
        <x:v>阿尔维萨蚀日王刃</x:v>
      </x:c>
      <x:c r="C208" s="38" t="str">
        <x:v>装备/道具</x:v>
      </x:c>
      <x:c r="D208" s="38" t="str">
        <x:v>装备合成</x:v>
      </x:c>
      <x:c r="E208" s="38" t="str">
        <x:v>C09</x:v>
      </x:c>
      <x:c r="F208" s="38"/>
      <x:c r="G208" s="38"/>
      <x:c r="H208" s="38" t="str">
        <x:v>结构已确认；数值待经济反算</x:v>
      </x:c>
      <x:c r="I208" s="38" t="str">
        <x:v>可交易（沿用原物品规则）</x:v>
      </x:c>
      <x:c r="J208" s="38" t="str">
        <x:v>沿用原物品；若为合成成品则禁止回收</x:v>
      </x:c>
      <x:c r="K208" s="38" t="str">
        <x:v>沿用配方交易/绑定列</x:v>
      </x:c>
      <x:c r="L208" s="38" t="str">
        <x:v>待经济反算</x:v>
      </x:c>
      <x:c r="M208" s="38" t="str">
        <x:v>十大陆NPC与配方总账V1.0</x:v>
      </x:c>
      <x:c r="N208" s="38" t="n">
        <x:f>COUNTIF('02_产出端'!$G$5:$G$600,A208)</x:f>
        <x:v>0</x:v>
      </x:c>
      <x:c r="O208" s="38" t="n">
        <x:f>COUNTIF('03_消耗端'!$E$5:$E$900,A208)</x:f>
        <x:v>1</x:v>
      </x:c>
      <x:c r="P208" s="38" t="str">
        <x:f>IF(C208="前置条件","条件",IF(AND(N208&gt;0,O208&gt;0),"循环闭合",IF(AND(N208&gt;0,OR(C208="装备",C208="装备/道具",C208="角色进度",C208="称号/进度",C208="系统结果")),"终端产物",IF(N208=0,"缺产出","缺消耗"))))</x:f>
        <x:v>缺产出</x:v>
      </x:c>
      <x:c r="Q208" s="39" t="str">
        <x:v>由NPC配方表自动登记。</x:v>
      </x:c>
    </x:row>
    <x:row r="209" ht="40" customHeight="1">
      <x:c r="A209" s="37" t="str">
        <x:v>ITEM-77D0106647D4</x:v>
      </x:c>
      <x:c r="B209" s="38" t="str">
        <x:v>艾德莉雅鎏辉圣衣</x:v>
      </x:c>
      <x:c r="C209" s="38" t="str">
        <x:v>装备/道具</x:v>
      </x:c>
      <x:c r="D209" s="38" t="str">
        <x:v>装备合成</x:v>
      </x:c>
      <x:c r="E209" s="38" t="str">
        <x:v>C09</x:v>
      </x:c>
      <x:c r="F209" s="38"/>
      <x:c r="G209" s="38"/>
      <x:c r="H209" s="38" t="str">
        <x:v>结构已确认；数值待经济反算</x:v>
      </x:c>
      <x:c r="I209" s="38" t="str">
        <x:v>可交易（沿用原物品规则）</x:v>
      </x:c>
      <x:c r="J209" s="38" t="str">
        <x:v>沿用原物品；若为合成成品则禁止回收</x:v>
      </x:c>
      <x:c r="K209" s="38" t="str">
        <x:v>沿用配方交易/绑定列</x:v>
      </x:c>
      <x:c r="L209" s="38" t="str">
        <x:v>待经济反算</x:v>
      </x:c>
      <x:c r="M209" s="38" t="str">
        <x:v>十大陆NPC与配方总账V1.0</x:v>
      </x:c>
      <x:c r="N209" s="38" t="n">
        <x:f>COUNTIF('02_产出端'!$G$5:$G$600,A209)</x:f>
        <x:v>0</x:v>
      </x:c>
      <x:c r="O209" s="38" t="n">
        <x:f>COUNTIF('03_消耗端'!$E$5:$E$900,A209)</x:f>
        <x:v>1</x:v>
      </x:c>
      <x:c r="P209" s="38" t="str">
        <x:f>IF(C209="前置条件","条件",IF(AND(N209&gt;0,O209&gt;0),"循环闭合",IF(AND(N209&gt;0,OR(C209="装备",C209="装备/道具",C209="角色进度",C209="称号/进度",C209="系统结果")),"终端产物",IF(N209=0,"缺产出","缺消耗"))))</x:f>
        <x:v>缺产出</x:v>
      </x:c>
      <x:c r="Q209" s="39" t="str">
        <x:v>由NPC配方表自动登记。</x:v>
      </x:c>
    </x:row>
    <x:row r="210" ht="40" customHeight="1">
      <x:c r="A210" s="37" t="str">
        <x:v>ITEM-CB3579E9EEDD</x:v>
      </x:c>
      <x:c r="B210" s="38" t="str">
        <x:v>赫桑达执宪战衣</x:v>
      </x:c>
      <x:c r="C210" s="38" t="str">
        <x:v>装备/道具</x:v>
      </x:c>
      <x:c r="D210" s="38" t="str">
        <x:v>装备合成</x:v>
      </x:c>
      <x:c r="E210" s="38" t="str">
        <x:v>C09</x:v>
      </x:c>
      <x:c r="F210" s="38"/>
      <x:c r="G210" s="38"/>
      <x:c r="H210" s="38" t="str">
        <x:v>结构已确认；数值待经济反算</x:v>
      </x:c>
      <x:c r="I210" s="38" t="str">
        <x:v>可交易（沿用原物品规则）</x:v>
      </x:c>
      <x:c r="J210" s="38" t="str">
        <x:v>沿用原物品；若为合成成品则禁止回收</x:v>
      </x:c>
      <x:c r="K210" s="38" t="str">
        <x:v>沿用配方交易/绑定列</x:v>
      </x:c>
      <x:c r="L210" s="38" t="str">
        <x:v>待经济反算</x:v>
      </x:c>
      <x:c r="M210" s="38" t="str">
        <x:v>十大陆NPC与配方总账V1.0</x:v>
      </x:c>
      <x:c r="N210" s="38" t="n">
        <x:f>COUNTIF('02_产出端'!$G$5:$G$600,A210)</x:f>
        <x:v>0</x:v>
      </x:c>
      <x:c r="O210" s="38" t="n">
        <x:f>COUNTIF('03_消耗端'!$E$5:$E$900,A210)</x:f>
        <x:v>1</x:v>
      </x:c>
      <x:c r="P210" s="38" t="str">
        <x:f>IF(C210="前置条件","条件",IF(AND(N210&gt;0,O210&gt;0),"循环闭合",IF(AND(N210&gt;0,OR(C210="装备",C210="装备/道具",C210="角色进度",C210="称号/进度",C210="系统结果")),"终端产物",IF(N210=0,"缺产出","缺消耗"))))</x:f>
        <x:v>缺产出</x:v>
      </x:c>
      <x:c r="Q210" s="39" t="str">
        <x:v>由NPC配方表自动登记。</x:v>
      </x:c>
    </x:row>
    <x:row r="211" ht="40" customHeight="1">
      <x:c r="A211" s="37" t="str">
        <x:v>ITEM-8237608C89AB</x:v>
      </x:c>
      <x:c r="B211" s="38" t="str">
        <x:v>千锁断流铡</x:v>
      </x:c>
      <x:c r="C211" s="38" t="str">
        <x:v>装备/道具</x:v>
      </x:c>
      <x:c r="D211" s="38" t="str">
        <x:v>装备合成</x:v>
      </x:c>
      <x:c r="E211" s="38" t="str">
        <x:v>C10</x:v>
      </x:c>
      <x:c r="F211" s="38"/>
      <x:c r="G211" s="38"/>
      <x:c r="H211" s="38" t="str">
        <x:v>结构已确认；数值待经济反算</x:v>
      </x:c>
      <x:c r="I211" s="38" t="str">
        <x:v>可交易（沿用原物品规则）</x:v>
      </x:c>
      <x:c r="J211" s="38" t="str">
        <x:v>沿用原物品；若为合成成品则禁止回收</x:v>
      </x:c>
      <x:c r="K211" s="38" t="str">
        <x:v>沿用配方交易/绑定列</x:v>
      </x:c>
      <x:c r="L211" s="38" t="str">
        <x:v>待经济反算</x:v>
      </x:c>
      <x:c r="M211" s="38" t="str">
        <x:v>十大陆NPC与配方总账V1.0</x:v>
      </x:c>
      <x:c r="N211" s="38" t="n">
        <x:f>COUNTIF('02_产出端'!$G$5:$G$600,A211)</x:f>
        <x:v>0</x:v>
      </x:c>
      <x:c r="O211" s="38" t="n">
        <x:f>COUNTIF('03_消耗端'!$E$5:$E$900,A211)</x:f>
        <x:v>1</x:v>
      </x:c>
      <x:c r="P211" s="38" t="str">
        <x:f>IF(C211="前置条件","条件",IF(AND(N211&gt;0,O211&gt;0),"循环闭合",IF(AND(N211&gt;0,OR(C211="装备",C211="装备/道具",C211="角色进度",C211="称号/进度",C211="系统结果")),"终端产物",IF(N211=0,"缺产出","缺消耗"))))</x:f>
        <x:v>缺产出</x:v>
      </x:c>
      <x:c r="Q211" s="39" t="str">
        <x:v>由NPC配方表自动登记。</x:v>
      </x:c>
    </x:row>
    <x:row r="212" ht="40" customHeight="1">
      <x:c r="A212" s="37" t="str">
        <x:v>ITEM-8B4E222FEA02</x:v>
      </x:c>
      <x:c r="B212" s="38" t="str">
        <x:v>万冠终律圣刃</x:v>
      </x:c>
      <x:c r="C212" s="38" t="str">
        <x:v>装备/道具</x:v>
      </x:c>
      <x:c r="D212" s="38" t="str">
        <x:v>装备合成</x:v>
      </x:c>
      <x:c r="E212" s="38" t="str">
        <x:v>C10</x:v>
      </x:c>
      <x:c r="F212" s="38"/>
      <x:c r="G212" s="38"/>
      <x:c r="H212" s="38" t="str">
        <x:v>结构已确认；数值待经济反算</x:v>
      </x:c>
      <x:c r="I212" s="38" t="str">
        <x:v>可交易（沿用原物品规则）</x:v>
      </x:c>
      <x:c r="J212" s="38" t="str">
        <x:v>沿用原物品；若为合成成品则禁止回收</x:v>
      </x:c>
      <x:c r="K212" s="38" t="str">
        <x:v>沿用配方交易/绑定列</x:v>
      </x:c>
      <x:c r="L212" s="38" t="str">
        <x:v>待经济反算</x:v>
      </x:c>
      <x:c r="M212" s="38" t="str">
        <x:v>十大陆NPC与配方总账V1.0</x:v>
      </x:c>
      <x:c r="N212" s="38" t="n">
        <x:f>COUNTIF('02_产出端'!$G$5:$G$600,A212)</x:f>
        <x:v>0</x:v>
      </x:c>
      <x:c r="O212" s="38" t="n">
        <x:f>COUNTIF('03_消耗端'!$E$5:$E$900,A212)</x:f>
        <x:v>1</x:v>
      </x:c>
      <x:c r="P212" s="38" t="str">
        <x:f>IF(C212="前置条件","条件",IF(AND(N212&gt;0,O212&gt;0),"循环闭合",IF(AND(N212&gt;0,OR(C212="装备",C212="装备/道具",C212="角色进度",C212="称号/进度",C212="系统结果")),"终端产物",IF(N212=0,"缺产出","缺消耗"))))</x:f>
        <x:v>缺产出</x:v>
      </x:c>
      <x:c r="Q212" s="39" t="str">
        <x:v>由NPC配方表自动登记。</x:v>
      </x:c>
    </x:row>
    <x:row r="213" ht="40" customHeight="1">
      <x:c r="A213" s="37" t="str">
        <x:v>ITEM-7383DBFC8088</x:v>
      </x:c>
      <x:c r="B213" s="38" t="str">
        <x:v>永辉空王礼服</x:v>
      </x:c>
      <x:c r="C213" s="38" t="str">
        <x:v>装备/道具</x:v>
      </x:c>
      <x:c r="D213" s="38" t="str">
        <x:v>装备合成</x:v>
      </x:c>
      <x:c r="E213" s="38" t="str">
        <x:v>C10</x:v>
      </x:c>
      <x:c r="F213" s="38"/>
      <x:c r="G213" s="38"/>
      <x:c r="H213" s="38" t="str">
        <x:v>结构已确认；数值待经济反算</x:v>
      </x:c>
      <x:c r="I213" s="38" t="str">
        <x:v>可交易（沿用原物品规则）</x:v>
      </x:c>
      <x:c r="J213" s="38" t="str">
        <x:v>沿用原物品；若为合成成品则禁止回收</x:v>
      </x:c>
      <x:c r="K213" s="38" t="str">
        <x:v>沿用配方交易/绑定列</x:v>
      </x:c>
      <x:c r="L213" s="38" t="str">
        <x:v>待经济反算</x:v>
      </x:c>
      <x:c r="M213" s="38" t="str">
        <x:v>十大陆NPC与配方总账V1.0</x:v>
      </x:c>
      <x:c r="N213" s="38" t="n">
        <x:f>COUNTIF('02_产出端'!$G$5:$G$600,A213)</x:f>
        <x:v>0</x:v>
      </x:c>
      <x:c r="O213" s="38" t="n">
        <x:f>COUNTIF('03_消耗端'!$E$5:$E$900,A213)</x:f>
        <x:v>1</x:v>
      </x:c>
      <x:c r="P213" s="38" t="str">
        <x:f>IF(C213="前置条件","条件",IF(AND(N213&gt;0,O213&gt;0),"循环闭合",IF(AND(N213&gt;0,OR(C213="装备",C213="装备/道具",C213="角色进度",C213="称号/进度",C213="系统结果")),"终端产物",IF(N213=0,"缺产出","缺消耗"))))</x:f>
        <x:v>缺产出</x:v>
      </x:c>
      <x:c r="Q213" s="39" t="str">
        <x:v>由NPC配方表自动登记。</x:v>
      </x:c>
    </x:row>
    <x:row r="214" ht="40" customHeight="1">
      <x:c r="A214" s="37" t="str">
        <x:v>ITEM-7FCAF4AB9BC1</x:v>
      </x:c>
      <x:c r="B214" s="38" t="str">
        <x:v>吞碑枯寝大氅</x:v>
      </x:c>
      <x:c r="C214" s="38" t="str">
        <x:v>装备/道具</x:v>
      </x:c>
      <x:c r="D214" s="38" t="str">
        <x:v>装备合成</x:v>
      </x:c>
      <x:c r="E214" s="38" t="str">
        <x:v>C10</x:v>
      </x:c>
      <x:c r="F214" s="38"/>
      <x:c r="G214" s="38"/>
      <x:c r="H214" s="38" t="str">
        <x:v>结构已确认；数值待经济反算</x:v>
      </x:c>
      <x:c r="I214" s="38" t="str">
        <x:v>可交易（沿用原物品规则）</x:v>
      </x:c>
      <x:c r="J214" s="38" t="str">
        <x:v>沿用原物品；若为合成成品则禁止回收</x:v>
      </x:c>
      <x:c r="K214" s="38" t="str">
        <x:v>沿用配方交易/绑定列</x:v>
      </x:c>
      <x:c r="L214" s="38" t="str">
        <x:v>待经济反算</x:v>
      </x:c>
      <x:c r="M214" s="38" t="str">
        <x:v>十大陆NPC与配方总账V1.0</x:v>
      </x:c>
      <x:c r="N214" s="38" t="n">
        <x:f>COUNTIF('02_产出端'!$G$5:$G$600,A214)</x:f>
        <x:v>0</x:v>
      </x:c>
      <x:c r="O214" s="38" t="n">
        <x:f>COUNTIF('03_消耗端'!$E$5:$E$900,A214)</x:f>
        <x:v>1</x:v>
      </x:c>
      <x:c r="P214" s="38" t="str">
        <x:f>IF(C214="前置条件","条件",IF(AND(N214&gt;0,O214&gt;0),"循环闭合",IF(AND(N214&gt;0,OR(C214="装备",C214="装备/道具",C214="角色进度",C214="称号/进度",C214="系统结果")),"终端产物",IF(N214=0,"缺产出","缺消耗"))))</x:f>
        <x:v>缺产出</x:v>
      </x:c>
      <x:c r="Q214" s="39" t="str">
        <x:v>由NPC配方表自动登记。</x:v>
      </x:c>
    </x:row>
    <x:row r="215" ht="40" customHeight="1">
      <x:c r="A215" s="37" t="str">
        <x:v>ITEM-2280B3B29237</x:v>
      </x:c>
      <x:c r="B215" s="38" t="str">
        <x:v>无声执冠勋章</x:v>
      </x:c>
      <x:c r="C215" s="38" t="str">
        <x:v>装备/道具</x:v>
      </x:c>
      <x:c r="D215" s="38" t="str">
        <x:v>装备合成</x:v>
      </x:c>
      <x:c r="E215" s="38" t="str">
        <x:v>C10</x:v>
      </x:c>
      <x:c r="F215" s="38"/>
      <x:c r="G215" s="38"/>
      <x:c r="H215" s="38" t="str">
        <x:v>结构已确认；数值待经济反算</x:v>
      </x:c>
      <x:c r="I215" s="38" t="str">
        <x:v>可交易（沿用原物品规则）</x:v>
      </x:c>
      <x:c r="J215" s="38" t="str">
        <x:v>沿用原物品；若为合成成品则禁止回收</x:v>
      </x:c>
      <x:c r="K215" s="38" t="str">
        <x:v>沿用配方交易/绑定列</x:v>
      </x:c>
      <x:c r="L215" s="38" t="str">
        <x:v>待经济反算</x:v>
      </x:c>
      <x:c r="M215" s="38" t="str">
        <x:v>十大陆NPC与配方总账V1.0</x:v>
      </x:c>
      <x:c r="N215" s="38" t="n">
        <x:f>COUNTIF('02_产出端'!$G$5:$G$600,A215)</x:f>
        <x:v>0</x:v>
      </x:c>
      <x:c r="O215" s="38" t="n">
        <x:f>COUNTIF('03_消耗端'!$E$5:$E$900,A215)</x:f>
        <x:v>1</x:v>
      </x:c>
      <x:c r="P215" s="38" t="str">
        <x:f>IF(C215="前置条件","条件",IF(AND(N215&gt;0,O215&gt;0),"循环闭合",IF(AND(N215&gt;0,OR(C215="装备",C215="装备/道具",C215="角色进度",C215="称号/进度",C215="系统结果")),"终端产物",IF(N215=0,"缺产出","缺消耗"))))</x:f>
        <x:v>缺产出</x:v>
      </x:c>
      <x:c r="Q215" s="39" t="str">
        <x:v>由NPC配方表自动登记。</x:v>
      </x:c>
    </x:row>
    <x:row r="216" ht="40" customHeight="1">
      <x:c r="A216" s="37" t="str">
        <x:v>ITEM-3AAB71EFC69C</x:v>
      </x:c>
      <x:c r="B216" s="38" t="str">
        <x:v>碎日禁卫斗笠</x:v>
      </x:c>
      <x:c r="C216" s="38" t="str">
        <x:v>装备/道具</x:v>
      </x:c>
      <x:c r="D216" s="38" t="str">
        <x:v>装备合成</x:v>
      </x:c>
      <x:c r="E216" s="38" t="str">
        <x:v>C10</x:v>
      </x:c>
      <x:c r="F216" s="38"/>
      <x:c r="G216" s="38"/>
      <x:c r="H216" s="38" t="str">
        <x:v>结构已确认；数值待经济反算</x:v>
      </x:c>
      <x:c r="I216" s="38" t="str">
        <x:v>可交易（沿用原物品规则）</x:v>
      </x:c>
      <x:c r="J216" s="38" t="str">
        <x:v>沿用原物品；若为合成成品则禁止回收</x:v>
      </x:c>
      <x:c r="K216" s="38" t="str">
        <x:v>沿用配方交易/绑定列</x:v>
      </x:c>
      <x:c r="L216" s="38" t="str">
        <x:v>待经济反算</x:v>
      </x:c>
      <x:c r="M216" s="38" t="str">
        <x:v>十大陆NPC与配方总账V1.0</x:v>
      </x:c>
      <x:c r="N216" s="38" t="n">
        <x:f>COUNTIF('02_产出端'!$G$5:$G$600,A216)</x:f>
        <x:v>0</x:v>
      </x:c>
      <x:c r="O216" s="38" t="n">
        <x:f>COUNTIF('03_消耗端'!$E$5:$E$900,A216)</x:f>
        <x:v>1</x:v>
      </x:c>
      <x:c r="P216" s="38" t="str">
        <x:f>IF(C216="前置条件","条件",IF(AND(N216&gt;0,O216&gt;0),"循环闭合",IF(AND(N216&gt;0,OR(C216="装备",C216="装备/道具",C216="角色进度",C216="称号/进度",C216="系统结果")),"终端产物",IF(N216=0,"缺产出","缺消耗"))))</x:f>
        <x:v>缺产出</x:v>
      </x:c>
      <x:c r="Q216" s="39" t="str">
        <x:v>由NPC配方表自动登记。</x:v>
      </x:c>
    </x:row>
    <x:row r="217" ht="40" customHeight="1">
      <x:c r="A217" s="37" t="str">
        <x:v>ITEM-4CD1ACFEBD88</x:v>
      </x:c>
      <x:c r="B217" s="38" t="str">
        <x:v>腐树子鼠</x:v>
      </x:c>
      <x:c r="C217" s="38" t="str">
        <x:v>装备/道具</x:v>
      </x:c>
      <x:c r="D217" s="38" t="str">
        <x:v>生肖合成</x:v>
      </x:c>
      <x:c r="E217" s="38" t="str">
        <x:v>C01</x:v>
      </x:c>
      <x:c r="F217" s="38"/>
      <x:c r="G217" s="38"/>
      <x:c r="H217" s="38" t="str">
        <x:v>结构已确认；数值待经济反算</x:v>
      </x:c>
      <x:c r="I217" s="38" t="str">
        <x:v>可交易（沿用原物品规则）</x:v>
      </x:c>
      <x:c r="J217" s="38" t="str">
        <x:v>沿用原物品；若为合成成品则禁止回收</x:v>
      </x:c>
      <x:c r="K217" s="38" t="str">
        <x:v>沿用配方交易/绑定列</x:v>
      </x:c>
      <x:c r="L217" s="38" t="str">
        <x:v>待经济反算</x:v>
      </x:c>
      <x:c r="M217" s="38" t="str">
        <x:v>十大陆NPC与配方总账V1.0</x:v>
      </x:c>
      <x:c r="N217" s="38" t="n">
        <x:f>COUNTIF('02_产出端'!$G$5:$G$600,A217)</x:f>
        <x:v>0</x:v>
      </x:c>
      <x:c r="O217" s="38" t="n">
        <x:f>COUNTIF('03_消耗端'!$E$5:$E$900,A217)</x:f>
        <x:v>1</x:v>
      </x:c>
      <x:c r="P217" s="38" t="str">
        <x:f>IF(C217="前置条件","条件",IF(AND(N217&gt;0,O217&gt;0),"循环闭合",IF(AND(N217&gt;0,OR(C217="装备",C217="装备/道具",C217="角色进度",C217="称号/进度",C217="系统结果")),"终端产物",IF(N217=0,"缺产出","缺消耗"))))</x:f>
        <x:v>缺产出</x:v>
      </x:c>
      <x:c r="Q217" s="39" t="str">
        <x:v>由NPC配方表自动登记。</x:v>
      </x:c>
    </x:row>
    <x:row r="218" ht="40" customHeight="1">
      <x:c r="A218" s="37" t="str">
        <x:v>ITEM-9EA23FAA93AD</x:v>
      </x:c>
      <x:c r="B218" s="38" t="str">
        <x:v>唤潮旧勋</x:v>
      </x:c>
      <x:c r="C218" s="38" t="str">
        <x:v>装备/道具</x:v>
      </x:c>
      <x:c r="D218" s="38" t="str">
        <x:v>生肖合成</x:v>
      </x:c>
      <x:c r="E218" s="38" t="str">
        <x:v>C01</x:v>
      </x:c>
      <x:c r="F218" s="38"/>
      <x:c r="G218" s="38"/>
      <x:c r="H218" s="38" t="str">
        <x:v>结构已确认；数值待经济反算</x:v>
      </x:c>
      <x:c r="I218" s="38" t="str">
        <x:v>可交易（沿用原物品规则）</x:v>
      </x:c>
      <x:c r="J218" s="38" t="str">
        <x:v>沿用原物品；若为合成成品则禁止回收</x:v>
      </x:c>
      <x:c r="K218" s="38" t="str">
        <x:v>沿用配方交易/绑定列</x:v>
      </x:c>
      <x:c r="L218" s="38" t="str">
        <x:v>待经济反算</x:v>
      </x:c>
      <x:c r="M218" s="38" t="str">
        <x:v>十大陆NPC与配方总账V1.0</x:v>
      </x:c>
      <x:c r="N218" s="38" t="n">
        <x:f>COUNTIF('02_产出端'!$G$5:$G$600,A218)</x:f>
        <x:v>0</x:v>
      </x:c>
      <x:c r="O218" s="38" t="n">
        <x:f>COUNTIF('03_消耗端'!$E$5:$E$900,A218)</x:f>
        <x:v>1</x:v>
      </x:c>
      <x:c r="P218" s="38" t="str">
        <x:f>IF(C218="前置条件","条件",IF(AND(N218&gt;0,O218&gt;0),"循环闭合",IF(AND(N218&gt;0,OR(C218="装备",C218="装备/道具",C218="角色进度",C218="称号/进度",C218="系统结果")),"终端产物",IF(N218=0,"缺产出","缺消耗"))))</x:f>
        <x:v>缺产出</x:v>
      </x:c>
      <x:c r="Q218" s="39" t="str">
        <x:v>由NPC配方表自动登记。</x:v>
      </x:c>
    </x:row>
    <x:row r="219" ht="40" customHeight="1">
      <x:c r="A219" s="37" t="str">
        <x:v>ITEM-2E6E90D01ECE</x:v>
      </x:c>
      <x:c r="B219" s="38" t="str">
        <x:v>百臂丑牛</x:v>
      </x:c>
      <x:c r="C219" s="38" t="str">
        <x:v>装备/道具</x:v>
      </x:c>
      <x:c r="D219" s="38" t="str">
        <x:v>生肖合成</x:v>
      </x:c>
      <x:c r="E219" s="38" t="str">
        <x:v>C02</x:v>
      </x:c>
      <x:c r="F219" s="38"/>
      <x:c r="G219" s="38"/>
      <x:c r="H219" s="38" t="str">
        <x:v>结构已确认；数值待经济反算</x:v>
      </x:c>
      <x:c r="I219" s="38" t="str">
        <x:v>可交易（沿用原物品规则）</x:v>
      </x:c>
      <x:c r="J219" s="38" t="str">
        <x:v>沿用原物品；若为合成成品则禁止回收</x:v>
      </x:c>
      <x:c r="K219" s="38" t="str">
        <x:v>沿用配方交易/绑定列</x:v>
      </x:c>
      <x:c r="L219" s="38" t="str">
        <x:v>待经济反算</x:v>
      </x:c>
      <x:c r="M219" s="38" t="str">
        <x:v>十大陆NPC与配方总账V1.0</x:v>
      </x:c>
      <x:c r="N219" s="38" t="n">
        <x:f>COUNTIF('02_产出端'!$G$5:$G$600,A219)</x:f>
        <x:v>0</x:v>
      </x:c>
      <x:c r="O219" s="38" t="n">
        <x:f>COUNTIF('03_消耗端'!$E$5:$E$900,A219)</x:f>
        <x:v>1</x:v>
      </x:c>
      <x:c r="P219" s="38" t="str">
        <x:f>IF(C219="前置条件","条件",IF(AND(N219&gt;0,O219&gt;0),"循环闭合",IF(AND(N219&gt;0,OR(C219="装备",C219="装备/道具",C219="角色进度",C219="称号/进度",C219="系统结果")),"终端产物",IF(N219=0,"缺产出","缺消耗"))))</x:f>
        <x:v>缺产出</x:v>
      </x:c>
      <x:c r="Q219" s="39" t="str">
        <x:v>由NPC配方表自动登记。</x:v>
      </x:c>
    </x:row>
    <x:row r="220" ht="40" customHeight="1">
      <x:c r="A220" s="37" t="str">
        <x:v>ITEM-20422F244E28</x:v>
      </x:c>
      <x:c r="B220" s="38" t="str">
        <x:v>关隘铁甲</x:v>
      </x:c>
      <x:c r="C220" s="38" t="str">
        <x:v>装备/道具</x:v>
      </x:c>
      <x:c r="D220" s="38" t="str">
        <x:v>生肖合成</x:v>
      </x:c>
      <x:c r="E220" s="38" t="str">
        <x:v>C02</x:v>
      </x:c>
      <x:c r="F220" s="38"/>
      <x:c r="G220" s="38"/>
      <x:c r="H220" s="38" t="str">
        <x:v>结构已确认；数值待经济反算</x:v>
      </x:c>
      <x:c r="I220" s="38" t="str">
        <x:v>可交易（沿用原物品规则）</x:v>
      </x:c>
      <x:c r="J220" s="38" t="str">
        <x:v>沿用原物品；若为合成成品则禁止回收</x:v>
      </x:c>
      <x:c r="K220" s="38" t="str">
        <x:v>沿用配方交易/绑定列</x:v>
      </x:c>
      <x:c r="L220" s="38" t="str">
        <x:v>待经济反算</x:v>
      </x:c>
      <x:c r="M220" s="38" t="str">
        <x:v>十大陆NPC与配方总账V1.0</x:v>
      </x:c>
      <x:c r="N220" s="38" t="n">
        <x:f>COUNTIF('02_产出端'!$G$5:$G$600,A220)</x:f>
        <x:v>0</x:v>
      </x:c>
      <x:c r="O220" s="38" t="n">
        <x:f>COUNTIF('03_消耗端'!$E$5:$E$900,A220)</x:f>
        <x:v>1</x:v>
      </x:c>
      <x:c r="P220" s="38" t="str">
        <x:f>IF(C220="前置条件","条件",IF(AND(N220&gt;0,O220&gt;0),"循环闭合",IF(AND(N220&gt;0,OR(C220="装备",C220="装备/道具",C220="角色进度",C220="称号/进度",C220="系统结果")),"终端产物",IF(N220=0,"缺产出","缺消耗"))))</x:f>
        <x:v>缺产出</x:v>
      </x:c>
      <x:c r="Q220" s="39" t="str">
        <x:v>由NPC配方表自动登记。</x:v>
      </x:c>
    </x:row>
    <x:row r="221" ht="40" customHeight="1">
      <x:c r="A221" s="37" t="str">
        <x:v>ITEM-A494567069EB</x:v>
      </x:c>
      <x:c r="B221" s="38" t="str">
        <x:v>猎犬辰龙</x:v>
      </x:c>
      <x:c r="C221" s="38" t="str">
        <x:v>装备/道具</x:v>
      </x:c>
      <x:c r="D221" s="38" t="str">
        <x:v>生肖合成</x:v>
      </x:c>
      <x:c r="E221" s="38" t="str">
        <x:v>C03</x:v>
      </x:c>
      <x:c r="F221" s="38"/>
      <x:c r="G221" s="38"/>
      <x:c r="H221" s="38" t="str">
        <x:v>结构已确认；数值待经济反算</x:v>
      </x:c>
      <x:c r="I221" s="38" t="str">
        <x:v>可交易（沿用原物品规则）</x:v>
      </x:c>
      <x:c r="J221" s="38" t="str">
        <x:v>沿用原物品；若为合成成品则禁止回收</x:v>
      </x:c>
      <x:c r="K221" s="38" t="str">
        <x:v>沿用配方交易/绑定列</x:v>
      </x:c>
      <x:c r="L221" s="38" t="str">
        <x:v>待经济反算</x:v>
      </x:c>
      <x:c r="M221" s="38" t="str">
        <x:v>十大陆NPC与配方总账V1.0</x:v>
      </x:c>
      <x:c r="N221" s="38" t="n">
        <x:f>COUNTIF('02_产出端'!$G$5:$G$600,A221)</x:f>
        <x:v>0</x:v>
      </x:c>
      <x:c r="O221" s="38" t="n">
        <x:f>COUNTIF('03_消耗端'!$E$5:$E$900,A221)</x:f>
        <x:v>1</x:v>
      </x:c>
      <x:c r="P221" s="38" t="str">
        <x:f>IF(C221="前置条件","条件",IF(AND(N221&gt;0,O221&gt;0),"循环闭合",IF(AND(N221&gt;0,OR(C221="装备",C221="装备/道具",C221="角色进度",C221="称号/进度",C221="系统结果")),"终端产物",IF(N221=0,"缺产出","缺消耗"))))</x:f>
        <x:v>缺产出</x:v>
      </x:c>
      <x:c r="Q221" s="39" t="str">
        <x:v>由NPC配方表自动登记。</x:v>
      </x:c>
    </x:row>
    <x:row r="222" ht="40" customHeight="1">
      <x:c r="A222" s="37" t="str">
        <x:v>ITEM-98512430236A</x:v>
      </x:c>
      <x:c r="B222" s="38" t="str">
        <x:v>裂风战旗刃</x:v>
      </x:c>
      <x:c r="C222" s="38" t="str">
        <x:v>装备/道具</x:v>
      </x:c>
      <x:c r="D222" s="38" t="str">
        <x:v>生肖合成</x:v>
      </x:c>
      <x:c r="E222" s="38" t="str">
        <x:v>C03</x:v>
      </x:c>
      <x:c r="F222" s="38"/>
      <x:c r="G222" s="38"/>
      <x:c r="H222" s="38" t="str">
        <x:v>结构已确认；数值待经济反算</x:v>
      </x:c>
      <x:c r="I222" s="38" t="str">
        <x:v>可交易（沿用原物品规则）</x:v>
      </x:c>
      <x:c r="J222" s="38" t="str">
        <x:v>沿用原物品；若为合成成品则禁止回收</x:v>
      </x:c>
      <x:c r="K222" s="38" t="str">
        <x:v>沿用配方交易/绑定列</x:v>
      </x:c>
      <x:c r="L222" s="38" t="str">
        <x:v>待经济反算</x:v>
      </x:c>
      <x:c r="M222" s="38" t="str">
        <x:v>十大陆NPC与配方总账V1.0</x:v>
      </x:c>
      <x:c r="N222" s="38" t="n">
        <x:f>COUNTIF('02_产出端'!$G$5:$G$600,A222)</x:f>
        <x:v>0</x:v>
      </x:c>
      <x:c r="O222" s="38" t="n">
        <x:f>COUNTIF('03_消耗端'!$E$5:$E$900,A222)</x:f>
        <x:v>1</x:v>
      </x:c>
      <x:c r="P222" s="38" t="str">
        <x:f>IF(C222="前置条件","条件",IF(AND(N222&gt;0,O222&gt;0),"循环闭合",IF(AND(N222&gt;0,OR(C222="装备",C222="装备/道具",C222="角色进度",C222="称号/进度",C222="系统结果")),"终端产物",IF(N222=0,"缺产出","缺消耗"))))</x:f>
        <x:v>缺产出</x:v>
      </x:c>
      <x:c r="Q222" s="39" t="str">
        <x:v>由NPC配方表自动登记。</x:v>
      </x:c>
    </x:row>
    <x:row r="223" ht="40" customHeight="1">
      <x:c r="A223" s="37" t="str">
        <x:v>ITEM-974B92CD8127</x:v>
      </x:c>
      <x:c r="B223" s="38" t="str">
        <x:v>祖魂巳蛇</x:v>
      </x:c>
      <x:c r="C223" s="38" t="str">
        <x:v>装备/道具</x:v>
      </x:c>
      <x:c r="D223" s="38" t="str">
        <x:v>生肖合成</x:v>
      </x:c>
      <x:c r="E223" s="38" t="str">
        <x:v>C04</x:v>
      </x:c>
      <x:c r="F223" s="38"/>
      <x:c r="G223" s="38"/>
      <x:c r="H223" s="38" t="str">
        <x:v>结构已确认；数值待经济反算</x:v>
      </x:c>
      <x:c r="I223" s="38" t="str">
        <x:v>可交易（沿用原物品规则）</x:v>
      </x:c>
      <x:c r="J223" s="38" t="str">
        <x:v>沿用原物品；若为合成成品则禁止回收</x:v>
      </x:c>
      <x:c r="K223" s="38" t="str">
        <x:v>沿用配方交易/绑定列</x:v>
      </x:c>
      <x:c r="L223" s="38" t="str">
        <x:v>待经济反算</x:v>
      </x:c>
      <x:c r="M223" s="38" t="str">
        <x:v>十大陆NPC与配方总账V1.0</x:v>
      </x:c>
      <x:c r="N223" s="38" t="n">
        <x:f>COUNTIF('02_产出端'!$G$5:$G$600,A223)</x:f>
        <x:v>0</x:v>
      </x:c>
      <x:c r="O223" s="38" t="n">
        <x:f>COUNTIF('03_消耗端'!$E$5:$E$900,A223)</x:f>
        <x:v>1</x:v>
      </x:c>
      <x:c r="P223" s="38" t="str">
        <x:f>IF(C223="前置条件","条件",IF(AND(N223&gt;0,O223&gt;0),"循环闭合",IF(AND(N223&gt;0,OR(C223="装备",C223="装备/道具",C223="角色进度",C223="称号/进度",C223="系统结果")),"终端产物",IF(N223=0,"缺产出","缺消耗"))))</x:f>
        <x:v>缺产出</x:v>
      </x:c>
      <x:c r="Q223" s="39" t="str">
        <x:v>由NPC配方表自动登记。</x:v>
      </x:c>
    </x:row>
    <x:row r="224" ht="40" customHeight="1">
      <x:c r="A224" s="37" t="str">
        <x:v>ITEM-167C99E31FFB</x:v>
      </x:c>
      <x:c r="B224" s="38" t="str">
        <x:v>罗缇的回流剑</x:v>
      </x:c>
      <x:c r="C224" s="38" t="str">
        <x:v>装备/道具</x:v>
      </x:c>
      <x:c r="D224" s="38" t="str">
        <x:v>生肖合成</x:v>
      </x:c>
      <x:c r="E224" s="38" t="str">
        <x:v>C04</x:v>
      </x:c>
      <x:c r="F224" s="38"/>
      <x:c r="G224" s="38"/>
      <x:c r="H224" s="38" t="str">
        <x:v>结构已确认；数值待经济反算</x:v>
      </x:c>
      <x:c r="I224" s="38" t="str">
        <x:v>可交易（沿用原物品规则）</x:v>
      </x:c>
      <x:c r="J224" s="38" t="str">
        <x:v>沿用原物品；若为合成成品则禁止回收</x:v>
      </x:c>
      <x:c r="K224" s="38" t="str">
        <x:v>沿用配方交易/绑定列</x:v>
      </x:c>
      <x:c r="L224" s="38" t="str">
        <x:v>待经济反算</x:v>
      </x:c>
      <x:c r="M224" s="38" t="str">
        <x:v>十大陆NPC与配方总账V1.0</x:v>
      </x:c>
      <x:c r="N224" s="38" t="n">
        <x:f>COUNTIF('02_产出端'!$G$5:$G$600,A224)</x:f>
        <x:v>0</x:v>
      </x:c>
      <x:c r="O224" s="38" t="n">
        <x:f>COUNTIF('03_消耗端'!$E$5:$E$900,A224)</x:f>
        <x:v>1</x:v>
      </x:c>
      <x:c r="P224" s="38" t="str">
        <x:f>IF(C224="前置条件","条件",IF(AND(N224&gt;0,O224&gt;0),"循环闭合",IF(AND(N224&gt;0,OR(C224="装备",C224="装备/道具",C224="角色进度",C224="称号/进度",C224="系统结果")),"终端产物",IF(N224=0,"缺产出","缺消耗"))))</x:f>
        <x:v>缺产出</x:v>
      </x:c>
      <x:c r="Q224" s="39" t="str">
        <x:v>由NPC配方表自动登记。</x:v>
      </x:c>
    </x:row>
    <x:row r="225" ht="40" customHeight="1">
      <x:c r="A225" s="37" t="str">
        <x:v>ITEM-0F6A0B8FFF23</x:v>
      </x:c>
      <x:c r="B225" s="38" t="str">
        <x:v>无月卯兔</x:v>
      </x:c>
      <x:c r="C225" s="38" t="str">
        <x:v>装备/道具</x:v>
      </x:c>
      <x:c r="D225" s="38" t="str">
        <x:v>生肖合成</x:v>
      </x:c>
      <x:c r="E225" s="38" t="str">
        <x:v>C05</x:v>
      </x:c>
      <x:c r="F225" s="38"/>
      <x:c r="G225" s="38"/>
      <x:c r="H225" s="38" t="str">
        <x:v>结构已确认；数值待经济反算</x:v>
      </x:c>
      <x:c r="I225" s="38" t="str">
        <x:v>可交易（沿用原物品规则）</x:v>
      </x:c>
      <x:c r="J225" s="38" t="str">
        <x:v>沿用原物品；若为合成成品则禁止回收</x:v>
      </x:c>
      <x:c r="K225" s="38" t="str">
        <x:v>沿用配方交易/绑定列</x:v>
      </x:c>
      <x:c r="L225" s="38" t="str">
        <x:v>待经济反算</x:v>
      </x:c>
      <x:c r="M225" s="38" t="str">
        <x:v>十大陆NPC与配方总账V1.0</x:v>
      </x:c>
      <x:c r="N225" s="38" t="n">
        <x:f>COUNTIF('02_产出端'!$G$5:$G$600,A225)</x:f>
        <x:v>0</x:v>
      </x:c>
      <x:c r="O225" s="38" t="n">
        <x:f>COUNTIF('03_消耗端'!$E$5:$E$900,A225)</x:f>
        <x:v>1</x:v>
      </x:c>
      <x:c r="P225" s="38" t="str">
        <x:f>IF(C225="前置条件","条件",IF(AND(N225&gt;0,O225&gt;0),"循环闭合",IF(AND(N225&gt;0,OR(C225="装备",C225="装备/道具",C225="角色进度",C225="称号/进度",C225="系统结果")),"终端产物",IF(N225=0,"缺产出","缺消耗"))))</x:f>
        <x:v>缺产出</x:v>
      </x:c>
      <x:c r="Q225" s="39" t="str">
        <x:v>由NPC配方表自动登记。</x:v>
      </x:c>
    </x:row>
    <x:row r="226" ht="40" customHeight="1">
      <x:c r="A226" s="37" t="str">
        <x:v>ITEM-9D39EE542B90</x:v>
      </x:c>
      <x:c r="B226" s="38" t="str">
        <x:v>月契封印带</x:v>
      </x:c>
      <x:c r="C226" s="38" t="str">
        <x:v>装备/道具</x:v>
      </x:c>
      <x:c r="D226" s="38" t="str">
        <x:v>生肖合成</x:v>
      </x:c>
      <x:c r="E226" s="38" t="str">
        <x:v>C05</x:v>
      </x:c>
      <x:c r="F226" s="38"/>
      <x:c r="G226" s="38"/>
      <x:c r="H226" s="38" t="str">
        <x:v>结构已确认；数值待经济反算</x:v>
      </x:c>
      <x:c r="I226" s="38" t="str">
        <x:v>可交易（沿用原物品规则）</x:v>
      </x:c>
      <x:c r="J226" s="38" t="str">
        <x:v>沿用原物品；若为合成成品则禁止回收</x:v>
      </x:c>
      <x:c r="K226" s="38" t="str">
        <x:v>沿用配方交易/绑定列</x:v>
      </x:c>
      <x:c r="L226" s="38" t="str">
        <x:v>待经济反算</x:v>
      </x:c>
      <x:c r="M226" s="38" t="str">
        <x:v>十大陆NPC与配方总账V1.0</x:v>
      </x:c>
      <x:c r="N226" s="38" t="n">
        <x:f>COUNTIF('02_产出端'!$G$5:$G$600,A226)</x:f>
        <x:v>0</x:v>
      </x:c>
      <x:c r="O226" s="38" t="n">
        <x:f>COUNTIF('03_消耗端'!$E$5:$E$900,A226)</x:f>
        <x:v>1</x:v>
      </x:c>
      <x:c r="P226" s="38" t="str">
        <x:f>IF(C226="前置条件","条件",IF(AND(N226&gt;0,O226&gt;0),"循环闭合",IF(AND(N226&gt;0,OR(C226="装备",C226="装备/道具",C226="角色进度",C226="称号/进度",C226="系统结果")),"终端产物",IF(N226=0,"缺产出","缺消耗"))))</x:f>
        <x:v>缺产出</x:v>
      </x:c>
      <x:c r="Q226" s="39" t="str">
        <x:v>由NPC配方表自动登记。</x:v>
      </x:c>
    </x:row>
    <x:row r="227" ht="40" customHeight="1">
      <x:c r="A227" s="37" t="str">
        <x:v>ITEM-DA01729ABB3B</x:v>
      </x:c>
      <x:c r="B227" s="38" t="str">
        <x:v>长戟寅虎</x:v>
      </x:c>
      <x:c r="C227" s="38" t="str">
        <x:v>装备/道具</x:v>
      </x:c>
      <x:c r="D227" s="38" t="str">
        <x:v>生肖合成</x:v>
      </x:c>
      <x:c r="E227" s="38" t="str">
        <x:v>C06</x:v>
      </x:c>
      <x:c r="F227" s="38"/>
      <x:c r="G227" s="38"/>
      <x:c r="H227" s="38" t="str">
        <x:v>结构已确认；数值待经济反算</x:v>
      </x:c>
      <x:c r="I227" s="38" t="str">
        <x:v>可交易（沿用原物品规则）</x:v>
      </x:c>
      <x:c r="J227" s="38" t="str">
        <x:v>沿用原物品；若为合成成品则禁止回收</x:v>
      </x:c>
      <x:c r="K227" s="38" t="str">
        <x:v>沿用配方交易/绑定列</x:v>
      </x:c>
      <x:c r="L227" s="38" t="str">
        <x:v>待经济反算</x:v>
      </x:c>
      <x:c r="M227" s="38" t="str">
        <x:v>十大陆NPC与配方总账V1.0</x:v>
      </x:c>
      <x:c r="N227" s="38" t="n">
        <x:f>COUNTIF('02_产出端'!$G$5:$G$600,A227)</x:f>
        <x:v>0</x:v>
      </x:c>
      <x:c r="O227" s="38" t="n">
        <x:f>COUNTIF('03_消耗端'!$E$5:$E$900,A227)</x:f>
        <x:v>1</x:v>
      </x:c>
      <x:c r="P227" s="38" t="str">
        <x:f>IF(C227="前置条件","条件",IF(AND(N227&gt;0,O227&gt;0),"循环闭合",IF(AND(N227&gt;0,OR(C227="装备",C227="装备/道具",C227="角色进度",C227="称号/进度",C227="系统结果")),"终端产物",IF(N227=0,"缺产出","缺消耗"))))</x:f>
        <x:v>缺产出</x:v>
      </x:c>
      <x:c r="Q227" s="39" t="str">
        <x:v>由NPC配方表自动登记。</x:v>
      </x:c>
    </x:row>
    <x:row r="228" ht="40" customHeight="1">
      <x:c r="A228" s="37" t="str">
        <x:v>ITEM-52FE2AC87BD2</x:v>
      </x:c>
      <x:c r="B228" s="38" t="str">
        <x:v>阿格纳龙牙</x:v>
      </x:c>
      <x:c r="C228" s="38" t="str">
        <x:v>装备/道具</x:v>
      </x:c>
      <x:c r="D228" s="38" t="str">
        <x:v>生肖合成</x:v>
      </x:c>
      <x:c r="E228" s="38" t="str">
        <x:v>C06</x:v>
      </x:c>
      <x:c r="F228" s="38"/>
      <x:c r="G228" s="38"/>
      <x:c r="H228" s="38" t="str">
        <x:v>结构已确认；数值待经济反算</x:v>
      </x:c>
      <x:c r="I228" s="38" t="str">
        <x:v>可交易（沿用原物品规则）</x:v>
      </x:c>
      <x:c r="J228" s="38" t="str">
        <x:v>沿用原物品；若为合成成品则禁止回收</x:v>
      </x:c>
      <x:c r="K228" s="38" t="str">
        <x:v>沿用配方交易/绑定列</x:v>
      </x:c>
      <x:c r="L228" s="38" t="str">
        <x:v>待经济反算</x:v>
      </x:c>
      <x:c r="M228" s="38" t="str">
        <x:v>十大陆NPC与配方总账V1.0</x:v>
      </x:c>
      <x:c r="N228" s="38" t="n">
        <x:f>COUNTIF('02_产出端'!$G$5:$G$600,A228)</x:f>
        <x:v>0</x:v>
      </x:c>
      <x:c r="O228" s="38" t="n">
        <x:f>COUNTIF('03_消耗端'!$E$5:$E$900,A228)</x:f>
        <x:v>1</x:v>
      </x:c>
      <x:c r="P228" s="38" t="str">
        <x:f>IF(C228="前置条件","条件",IF(AND(N228&gt;0,O228&gt;0),"循环闭合",IF(AND(N228&gt;0,OR(C228="装备",C228="装备/道具",C228="角色进度",C228="称号/进度",C228="系统结果")),"终端产物",IF(N228=0,"缺产出","缺消耗"))))</x:f>
        <x:v>缺产出</x:v>
      </x:c>
      <x:c r="Q228" s="39" t="str">
        <x:v>由NPC配方表自动登记。</x:v>
      </x:c>
    </x:row>
    <x:row r="229" ht="40" customHeight="1">
      <x:c r="A229" s="37" t="str">
        <x:v>ITEM-D708CE691B2A</x:v>
      </x:c>
      <x:c r="B229" s="38" t="str">
        <x:v>葬日未羊</x:v>
      </x:c>
      <x:c r="C229" s="38" t="str">
        <x:v>装备/道具</x:v>
      </x:c>
      <x:c r="D229" s="38" t="str">
        <x:v>生肖合成</x:v>
      </x:c>
      <x:c r="E229" s="38" t="str">
        <x:v>C07</x:v>
      </x:c>
      <x:c r="F229" s="38"/>
      <x:c r="G229" s="38"/>
      <x:c r="H229" s="38" t="str">
        <x:v>结构已确认；数值待经济反算</x:v>
      </x:c>
      <x:c r="I229" s="38" t="str">
        <x:v>可交易（沿用原物品规则）</x:v>
      </x:c>
      <x:c r="J229" s="38" t="str">
        <x:v>沿用原物品；若为合成成品则禁止回收</x:v>
      </x:c>
      <x:c r="K229" s="38" t="str">
        <x:v>沿用配方交易/绑定列</x:v>
      </x:c>
      <x:c r="L229" s="38" t="str">
        <x:v>待经济反算</x:v>
      </x:c>
      <x:c r="M229" s="38" t="str">
        <x:v>十大陆NPC与配方总账V1.0</x:v>
      </x:c>
      <x:c r="N229" s="38" t="n">
        <x:f>COUNTIF('02_产出端'!$G$5:$G$600,A229)</x:f>
        <x:v>0</x:v>
      </x:c>
      <x:c r="O229" s="38" t="n">
        <x:f>COUNTIF('03_消耗端'!$E$5:$E$900,A229)</x:f>
        <x:v>1</x:v>
      </x:c>
      <x:c r="P229" s="38" t="str">
        <x:f>IF(C229="前置条件","条件",IF(AND(N229&gt;0,O229&gt;0),"循环闭合",IF(AND(N229&gt;0,OR(C229="装备",C229="装备/道具",C229="角色进度",C229="称号/进度",C229="系统结果")),"终端产物",IF(N229=0,"缺产出","缺消耗"))))</x:f>
        <x:v>缺产出</x:v>
      </x:c>
      <x:c r="Q229" s="39" t="str">
        <x:v>由NPC配方表自动登记。</x:v>
      </x:c>
    </x:row>
    <x:row r="230" ht="40" customHeight="1">
      <x:c r="A230" s="37" t="str">
        <x:v>ITEM-EA63D5EBA4CA</x:v>
      </x:c>
      <x:c r="B230" s="38" t="str">
        <x:v>芙蕾冰冠</x:v>
      </x:c>
      <x:c r="C230" s="38" t="str">
        <x:v>装备/道具</x:v>
      </x:c>
      <x:c r="D230" s="38" t="str">
        <x:v>生肖合成</x:v>
      </x:c>
      <x:c r="E230" s="38" t="str">
        <x:v>C07</x:v>
      </x:c>
      <x:c r="F230" s="38"/>
      <x:c r="G230" s="38"/>
      <x:c r="H230" s="38" t="str">
        <x:v>结构已确认；数值待经济反算</x:v>
      </x:c>
      <x:c r="I230" s="38" t="str">
        <x:v>可交易（沿用原物品规则）</x:v>
      </x:c>
      <x:c r="J230" s="38" t="str">
        <x:v>沿用原物品；若为合成成品则禁止回收</x:v>
      </x:c>
      <x:c r="K230" s="38" t="str">
        <x:v>沿用配方交易/绑定列</x:v>
      </x:c>
      <x:c r="L230" s="38" t="str">
        <x:v>待经济反算</x:v>
      </x:c>
      <x:c r="M230" s="38" t="str">
        <x:v>十大陆NPC与配方总账V1.0</x:v>
      </x:c>
      <x:c r="N230" s="38" t="n">
        <x:f>COUNTIF('02_产出端'!$G$5:$G$600,A230)</x:f>
        <x:v>0</x:v>
      </x:c>
      <x:c r="O230" s="38" t="n">
        <x:f>COUNTIF('03_消耗端'!$E$5:$E$900,A230)</x:f>
        <x:v>1</x:v>
      </x:c>
      <x:c r="P230" s="38" t="str">
        <x:f>IF(C230="前置条件","条件",IF(AND(N230&gt;0,O230&gt;0),"循环闭合",IF(AND(N230&gt;0,OR(C230="装备",C230="装备/道具",C230="角色进度",C230="称号/进度",C230="系统结果")),"终端产物",IF(N230=0,"缺产出","缺消耗"))))</x:f>
        <x:v>缺产出</x:v>
      </x:c>
      <x:c r="Q230" s="39" t="str">
        <x:v>由NPC配方表自动登记。</x:v>
      </x:c>
    </x:row>
    <x:row r="231" ht="40" customHeight="1">
      <x:c r="A231" s="37" t="str">
        <x:v>ITEM-681BF3A06379</x:v>
      </x:c>
      <x:c r="B231" s="38" t="str">
        <x:v>死水午马</x:v>
      </x:c>
      <x:c r="C231" s="38" t="str">
        <x:v>装备/道具</x:v>
      </x:c>
      <x:c r="D231" s="38" t="str">
        <x:v>生肖合成</x:v>
      </x:c>
      <x:c r="E231" s="38" t="str">
        <x:v>C08</x:v>
      </x:c>
      <x:c r="F231" s="38"/>
      <x:c r="G231" s="38"/>
      <x:c r="H231" s="38" t="str">
        <x:v>结构已确认；数值待经济反算</x:v>
      </x:c>
      <x:c r="I231" s="38" t="str">
        <x:v>可交易（沿用原物品规则）</x:v>
      </x:c>
      <x:c r="J231" s="38" t="str">
        <x:v>沿用原物品；若为合成成品则禁止回收</x:v>
      </x:c>
      <x:c r="K231" s="38" t="str">
        <x:v>沿用配方交易/绑定列</x:v>
      </x:c>
      <x:c r="L231" s="38" t="str">
        <x:v>待经济反算</x:v>
      </x:c>
      <x:c r="M231" s="38" t="str">
        <x:v>十大陆NPC与配方总账V1.0</x:v>
      </x:c>
      <x:c r="N231" s="38" t="n">
        <x:f>COUNTIF('02_产出端'!$G$5:$G$600,A231)</x:f>
        <x:v>0</x:v>
      </x:c>
      <x:c r="O231" s="38" t="n">
        <x:f>COUNTIF('03_消耗端'!$E$5:$E$900,A231)</x:f>
        <x:v>1</x:v>
      </x:c>
      <x:c r="P231" s="38" t="str">
        <x:f>IF(C231="前置条件","条件",IF(AND(N231&gt;0,O231&gt;0),"循环闭合",IF(AND(N231&gt;0,OR(C231="装备",C231="装备/道具",C231="角色进度",C231="称号/进度",C231="系统结果")),"终端产物",IF(N231=0,"缺产出","缺消耗"))))</x:f>
        <x:v>缺产出</x:v>
      </x:c>
      <x:c r="Q231" s="39" t="str">
        <x:v>由NPC配方表自动登记。</x:v>
      </x:c>
    </x:row>
    <x:row r="232" ht="40" customHeight="1">
      <x:c r="A232" s="37" t="str">
        <x:v>ITEM-C97E9EA2C9A0</x:v>
      </x:c>
      <x:c r="B232" s="38" t="str">
        <x:v>赫罗姆凿峰槌</x:v>
      </x:c>
      <x:c r="C232" s="38" t="str">
        <x:v>装备/道具</x:v>
      </x:c>
      <x:c r="D232" s="38" t="str">
        <x:v>生肖合成</x:v>
      </x:c>
      <x:c r="E232" s="38" t="str">
        <x:v>C08</x:v>
      </x:c>
      <x:c r="F232" s="38"/>
      <x:c r="G232" s="38"/>
      <x:c r="H232" s="38" t="str">
        <x:v>结构已确认；数值待经济反算</x:v>
      </x:c>
      <x:c r="I232" s="38" t="str">
        <x:v>可交易（沿用原物品规则）</x:v>
      </x:c>
      <x:c r="J232" s="38" t="str">
        <x:v>沿用原物品；若为合成成品则禁止回收</x:v>
      </x:c>
      <x:c r="K232" s="38" t="str">
        <x:v>沿用配方交易/绑定列</x:v>
      </x:c>
      <x:c r="L232" s="38" t="str">
        <x:v>待经济反算</x:v>
      </x:c>
      <x:c r="M232" s="38" t="str">
        <x:v>十大陆NPC与配方总账V1.0</x:v>
      </x:c>
      <x:c r="N232" s="38" t="n">
        <x:f>COUNTIF('02_产出端'!$G$5:$G$600,A232)</x:f>
        <x:v>0</x:v>
      </x:c>
      <x:c r="O232" s="38" t="n">
        <x:f>COUNTIF('03_消耗端'!$E$5:$E$900,A232)</x:f>
        <x:v>1</x:v>
      </x:c>
      <x:c r="P232" s="38" t="str">
        <x:f>IF(C232="前置条件","条件",IF(AND(N232&gt;0,O232&gt;0),"循环闭合",IF(AND(N232&gt;0,OR(C232="装备",C232="装备/道具",C232="角色进度",C232="称号/进度",C232="系统结果")),"终端产物",IF(N232=0,"缺产出","缺消耗"))))</x:f>
        <x:v>缺产出</x:v>
      </x:c>
      <x:c r="Q232" s="39" t="str">
        <x:v>由NPC配方表自动登记。</x:v>
      </x:c>
    </x:row>
    <x:row r="233" ht="40" customHeight="1">
      <x:c r="A233" s="37" t="str">
        <x:v>ITEM-967D9770D54C</x:v>
      </x:c>
      <x:c r="B233" s="38" t="str">
        <x:v>恶兆酉鸡</x:v>
      </x:c>
      <x:c r="C233" s="38" t="str">
        <x:v>装备/道具</x:v>
      </x:c>
      <x:c r="D233" s="38" t="str">
        <x:v>生肖合成</x:v>
      </x:c>
      <x:c r="E233" s="38" t="str">
        <x:v>C09</x:v>
      </x:c>
      <x:c r="F233" s="38"/>
      <x:c r="G233" s="38"/>
      <x:c r="H233" s="38" t="str">
        <x:v>结构已确认；数值待经济反算</x:v>
      </x:c>
      <x:c r="I233" s="38" t="str">
        <x:v>可交易（沿用原物品规则）</x:v>
      </x:c>
      <x:c r="J233" s="38" t="str">
        <x:v>沿用原物品；若为合成成品则禁止回收</x:v>
      </x:c>
      <x:c r="K233" s="38" t="str">
        <x:v>沿用配方交易/绑定列</x:v>
      </x:c>
      <x:c r="L233" s="38" t="str">
        <x:v>待经济反算</x:v>
      </x:c>
      <x:c r="M233" s="38" t="str">
        <x:v>十大陆NPC与配方总账V1.0</x:v>
      </x:c>
      <x:c r="N233" s="38" t="n">
        <x:f>COUNTIF('02_产出端'!$G$5:$G$600,A233)</x:f>
        <x:v>0</x:v>
      </x:c>
      <x:c r="O233" s="38" t="n">
        <x:f>COUNTIF('03_消耗端'!$E$5:$E$900,A233)</x:f>
        <x:v>1</x:v>
      </x:c>
      <x:c r="P233" s="38" t="str">
        <x:f>IF(C233="前置条件","条件",IF(AND(N233&gt;0,O233&gt;0),"循环闭合",IF(AND(N233&gt;0,OR(C233="装备",C233="装备/道具",C233="角色进度",C233="称号/进度",C233="系统结果")),"终端产物",IF(N233=0,"缺产出","缺消耗"))))</x:f>
        <x:v>缺产出</x:v>
      </x:c>
      <x:c r="Q233" s="39" t="str">
        <x:v>由NPC配方表自动登记。</x:v>
      </x:c>
    </x:row>
    <x:row r="234" ht="40" customHeight="1">
      <x:c r="A234" s="37" t="str">
        <x:v>ITEM-A3128B5FB818</x:v>
      </x:c>
      <x:c r="B234" s="38" t="str">
        <x:v>赛维兰裁阳杖</x:v>
      </x:c>
      <x:c r="C234" s="38" t="str">
        <x:v>装备/道具</x:v>
      </x:c>
      <x:c r="D234" s="38" t="str">
        <x:v>生肖合成</x:v>
      </x:c>
      <x:c r="E234" s="38" t="str">
        <x:v>C09</x:v>
      </x:c>
      <x:c r="F234" s="38"/>
      <x:c r="G234" s="38"/>
      <x:c r="H234" s="38" t="str">
        <x:v>结构已确认；数值待经济反算</x:v>
      </x:c>
      <x:c r="I234" s="38" t="str">
        <x:v>可交易（沿用原物品规则）</x:v>
      </x:c>
      <x:c r="J234" s="38" t="str">
        <x:v>沿用原物品；若为合成成品则禁止回收</x:v>
      </x:c>
      <x:c r="K234" s="38" t="str">
        <x:v>沿用配方交易/绑定列</x:v>
      </x:c>
      <x:c r="L234" s="38" t="str">
        <x:v>待经济反算</x:v>
      </x:c>
      <x:c r="M234" s="38" t="str">
        <x:v>十大陆NPC与配方总账V1.0</x:v>
      </x:c>
      <x:c r="N234" s="38" t="n">
        <x:f>COUNTIF('02_产出端'!$G$5:$G$600,A234)</x:f>
        <x:v>0</x:v>
      </x:c>
      <x:c r="O234" s="38" t="n">
        <x:f>COUNTIF('03_消耗端'!$E$5:$E$900,A234)</x:f>
        <x:v>1</x:v>
      </x:c>
      <x:c r="P234" s="38" t="str">
        <x:f>IF(C234="前置条件","条件",IF(AND(N234&gt;0,O234&gt;0),"循环闭合",IF(AND(N234&gt;0,OR(C234="装备",C234="装备/道具",C234="角色进度",C234="称号/进度",C234="系统结果")),"终端产物",IF(N234=0,"缺产出","缺消耗"))))</x:f>
        <x:v>缺产出</x:v>
      </x:c>
      <x:c r="Q234" s="39" t="str">
        <x:v>由NPC配方表自动登记。</x:v>
      </x:c>
    </x:row>
    <x:row r="235" ht="40" customHeight="1">
      <x:c r="A235" s="37" t="str">
        <x:v>ITEM-1AAE5297B193</x:v>
      </x:c>
      <x:c r="B235" s="38" t="str">
        <x:v>失乡戌狗</x:v>
      </x:c>
      <x:c r="C235" s="38" t="str">
        <x:v>装备/道具</x:v>
      </x:c>
      <x:c r="D235" s="38" t="str">
        <x:v>生肖合成</x:v>
      </x:c>
      <x:c r="E235" s="38" t="str">
        <x:v>C10</x:v>
      </x:c>
      <x:c r="F235" s="38"/>
      <x:c r="G235" s="38"/>
      <x:c r="H235" s="38" t="str">
        <x:v>结构已确认；数值待经济反算</x:v>
      </x:c>
      <x:c r="I235" s="38" t="str">
        <x:v>可交易（沿用原物品规则）</x:v>
      </x:c>
      <x:c r="J235" s="38" t="str">
        <x:v>沿用原物品；若为合成成品则禁止回收</x:v>
      </x:c>
      <x:c r="K235" s="38" t="str">
        <x:v>沿用配方交易/绑定列</x:v>
      </x:c>
      <x:c r="L235" s="38" t="str">
        <x:v>待经济反算</x:v>
      </x:c>
      <x:c r="M235" s="38" t="str">
        <x:v>十大陆NPC与配方总账V1.0</x:v>
      </x:c>
      <x:c r="N235" s="38" t="n">
        <x:f>COUNTIF('02_产出端'!$G$5:$G$600,A235)</x:f>
        <x:v>0</x:v>
      </x:c>
      <x:c r="O235" s="38" t="n">
        <x:f>COUNTIF('03_消耗端'!$E$5:$E$900,A235)</x:f>
        <x:v>1</x:v>
      </x:c>
      <x:c r="P235" s="38" t="str">
        <x:f>IF(C235="前置条件","条件",IF(AND(N235&gt;0,O235&gt;0),"循环闭合",IF(AND(N235&gt;0,OR(C235="装备",C235="装备/道具",C235="角色进度",C235="称号/进度",C235="系统结果")),"终端产物",IF(N235=0,"缺产出","缺消耗"))))</x:f>
        <x:v>缺产出</x:v>
      </x:c>
      <x:c r="Q235" s="39" t="str">
        <x:v>由NPC配方表自动登记。</x:v>
      </x:c>
    </x:row>
    <x:row r="236" ht="40" customHeight="1">
      <x:c r="A236" s="37" t="str">
        <x:v>ITEM-67B5F086F05C</x:v>
      </x:c>
      <x:c r="B236" s="38" t="str">
        <x:v>返魂寝门盾</x:v>
      </x:c>
      <x:c r="C236" s="38" t="str">
        <x:v>装备/道具</x:v>
      </x:c>
      <x:c r="D236" s="38" t="str">
        <x:v>生肖合成</x:v>
      </x:c>
      <x:c r="E236" s="38" t="str">
        <x:v>C10</x:v>
      </x:c>
      <x:c r="F236" s="38"/>
      <x:c r="G236" s="38"/>
      <x:c r="H236" s="38" t="str">
        <x:v>结构已确认；数值待经济反算</x:v>
      </x:c>
      <x:c r="I236" s="38" t="str">
        <x:v>可交易（沿用原物品规则）</x:v>
      </x:c>
      <x:c r="J236" s="38" t="str">
        <x:v>沿用原物品；若为合成成品则禁止回收</x:v>
      </x:c>
      <x:c r="K236" s="38" t="str">
        <x:v>沿用配方交易/绑定列</x:v>
      </x:c>
      <x:c r="L236" s="38" t="str">
        <x:v>待经济反算</x:v>
      </x:c>
      <x:c r="M236" s="38" t="str">
        <x:v>十大陆NPC与配方总账V1.0</x:v>
      </x:c>
      <x:c r="N236" s="38" t="n">
        <x:f>COUNTIF('02_产出端'!$G$5:$G$600,A236)</x:f>
        <x:v>0</x:v>
      </x:c>
      <x:c r="O236" s="38" t="n">
        <x:f>COUNTIF('03_消耗端'!$E$5:$E$900,A236)</x:f>
        <x:v>1</x:v>
      </x:c>
      <x:c r="P236" s="38" t="str">
        <x:f>IF(C236="前置条件","条件",IF(AND(N236&gt;0,O236&gt;0),"循环闭合",IF(AND(N236&gt;0,OR(C236="装备",C236="装备/道具",C236="角色进度",C236="称号/进度",C236="系统结果")),"终端产物",IF(N236=0,"缺产出","缺消耗"))))</x:f>
        <x:v>缺产出</x:v>
      </x:c>
      <x:c r="Q236" s="39" t="str">
        <x:v>由NPC配方表自动登记。</x:v>
      </x:c>
    </x:row>
    <x:row r="237" ht="40" customHeight="1">
      <x:c r="A237" s="37" t="str">
        <x:v>ITEM-EAC5E959F1A3</x:v>
      </x:c>
      <x:c r="B237" s="38" t="str">
        <x:v>雷冠申猴</x:v>
      </x:c>
      <x:c r="C237" s="38" t="str">
        <x:v>装备/道具</x:v>
      </x:c>
      <x:c r="D237" s="38" t="str">
        <x:v>群攻生肖</x:v>
      </x:c>
      <x:c r="E237" s="38" t="str">
        <x:v>C02</x:v>
      </x:c>
      <x:c r="F237" s="38"/>
      <x:c r="G237" s="38"/>
      <x:c r="H237" s="38" t="str">
        <x:v>结构已确认；数值待经济反算</x:v>
      </x:c>
      <x:c r="I237" s="38" t="str">
        <x:v>可交易（沿用原物品规则）</x:v>
      </x:c>
      <x:c r="J237" s="38" t="str">
        <x:v>沿用原物品；若为合成成品则禁止回收</x:v>
      </x:c>
      <x:c r="K237" s="38" t="str">
        <x:v>沿用配方交易/绑定列</x:v>
      </x:c>
      <x:c r="L237" s="38" t="str">
        <x:v>待经济反算</x:v>
      </x:c>
      <x:c r="M237" s="38" t="str">
        <x:v>十大陆NPC与配方总账V1.0</x:v>
      </x:c>
      <x:c r="N237" s="38" t="n">
        <x:f>COUNTIF('02_产出端'!$G$5:$G$600,A237)</x:f>
        <x:v>0</x:v>
      </x:c>
      <x:c r="O237" s="38" t="n">
        <x:f>COUNTIF('03_消耗端'!$E$5:$E$900,A237)</x:f>
        <x:v>1</x:v>
      </x:c>
      <x:c r="P237" s="38" t="str">
        <x:f>IF(C237="前置条件","条件",IF(AND(N237&gt;0,O237&gt;0),"循环闭合",IF(AND(N237&gt;0,OR(C237="装备",C237="装备/道具",C237="角色进度",C237="称号/进度",C237="系统结果")),"终端产物",IF(N237=0,"缺产出","缺消耗"))))</x:f>
        <x:v>缺产出</x:v>
      </x:c>
      <x:c r="Q237" s="39" t="str">
        <x:v>由NPC配方表自动登记。</x:v>
      </x:c>
    </x:row>
    <x:row r="238" ht="40" customHeight="1">
      <x:c r="A238" s="37" t="str">
        <x:v>REQ-5DD56CBC6271</x:v>
      </x:c>
      <x:c r="B238" s="38" t="str">
        <x:v>角色等级与前置条件</x:v>
      </x:c>
      <x:c r="C238" s="38" t="str">
        <x:v>前置条件</x:v>
      </x:c>
      <x:c r="D238" s="38" t="str">
        <x:v>状态/进度条件</x:v>
      </x:c>
      <x:c r="E238" s="38" t="str">
        <x:v>全服</x:v>
      </x:c>
      <x:c r="F238" s="38"/>
      <x:c r="G238" s="38"/>
      <x:c r="H238" s="38" t="str">
        <x:v>沿用现有脚本</x:v>
      </x:c>
      <x:c r="I238" s="38" t="str">
        <x:v>不可交易</x:v>
      </x:c>
      <x:c r="J238" s="38" t="str">
        <x:v>不适用</x:v>
      </x:c>
      <x:c r="K238" s="38" t="str">
        <x:v>角色状态</x:v>
      </x:c>
      <x:c r="L238" s="38" t="str">
        <x:v>待经济反算</x:v>
      </x:c>
      <x:c r="M238" s="38" t="str">
        <x:v>十大陆NPC与配方总账V1.0</x:v>
      </x:c>
      <x:c r="N238" s="38" t="n">
        <x:f>COUNTIF('02_产出端'!$G$5:$G$600,A238)</x:f>
        <x:v>0</x:v>
      </x:c>
      <x:c r="O238" s="38" t="n">
        <x:f>COUNTIF('03_消耗端'!$E$5:$E$900,A238)</x:f>
        <x:v>1</x:v>
      </x:c>
      <x:c r="P238" s="38" t="str">
        <x:f>IF(C238="前置条件","条件",IF(AND(N238&gt;0,O238&gt;0),"循环闭合",IF(AND(N238&gt;0,OR(C238="装备",C238="装备/道具",C238="角色进度",C238="称号/进度",C238="系统结果")),"终端产物",IF(N238=0,"缺产出","缺消耗"))))</x:f>
        <x:v>条件</x:v>
      </x:c>
      <x:c r="Q238" s="39" t="str">
        <x:v>仅校验，不作为实物消耗。</x:v>
      </x:c>
    </x:row>
    <x:row r="239" ht="40" customHeight="1">
      <x:c r="A239" s="37" t="str">
        <x:v>REQ-A4BB72B143C5</x:v>
      </x:c>
      <x:c r="B239" s="38" t="str">
        <x:v>第1转</x:v>
      </x:c>
      <x:c r="C239" s="38" t="str">
        <x:v>前置条件</x:v>
      </x:c>
      <x:c r="D239" s="38" t="str">
        <x:v>状态/进度条件</x:v>
      </x:c>
      <x:c r="E239" s="38" t="str">
        <x:v>全服</x:v>
      </x:c>
      <x:c r="F239" s="38"/>
      <x:c r="G239" s="38"/>
      <x:c r="H239" s="38" t="str">
        <x:v>沿用现有脚本</x:v>
      </x:c>
      <x:c r="I239" s="38" t="str">
        <x:v>不可交易</x:v>
      </x:c>
      <x:c r="J239" s="38" t="str">
        <x:v>不适用</x:v>
      </x:c>
      <x:c r="K239" s="38" t="str">
        <x:v>角色状态</x:v>
      </x:c>
      <x:c r="L239" s="38" t="str">
        <x:v>待经济反算</x:v>
      </x:c>
      <x:c r="M239" s="38" t="str">
        <x:v>十大陆NPC与配方总账V1.0</x:v>
      </x:c>
      <x:c r="N239" s="38" t="n">
        <x:f>COUNTIF('02_产出端'!$G$5:$G$600,A239)</x:f>
        <x:v>0</x:v>
      </x:c>
      <x:c r="O239" s="38" t="n">
        <x:f>COUNTIF('03_消耗端'!$E$5:$E$900,A239)</x:f>
        <x:v>1</x:v>
      </x:c>
      <x:c r="P239" s="38" t="str">
        <x:f>IF(C239="前置条件","条件",IF(AND(N239&gt;0,O239&gt;0),"循环闭合",IF(AND(N239&gt;0,OR(C239="装备",C239="装备/道具",C239="角色进度",C239="称号/进度",C239="系统结果")),"终端产物",IF(N239=0,"缺产出","缺消耗"))))</x:f>
        <x:v>条件</x:v>
      </x:c>
      <x:c r="Q239" s="39" t="str">
        <x:v>仅校验，不作为实物消耗。</x:v>
      </x:c>
    </x:row>
    <x:row r="240" ht="40" customHeight="1">
      <x:c r="A240" s="37" t="str">
        <x:v>REQ-AB28C51404F5</x:v>
      </x:c>
      <x:c r="B240" s="38" t="str">
        <x:v>第2转</x:v>
      </x:c>
      <x:c r="C240" s="38" t="str">
        <x:v>前置条件</x:v>
      </x:c>
      <x:c r="D240" s="38" t="str">
        <x:v>状态/进度条件</x:v>
      </x:c>
      <x:c r="E240" s="38" t="str">
        <x:v>全服</x:v>
      </x:c>
      <x:c r="F240" s="38"/>
      <x:c r="G240" s="38"/>
      <x:c r="H240" s="38" t="str">
        <x:v>沿用现有脚本</x:v>
      </x:c>
      <x:c r="I240" s="38" t="str">
        <x:v>不可交易</x:v>
      </x:c>
      <x:c r="J240" s="38" t="str">
        <x:v>不适用</x:v>
      </x:c>
      <x:c r="K240" s="38" t="str">
        <x:v>角色状态</x:v>
      </x:c>
      <x:c r="L240" s="38" t="str">
        <x:v>待经济反算</x:v>
      </x:c>
      <x:c r="M240" s="38" t="str">
        <x:v>十大陆NPC与配方总账V1.0</x:v>
      </x:c>
      <x:c r="N240" s="38" t="n">
        <x:f>COUNTIF('02_产出端'!$G$5:$G$600,A240)</x:f>
        <x:v>0</x:v>
      </x:c>
      <x:c r="O240" s="38" t="n">
        <x:f>COUNTIF('03_消耗端'!$E$5:$E$900,A240)</x:f>
        <x:v>1</x:v>
      </x:c>
      <x:c r="P240" s="38" t="str">
        <x:f>IF(C240="前置条件","条件",IF(AND(N240&gt;0,O240&gt;0),"循环闭合",IF(AND(N240&gt;0,OR(C240="装备",C240="装备/道具",C240="角色进度",C240="称号/进度",C240="系统结果")),"终端产物",IF(N240=0,"缺产出","缺消耗"))))</x:f>
        <x:v>条件</x:v>
      </x:c>
      <x:c r="Q240" s="39" t="str">
        <x:v>仅校验，不作为实物消耗。</x:v>
      </x:c>
    </x:row>
    <x:row r="241" ht="40" customHeight="1">
      <x:c r="A241" s="37" t="str">
        <x:v>REQ-5CD3B8650B15</x:v>
      </x:c>
      <x:c r="B241" s="38" t="str">
        <x:v>第3转</x:v>
      </x:c>
      <x:c r="C241" s="38" t="str">
        <x:v>前置条件</x:v>
      </x:c>
      <x:c r="D241" s="38" t="str">
        <x:v>状态/进度条件</x:v>
      </x:c>
      <x:c r="E241" s="38" t="str">
        <x:v>全服</x:v>
      </x:c>
      <x:c r="F241" s="38"/>
      <x:c r="G241" s="38"/>
      <x:c r="H241" s="38" t="str">
        <x:v>沿用现有脚本</x:v>
      </x:c>
      <x:c r="I241" s="38" t="str">
        <x:v>不可交易</x:v>
      </x:c>
      <x:c r="J241" s="38" t="str">
        <x:v>不适用</x:v>
      </x:c>
      <x:c r="K241" s="38" t="str">
        <x:v>角色状态</x:v>
      </x:c>
      <x:c r="L241" s="38" t="str">
        <x:v>待经济反算</x:v>
      </x:c>
      <x:c r="M241" s="38" t="str">
        <x:v>十大陆NPC与配方总账V1.0</x:v>
      </x:c>
      <x:c r="N241" s="38" t="n">
        <x:f>COUNTIF('02_产出端'!$G$5:$G$600,A241)</x:f>
        <x:v>0</x:v>
      </x:c>
      <x:c r="O241" s="38" t="n">
        <x:f>COUNTIF('03_消耗端'!$E$5:$E$900,A241)</x:f>
        <x:v>1</x:v>
      </x:c>
      <x:c r="P241" s="38" t="str">
        <x:f>IF(C241="前置条件","条件",IF(AND(N241&gt;0,O241&gt;0),"循环闭合",IF(AND(N241&gt;0,OR(C241="装备",C241="装备/道具",C241="角色进度",C241="称号/进度",C241="系统结果")),"终端产物",IF(N241=0,"缺产出","缺消耗"))))</x:f>
        <x:v>条件</x:v>
      </x:c>
      <x:c r="Q241" s="39" t="str">
        <x:v>仅校验，不作为实物消耗。</x:v>
      </x:c>
    </x:row>
    <x:row r="242" ht="40" customHeight="1">
      <x:c r="A242" s="37" t="str">
        <x:v>REQ-5D5F26888AFC</x:v>
      </x:c>
      <x:c r="B242" s="38" t="str">
        <x:v>第4转</x:v>
      </x:c>
      <x:c r="C242" s="38" t="str">
        <x:v>前置条件</x:v>
      </x:c>
      <x:c r="D242" s="38" t="str">
        <x:v>状态/进度条件</x:v>
      </x:c>
      <x:c r="E242" s="38" t="str">
        <x:v>全服</x:v>
      </x:c>
      <x:c r="F242" s="38"/>
      <x:c r="G242" s="38"/>
      <x:c r="H242" s="38" t="str">
        <x:v>沿用现有脚本</x:v>
      </x:c>
      <x:c r="I242" s="38" t="str">
        <x:v>不可交易</x:v>
      </x:c>
      <x:c r="J242" s="38" t="str">
        <x:v>不适用</x:v>
      </x:c>
      <x:c r="K242" s="38" t="str">
        <x:v>角色状态</x:v>
      </x:c>
      <x:c r="L242" s="38" t="str">
        <x:v>待经济反算</x:v>
      </x:c>
      <x:c r="M242" s="38" t="str">
        <x:v>十大陆NPC与配方总账V1.0</x:v>
      </x:c>
      <x:c r="N242" s="38" t="n">
        <x:f>COUNTIF('02_产出端'!$G$5:$G$600,A242)</x:f>
        <x:v>0</x:v>
      </x:c>
      <x:c r="O242" s="38" t="n">
        <x:f>COUNTIF('03_消耗端'!$E$5:$E$900,A242)</x:f>
        <x:v>1</x:v>
      </x:c>
      <x:c r="P242" s="38" t="str">
        <x:f>IF(C242="前置条件","条件",IF(AND(N242&gt;0,O242&gt;0),"循环闭合",IF(AND(N242&gt;0,OR(C242="装备",C242="装备/道具",C242="角色进度",C242="称号/进度",C242="系统结果")),"终端产物",IF(N242=0,"缺产出","缺消耗"))))</x:f>
        <x:v>条件</x:v>
      </x:c>
      <x:c r="Q242" s="39" t="str">
        <x:v>仅校验，不作为实物消耗。</x:v>
      </x:c>
    </x:row>
    <x:row r="243" ht="40" customHeight="1">
      <x:c r="A243" s="37" t="str">
        <x:v>REQ-1D700D1FD989</x:v>
      </x:c>
      <x:c r="B243" s="38" t="str">
        <x:v>第5转</x:v>
      </x:c>
      <x:c r="C243" s="38" t="str">
        <x:v>前置条件</x:v>
      </x:c>
      <x:c r="D243" s="38" t="str">
        <x:v>状态/进度条件</x:v>
      </x:c>
      <x:c r="E243" s="38" t="str">
        <x:v>全服</x:v>
      </x:c>
      <x:c r="F243" s="38"/>
      <x:c r="G243" s="38"/>
      <x:c r="H243" s="38" t="str">
        <x:v>沿用现有脚本</x:v>
      </x:c>
      <x:c r="I243" s="38" t="str">
        <x:v>不可交易</x:v>
      </x:c>
      <x:c r="J243" s="38" t="str">
        <x:v>不适用</x:v>
      </x:c>
      <x:c r="K243" s="38" t="str">
        <x:v>角色状态</x:v>
      </x:c>
      <x:c r="L243" s="38" t="str">
        <x:v>待经济反算</x:v>
      </x:c>
      <x:c r="M243" s="38" t="str">
        <x:v>十大陆NPC与配方总账V1.0</x:v>
      </x:c>
      <x:c r="N243" s="38" t="n">
        <x:f>COUNTIF('02_产出端'!$G$5:$G$600,A243)</x:f>
        <x:v>0</x:v>
      </x:c>
      <x:c r="O243" s="38" t="n">
        <x:f>COUNTIF('03_消耗端'!$E$5:$E$900,A243)</x:f>
        <x:v>1</x:v>
      </x:c>
      <x:c r="P243" s="38" t="str">
        <x:f>IF(C243="前置条件","条件",IF(AND(N243&gt;0,O243&gt;0),"循环闭合",IF(AND(N243&gt;0,OR(C243="装备",C243="装备/道具",C243="角色进度",C243="称号/进度",C243="系统结果")),"终端产物",IF(N243=0,"缺产出","缺消耗"))))</x:f>
        <x:v>条件</x:v>
      </x:c>
      <x:c r="Q243" s="39" t="str">
        <x:v>仅校验，不作为实物消耗。</x:v>
      </x:c>
    </x:row>
    <x:row r="244" ht="40" customHeight="1">
      <x:c r="A244" s="37" t="str">
        <x:v>REQ-24A7867ADA3D</x:v>
      </x:c>
      <x:c r="B244" s="38" t="str">
        <x:v>第6转</x:v>
      </x:c>
      <x:c r="C244" s="38" t="str">
        <x:v>前置条件</x:v>
      </x:c>
      <x:c r="D244" s="38" t="str">
        <x:v>状态/进度条件</x:v>
      </x:c>
      <x:c r="E244" s="38" t="str">
        <x:v>全服</x:v>
      </x:c>
      <x:c r="F244" s="38"/>
      <x:c r="G244" s="38"/>
      <x:c r="H244" s="38" t="str">
        <x:v>沿用现有脚本</x:v>
      </x:c>
      <x:c r="I244" s="38" t="str">
        <x:v>不可交易</x:v>
      </x:c>
      <x:c r="J244" s="38" t="str">
        <x:v>不适用</x:v>
      </x:c>
      <x:c r="K244" s="38" t="str">
        <x:v>角色状态</x:v>
      </x:c>
      <x:c r="L244" s="38" t="str">
        <x:v>待经济反算</x:v>
      </x:c>
      <x:c r="M244" s="38" t="str">
        <x:v>十大陆NPC与配方总账V1.0</x:v>
      </x:c>
      <x:c r="N244" s="38" t="n">
        <x:f>COUNTIF('02_产出端'!$G$5:$G$600,A244)</x:f>
        <x:v>0</x:v>
      </x:c>
      <x:c r="O244" s="38" t="n">
        <x:f>COUNTIF('03_消耗端'!$E$5:$E$900,A244)</x:f>
        <x:v>1</x:v>
      </x:c>
      <x:c r="P244" s="38" t="str">
        <x:f>IF(C244="前置条件","条件",IF(AND(N244&gt;0,O244&gt;0),"循环闭合",IF(AND(N244&gt;0,OR(C244="装备",C244="装备/道具",C244="角色进度",C244="称号/进度",C244="系统结果")),"终端产物",IF(N244=0,"缺产出","缺消耗"))))</x:f>
        <x:v>条件</x:v>
      </x:c>
      <x:c r="Q244" s="39" t="str">
        <x:v>仅校验，不作为实物消耗。</x:v>
      </x:c>
    </x:row>
    <x:row r="245" ht="40" customHeight="1">
      <x:c r="A245" s="37" t="str">
        <x:v>REQ-55F7A0ACF1E6</x:v>
      </x:c>
      <x:c r="B245" s="38" t="str">
        <x:v>第7转</x:v>
      </x:c>
      <x:c r="C245" s="38" t="str">
        <x:v>前置条件</x:v>
      </x:c>
      <x:c r="D245" s="38" t="str">
        <x:v>状态/进度条件</x:v>
      </x:c>
      <x:c r="E245" s="38" t="str">
        <x:v>全服</x:v>
      </x:c>
      <x:c r="F245" s="38"/>
      <x:c r="G245" s="38"/>
      <x:c r="H245" s="38" t="str">
        <x:v>沿用现有脚本</x:v>
      </x:c>
      <x:c r="I245" s="38" t="str">
        <x:v>不可交易</x:v>
      </x:c>
      <x:c r="J245" s="38" t="str">
        <x:v>不适用</x:v>
      </x:c>
      <x:c r="K245" s="38" t="str">
        <x:v>角色状态</x:v>
      </x:c>
      <x:c r="L245" s="38" t="str">
        <x:v>待经济反算</x:v>
      </x:c>
      <x:c r="M245" s="38" t="str">
        <x:v>十大陆NPC与配方总账V1.0</x:v>
      </x:c>
      <x:c r="N245" s="38" t="n">
        <x:f>COUNTIF('02_产出端'!$G$5:$G$600,A245)</x:f>
        <x:v>0</x:v>
      </x:c>
      <x:c r="O245" s="38" t="n">
        <x:f>COUNTIF('03_消耗端'!$E$5:$E$900,A245)</x:f>
        <x:v>1</x:v>
      </x:c>
      <x:c r="P245" s="38" t="str">
        <x:f>IF(C245="前置条件","条件",IF(AND(N245&gt;0,O245&gt;0),"循环闭合",IF(AND(N245&gt;0,OR(C245="装备",C245="装备/道具",C245="角色进度",C245="称号/进度",C245="系统结果")),"终端产物",IF(N245=0,"缺产出","缺消耗"))))</x:f>
        <x:v>条件</x:v>
      </x:c>
      <x:c r="Q245" s="39" t="str">
        <x:v>仅校验，不作为实物消耗。</x:v>
      </x:c>
    </x:row>
    <x:row r="246" ht="40" customHeight="1">
      <x:c r="A246" s="37" t="str">
        <x:v>REQ-86D4EC93D335</x:v>
      </x:c>
      <x:c r="B246" s="38" t="str">
        <x:v>第8转</x:v>
      </x:c>
      <x:c r="C246" s="38" t="str">
        <x:v>前置条件</x:v>
      </x:c>
      <x:c r="D246" s="38" t="str">
        <x:v>状态/进度条件</x:v>
      </x:c>
      <x:c r="E246" s="38" t="str">
        <x:v>全服</x:v>
      </x:c>
      <x:c r="F246" s="38"/>
      <x:c r="G246" s="38"/>
      <x:c r="H246" s="38" t="str">
        <x:v>沿用现有脚本</x:v>
      </x:c>
      <x:c r="I246" s="38" t="str">
        <x:v>不可交易</x:v>
      </x:c>
      <x:c r="J246" s="38" t="str">
        <x:v>不适用</x:v>
      </x:c>
      <x:c r="K246" s="38" t="str">
        <x:v>角色状态</x:v>
      </x:c>
      <x:c r="L246" s="38" t="str">
        <x:v>待经济反算</x:v>
      </x:c>
      <x:c r="M246" s="38" t="str">
        <x:v>十大陆NPC与配方总账V1.0</x:v>
      </x:c>
      <x:c r="N246" s="38" t="n">
        <x:f>COUNTIF('02_产出端'!$G$5:$G$600,A246)</x:f>
        <x:v>0</x:v>
      </x:c>
      <x:c r="O246" s="38" t="n">
        <x:f>COUNTIF('03_消耗端'!$E$5:$E$900,A246)</x:f>
        <x:v>1</x:v>
      </x:c>
      <x:c r="P246" s="38" t="str">
        <x:f>IF(C246="前置条件","条件",IF(AND(N246&gt;0,O246&gt;0),"循环闭合",IF(AND(N246&gt;0,OR(C246="装备",C246="装备/道具",C246="角色进度",C246="称号/进度",C246="系统结果")),"终端产物",IF(N246=0,"缺产出","缺消耗"))))</x:f>
        <x:v>条件</x:v>
      </x:c>
      <x:c r="Q246" s="39" t="str">
        <x:v>仅校验，不作为实物消耗。</x:v>
      </x:c>
    </x:row>
    <x:row r="247" ht="40" customHeight="1">
      <x:c r="A247" s="37" t="str">
        <x:v>REQ-B4D88C4B2780</x:v>
      </x:c>
      <x:c r="B247" s="38" t="str">
        <x:v>第9转</x:v>
      </x:c>
      <x:c r="C247" s="38" t="str">
        <x:v>前置条件</x:v>
      </x:c>
      <x:c r="D247" s="38" t="str">
        <x:v>状态/进度条件</x:v>
      </x:c>
      <x:c r="E247" s="38" t="str">
        <x:v>全服</x:v>
      </x:c>
      <x:c r="F247" s="38"/>
      <x:c r="G247" s="38"/>
      <x:c r="H247" s="38" t="str">
        <x:v>沿用现有脚本</x:v>
      </x:c>
      <x:c r="I247" s="38" t="str">
        <x:v>不可交易</x:v>
      </x:c>
      <x:c r="J247" s="38" t="str">
        <x:v>不适用</x:v>
      </x:c>
      <x:c r="K247" s="38" t="str">
        <x:v>角色状态</x:v>
      </x:c>
      <x:c r="L247" s="38" t="str">
        <x:v>待经济反算</x:v>
      </x:c>
      <x:c r="M247" s="38" t="str">
        <x:v>十大陆NPC与配方总账V1.0</x:v>
      </x:c>
      <x:c r="N247" s="38" t="n">
        <x:f>COUNTIF('02_产出端'!$G$5:$G$600,A247)</x:f>
        <x:v>0</x:v>
      </x:c>
      <x:c r="O247" s="38" t="n">
        <x:f>COUNTIF('03_消耗端'!$E$5:$E$900,A247)</x:f>
        <x:v>1</x:v>
      </x:c>
      <x:c r="P247" s="38" t="str">
        <x:f>IF(C247="前置条件","条件",IF(AND(N247&gt;0,O247&gt;0),"循环闭合",IF(AND(N247&gt;0,OR(C247="装备",C247="装备/道具",C247="角色进度",C247="称号/进度",C247="系统结果")),"终端产物",IF(N247=0,"缺产出","缺消耗"))))</x:f>
        <x:v>条件</x:v>
      </x:c>
      <x:c r="Q247" s="39" t="str">
        <x:v>仅校验，不作为实物消耗。</x:v>
      </x:c>
    </x:row>
    <x:row r="248" ht="40" customHeight="1">
      <x:c r="A248" s="37" t="str">
        <x:v>REQ-7A2AB9174225</x:v>
      </x:c>
      <x:c r="B248" s="38" t="str">
        <x:v>第10转</x:v>
      </x:c>
      <x:c r="C248" s="38" t="str">
        <x:v>前置条件</x:v>
      </x:c>
      <x:c r="D248" s="38" t="str">
        <x:v>状态/进度条件</x:v>
      </x:c>
      <x:c r="E248" s="38" t="str">
        <x:v>全服</x:v>
      </x:c>
      <x:c r="F248" s="38"/>
      <x:c r="G248" s="38"/>
      <x:c r="H248" s="38" t="str">
        <x:v>沿用现有脚本</x:v>
      </x:c>
      <x:c r="I248" s="38" t="str">
        <x:v>不可交易</x:v>
      </x:c>
      <x:c r="J248" s="38" t="str">
        <x:v>不适用</x:v>
      </x:c>
      <x:c r="K248" s="38" t="str">
        <x:v>角色状态</x:v>
      </x:c>
      <x:c r="L248" s="38" t="str">
        <x:v>待经济反算</x:v>
      </x:c>
      <x:c r="M248" s="38" t="str">
        <x:v>十大陆NPC与配方总账V1.0</x:v>
      </x:c>
      <x:c r="N248" s="38" t="n">
        <x:f>COUNTIF('02_产出端'!$G$5:$G$600,A248)</x:f>
        <x:v>0</x:v>
      </x:c>
      <x:c r="O248" s="38" t="n">
        <x:f>COUNTIF('03_消耗端'!$E$5:$E$900,A248)</x:f>
        <x:v>1</x:v>
      </x:c>
      <x:c r="P248" s="38" t="str">
        <x:f>IF(C248="前置条件","条件",IF(AND(N248&gt;0,O248&gt;0),"循环闭合",IF(AND(N248&gt;0,OR(C248="装备",C248="装备/道具",C248="角色进度",C248="称号/进度",C248="系统结果")),"终端产物",IF(N248=0,"缺产出","缺消耗"))))</x:f>
        <x:v>条件</x:v>
      </x:c>
      <x:c r="Q248" s="39" t="str">
        <x:v>仅校验，不作为实物消耗。</x:v>
      </x:c>
    </x:row>
    <x:row r="249" ht="40" customHeight="1">
      <x:c r="A249" s="37" t="str">
        <x:v>REQ-661050E96CA3</x:v>
      </x:c>
      <x:c r="B249" s="38" t="str">
        <x:v>第11转</x:v>
      </x:c>
      <x:c r="C249" s="38" t="str">
        <x:v>前置条件</x:v>
      </x:c>
      <x:c r="D249" s="38" t="str">
        <x:v>状态/进度条件</x:v>
      </x:c>
      <x:c r="E249" s="38" t="str">
        <x:v>全服</x:v>
      </x:c>
      <x:c r="F249" s="38"/>
      <x:c r="G249" s="38"/>
      <x:c r="H249" s="38" t="str">
        <x:v>沿用现有脚本</x:v>
      </x:c>
      <x:c r="I249" s="38" t="str">
        <x:v>不可交易</x:v>
      </x:c>
      <x:c r="J249" s="38" t="str">
        <x:v>不适用</x:v>
      </x:c>
      <x:c r="K249" s="38" t="str">
        <x:v>角色状态</x:v>
      </x:c>
      <x:c r="L249" s="38" t="str">
        <x:v>待经济反算</x:v>
      </x:c>
      <x:c r="M249" s="38" t="str">
        <x:v>十大陆NPC与配方总账V1.0</x:v>
      </x:c>
      <x:c r="N249" s="38" t="n">
        <x:f>COUNTIF('02_产出端'!$G$5:$G$600,A249)</x:f>
        <x:v>0</x:v>
      </x:c>
      <x:c r="O249" s="38" t="n">
        <x:f>COUNTIF('03_消耗端'!$E$5:$E$900,A249)</x:f>
        <x:v>1</x:v>
      </x:c>
      <x:c r="P249" s="38" t="str">
        <x:f>IF(C249="前置条件","条件",IF(AND(N249&gt;0,O249&gt;0),"循环闭合",IF(AND(N249&gt;0,OR(C249="装备",C249="装备/道具",C249="角色进度",C249="称号/进度",C249="系统结果")),"终端产物",IF(N249=0,"缺产出","缺消耗"))))</x:f>
        <x:v>条件</x:v>
      </x:c>
      <x:c r="Q249" s="39" t="str">
        <x:v>仅校验，不作为实物消耗。</x:v>
      </x:c>
    </x:row>
    <x:row r="250" ht="40" customHeight="1">
      <x:c r="A250" s="37" t="str">
        <x:v>REQ-887B759BC23A</x:v>
      </x:c>
      <x:c r="B250" s="38" t="str">
        <x:v>第12转</x:v>
      </x:c>
      <x:c r="C250" s="38" t="str">
        <x:v>前置条件</x:v>
      </x:c>
      <x:c r="D250" s="38" t="str">
        <x:v>状态/进度条件</x:v>
      </x:c>
      <x:c r="E250" s="38" t="str">
        <x:v>全服</x:v>
      </x:c>
      <x:c r="F250" s="38"/>
      <x:c r="G250" s="38"/>
      <x:c r="H250" s="38" t="str">
        <x:v>沿用现有脚本</x:v>
      </x:c>
      <x:c r="I250" s="38" t="str">
        <x:v>不可交易</x:v>
      </x:c>
      <x:c r="J250" s="38" t="str">
        <x:v>不适用</x:v>
      </x:c>
      <x:c r="K250" s="38" t="str">
        <x:v>角色状态</x:v>
      </x:c>
      <x:c r="L250" s="38" t="str">
        <x:v>待经济反算</x:v>
      </x:c>
      <x:c r="M250" s="38" t="str">
        <x:v>十大陆NPC与配方总账V1.0</x:v>
      </x:c>
      <x:c r="N250" s="38" t="n">
        <x:f>COUNTIF('02_产出端'!$G$5:$G$600,A250)</x:f>
        <x:v>0</x:v>
      </x:c>
      <x:c r="O250" s="38" t="n">
        <x:f>COUNTIF('03_消耗端'!$E$5:$E$900,A250)</x:f>
        <x:v>1</x:v>
      </x:c>
      <x:c r="P250" s="38" t="str">
        <x:f>IF(C250="前置条件","条件",IF(AND(N250&gt;0,O250&gt;0),"循环闭合",IF(AND(N250&gt;0,OR(C250="装备",C250="装备/道具",C250="角色进度",C250="称号/进度",C250="系统结果")),"终端产物",IF(N250=0,"缺产出","缺消耗"))))</x:f>
        <x:v>条件</x:v>
      </x:c>
      <x:c r="Q250" s="39" t="str">
        <x:v>仅校验，不作为实物消耗。</x:v>
      </x:c>
    </x:row>
    <x:row r="251" ht="40" customHeight="1">
      <x:c r="A251" s="37" t="str">
        <x:v>REQ-7ADFDCEDBE70</x:v>
      </x:c>
      <x:c r="B251" s="38" t="str">
        <x:v>第13转</x:v>
      </x:c>
      <x:c r="C251" s="38" t="str">
        <x:v>前置条件</x:v>
      </x:c>
      <x:c r="D251" s="38" t="str">
        <x:v>状态/进度条件</x:v>
      </x:c>
      <x:c r="E251" s="38" t="str">
        <x:v>全服</x:v>
      </x:c>
      <x:c r="F251" s="38"/>
      <x:c r="G251" s="38"/>
      <x:c r="H251" s="38" t="str">
        <x:v>沿用现有脚本</x:v>
      </x:c>
      <x:c r="I251" s="38" t="str">
        <x:v>不可交易</x:v>
      </x:c>
      <x:c r="J251" s="38" t="str">
        <x:v>不适用</x:v>
      </x:c>
      <x:c r="K251" s="38" t="str">
        <x:v>角色状态</x:v>
      </x:c>
      <x:c r="L251" s="38" t="str">
        <x:v>待经济反算</x:v>
      </x:c>
      <x:c r="M251" s="38" t="str">
        <x:v>十大陆NPC与配方总账V1.0</x:v>
      </x:c>
      <x:c r="N251" s="38" t="n">
        <x:f>COUNTIF('02_产出端'!$G$5:$G$600,A251)</x:f>
        <x:v>0</x:v>
      </x:c>
      <x:c r="O251" s="38" t="n">
        <x:f>COUNTIF('03_消耗端'!$E$5:$E$900,A251)</x:f>
        <x:v>1</x:v>
      </x:c>
      <x:c r="P251" s="38" t="str">
        <x:f>IF(C251="前置条件","条件",IF(AND(N251&gt;0,O251&gt;0),"循环闭合",IF(AND(N251&gt;0,OR(C251="装备",C251="装备/道具",C251="角色进度",C251="称号/进度",C251="系统结果")),"终端产物",IF(N251=0,"缺产出","缺消耗"))))</x:f>
        <x:v>条件</x:v>
      </x:c>
      <x:c r="Q251" s="39" t="str">
        <x:v>仅校验，不作为实物消耗。</x:v>
      </x:c>
    </x:row>
    <x:row r="252" ht="40" customHeight="1">
      <x:c r="A252" s="37" t="str">
        <x:v>REQ-7D116170D022</x:v>
      </x:c>
      <x:c r="B252" s="38" t="str">
        <x:v>第14转</x:v>
      </x:c>
      <x:c r="C252" s="38" t="str">
        <x:v>前置条件</x:v>
      </x:c>
      <x:c r="D252" s="38" t="str">
        <x:v>状态/进度条件</x:v>
      </x:c>
      <x:c r="E252" s="38" t="str">
        <x:v>全服</x:v>
      </x:c>
      <x:c r="F252" s="38"/>
      <x:c r="G252" s="38"/>
      <x:c r="H252" s="38" t="str">
        <x:v>沿用现有脚本</x:v>
      </x:c>
      <x:c r="I252" s="38" t="str">
        <x:v>不可交易</x:v>
      </x:c>
      <x:c r="J252" s="38" t="str">
        <x:v>不适用</x:v>
      </x:c>
      <x:c r="K252" s="38" t="str">
        <x:v>角色状态</x:v>
      </x:c>
      <x:c r="L252" s="38" t="str">
        <x:v>待经济反算</x:v>
      </x:c>
      <x:c r="M252" s="38" t="str">
        <x:v>十大陆NPC与配方总账V1.0</x:v>
      </x:c>
      <x:c r="N252" s="38" t="n">
        <x:f>COUNTIF('02_产出端'!$G$5:$G$600,A252)</x:f>
        <x:v>0</x:v>
      </x:c>
      <x:c r="O252" s="38" t="n">
        <x:f>COUNTIF('03_消耗端'!$E$5:$E$900,A252)</x:f>
        <x:v>1</x:v>
      </x:c>
      <x:c r="P252" s="38" t="str">
        <x:f>IF(C252="前置条件","条件",IF(AND(N252&gt;0,O252&gt;0),"循环闭合",IF(AND(N252&gt;0,OR(C252="装备",C252="装备/道具",C252="角色进度",C252="称号/进度",C252="系统结果")),"终端产物",IF(N252=0,"缺产出","缺消耗"))))</x:f>
        <x:v>条件</x:v>
      </x:c>
      <x:c r="Q252" s="39" t="str">
        <x:v>仅校验，不作为实物消耗。</x:v>
      </x:c>
    </x:row>
    <x:row r="253" ht="40" customHeight="1">
      <x:c r="A253" s="37" t="str">
        <x:v>REQ-E3D9F477DA7D</x:v>
      </x:c>
      <x:c r="B253" s="38" t="str">
        <x:v>第15转</x:v>
      </x:c>
      <x:c r="C253" s="38" t="str">
        <x:v>前置条件</x:v>
      </x:c>
      <x:c r="D253" s="38" t="str">
        <x:v>状态/进度条件</x:v>
      </x:c>
      <x:c r="E253" s="38" t="str">
        <x:v>全服</x:v>
      </x:c>
      <x:c r="F253" s="38"/>
      <x:c r="G253" s="38"/>
      <x:c r="H253" s="38" t="str">
        <x:v>沿用现有脚本</x:v>
      </x:c>
      <x:c r="I253" s="38" t="str">
        <x:v>不可交易</x:v>
      </x:c>
      <x:c r="J253" s="38" t="str">
        <x:v>不适用</x:v>
      </x:c>
      <x:c r="K253" s="38" t="str">
        <x:v>角色状态</x:v>
      </x:c>
      <x:c r="L253" s="38" t="str">
        <x:v>待经济反算</x:v>
      </x:c>
      <x:c r="M253" s="38" t="str">
        <x:v>十大陆NPC与配方总账V1.0</x:v>
      </x:c>
      <x:c r="N253" s="38" t="n">
        <x:f>COUNTIF('02_产出端'!$G$5:$G$600,A253)</x:f>
        <x:v>0</x:v>
      </x:c>
      <x:c r="O253" s="38" t="n">
        <x:f>COUNTIF('03_消耗端'!$E$5:$E$900,A253)</x:f>
        <x:v>1</x:v>
      </x:c>
      <x:c r="P253" s="38" t="str">
        <x:f>IF(C253="前置条件","条件",IF(AND(N253&gt;0,O253&gt;0),"循环闭合",IF(AND(N253&gt;0,OR(C253="装备",C253="装备/道具",C253="角色进度",C253="称号/进度",C253="系统结果")),"终端产物",IF(N253=0,"缺产出","缺消耗"))))</x:f>
        <x:v>条件</x:v>
      </x:c>
      <x:c r="Q253" s="39" t="str">
        <x:v>仅校验，不作为实物消耗。</x:v>
      </x:c>
    </x:row>
    <x:row r="254" ht="40" customHeight="1">
      <x:c r="A254" s="37" t="str">
        <x:v>REQ-C0427E5E2BFD</x:v>
      </x:c>
      <x:c r="B254" s="38" t="str">
        <x:v>第16转</x:v>
      </x:c>
      <x:c r="C254" s="38" t="str">
        <x:v>前置条件</x:v>
      </x:c>
      <x:c r="D254" s="38" t="str">
        <x:v>状态/进度条件</x:v>
      </x:c>
      <x:c r="E254" s="38" t="str">
        <x:v>全服</x:v>
      </x:c>
      <x:c r="F254" s="38"/>
      <x:c r="G254" s="38"/>
      <x:c r="H254" s="38" t="str">
        <x:v>沿用现有脚本</x:v>
      </x:c>
      <x:c r="I254" s="38" t="str">
        <x:v>不可交易</x:v>
      </x:c>
      <x:c r="J254" s="38" t="str">
        <x:v>不适用</x:v>
      </x:c>
      <x:c r="K254" s="38" t="str">
        <x:v>角色状态</x:v>
      </x:c>
      <x:c r="L254" s="38" t="str">
        <x:v>待经济反算</x:v>
      </x:c>
      <x:c r="M254" s="38" t="str">
        <x:v>十大陆NPC与配方总账V1.0</x:v>
      </x:c>
      <x:c r="N254" s="38" t="n">
        <x:f>COUNTIF('02_产出端'!$G$5:$G$600,A254)</x:f>
        <x:v>0</x:v>
      </x:c>
      <x:c r="O254" s="38" t="n">
        <x:f>COUNTIF('03_消耗端'!$E$5:$E$900,A254)</x:f>
        <x:v>1</x:v>
      </x:c>
      <x:c r="P254" s="38" t="str">
        <x:f>IF(C254="前置条件","条件",IF(AND(N254&gt;0,O254&gt;0),"循环闭合",IF(AND(N254&gt;0,OR(C254="装备",C254="装备/道具",C254="角色进度",C254="称号/进度",C254="系统结果")),"终端产物",IF(N254=0,"缺产出","缺消耗"))))</x:f>
        <x:v>条件</x:v>
      </x:c>
      <x:c r="Q254" s="39" t="str">
        <x:v>仅校验，不作为实物消耗。</x:v>
      </x:c>
    </x:row>
    <x:row r="255" ht="40" customHeight="1">
      <x:c r="A255" s="37" t="str">
        <x:v>REQ-70C4C451586A</x:v>
      </x:c>
      <x:c r="B255" s="38" t="str">
        <x:v>第17转</x:v>
      </x:c>
      <x:c r="C255" s="38" t="str">
        <x:v>前置条件</x:v>
      </x:c>
      <x:c r="D255" s="38" t="str">
        <x:v>状态/进度条件</x:v>
      </x:c>
      <x:c r="E255" s="38" t="str">
        <x:v>全服</x:v>
      </x:c>
      <x:c r="F255" s="38"/>
      <x:c r="G255" s="38"/>
      <x:c r="H255" s="38" t="str">
        <x:v>沿用现有脚本</x:v>
      </x:c>
      <x:c r="I255" s="38" t="str">
        <x:v>不可交易</x:v>
      </x:c>
      <x:c r="J255" s="38" t="str">
        <x:v>不适用</x:v>
      </x:c>
      <x:c r="K255" s="38" t="str">
        <x:v>角色状态</x:v>
      </x:c>
      <x:c r="L255" s="38" t="str">
        <x:v>待经济反算</x:v>
      </x:c>
      <x:c r="M255" s="38" t="str">
        <x:v>十大陆NPC与配方总账V1.0</x:v>
      </x:c>
      <x:c r="N255" s="38" t="n">
        <x:f>COUNTIF('02_产出端'!$G$5:$G$600,A255)</x:f>
        <x:v>0</x:v>
      </x:c>
      <x:c r="O255" s="38" t="n">
        <x:f>COUNTIF('03_消耗端'!$E$5:$E$900,A255)</x:f>
        <x:v>1</x:v>
      </x:c>
      <x:c r="P255" s="38" t="str">
        <x:f>IF(C255="前置条件","条件",IF(AND(N255&gt;0,O255&gt;0),"循环闭合",IF(AND(N255&gt;0,OR(C255="装备",C255="装备/道具",C255="角色进度",C255="称号/进度",C255="系统结果")),"终端产物",IF(N255=0,"缺产出","缺消耗"))))</x:f>
        <x:v>条件</x:v>
      </x:c>
      <x:c r="Q255" s="39" t="str">
        <x:v>仅校验，不作为实物消耗。</x:v>
      </x:c>
    </x:row>
    <x:row r="256" ht="40" customHeight="1">
      <x:c r="A256" s="37" t="str">
        <x:v>REQ-CA3DF4A23DD9</x:v>
      </x:c>
      <x:c r="B256" s="38" t="str">
        <x:v>第18转</x:v>
      </x:c>
      <x:c r="C256" s="38" t="str">
        <x:v>前置条件</x:v>
      </x:c>
      <x:c r="D256" s="38" t="str">
        <x:v>状态/进度条件</x:v>
      </x:c>
      <x:c r="E256" s="38" t="str">
        <x:v>全服</x:v>
      </x:c>
      <x:c r="F256" s="38"/>
      <x:c r="G256" s="38"/>
      <x:c r="H256" s="38" t="str">
        <x:v>沿用现有脚本</x:v>
      </x:c>
      <x:c r="I256" s="38" t="str">
        <x:v>不可交易</x:v>
      </x:c>
      <x:c r="J256" s="38" t="str">
        <x:v>不适用</x:v>
      </x:c>
      <x:c r="K256" s="38" t="str">
        <x:v>角色状态</x:v>
      </x:c>
      <x:c r="L256" s="38" t="str">
        <x:v>待经济反算</x:v>
      </x:c>
      <x:c r="M256" s="38" t="str">
        <x:v>十大陆NPC与配方总账V1.0</x:v>
      </x:c>
      <x:c r="N256" s="38" t="n">
        <x:f>COUNTIF('02_产出端'!$G$5:$G$600,A256)</x:f>
        <x:v>0</x:v>
      </x:c>
      <x:c r="O256" s="38" t="n">
        <x:f>COUNTIF('03_消耗端'!$E$5:$E$900,A256)</x:f>
        <x:v>1</x:v>
      </x:c>
      <x:c r="P256" s="38" t="str">
        <x:f>IF(C256="前置条件","条件",IF(AND(N256&gt;0,O256&gt;0),"循环闭合",IF(AND(N256&gt;0,OR(C256="装备",C256="装备/道具",C256="角色进度",C256="称号/进度",C256="系统结果")),"终端产物",IF(N256=0,"缺产出","缺消耗"))))</x:f>
        <x:v>条件</x:v>
      </x:c>
      <x:c r="Q256" s="39" t="str">
        <x:v>仅校验，不作为实物消耗。</x:v>
      </x:c>
    </x:row>
    <x:row r="257" ht="40" customHeight="1">
      <x:c r="A257" s="37" t="str">
        <x:v>REQ-8FE42CA21460</x:v>
      </x:c>
      <x:c r="B257" s="38" t="str">
        <x:v>第19转</x:v>
      </x:c>
      <x:c r="C257" s="38" t="str">
        <x:v>前置条件</x:v>
      </x:c>
      <x:c r="D257" s="38" t="str">
        <x:v>状态/进度条件</x:v>
      </x:c>
      <x:c r="E257" s="38" t="str">
        <x:v>全服</x:v>
      </x:c>
      <x:c r="F257" s="38"/>
      <x:c r="G257" s="38"/>
      <x:c r="H257" s="38" t="str">
        <x:v>沿用现有脚本</x:v>
      </x:c>
      <x:c r="I257" s="38" t="str">
        <x:v>不可交易</x:v>
      </x:c>
      <x:c r="J257" s="38" t="str">
        <x:v>不适用</x:v>
      </x:c>
      <x:c r="K257" s="38" t="str">
        <x:v>角色状态</x:v>
      </x:c>
      <x:c r="L257" s="38" t="str">
        <x:v>待经济反算</x:v>
      </x:c>
      <x:c r="M257" s="38" t="str">
        <x:v>十大陆NPC与配方总账V1.0</x:v>
      </x:c>
      <x:c r="N257" s="38" t="n">
        <x:f>COUNTIF('02_产出端'!$G$5:$G$600,A257)</x:f>
        <x:v>0</x:v>
      </x:c>
      <x:c r="O257" s="38" t="n">
        <x:f>COUNTIF('03_消耗端'!$E$5:$E$900,A257)</x:f>
        <x:v>1</x:v>
      </x:c>
      <x:c r="P257" s="38" t="str">
        <x:f>IF(C257="前置条件","条件",IF(AND(N257&gt;0,O257&gt;0),"循环闭合",IF(AND(N257&gt;0,OR(C257="装备",C257="装备/道具",C257="角色进度",C257="称号/进度",C257="系统结果")),"终端产物",IF(N257=0,"缺产出","缺消耗"))))</x:f>
        <x:v>条件</x:v>
      </x:c>
      <x:c r="Q257" s="39" t="str">
        <x:v>仅校验，不作为实物消耗。</x:v>
      </x:c>
    </x:row>
    <x:row r="258" ht="40" customHeight="1">
      <x:c r="A258" s="37" t="str">
        <x:v>COLL-C01-EXCLUSIVE-SET</x:v>
      </x:c>
      <x:c r="B258" s="38" t="str">
        <x:v>漂流群岛地图专属装备（逐件登记聚合）</x:v>
      </x:c>
      <x:c r="C258" s="38" t="str">
        <x:v>装备集合</x:v>
      </x:c>
      <x:c r="D258" s="38" t="str">
        <x:v>专属装备图鉴输入</x:v>
      </x:c>
      <x:c r="E258" s="38" t="str">
        <x:v>C01</x:v>
      </x:c>
      <x:c r="F258" s="38"/>
      <x:c r="G258" s="38"/>
      <x:c r="H258" s="38" t="str">
        <x:v>结构已确认；数值待经济反算</x:v>
      </x:c>
      <x:c r="I258" s="38" t="str">
        <x:v>登记前可交易；登记消耗实物1件</x:v>
      </x:c>
      <x:c r="J258" s="38" t="str">
        <x:v>登记与回收/分解为互斥去向，不重复计值</x:v>
      </x:c>
      <x:c r="K258" s="38" t="str">
        <x:v>登记结果角色绑定</x:v>
      </x:c>
      <x:c r="L258" s="38" t="str">
        <x:v>每件实物×1；总件数取地图装备清单</x:v>
      </x:c>
      <x:c r="M258" s="38" t="str">
        <x:v>十大陆NPC与配方总账V1.0</x:v>
      </x:c>
      <x:c r="N258" s="38" t="n">
        <x:f>COUNTIF('02_产出端'!$G$5:$G$600,A258)</x:f>
        <x:v>0</x:v>
      </x:c>
      <x:c r="O258" s="38" t="n">
        <x:f>COUNTIF('03_消耗端'!$E$5:$E$900,A258)</x:f>
        <x:v>1</x:v>
      </x:c>
      <x:c r="P258" s="38" t="str">
        <x:f>IF(C258="前置条件","条件",IF(AND(N258&gt;0,O258&gt;0),"循环闭合",IF(AND(N258&gt;0,OR(C258="装备",C258="装备/道具",C258="角色进度",C258="称号/进度",C258="系统结果")),"终端产物",IF(N258=0,"缺产出","缺消耗"))))</x:f>
        <x:v>缺产出</x:v>
      </x:c>
      <x:c r="Q258" s="39" t="str">
        <x:v>图鉴页面/命令直接操作，不设NPC、不收货币；整图/整大陆完成奖励韧性。</x:v>
      </x:c>
    </x:row>
    <x:row r="259" ht="40" customHeight="1">
      <x:c r="A259" s="37" t="str">
        <x:v>COLL-C02-EXCLUSIVE-SET</x:v>
      </x:c>
      <x:c r="B259" s="38" t="str">
        <x:v>宁姆格福地图专属装备（逐件登记聚合）</x:v>
      </x:c>
      <x:c r="C259" s="38" t="str">
        <x:v>装备集合</x:v>
      </x:c>
      <x:c r="D259" s="38" t="str">
        <x:v>专属装备图鉴输入</x:v>
      </x:c>
      <x:c r="E259" s="38" t="str">
        <x:v>C02</x:v>
      </x:c>
      <x:c r="F259" s="38"/>
      <x:c r="G259" s="38"/>
      <x:c r="H259" s="38" t="str">
        <x:v>结构已确认；数值待经济反算</x:v>
      </x:c>
      <x:c r="I259" s="38" t="str">
        <x:v>登记前可交易；登记消耗实物1件</x:v>
      </x:c>
      <x:c r="J259" s="38" t="str">
        <x:v>登记与回收/分解为互斥去向，不重复计值</x:v>
      </x:c>
      <x:c r="K259" s="38" t="str">
        <x:v>登记结果角色绑定</x:v>
      </x:c>
      <x:c r="L259" s="38" t="str">
        <x:v>每件实物×1；总件数取地图装备清单</x:v>
      </x:c>
      <x:c r="M259" s="38" t="str">
        <x:v>十大陆NPC与配方总账V1.0</x:v>
      </x:c>
      <x:c r="N259" s="38" t="n">
        <x:f>COUNTIF('02_产出端'!$G$5:$G$600,A259)</x:f>
        <x:v>0</x:v>
      </x:c>
      <x:c r="O259" s="38" t="n">
        <x:f>COUNTIF('03_消耗端'!$E$5:$E$900,A259)</x:f>
        <x:v>1</x:v>
      </x:c>
      <x:c r="P259" s="38" t="str">
        <x:f>IF(C259="前置条件","条件",IF(AND(N259&gt;0,O259&gt;0),"循环闭合",IF(AND(N259&gt;0,OR(C259="装备",C259="装备/道具",C259="角色进度",C259="称号/进度",C259="系统结果")),"终端产物",IF(N259=0,"缺产出","缺消耗"))))</x:f>
        <x:v>缺产出</x:v>
      </x:c>
      <x:c r="Q259" s="39" t="str">
        <x:v>图鉴页面/命令直接操作，不设NPC、不收货币；整图/整大陆完成奖励韧性。</x:v>
      </x:c>
    </x:row>
    <x:row r="260" ht="40" customHeight="1">
      <x:c r="A260" s="37" t="str">
        <x:v>COLL-C03-EXCLUSIVE-SET</x:v>
      </x:c>
      <x:c r="B260" s="38" t="str">
        <x:v>宁姆格福西域地图专属装备（逐件登记聚合）</x:v>
      </x:c>
      <x:c r="C260" s="38" t="str">
        <x:v>装备集合</x:v>
      </x:c>
      <x:c r="D260" s="38" t="str">
        <x:v>专属装备图鉴输入</x:v>
      </x:c>
      <x:c r="E260" s="38" t="str">
        <x:v>C03</x:v>
      </x:c>
      <x:c r="F260" s="38"/>
      <x:c r="G260" s="38"/>
      <x:c r="H260" s="38" t="str">
        <x:v>结构已确认；数值待经济反算</x:v>
      </x:c>
      <x:c r="I260" s="38" t="str">
        <x:v>登记前可交易；登记消耗实物1件</x:v>
      </x:c>
      <x:c r="J260" s="38" t="str">
        <x:v>登记与回收/分解为互斥去向，不重复计值</x:v>
      </x:c>
      <x:c r="K260" s="38" t="str">
        <x:v>登记结果角色绑定</x:v>
      </x:c>
      <x:c r="L260" s="38" t="str">
        <x:v>每件实物×1；总件数取地图装备清单</x:v>
      </x:c>
      <x:c r="M260" s="38" t="str">
        <x:v>十大陆NPC与配方总账V1.0</x:v>
      </x:c>
      <x:c r="N260" s="38" t="n">
        <x:f>COUNTIF('02_产出端'!$G$5:$G$600,A260)</x:f>
        <x:v>0</x:v>
      </x:c>
      <x:c r="O260" s="38" t="n">
        <x:f>COUNTIF('03_消耗端'!$E$5:$E$900,A260)</x:f>
        <x:v>1</x:v>
      </x:c>
      <x:c r="P260" s="38" t="str">
        <x:f>IF(C260="前置条件","条件",IF(AND(N260&gt;0,O260&gt;0),"循环闭合",IF(AND(N260&gt;0,OR(C260="装备",C260="装备/道具",C260="角色进度",C260="称号/进度",C260="系统结果")),"终端产物",IF(N260=0,"缺产出","缺消耗"))))</x:f>
        <x:v>缺产出</x:v>
      </x:c>
      <x:c r="Q260" s="39" t="str">
        <x:v>图鉴页面/命令直接操作，不设NPC、不收货币；整图/整大陆完成奖励韧性。</x:v>
      </x:c>
    </x:row>
    <x:row r="261" ht="40" customHeight="1">
      <x:c r="A261" s="37" t="str">
        <x:v>COLL-C04-EXCLUSIVE-SET</x:v>
      </x:c>
      <x:c r="B261" s="38" t="str">
        <x:v>利耶尼亚海域地图专属装备（逐件登记聚合）</x:v>
      </x:c>
      <x:c r="C261" s="38" t="str">
        <x:v>装备集合</x:v>
      </x:c>
      <x:c r="D261" s="38" t="str">
        <x:v>专属装备图鉴输入</x:v>
      </x:c>
      <x:c r="E261" s="38" t="str">
        <x:v>C04</x:v>
      </x:c>
      <x:c r="F261" s="38"/>
      <x:c r="G261" s="38"/>
      <x:c r="H261" s="38" t="str">
        <x:v>结构已确认；数值待经济反算</x:v>
      </x:c>
      <x:c r="I261" s="38" t="str">
        <x:v>登记前可交易；登记消耗实物1件</x:v>
      </x:c>
      <x:c r="J261" s="38" t="str">
        <x:v>登记与回收/分解为互斥去向，不重复计值</x:v>
      </x:c>
      <x:c r="K261" s="38" t="str">
        <x:v>登记结果角色绑定</x:v>
      </x:c>
      <x:c r="L261" s="38" t="str">
        <x:v>每件实物×1；总件数取地图装备清单</x:v>
      </x:c>
      <x:c r="M261" s="38" t="str">
        <x:v>十大陆NPC与配方总账V1.0</x:v>
      </x:c>
      <x:c r="N261" s="38" t="n">
        <x:f>COUNTIF('02_产出端'!$G$5:$G$600,A261)</x:f>
        <x:v>0</x:v>
      </x:c>
      <x:c r="O261" s="38" t="n">
        <x:f>COUNTIF('03_消耗端'!$E$5:$E$900,A261)</x:f>
        <x:v>1</x:v>
      </x:c>
      <x:c r="P261" s="38" t="str">
        <x:f>IF(C261="前置条件","条件",IF(AND(N261&gt;0,O261&gt;0),"循环闭合",IF(AND(N261&gt;0,OR(C261="装备",C261="装备/道具",C261="角色进度",C261="称号/进度",C261="系统结果")),"终端产物",IF(N261=0,"缺产出","缺消耗"))))</x:f>
        <x:v>缺产出</x:v>
      </x:c>
      <x:c r="Q261" s="39" t="str">
        <x:v>图鉴页面/命令直接操作，不设NPC、不收货币；整图/整大陆完成奖励韧性。</x:v>
      </x:c>
    </x:row>
    <x:row r="262" ht="40" customHeight="1">
      <x:c r="A262" s="37" t="str">
        <x:v>COLL-C05-EXCLUSIVE-SET</x:v>
      </x:c>
      <x:c r="B262" s="38" t="str">
        <x:v>湖之利耶尼亚地图专属装备（逐件登记聚合）</x:v>
      </x:c>
      <x:c r="C262" s="38" t="str">
        <x:v>装备集合</x:v>
      </x:c>
      <x:c r="D262" s="38" t="str">
        <x:v>专属装备图鉴输入</x:v>
      </x:c>
      <x:c r="E262" s="38" t="str">
        <x:v>C05</x:v>
      </x:c>
      <x:c r="F262" s="38"/>
      <x:c r="G262" s="38"/>
      <x:c r="H262" s="38" t="str">
        <x:v>结构已确认；数值待经济反算</x:v>
      </x:c>
      <x:c r="I262" s="38" t="str">
        <x:v>登记前可交易；登记消耗实物1件</x:v>
      </x:c>
      <x:c r="J262" s="38" t="str">
        <x:v>登记与回收/分解为互斥去向，不重复计值</x:v>
      </x:c>
      <x:c r="K262" s="38" t="str">
        <x:v>登记结果角色绑定</x:v>
      </x:c>
      <x:c r="L262" s="38" t="str">
        <x:v>每件实物×1；总件数取地图装备清单</x:v>
      </x:c>
      <x:c r="M262" s="38" t="str">
        <x:v>十大陆NPC与配方总账V1.0</x:v>
      </x:c>
      <x:c r="N262" s="38" t="n">
        <x:f>COUNTIF('02_产出端'!$G$5:$G$600,A262)</x:f>
        <x:v>0</x:v>
      </x:c>
      <x:c r="O262" s="38" t="n">
        <x:f>COUNTIF('03_消耗端'!$E$5:$E$900,A262)</x:f>
        <x:v>1</x:v>
      </x:c>
      <x:c r="P262" s="38" t="str">
        <x:f>IF(C262="前置条件","条件",IF(AND(N262&gt;0,O262&gt;0),"循环闭合",IF(AND(N262&gt;0,OR(C262="装备",C262="装备/道具",C262="角色进度",C262="称号/进度",C262="系统结果")),"终端产物",IF(N262=0,"缺产出","缺消耗"))))</x:f>
        <x:v>缺产出</x:v>
      </x:c>
      <x:c r="Q262" s="39" t="str">
        <x:v>图鉴页面/命令直接操作，不设NPC、不收货币；整图/整大陆完成奖励韧性。</x:v>
      </x:c>
    </x:row>
    <x:row r="263" ht="40" customHeight="1">
      <x:c r="A263" s="37" t="str">
        <x:v>COLL-C06-EXCLUSIVE-SET</x:v>
      </x:c>
      <x:c r="B263" s="38" t="str">
        <x:v>盖利德地图专属装备（逐件登记聚合）</x:v>
      </x:c>
      <x:c r="C263" s="38" t="str">
        <x:v>装备集合</x:v>
      </x:c>
      <x:c r="D263" s="38" t="str">
        <x:v>专属装备图鉴输入</x:v>
      </x:c>
      <x:c r="E263" s="38" t="str">
        <x:v>C06</x:v>
      </x:c>
      <x:c r="F263" s="38"/>
      <x:c r="G263" s="38"/>
      <x:c r="H263" s="38" t="str">
        <x:v>结构已确认；数值待经济反算</x:v>
      </x:c>
      <x:c r="I263" s="38" t="str">
        <x:v>登记前可交易；登记消耗实物1件</x:v>
      </x:c>
      <x:c r="J263" s="38" t="str">
        <x:v>登记与回收/分解为互斥去向，不重复计值</x:v>
      </x:c>
      <x:c r="K263" s="38" t="str">
        <x:v>登记结果角色绑定</x:v>
      </x:c>
      <x:c r="L263" s="38" t="str">
        <x:v>每件实物×1；总件数取地图装备清单</x:v>
      </x:c>
      <x:c r="M263" s="38" t="str">
        <x:v>十大陆NPC与配方总账V1.0</x:v>
      </x:c>
      <x:c r="N263" s="38" t="n">
        <x:f>COUNTIF('02_产出端'!$G$5:$G$600,A263)</x:f>
        <x:v>0</x:v>
      </x:c>
      <x:c r="O263" s="38" t="n">
        <x:f>COUNTIF('03_消耗端'!$E$5:$E$900,A263)</x:f>
        <x:v>1</x:v>
      </x:c>
      <x:c r="P263" s="38" t="str">
        <x:f>IF(C263="前置条件","条件",IF(AND(N263&gt;0,O263&gt;0),"循环闭合",IF(AND(N263&gt;0,OR(C263="装备",C263="装备/道具",C263="角色进度",C263="称号/进度",C263="系统结果")),"终端产物",IF(N263=0,"缺产出","缺消耗"))))</x:f>
        <x:v>缺产出</x:v>
      </x:c>
      <x:c r="Q263" s="39" t="str">
        <x:v>图鉴页面/命令直接操作，不设NPC、不收货币；整图/整大陆完成奖励韧性。</x:v>
      </x:c>
    </x:row>
    <x:row r="264" ht="40" customHeight="1">
      <x:c r="A264" s="37" t="str">
        <x:v>COLL-C07-EXCLUSIVE-SET</x:v>
      </x:c>
      <x:c r="B264" s="38" t="str">
        <x:v>化圣雪原地图专属装备（逐件登记聚合）</x:v>
      </x:c>
      <x:c r="C264" s="38" t="str">
        <x:v>装备集合</x:v>
      </x:c>
      <x:c r="D264" s="38" t="str">
        <x:v>专属装备图鉴输入</x:v>
      </x:c>
      <x:c r="E264" s="38" t="str">
        <x:v>C07</x:v>
      </x:c>
      <x:c r="F264" s="38"/>
      <x:c r="G264" s="38"/>
      <x:c r="H264" s="38" t="str">
        <x:v>结构已确认；数值待经济反算</x:v>
      </x:c>
      <x:c r="I264" s="38" t="str">
        <x:v>登记前可交易；登记消耗实物1件</x:v>
      </x:c>
      <x:c r="J264" s="38" t="str">
        <x:v>登记与回收/分解为互斥去向，不重复计值</x:v>
      </x:c>
      <x:c r="K264" s="38" t="str">
        <x:v>登记结果角色绑定</x:v>
      </x:c>
      <x:c r="L264" s="38" t="str">
        <x:v>每件实物×1；总件数取地图装备清单</x:v>
      </x:c>
      <x:c r="M264" s="38" t="str">
        <x:v>十大陆NPC与配方总账V1.0</x:v>
      </x:c>
      <x:c r="N264" s="38" t="n">
        <x:f>COUNTIF('02_产出端'!$G$5:$G$600,A264)</x:f>
        <x:v>0</x:v>
      </x:c>
      <x:c r="O264" s="38" t="n">
        <x:f>COUNTIF('03_消耗端'!$E$5:$E$900,A264)</x:f>
        <x:v>1</x:v>
      </x:c>
      <x:c r="P264" s="38" t="str">
        <x:f>IF(C264="前置条件","条件",IF(AND(N264&gt;0,O264&gt;0),"循环闭合",IF(AND(N264&gt;0,OR(C264="装备",C264="装备/道具",C264="角色进度",C264="称号/进度",C264="系统结果")),"终端产物",IF(N264=0,"缺产出","缺消耗"))))</x:f>
        <x:v>缺产出</x:v>
      </x:c>
      <x:c r="Q264" s="39" t="str">
        <x:v>图鉴页面/命令直接操作，不设NPC、不收货币；整图/整大陆完成奖励韧性。</x:v>
      </x:c>
    </x:row>
    <x:row r="265" ht="40" customHeight="1">
      <x:c r="A265" s="37" t="str">
        <x:v>COLL-C08-EXCLUSIVE-SET</x:v>
      </x:c>
      <x:c r="B265" s="38" t="str">
        <x:v>巨人山顶地图专属装备（逐件登记聚合）</x:v>
      </x:c>
      <x:c r="C265" s="38" t="str">
        <x:v>装备集合</x:v>
      </x:c>
      <x:c r="D265" s="38" t="str">
        <x:v>专属装备图鉴输入</x:v>
      </x:c>
      <x:c r="E265" s="38" t="str">
        <x:v>C08</x:v>
      </x:c>
      <x:c r="F265" s="38"/>
      <x:c r="G265" s="38"/>
      <x:c r="H265" s="38" t="str">
        <x:v>结构已确认；数值待经济反算</x:v>
      </x:c>
      <x:c r="I265" s="38" t="str">
        <x:v>登记前可交易；登记消耗实物1件</x:v>
      </x:c>
      <x:c r="J265" s="38" t="str">
        <x:v>登记与回收/分解为互斥去向，不重复计值</x:v>
      </x:c>
      <x:c r="K265" s="38" t="str">
        <x:v>登记结果角色绑定</x:v>
      </x:c>
      <x:c r="L265" s="38" t="str">
        <x:v>每件实物×1；总件数取地图装备清单</x:v>
      </x:c>
      <x:c r="M265" s="38" t="str">
        <x:v>十大陆NPC与配方总账V1.0</x:v>
      </x:c>
      <x:c r="N265" s="38" t="n">
        <x:f>COUNTIF('02_产出端'!$G$5:$G$600,A265)</x:f>
        <x:v>0</x:v>
      </x:c>
      <x:c r="O265" s="38" t="n">
        <x:f>COUNTIF('03_消耗端'!$E$5:$E$900,A265)</x:f>
        <x:v>1</x:v>
      </x:c>
      <x:c r="P265" s="38" t="str">
        <x:f>IF(C265="前置条件","条件",IF(AND(N265&gt;0,O265&gt;0),"循环闭合",IF(AND(N265&gt;0,OR(C265="装备",C265="装备/道具",C265="角色进度",C265="称号/进度",C265="系统结果")),"终端产物",IF(N265=0,"缺产出","缺消耗"))))</x:f>
        <x:v>缺产出</x:v>
      </x:c>
      <x:c r="Q265" s="39" t="str">
        <x:v>图鉴页面/命令直接操作，不设NPC、不收货币；整图/整大陆完成奖励韧性。</x:v>
      </x:c>
    </x:row>
    <x:row r="266" ht="40" customHeight="1">
      <x:c r="A266" s="37" t="str">
        <x:v>COLL-C09-EXCLUSIVE-SET</x:v>
      </x:c>
      <x:c r="B266" s="38" t="str">
        <x:v>亚坛高原地图专属装备（逐件登记聚合）</x:v>
      </x:c>
      <x:c r="C266" s="38" t="str">
        <x:v>装备集合</x:v>
      </x:c>
      <x:c r="D266" s="38" t="str">
        <x:v>专属装备图鉴输入</x:v>
      </x:c>
      <x:c r="E266" s="38" t="str">
        <x:v>C09</x:v>
      </x:c>
      <x:c r="F266" s="38"/>
      <x:c r="G266" s="38"/>
      <x:c r="H266" s="38" t="str">
        <x:v>结构已确认；数值待经济反算</x:v>
      </x:c>
      <x:c r="I266" s="38" t="str">
        <x:v>登记前可交易；登记消耗实物1件</x:v>
      </x:c>
      <x:c r="J266" s="38" t="str">
        <x:v>登记与回收/分解为互斥去向，不重复计值</x:v>
      </x:c>
      <x:c r="K266" s="38" t="str">
        <x:v>登记结果角色绑定</x:v>
      </x:c>
      <x:c r="L266" s="38" t="str">
        <x:v>每件实物×1；总件数取地图装备清单</x:v>
      </x:c>
      <x:c r="M266" s="38" t="str">
        <x:v>十大陆NPC与配方总账V1.0</x:v>
      </x:c>
      <x:c r="N266" s="38" t="n">
        <x:f>COUNTIF('02_产出端'!$G$5:$G$600,A266)</x:f>
        <x:v>0</x:v>
      </x:c>
      <x:c r="O266" s="38" t="n">
        <x:f>COUNTIF('03_消耗端'!$E$5:$E$900,A266)</x:f>
        <x:v>1</x:v>
      </x:c>
      <x:c r="P266" s="38" t="str">
        <x:f>IF(C266="前置条件","条件",IF(AND(N266&gt;0,O266&gt;0),"循环闭合",IF(AND(N266&gt;0,OR(C266="装备",C266="装备/道具",C266="角色进度",C266="称号/进度",C266="系统结果")),"终端产物",IF(N266=0,"缺产出","缺消耗"))))</x:f>
        <x:v>缺产出</x:v>
      </x:c>
      <x:c r="Q266" s="39" t="str">
        <x:v>图鉴页面/命令直接操作，不设NPC、不收货币；整图/整大陆完成奖励韧性。</x:v>
      </x:c>
    </x:row>
    <x:row r="267" ht="40" customHeight="1">
      <x:c r="A267" s="40" t="str">
        <x:v>COLL-C10-EXCLUSIVE-SET</x:v>
      </x:c>
      <x:c r="B267" s="41" t="str">
        <x:v>王城罗德尔地图专属装备（逐件登记聚合）</x:v>
      </x:c>
      <x:c r="C267" s="41" t="str">
        <x:v>装备集合</x:v>
      </x:c>
      <x:c r="D267" s="41" t="str">
        <x:v>专属装备图鉴输入</x:v>
      </x:c>
      <x:c r="E267" s="41" t="str">
        <x:v>C10</x:v>
      </x:c>
      <x:c r="F267" s="41"/>
      <x:c r="G267" s="41"/>
      <x:c r="H267" s="41" t="str">
        <x:v>结构已确认；数值待经济反算</x:v>
      </x:c>
      <x:c r="I267" s="41" t="str">
        <x:v>登记前可交易；登记消耗实物1件</x:v>
      </x:c>
      <x:c r="J267" s="41" t="str">
        <x:v>登记与回收/分解为互斥去向，不重复计值</x:v>
      </x:c>
      <x:c r="K267" s="41" t="str">
        <x:v>登记结果角色绑定</x:v>
      </x:c>
      <x:c r="L267" s="41" t="str">
        <x:v>每件实物×1；总件数取地图装备清单</x:v>
      </x:c>
      <x:c r="M267" s="41" t="str">
        <x:v>十大陆NPC与配方总账V1.0</x:v>
      </x:c>
      <x:c r="N267" s="41" t="n">
        <x:f>COUNTIF('02_产出端'!$G$5:$G$600,A267)</x:f>
        <x:v>0</x:v>
      </x:c>
      <x:c r="O267" s="41" t="n">
        <x:f>COUNTIF('03_消耗端'!$E$5:$E$900,A267)</x:f>
        <x:v>1</x:v>
      </x:c>
      <x:c r="P267" s="41" t="str">
        <x:f>IF(C267="前置条件","条件",IF(AND(N267&gt;0,O267&gt;0),"循环闭合",IF(AND(N267&gt;0,OR(C267="装备",C267="装备/道具",C267="角色进度",C267="称号/进度",C267="系统结果")),"终端产物",IF(N267=0,"缺产出","缺消耗"))))</x:f>
        <x:v>缺产出</x:v>
      </x:c>
      <x:c r="Q267" s="42" t="str">
        <x:v>图鉴页面/命令直接操作，不设NPC、不收货币；整图/整大陆完成奖励韧性。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ec32b9f5e1f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2" hidden="0" customWidth="1"/>
    <x:col min="5" max="5" width="32" hidden="0" customWidth="1"/>
    <x:col min="6" max="6" width="42" hidden="0" customWidth="1"/>
    <x:col min="7" max="7" width="28" hidden="0" customWidth="1"/>
    <x:col min="8" max="8" width="26" hidden="0" customWidth="1"/>
    <x:col min="9" max="9" width="24" hidden="0" customWidth="1"/>
    <x:col min="10" max="10" width="20" hidden="0" customWidth="1"/>
    <x:col min="11" max="11" width="14" hidden="0" customWidth="1"/>
    <x:col min="12" max="12" width="10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56" hidden="0" customWidth="1"/>
  </x:cols>
  <x:sheetData>
    <x:row r="1" ht="34" customHeight="1">
      <x:c r="A1" s="4" t="str">
        <x:v>产出端：来源 → 资源</x:v>
      </x:c>
      <x:c r="B1" s="4" t="str">
        <x:v>产出端：来源 → 资源</x:v>
      </x:c>
      <x:c r="C1" s="4" t="str">
        <x:v>产出端：来源 → 资源</x:v>
      </x:c>
      <x:c r="D1" s="4" t="str">
        <x:v>产出端：来源 → 资源</x:v>
      </x:c>
      <x:c r="E1" s="4" t="str">
        <x:v>产出端：来源 → 资源</x:v>
      </x:c>
      <x:c r="F1" s="4" t="str">
        <x:v>产出端：来源 → 资源</x:v>
      </x:c>
      <x:c r="G1" s="4" t="str">
        <x:v>产出端：来源 → 资源</x:v>
      </x:c>
      <x:c r="H1" s="4" t="str">
        <x:v>产出端：来源 → 资源</x:v>
      </x:c>
      <x:c r="I1" s="4" t="str">
        <x:v>产出端：来源 → 资源</x:v>
      </x:c>
      <x:c r="J1" s="4" t="str">
        <x:v>产出端：来源 → 资源</x:v>
      </x:c>
      <x:c r="K1" s="4" t="str">
        <x:v>产出端：来源 → 资源</x:v>
      </x:c>
      <x:c r="L1" s="4" t="str">
        <x:v>产出端：来源 → 资源</x:v>
      </x:c>
      <x:c r="M1" s="4" t="str">
        <x:v>产出端：来源 → 资源</x:v>
      </x:c>
      <x:c r="N1" s="4" t="str">
        <x:v>产出端：来源 → 资源</x:v>
      </x:c>
      <x:c r="O1" s="4" t="str">
        <x:v>产出端：来源 → 资源</x:v>
      </x:c>
      <x:c r="P1" s="4" t="str">
        <x:v>产出端：来源 → 资源</x:v>
      </x:c>
      <x:c r="Q1" s="4" t="str">
        <x:v>产出端：来源 → 资源</x:v>
      </x:c>
    </x:row>
    <x:row r="2" ht="42" customHeight="1">
      <x:c r="A2" s="8" t="str">
        <x:v>共152条产出边，其中40条每日额外福利全部排除基础模型。灵符付费渠道也不计入自然产出基准。</x:v>
      </x:c>
      <x:c r="B2" s="8" t="str">
        <x:v>共152条产出边，其中40条每日额外福利全部排除基础模型。灵符付费渠道也不计入自然产出基准。</x:v>
      </x:c>
      <x:c r="C2" s="8" t="str">
        <x:v>共152条产出边，其中40条每日额外福利全部排除基础模型。灵符付费渠道也不计入自然产出基准。</x:v>
      </x:c>
      <x:c r="D2" s="8" t="str">
        <x:v>共152条产出边，其中40条每日额外福利全部排除基础模型。灵符付费渠道也不计入自然产出基准。</x:v>
      </x:c>
      <x:c r="E2" s="8" t="str">
        <x:v>共152条产出边，其中40条每日额外福利全部排除基础模型。灵符付费渠道也不计入自然产出基准。</x:v>
      </x:c>
      <x:c r="F2" s="8" t="str">
        <x:v>共152条产出边，其中40条每日额外福利全部排除基础模型。灵符付费渠道也不计入自然产出基准。</x:v>
      </x:c>
      <x:c r="G2" s="8" t="str">
        <x:v>共152条产出边，其中40条每日额外福利全部排除基础模型。灵符付费渠道也不计入自然产出基准。</x:v>
      </x:c>
      <x:c r="H2" s="8" t="str">
        <x:v>共152条产出边，其中40条每日额外福利全部排除基础模型。灵符付费渠道也不计入自然产出基准。</x:v>
      </x:c>
      <x:c r="I2" s="8" t="str">
        <x:v>共152条产出边，其中40条每日额外福利全部排除基础模型。灵符付费渠道也不计入自然产出基准。</x:v>
      </x:c>
      <x:c r="J2" s="8" t="str">
        <x:v>共152条产出边，其中40条每日额外福利全部排除基础模型。灵符付费渠道也不计入自然产出基准。</x:v>
      </x:c>
      <x:c r="K2" s="8" t="str">
        <x:v>共152条产出边，其中40条每日额外福利全部排除基础模型。灵符付费渠道也不计入自然产出基准。</x:v>
      </x:c>
      <x:c r="L2" s="8" t="str">
        <x:v>共152条产出边，其中40条每日额外福利全部排除基础模型。灵符付费渠道也不计入自然产出基准。</x:v>
      </x:c>
      <x:c r="M2" s="8" t="str">
        <x:v>共152条产出边，其中40条每日额外福利全部排除基础模型。灵符付费渠道也不计入自然产出基准。</x:v>
      </x:c>
      <x:c r="N2" s="8" t="str">
        <x:v>共152条产出边，其中40条每日额外福利全部排除基础模型。灵符付费渠道也不计入自然产出基准。</x:v>
      </x:c>
      <x:c r="O2" s="8" t="str">
        <x:v>共152条产出边，其中40条每日额外福利全部排除基础模型。灵符付费渠道也不计入自然产出基准。</x:v>
      </x:c>
      <x:c r="P2" s="8" t="str">
        <x:v>共152条产出边，其中40条每日额外福利全部排除基础模型。灵符付费渠道也不计入自然产出基准。</x:v>
      </x:c>
      <x:c r="Q2" s="8" t="str">
        <x:v>共152条产出边，其中40条每日额外福利全部排除基础模型。灵符付费渠道也不计入自然产出基准。</x:v>
      </x:c>
    </x:row>
    <x:row r="4" ht="32" customHeight="1">
      <x:c r="A4" s="14" t="str">
        <x:v>产出边ID</x:v>
      </x:c>
      <x:c r="B4" s="14" t="str">
        <x:v>边类型</x:v>
      </x:c>
      <x:c r="C4" s="14" t="str">
        <x:v>大陆ID</x:v>
      </x:c>
      <x:c r="D4" s="14" t="str">
        <x:v>来源类型</x:v>
      </x:c>
      <x:c r="E4" s="14" t="str">
        <x:v>来源名称</x:v>
      </x:c>
      <x:c r="F4" s="14" t="str">
        <x:v>来源范围/投入</x:v>
      </x:c>
      <x:c r="G4" s="14" t="str">
        <x:v>资源ID</x:v>
      </x:c>
      <x:c r="H4" s="14" t="str">
        <x:v>产出资源</x:v>
      </x:c>
      <x:c r="I4" s="14" t="str">
        <x:v>数量表达式</x:v>
      </x:c>
      <x:c r="J4" s="14" t="str">
        <x:v>数量状态</x:v>
      </x:c>
      <x:c r="K4" s="14" t="str">
        <x:v>计入基础</x:v>
      </x:c>
      <x:c r="L4" s="14" t="str">
        <x:v>启用</x:v>
      </x:c>
      <x:c r="M4" s="14" t="str">
        <x:v>交易边界</x:v>
      </x:c>
      <x:c r="N4" s="14" t="str">
        <x:v>回收边界</x:v>
      </x:c>
      <x:c r="O4" s="14" t="str">
        <x:v>绑定边界</x:v>
      </x:c>
      <x:c r="P4" s="14" t="str">
        <x:v>状态</x:v>
      </x:c>
      <x:c r="Q4" s="14" t="str">
        <x:v>备注</x:v>
      </x:c>
    </x:row>
    <x:row r="5" ht="40" customHeight="1">
      <x:c r="A5" s="34" t="str">
        <x:v>PROD-0001</x:v>
      </x:c>
      <x:c r="B5" s="35" t="str">
        <x:v>基础产出</x:v>
      </x:c>
      <x:c r="C5" s="35" t="str">
        <x:v>全服</x:v>
      </x:c>
      <x:c r="D5" s="35" t="str">
        <x:v>专属装备分解</x:v>
      </x:c>
      <x:c r="E5" s="35" t="str">
        <x:v>重复专属分解</x:v>
      </x:c>
      <x:c r="F5" s="35" t="str">
        <x:v>原始怪物专属；合成装备禁止回收/分解</x:v>
      </x:c>
      <x:c r="G5" s="35" t="str">
        <x:v>EL-MAT-GLOBAL-SOMBER</x:v>
      </x:c>
      <x:c r="H5" s="35" t="str">
        <x:v>失色锻造石</x:v>
      </x:c>
      <x:c r="I5" s="35" t="str">
        <x:v>待经济反算</x:v>
      </x:c>
      <x:c r="J5" s="35" t="str">
        <x:v>待经济反算</x:v>
      </x:c>
      <x:c r="K5" s="35" t="str">
        <x:v>是</x:v>
      </x:c>
      <x:c r="L5" s="35" t="str">
        <x:v>是</x:v>
      </x:c>
      <x:c r="M5" s="35" t="str">
        <x:v>可交易</x:v>
      </x:c>
      <x:c r="N5" s="35" t="str">
        <x:v>不作为自动回收主材</x:v>
      </x:c>
      <x:c r="O5" s="35" t="str">
        <x:v>产出实物默认不绑定，按现行材料脚本</x:v>
      </x:c>
      <x:c r="P5" s="35" t="str">
        <x:v>结构已确认；数值待经济反算</x:v>
      </x:c>
      <x:c r="Q5" s="36" t="str">
        <x:v>不得与装备回收金币/元宝双算；分解数量待经济反算。</x:v>
      </x:c>
    </x:row>
    <x:row r="6" ht="40" customHeight="1">
      <x:c r="A6" s="37" t="str">
        <x:v>PROD-0002</x:v>
      </x:c>
      <x:c r="B6" s="38" t="str">
        <x:v>基础产出</x:v>
      </x:c>
      <x:c r="C6" s="38" t="str">
        <x:v>C02—C10</x:v>
      </x:c>
      <x:c r="D6" s="38" t="str">
        <x:v>怪物掉落</x:v>
      </x:c>
      <x:c r="E6" s="38" t="str">
        <x:v>第二大陆及以后怪物</x:v>
      </x:c>
      <x:c r="F6" s="38" t="str">
        <x:v>既有技能材料来源，具体怪种/概率待掉落表</x:v>
      </x:c>
      <x:c r="G6" s="38" t="str">
        <x:v>EL-MAT-C02-BONE</x:v>
      </x:c>
      <x:c r="H6" s="38" t="str">
        <x:v>野兽骨片</x:v>
      </x:c>
      <x:c r="I6" s="38" t="str">
        <x:v>待经济反算</x:v>
      </x:c>
      <x:c r="J6" s="38" t="str">
        <x:v>待经济反算</x:v>
      </x:c>
      <x:c r="K6" s="38" t="str">
        <x:v>是</x:v>
      </x:c>
      <x:c r="L6" s="38" t="str">
        <x:v>是</x:v>
      </x:c>
      <x:c r="M6" s="38" t="str">
        <x:v>可交易</x:v>
      </x:c>
      <x:c r="N6" s="38" t="str">
        <x:v>不作为自动回收主材</x:v>
      </x:c>
      <x:c r="O6" s="38" t="str">
        <x:v>产出实物默认不绑定，按现行材料脚本</x:v>
      </x:c>
      <x:c r="P6" s="38" t="str">
        <x:v>结构已确认；数值待经济反算</x:v>
      </x:c>
      <x:c r="Q6" s="39" t="str"/>
    </x:row>
    <x:row r="7" ht="40" customHeight="1">
      <x:c r="A7" s="37" t="str">
        <x:v>PROD-0003</x:v>
      </x:c>
      <x:c r="B7" s="38" t="str">
        <x:v>基础产出</x:v>
      </x:c>
      <x:c r="C7" s="38" t="str">
        <x:v>C01—C10</x:v>
      </x:c>
      <x:c r="D7" s="38" t="str">
        <x:v>怪物掉落</x:v>
      </x:c>
      <x:c r="E7" s="38" t="str">
        <x:v>第1—10大陆全部怪物</x:v>
      </x:c>
      <x:c r="F7" s="38" t="str">
        <x:v>公共命格材料独立低概率掉落</x:v>
      </x:c>
      <x:c r="G7" s="38" t="str">
        <x:v>EL-MAT-C02-RUNE</x:v>
      </x:c>
      <x:c r="H7" s="38" t="str">
        <x:v>神秘符文</x:v>
      </x:c>
      <x:c r="I7" s="38" t="str">
        <x:v>待经济反算</x:v>
      </x:c>
      <x:c r="J7" s="38" t="str">
        <x:v>待经济反算</x:v>
      </x:c>
      <x:c r="K7" s="38" t="str">
        <x:v>是</x:v>
      </x:c>
      <x:c r="L7" s="38" t="str">
        <x:v>是</x:v>
      </x:c>
      <x:c r="M7" s="38" t="str">
        <x:v>怪物掉落可交易；商店购买绑定</x:v>
      </x:c>
      <x:c r="N7" s="38" t="str">
        <x:v>不作为自动回收主材</x:v>
      </x:c>
      <x:c r="O7" s="38" t="str">
        <x:v>怪物掉落部分可交易</x:v>
      </x:c>
      <x:c r="P7" s="38" t="str">
        <x:v>结构已确认；数值待经济反算</x:v>
      </x:c>
      <x:c r="Q7" s="39" t="str">
        <x:v>掉率待经济反算；与灵符商店分账。</x:v>
      </x:c>
    </x:row>
    <x:row r="8" ht="40" customHeight="1">
      <x:c r="A8" s="37" t="str">
        <x:v>PROD-0004</x:v>
      </x:c>
      <x:c r="B8" s="38" t="str">
        <x:v>基础产出</x:v>
      </x:c>
      <x:c r="C8" s="38" t="str">
        <x:v>全服</x:v>
      </x:c>
      <x:c r="D8" s="38" t="str">
        <x:v>灵符商店</x:v>
      </x:c>
      <x:c r="E8" s="38" t="str">
        <x:v>命格材料灵符购买入口</x:v>
      </x:c>
      <x:c r="F8" s="38" t="str">
        <x:v>付费补足渠道</x:v>
      </x:c>
      <x:c r="G8" s="38" t="str">
        <x:v>EL-MAT-C02-RUNE</x:v>
      </x:c>
      <x:c r="H8" s="38" t="str">
        <x:v>神秘符文</x:v>
      </x:c>
      <x:c r="I8" s="38" t="str">
        <x:v>待经济反算</x:v>
      </x:c>
      <x:c r="J8" s="38" t="str">
        <x:v>待经济反算</x:v>
      </x:c>
      <x:c r="K8" s="38" t="str">
        <x:v>否</x:v>
      </x:c>
      <x:c r="L8" s="38" t="str">
        <x:v>是</x:v>
      </x:c>
      <x:c r="M8" s="38" t="str">
        <x:v>购买部分不可交易；怪物掉落部分可交易</x:v>
      </x:c>
      <x:c r="N8" s="38" t="str">
        <x:v>不作为自动回收主材</x:v>
      </x:c>
      <x:c r="O8" s="38" t="str">
        <x:v>购买部分绑定</x:v>
      </x:c>
      <x:c r="P8" s="38" t="str">
        <x:v>结构已确认；数值待经济反算</x:v>
      </x:c>
      <x:c r="Q8" s="39" t="str">
        <x:v>不计入免费怪物基础产出；用于支撑全彩命格付费追求。</x:v>
      </x:c>
    </x:row>
    <x:row r="9" ht="40" customHeight="1">
      <x:c r="A9" s="37" t="str">
        <x:v>PROD-0005</x:v>
      </x:c>
      <x:c r="B9" s="38" t="str">
        <x:v>基础产出</x:v>
      </x:c>
      <x:c r="C9" s="38" t="str">
        <x:v>C01</x:v>
      </x:c>
      <x:c r="D9" s="38" t="str">
        <x:v>怪物掉落/既有系统</x:v>
      </x:c>
      <x:c r="E9" s="38" t="str">
        <x:v>既有第一/第二大陆来源表</x:v>
      </x:c>
      <x:c r="F9" s="38" t="str">
        <x:v>按原材料类别投放；需在合并掉落总账时逐行回读</x:v>
      </x:c>
      <x:c r="G9" s="38" t="str">
        <x:v>EL-MAT-C01-WITNESS-TIDE</x:v>
      </x:c>
      <x:c r="H9" s="38" t="str">
        <x:v>漂流见证·潮</x:v>
      </x:c>
      <x:c r="I9" s="38" t="str">
        <x:v>待经济反算</x:v>
      </x:c>
      <x:c r="J9" s="38" t="str">
        <x:v>待经济反算</x:v>
      </x:c>
      <x:c r="K9" s="38" t="str">
        <x:v>是</x:v>
      </x:c>
      <x:c r="L9" s="38" t="str">
        <x:v>是</x:v>
      </x:c>
      <x:c r="M9" s="38" t="str">
        <x:v>可交易</x:v>
      </x:c>
      <x:c r="N9" s="38" t="str">
        <x:v>不作为自动回收主材</x:v>
      </x:c>
      <x:c r="O9" s="38" t="str">
        <x:v>产出实物默认不绑定，按现行材料脚本</x:v>
      </x:c>
      <x:c r="P9" s="38" t="str">
        <x:v>继承既有第一/第二大陆表；来源细目待合并回读</x:v>
      </x:c>
      <x:c r="Q9" s="39" t="str"/>
    </x:row>
    <x:row r="10" ht="40" customHeight="1">
      <x:c r="A10" s="37" t="str">
        <x:v>PROD-0006</x:v>
      </x:c>
      <x:c r="B10" s="38" t="str">
        <x:v>基础产出</x:v>
      </x:c>
      <x:c r="C10" s="38" t="str">
        <x:v>C01</x:v>
      </x:c>
      <x:c r="D10" s="38" t="str">
        <x:v>怪物掉落/既有系统</x:v>
      </x:c>
      <x:c r="E10" s="38" t="str">
        <x:v>既有第一/第二大陆来源表</x:v>
      </x:c>
      <x:c r="F10" s="38" t="str">
        <x:v>按原材料类别投放；需在合并掉落总账时逐行回读</x:v>
      </x:c>
      <x:c r="G10" s="38" t="str">
        <x:v>EL-MAT-C01-WITNESS-STORM</x:v>
      </x:c>
      <x:c r="H10" s="38" t="str">
        <x:v>漂流见证·雷</x:v>
      </x:c>
      <x:c r="I10" s="38" t="str">
        <x:v>待经济反算</x:v>
      </x:c>
      <x:c r="J10" s="38" t="str">
        <x:v>待经济反算</x:v>
      </x:c>
      <x:c r="K10" s="38" t="str">
        <x:v>是</x:v>
      </x:c>
      <x:c r="L10" s="38" t="str">
        <x:v>是</x:v>
      </x:c>
      <x:c r="M10" s="38" t="str">
        <x:v>可交易</x:v>
      </x:c>
      <x:c r="N10" s="38" t="str">
        <x:v>不作为自动回收主材</x:v>
      </x:c>
      <x:c r="O10" s="38" t="str">
        <x:v>产出实物默认不绑定，按现行材料脚本</x:v>
      </x:c>
      <x:c r="P10" s="38" t="str">
        <x:v>继承既有第一/第二大陆表；来源细目待合并回读</x:v>
      </x:c>
      <x:c r="Q10" s="39" t="str"/>
    </x:row>
    <x:row r="11" ht="40" customHeight="1">
      <x:c r="A11" s="37" t="str">
        <x:v>PROD-0007</x:v>
      </x:c>
      <x:c r="B11" s="38" t="str">
        <x:v>基础产出</x:v>
      </x:c>
      <x:c r="C11" s="38" t="str">
        <x:v>C02</x:v>
      </x:c>
      <x:c r="D11" s="38" t="str">
        <x:v>怪物掉落/既有系统</x:v>
      </x:c>
      <x:c r="E11" s="38" t="str">
        <x:v>既有第一/第二大陆来源表</x:v>
      </x:c>
      <x:c r="F11" s="38" t="str">
        <x:v>按原材料类别投放；需在合并掉落总账时逐行回读</x:v>
      </x:c>
      <x:c r="G11" s="38" t="str">
        <x:v>EL-MAT-C02-OATHPAGE</x:v>
      </x:c>
      <x:c r="H11" s="38" t="str">
        <x:v>宁姆格福誓页</x:v>
      </x:c>
      <x:c r="I11" s="38" t="str">
        <x:v>待经济反算</x:v>
      </x:c>
      <x:c r="J11" s="38" t="str">
        <x:v>待经济反算</x:v>
      </x:c>
      <x:c r="K11" s="38" t="str">
        <x:v>是</x:v>
      </x:c>
      <x:c r="L11" s="38" t="str">
        <x:v>是</x:v>
      </x:c>
      <x:c r="M11" s="38" t="str">
        <x:v>可交易</x:v>
      </x:c>
      <x:c r="N11" s="38" t="str">
        <x:v>不作为自动回收主材</x:v>
      </x:c>
      <x:c r="O11" s="38" t="str">
        <x:v>产出实物默认不绑定，按现行材料脚本</x:v>
      </x:c>
      <x:c r="P11" s="38" t="str">
        <x:v>继承既有第一/第二大陆表；来源细目待合并回读</x:v>
      </x:c>
      <x:c r="Q11" s="39" t="str"/>
    </x:row>
    <x:row r="12" ht="40" customHeight="1">
      <x:c r="A12" s="37" t="str">
        <x:v>PROD-0008</x:v>
      </x:c>
      <x:c r="B12" s="38" t="str">
        <x:v>基础产出</x:v>
      </x:c>
      <x:c r="C12" s="38" t="str">
        <x:v>C01</x:v>
      </x:c>
      <x:c r="D12" s="38" t="str">
        <x:v>怪物掉落/既有系统</x:v>
      </x:c>
      <x:c r="E12" s="38" t="str">
        <x:v>本大陆全部怪物</x:v>
      </x:c>
      <x:c r="F12" s="38" t="str">
        <x:v>高小时产量；较低触发频率＋单次多叠加</x:v>
      </x:c>
      <x:c r="G12" s="38" t="str">
        <x:v>EL-MAT-C01-COM</x:v>
      </x:c>
      <x:c r="H12" s="38" t="str">
        <x:v>海蚀铁片</x:v>
      </x:c>
      <x:c r="I12" s="38" t="str">
        <x:v>待经济反算</x:v>
      </x:c>
      <x:c r="J12" s="38" t="str">
        <x:v>待经济反算</x:v>
      </x:c>
      <x:c r="K12" s="38" t="str">
        <x:v>是</x:v>
      </x:c>
      <x:c r="L12" s="38" t="str">
        <x:v>是</x:v>
      </x:c>
      <x:c r="M12" s="38" t="str">
        <x:v>可交易</x:v>
      </x:c>
      <x:c r="N12" s="38" t="str">
        <x:v>R1档金币／元宝主回收口</x:v>
      </x:c>
      <x:c r="O12" s="38" t="str">
        <x:v>产出实物默认不绑定，按现行材料脚本</x:v>
      </x:c>
      <x:c r="P12" s="38" t="str">
        <x:v>来源结构已确认；数值待经济反算</x:v>
      </x:c>
      <x:c r="Q12" s="39" t="str"/>
    </x:row>
    <x:row r="13" ht="40" customHeight="1">
      <x:c r="A13" s="37" t="str">
        <x:v>PROD-0009</x:v>
      </x:c>
      <x:c r="B13" s="38" t="str">
        <x:v>基础产出</x:v>
      </x:c>
      <x:c r="C13" s="38" t="str">
        <x:v>C01</x:v>
      </x:c>
      <x:c r="D13" s="38" t="str">
        <x:v>怪物掉落/既有系统</x:v>
      </x:c>
      <x:c r="E13" s="38" t="str">
        <x:v>稀有怪/地图BOSS/主线守关BOSS</x:v>
      </x:c>
      <x:c r="F13" s="38" t="str">
        <x:v>本大陆对应怪物层级</x:v>
      </x:c>
      <x:c r="G13" s="38" t="str">
        <x:v>EL-MAT-C01-RARE</x:v>
      </x:c>
      <x:c r="H13" s="38" t="str">
        <x:v>潮痕结晶</x:v>
      </x:c>
      <x:c r="I13" s="38" t="str">
        <x:v>待经济反算</x:v>
      </x:c>
      <x:c r="J13" s="38" t="str">
        <x:v>待经济反算</x:v>
      </x:c>
      <x:c r="K13" s="38" t="str">
        <x:v>是</x:v>
      </x:c>
      <x:c r="L13" s="38" t="str">
        <x:v>是</x:v>
      </x:c>
      <x:c r="M13" s="38" t="str">
        <x:v>可交易</x:v>
      </x:c>
      <x:c r="N13" s="38" t="str">
        <x:v>不作为自动回收主材</x:v>
      </x:c>
      <x:c r="O13" s="38" t="str">
        <x:v>产出实物默认不绑定，按现行材料脚本</x:v>
      </x:c>
      <x:c r="P13" s="38" t="str">
        <x:v>来源结构已确认；数值待经济反算</x:v>
      </x:c>
      <x:c r="Q13" s="39" t="str"/>
    </x:row>
    <x:row r="14" ht="40" customHeight="1">
      <x:c r="A14" s="37" t="str">
        <x:v>PROD-0010</x:v>
      </x:c>
      <x:c r="B14" s="38" t="str">
        <x:v>基础产出</x:v>
      </x:c>
      <x:c r="C14" s="38" t="str">
        <x:v>C01</x:v>
      </x:c>
      <x:c r="D14" s="38" t="str">
        <x:v>怪物掉落/既有系统</x:v>
      </x:c>
      <x:c r="E14" s="38" t="str">
        <x:v>地图BOSS/主线守关BOSS</x:v>
      </x:c>
      <x:c r="F14" s="38" t="str">
        <x:v>本大陆BOSS地图</x:v>
      </x:c>
      <x:c r="G14" s="38" t="str">
        <x:v>EL-MAT-C01-MARK</x:v>
      </x:c>
      <x:c r="H14" s="38" t="str">
        <x:v>漂流大陆印记</x:v>
      </x:c>
      <x:c r="I14" s="38" t="str">
        <x:v>待经济反算</x:v>
      </x:c>
      <x:c r="J14" s="38" t="str">
        <x:v>待经济反算</x:v>
      </x:c>
      <x:c r="K14" s="38" t="str">
        <x:v>是</x:v>
      </x:c>
      <x:c r="L14" s="38" t="str">
        <x:v>是</x:v>
      </x:c>
      <x:c r="M14" s="38" t="str">
        <x:v>可交易</x:v>
      </x:c>
      <x:c r="N14" s="38" t="str">
        <x:v>不作为自动回收主材</x:v>
      </x:c>
      <x:c r="O14" s="38" t="str">
        <x:v>产出实物默认不绑定，按现行材料脚本</x:v>
      </x:c>
      <x:c r="P14" s="38" t="str">
        <x:v>来源结构已确认；数值待经济反算</x:v>
      </x:c>
      <x:c r="Q14" s="39" t="str"/>
    </x:row>
    <x:row r="15" ht="40" customHeight="1">
      <x:c r="A15" s="37" t="str">
        <x:v>PROD-0011</x:v>
      </x:c>
      <x:c r="B15" s="38" t="str">
        <x:v>基础产出</x:v>
      </x:c>
      <x:c r="C15" s="38" t="str">
        <x:v>C02</x:v>
      </x:c>
      <x:c r="D15" s="38" t="str">
        <x:v>怪物掉落/既有系统</x:v>
      </x:c>
      <x:c r="E15" s="38" t="str">
        <x:v>本大陆全部怪物</x:v>
      </x:c>
      <x:c r="F15" s="38" t="str">
        <x:v>高小时产量；较低触发频率＋单次多叠加</x:v>
      </x:c>
      <x:c r="G15" s="38" t="str">
        <x:v>EL-MAT-C02-COM</x:v>
      </x:c>
      <x:c r="H15" s="38" t="str">
        <x:v>风暴石片</x:v>
      </x:c>
      <x:c r="I15" s="38" t="str">
        <x:v>待经济反算</x:v>
      </x:c>
      <x:c r="J15" s="38" t="str">
        <x:v>待经济反算</x:v>
      </x:c>
      <x:c r="K15" s="38" t="str">
        <x:v>是</x:v>
      </x:c>
      <x:c r="L15" s="38" t="str">
        <x:v>是</x:v>
      </x:c>
      <x:c r="M15" s="38" t="str">
        <x:v>可交易</x:v>
      </x:c>
      <x:c r="N15" s="38" t="str">
        <x:v>R2档金币／元宝主回收口</x:v>
      </x:c>
      <x:c r="O15" s="38" t="str">
        <x:v>产出实物默认不绑定，按现行材料脚本</x:v>
      </x:c>
      <x:c r="P15" s="38" t="str">
        <x:v>来源结构已确认；数值待经济反算</x:v>
      </x:c>
      <x:c r="Q15" s="39" t="str"/>
    </x:row>
    <x:row r="16" ht="40" customHeight="1">
      <x:c r="A16" s="37" t="str">
        <x:v>PROD-0012</x:v>
      </x:c>
      <x:c r="B16" s="38" t="str">
        <x:v>基础产出</x:v>
      </x:c>
      <x:c r="C16" s="38" t="str">
        <x:v>C02</x:v>
      </x:c>
      <x:c r="D16" s="38" t="str">
        <x:v>怪物掉落/既有系统</x:v>
      </x:c>
      <x:c r="E16" s="38" t="str">
        <x:v>稀有怪/地图BOSS/主线守关BOSS</x:v>
      </x:c>
      <x:c r="F16" s="38" t="str">
        <x:v>本大陆对应怪物层级</x:v>
      </x:c>
      <x:c r="G16" s="38" t="str">
        <x:v>EL-MAT-C02-RARE</x:v>
      </x:c>
      <x:c r="H16" s="38" t="str">
        <x:v>黄金树芽</x:v>
      </x:c>
      <x:c r="I16" s="38" t="str">
        <x:v>待经济反算</x:v>
      </x:c>
      <x:c r="J16" s="38" t="str">
        <x:v>待经济反算</x:v>
      </x:c>
      <x:c r="K16" s="38" t="str">
        <x:v>是</x:v>
      </x:c>
      <x:c r="L16" s="38" t="str">
        <x:v>是</x:v>
      </x:c>
      <x:c r="M16" s="38" t="str">
        <x:v>可交易</x:v>
      </x:c>
      <x:c r="N16" s="38" t="str">
        <x:v>不作为自动回收主材</x:v>
      </x:c>
      <x:c r="O16" s="38" t="str">
        <x:v>产出实物默认不绑定，按现行材料脚本</x:v>
      </x:c>
      <x:c r="P16" s="38" t="str">
        <x:v>来源结构已确认；数值待经济反算</x:v>
      </x:c>
      <x:c r="Q16" s="39" t="str"/>
    </x:row>
    <x:row r="17" ht="40" customHeight="1">
      <x:c r="A17" s="37" t="str">
        <x:v>PROD-0013</x:v>
      </x:c>
      <x:c r="B17" s="38" t="str">
        <x:v>基础产出</x:v>
      </x:c>
      <x:c r="C17" s="38" t="str">
        <x:v>C02</x:v>
      </x:c>
      <x:c r="D17" s="38" t="str">
        <x:v>怪物掉落/既有系统</x:v>
      </x:c>
      <x:c r="E17" s="38" t="str">
        <x:v>地图BOSS/主线守关BOSS</x:v>
      </x:c>
      <x:c r="F17" s="38" t="str">
        <x:v>本大陆BOSS地图</x:v>
      </x:c>
      <x:c r="G17" s="38" t="str">
        <x:v>EL-MAT-C02-MARK</x:v>
      </x:c>
      <x:c r="H17" s="38" t="str">
        <x:v>接肢王印</x:v>
      </x:c>
      <x:c r="I17" s="38" t="str">
        <x:v>待经济反算</x:v>
      </x:c>
      <x:c r="J17" s="38" t="str">
        <x:v>待经济反算</x:v>
      </x:c>
      <x:c r="K17" s="38" t="str">
        <x:v>是</x:v>
      </x:c>
      <x:c r="L17" s="38" t="str">
        <x:v>是</x:v>
      </x:c>
      <x:c r="M17" s="38" t="str">
        <x:v>可交易</x:v>
      </x:c>
      <x:c r="N17" s="38" t="str">
        <x:v>不作为自动回收主材</x:v>
      </x:c>
      <x:c r="O17" s="38" t="str">
        <x:v>产出实物默认不绑定，按现行材料脚本</x:v>
      </x:c>
      <x:c r="P17" s="38" t="str">
        <x:v>来源结构已确认；数值待经济反算</x:v>
      </x:c>
      <x:c r="Q17" s="39" t="str"/>
    </x:row>
    <x:row r="18" ht="40" customHeight="1">
      <x:c r="A18" s="37" t="str">
        <x:v>PROD-0014</x:v>
      </x:c>
      <x:c r="B18" s="38" t="str">
        <x:v>基础产出</x:v>
      </x:c>
      <x:c r="C18" s="38" t="str">
        <x:v>C03</x:v>
      </x:c>
      <x:c r="D18" s="38" t="str">
        <x:v>怪物掉落</x:v>
      </x:c>
      <x:c r="E18" s="38" t="str">
        <x:v>全部怪物</x:v>
      </x:c>
      <x:c r="F18" s="38" t="str">
        <x:v>全大陆地图</x:v>
      </x:c>
      <x:c r="G18" s="38" t="str">
        <x:v>EL-MAT-C03-COM</x:v>
      </x:c>
      <x:c r="H18" s="38" t="str">
        <x:v>风蚀铁片</x:v>
      </x:c>
      <x:c r="I18" s="38" t="str">
        <x:v>待经济反算</x:v>
      </x:c>
      <x:c r="J18" s="38" t="str">
        <x:v>待经济反算</x:v>
      </x:c>
      <x:c r="K18" s="38" t="str">
        <x:v>是</x:v>
      </x:c>
      <x:c r="L18" s="38" t="str">
        <x:v>是</x:v>
      </x:c>
      <x:c r="M18" s="38" t="str">
        <x:v>可交易</x:v>
      </x:c>
      <x:c r="N18" s="38" t="str">
        <x:v>R3档金币／元宝主回收口</x:v>
      </x:c>
      <x:c r="O18" s="38" t="str">
        <x:v>产出实物默认不绑定，按现行材料脚本</x:v>
      </x:c>
      <x:c r="P18" s="38" t="str">
        <x:v>已正式入库</x:v>
      </x:c>
      <x:c r="Q18" s="39" t="str">
        <x:v>大陆通用合成、升级及基础消耗。Idx与Items Looks锁定，不得改名、改号或覆盖</x:v>
      </x:c>
    </x:row>
    <x:row r="19" ht="40" customHeight="1">
      <x:c r="A19" s="37" t="str">
        <x:v>PROD-0015</x:v>
      </x:c>
      <x:c r="B19" s="38" t="str">
        <x:v>基础产出</x:v>
      </x:c>
      <x:c r="C19" s="38" t="str">
        <x:v>C03</x:v>
      </x:c>
      <x:c r="D19" s="38" t="str">
        <x:v>怪物掉落</x:v>
      </x:c>
      <x:c r="E19" s="38" t="str">
        <x:v>稀有怪／地图BOSS／守关BOSS</x:v>
      </x:c>
      <x:c r="F19" s="38" t="str">
        <x:v>全大陆地图</x:v>
      </x:c>
      <x:c r="G19" s="38" t="str">
        <x:v>EL-MAT-C03-RARE</x:v>
      </x:c>
      <x:c r="H19" s="38" t="str">
        <x:v>西境战旗</x:v>
      </x:c>
      <x:c r="I19" s="38" t="str">
        <x:v>待经济反算</x:v>
      </x:c>
      <x:c r="J19" s="38" t="str">
        <x:v>待经济反算</x:v>
      </x:c>
      <x:c r="K19" s="38" t="str">
        <x:v>是</x:v>
      </x:c>
      <x:c r="L19" s="38" t="str">
        <x:v>是</x:v>
      </x:c>
      <x:c r="M19" s="38" t="str">
        <x:v>可交易</x:v>
      </x:c>
      <x:c r="N19" s="38" t="str">
        <x:v>不作为自动回收主材</x:v>
      </x:c>
      <x:c r="O19" s="38" t="str">
        <x:v>产出实物默认不绑定，按现行材料脚本</x:v>
      </x:c>
      <x:c r="P19" s="38" t="str">
        <x:v>已正式入库</x:v>
      </x:c>
      <x:c r="Q19" s="39" t="str">
        <x:v>稀有合成与中高阶消耗。Idx与Items Looks锁定，不得改名、改号或覆盖</x:v>
      </x:c>
    </x:row>
    <x:row r="20" ht="40" customHeight="1">
      <x:c r="A20" s="37" t="str">
        <x:v>PROD-0016</x:v>
      </x:c>
      <x:c r="B20" s="38" t="str">
        <x:v>基础产出</x:v>
      </x:c>
      <x:c r="C20" s="38" t="str">
        <x:v>C03</x:v>
      </x:c>
      <x:c r="D20" s="38" t="str">
        <x:v>怪物掉落</x:v>
      </x:c>
      <x:c r="E20" s="38" t="str">
        <x:v>地图BOSS／守关BOSS</x:v>
      </x:c>
      <x:c r="F20" s="38" t="str">
        <x:v>全大陆BOSS地图</x:v>
      </x:c>
      <x:c r="G20" s="38" t="str">
        <x:v>EL-MAT-C03-MARK</x:v>
      </x:c>
      <x:c r="H20" s="38" t="str">
        <x:v>西境战旗印</x:v>
      </x:c>
      <x:c r="I20" s="38" t="str">
        <x:v>待经济反算</x:v>
      </x:c>
      <x:c r="J20" s="38" t="str">
        <x:v>待经济反算</x:v>
      </x:c>
      <x:c r="K20" s="38" t="str">
        <x:v>是</x:v>
      </x:c>
      <x:c r="L20" s="38" t="str">
        <x:v>是</x:v>
      </x:c>
      <x:c r="M20" s="38" t="str">
        <x:v>可交易</x:v>
      </x:c>
      <x:c r="N20" s="38" t="str">
        <x:v>不作为自动回收主材</x:v>
      </x:c>
      <x:c r="O20" s="38" t="str">
        <x:v>产出实物默认不绑定，按现行材料脚本</x:v>
      </x:c>
      <x:c r="P20" s="38" t="str">
        <x:v>已正式入库</x:v>
      </x:c>
      <x:c r="Q20" s="39" t="str">
        <x:v>剧情、称号及重点合成。Idx与Items Looks锁定，不得改名、改号或覆盖</x:v>
      </x:c>
    </x:row>
    <x:row r="21" ht="40" customHeight="1">
      <x:c r="A21" s="37" t="str">
        <x:v>PROD-0017</x:v>
      </x:c>
      <x:c r="B21" s="38" t="str">
        <x:v>基础产出</x:v>
      </x:c>
      <x:c r="C21" s="38" t="str">
        <x:v>C04</x:v>
      </x:c>
      <x:c r="D21" s="38" t="str">
        <x:v>怪物掉落</x:v>
      </x:c>
      <x:c r="E21" s="38" t="str">
        <x:v>全部怪物</x:v>
      </x:c>
      <x:c r="F21" s="38" t="str">
        <x:v>全大陆地图</x:v>
      </x:c>
      <x:c r="G21" s="38" t="str">
        <x:v>EL-MAT-C04-COM</x:v>
      </x:c>
      <x:c r="H21" s="38" t="str">
        <x:v>湖盐结晶</x:v>
      </x:c>
      <x:c r="I21" s="38" t="str">
        <x:v>待经济反算</x:v>
      </x:c>
      <x:c r="J21" s="38" t="str">
        <x:v>待经济反算</x:v>
      </x:c>
      <x:c r="K21" s="38" t="str">
        <x:v>是</x:v>
      </x:c>
      <x:c r="L21" s="38" t="str">
        <x:v>是</x:v>
      </x:c>
      <x:c r="M21" s="38" t="str">
        <x:v>可交易</x:v>
      </x:c>
      <x:c r="N21" s="38" t="str">
        <x:v>R4档金币／元宝主回收口</x:v>
      </x:c>
      <x:c r="O21" s="38" t="str">
        <x:v>产出实物默认不绑定，按现行材料脚本</x:v>
      </x:c>
      <x:c r="P21" s="38" t="str">
        <x:v>已正式入库</x:v>
      </x:c>
      <x:c r="Q21" s="39" t="str">
        <x:v>大陆通用合成、升级及基础消耗。Idx与Items Looks锁定，不得改名、改号或覆盖</x:v>
      </x:c>
    </x:row>
    <x:row r="22" ht="40" customHeight="1">
      <x:c r="A22" s="37" t="str">
        <x:v>PROD-0018</x:v>
      </x:c>
      <x:c r="B22" s="38" t="str">
        <x:v>基础产出</x:v>
      </x:c>
      <x:c r="C22" s="38" t="str">
        <x:v>C04</x:v>
      </x:c>
      <x:c r="D22" s="38" t="str">
        <x:v>怪物掉落</x:v>
      </x:c>
      <x:c r="E22" s="38" t="str">
        <x:v>稀有怪／地图BOSS／守关BOSS</x:v>
      </x:c>
      <x:c r="F22" s="38" t="str">
        <x:v>全大陆地图</x:v>
      </x:c>
      <x:c r="G22" s="38" t="str">
        <x:v>EL-MAT-C04-RARE</x:v>
      </x:c>
      <x:c r="H22" s="38" t="str">
        <x:v>幽船铆钉</x:v>
      </x:c>
      <x:c r="I22" s="38" t="str">
        <x:v>待经济反算</x:v>
      </x:c>
      <x:c r="J22" s="38" t="str">
        <x:v>待经济反算</x:v>
      </x:c>
      <x:c r="K22" s="38" t="str">
        <x:v>是</x:v>
      </x:c>
      <x:c r="L22" s="38" t="str">
        <x:v>是</x:v>
      </x:c>
      <x:c r="M22" s="38" t="str">
        <x:v>可交易</x:v>
      </x:c>
      <x:c r="N22" s="38" t="str">
        <x:v>不作为自动回收主材</x:v>
      </x:c>
      <x:c r="O22" s="38" t="str">
        <x:v>产出实物默认不绑定，按现行材料脚本</x:v>
      </x:c>
      <x:c r="P22" s="38" t="str">
        <x:v>已正式入库</x:v>
      </x:c>
      <x:c r="Q22" s="39" t="str">
        <x:v>稀有合成与中高阶消耗。Idx与Items Looks锁定，不得改名、改号或覆盖</x:v>
      </x:c>
    </x:row>
    <x:row r="23" ht="40" customHeight="1">
      <x:c r="A23" s="37" t="str">
        <x:v>PROD-0019</x:v>
      </x:c>
      <x:c r="B23" s="38" t="str">
        <x:v>基础产出</x:v>
      </x:c>
      <x:c r="C23" s="38" t="str">
        <x:v>C04</x:v>
      </x:c>
      <x:c r="D23" s="38" t="str">
        <x:v>怪物掉落</x:v>
      </x:c>
      <x:c r="E23" s="38" t="str">
        <x:v>地图BOSS／守关BOSS</x:v>
      </x:c>
      <x:c r="F23" s="38" t="str">
        <x:v>全大陆BOSS地图</x:v>
      </x:c>
      <x:c r="G23" s="38" t="str">
        <x:v>EL-MAT-C04-MARK</x:v>
      </x:c>
      <x:c r="H23" s="38" t="str">
        <x:v>沉湖王印</x:v>
      </x:c>
      <x:c r="I23" s="38" t="str">
        <x:v>待经济反算</x:v>
      </x:c>
      <x:c r="J23" s="38" t="str">
        <x:v>待经济反算</x:v>
      </x:c>
      <x:c r="K23" s="38" t="str">
        <x:v>是</x:v>
      </x:c>
      <x:c r="L23" s="38" t="str">
        <x:v>是</x:v>
      </x:c>
      <x:c r="M23" s="38" t="str">
        <x:v>可交易</x:v>
      </x:c>
      <x:c r="N23" s="38" t="str">
        <x:v>不作为自动回收主材</x:v>
      </x:c>
      <x:c r="O23" s="38" t="str">
        <x:v>产出实物默认不绑定，按现行材料脚本</x:v>
      </x:c>
      <x:c r="P23" s="38" t="str">
        <x:v>已正式入库</x:v>
      </x:c>
      <x:c r="Q23" s="39" t="str">
        <x:v>剧情、称号及重点合成。Idx与Items Looks锁定，不得改名、改号或覆盖</x:v>
      </x:c>
    </x:row>
    <x:row r="24" ht="40" customHeight="1">
      <x:c r="A24" s="37" t="str">
        <x:v>PROD-0020</x:v>
      </x:c>
      <x:c r="B24" s="38" t="str">
        <x:v>基础产出</x:v>
      </x:c>
      <x:c r="C24" s="38" t="str">
        <x:v>C05</x:v>
      </x:c>
      <x:c r="D24" s="38" t="str">
        <x:v>怪物掉落</x:v>
      </x:c>
      <x:c r="E24" s="38" t="str">
        <x:v>全部怪物</x:v>
      </x:c>
      <x:c r="F24" s="38" t="str">
        <x:v>全大陆地图</x:v>
      </x:c>
      <x:c r="G24" s="38" t="str">
        <x:v>EL-MAT-C05-COM</x:v>
      </x:c>
      <x:c r="H24" s="38" t="str">
        <x:v>辉石碎晶</x:v>
      </x:c>
      <x:c r="I24" s="38" t="str">
        <x:v>待经济反算</x:v>
      </x:c>
      <x:c r="J24" s="38" t="str">
        <x:v>待经济反算</x:v>
      </x:c>
      <x:c r="K24" s="38" t="str">
        <x:v>是</x:v>
      </x:c>
      <x:c r="L24" s="38" t="str">
        <x:v>是</x:v>
      </x:c>
      <x:c r="M24" s="38" t="str">
        <x:v>可交易</x:v>
      </x:c>
      <x:c r="N24" s="38" t="str">
        <x:v>R5档金币／元宝主回收口</x:v>
      </x:c>
      <x:c r="O24" s="38" t="str">
        <x:v>产出实物默认不绑定，按现行材料脚本</x:v>
      </x:c>
      <x:c r="P24" s="38" t="str">
        <x:v>已正式入库</x:v>
      </x:c>
      <x:c r="Q24" s="39" t="str">
        <x:v>大陆通用合成、升级及基础消耗。Idx与Items Looks锁定，不得改名、改号或覆盖</x:v>
      </x:c>
    </x:row>
    <x:row r="25" ht="40" customHeight="1">
      <x:c r="A25" s="37" t="str">
        <x:v>PROD-0021</x:v>
      </x:c>
      <x:c r="B25" s="38" t="str">
        <x:v>基础产出</x:v>
      </x:c>
      <x:c r="C25" s="38" t="str">
        <x:v>C05</x:v>
      </x:c>
      <x:c r="D25" s="38" t="str">
        <x:v>怪物掉落</x:v>
      </x:c>
      <x:c r="E25" s="38" t="str">
        <x:v>稀有怪／地图BOSS／守关BOSS</x:v>
      </x:c>
      <x:c r="F25" s="38" t="str">
        <x:v>全大陆地图</x:v>
      </x:c>
      <x:c r="G25" s="38" t="str">
        <x:v>EL-MAT-C05-RARE</x:v>
      </x:c>
      <x:c r="H25" s="38" t="str">
        <x:v>卡利亚月露</x:v>
      </x:c>
      <x:c r="I25" s="38" t="str">
        <x:v>待经济反算</x:v>
      </x:c>
      <x:c r="J25" s="38" t="str">
        <x:v>待经济反算</x:v>
      </x:c>
      <x:c r="K25" s="38" t="str">
        <x:v>是</x:v>
      </x:c>
      <x:c r="L25" s="38" t="str">
        <x:v>是</x:v>
      </x:c>
      <x:c r="M25" s="38" t="str">
        <x:v>可交易</x:v>
      </x:c>
      <x:c r="N25" s="38" t="str">
        <x:v>不作为自动回收主材</x:v>
      </x:c>
      <x:c r="O25" s="38" t="str">
        <x:v>产出实物默认不绑定，按现行材料脚本</x:v>
      </x:c>
      <x:c r="P25" s="38" t="str">
        <x:v>已正式入库</x:v>
      </x:c>
      <x:c r="Q25" s="39" t="str">
        <x:v>稀有合成与中高阶消耗。Idx与Items Looks锁定，不得改名、改号或覆盖</x:v>
      </x:c>
    </x:row>
    <x:row r="26" ht="40" customHeight="1">
      <x:c r="A26" s="37" t="str">
        <x:v>PROD-0022</x:v>
      </x:c>
      <x:c r="B26" s="38" t="str">
        <x:v>基础产出</x:v>
      </x:c>
      <x:c r="C26" s="38" t="str">
        <x:v>C05</x:v>
      </x:c>
      <x:c r="D26" s="38" t="str">
        <x:v>怪物掉落</x:v>
      </x:c>
      <x:c r="E26" s="38" t="str">
        <x:v>地图BOSS／守关BOSS</x:v>
      </x:c>
      <x:c r="F26" s="38" t="str">
        <x:v>全大陆BOSS地图</x:v>
      </x:c>
      <x:c r="G26" s="38" t="str">
        <x:v>EL-MAT-C05-MARK</x:v>
      </x:c>
      <x:c r="H26" s="38" t="str">
        <x:v>满月王室印</x:v>
      </x:c>
      <x:c r="I26" s="38" t="str">
        <x:v>待经济反算</x:v>
      </x:c>
      <x:c r="J26" s="38" t="str">
        <x:v>待经济反算</x:v>
      </x:c>
      <x:c r="K26" s="38" t="str">
        <x:v>是</x:v>
      </x:c>
      <x:c r="L26" s="38" t="str">
        <x:v>是</x:v>
      </x:c>
      <x:c r="M26" s="38" t="str">
        <x:v>可交易</x:v>
      </x:c>
      <x:c r="N26" s="38" t="str">
        <x:v>不作为自动回收主材</x:v>
      </x:c>
      <x:c r="O26" s="38" t="str">
        <x:v>产出实物默认不绑定，按现行材料脚本</x:v>
      </x:c>
      <x:c r="P26" s="38" t="str">
        <x:v>已正式入库</x:v>
      </x:c>
      <x:c r="Q26" s="39" t="str">
        <x:v>剧情、称号及重点合成。Idx与Items Looks锁定，不得改名、改号或覆盖</x:v>
      </x:c>
    </x:row>
    <x:row r="27" ht="40" customHeight="1">
      <x:c r="A27" s="37" t="str">
        <x:v>PROD-0023</x:v>
      </x:c>
      <x:c r="B27" s="38" t="str">
        <x:v>基础产出</x:v>
      </x:c>
      <x:c r="C27" s="38" t="str">
        <x:v>C06</x:v>
      </x:c>
      <x:c r="D27" s="38" t="str">
        <x:v>怪物掉落</x:v>
      </x:c>
      <x:c r="E27" s="38" t="str">
        <x:v>全部怪物</x:v>
      </x:c>
      <x:c r="F27" s="38" t="str">
        <x:v>全大陆地图</x:v>
      </x:c>
      <x:c r="G27" s="38" t="str">
        <x:v>EL-MAT-C06-COM</x:v>
      </x:c>
      <x:c r="H27" s="38" t="str">
        <x:v>猩红矿渣</x:v>
      </x:c>
      <x:c r="I27" s="38" t="str">
        <x:v>待经济反算</x:v>
      </x:c>
      <x:c r="J27" s="38" t="str">
        <x:v>待经济反算</x:v>
      </x:c>
      <x:c r="K27" s="38" t="str">
        <x:v>是</x:v>
      </x:c>
      <x:c r="L27" s="38" t="str">
        <x:v>是</x:v>
      </x:c>
      <x:c r="M27" s="38" t="str">
        <x:v>可交易</x:v>
      </x:c>
      <x:c r="N27" s="38" t="str">
        <x:v>R6档金币／元宝主回收口</x:v>
      </x:c>
      <x:c r="O27" s="38" t="str">
        <x:v>产出实物默认不绑定，按现行材料脚本</x:v>
      </x:c>
      <x:c r="P27" s="38" t="str">
        <x:v>已正式入库</x:v>
      </x:c>
      <x:c r="Q27" s="39" t="str">
        <x:v>大陆通用合成、升级及基础消耗。Idx与Items Looks锁定，不得改名、改号或覆盖</x:v>
      </x:c>
    </x:row>
    <x:row r="28" ht="40" customHeight="1">
      <x:c r="A28" s="37" t="str">
        <x:v>PROD-0024</x:v>
      </x:c>
      <x:c r="B28" s="38" t="str">
        <x:v>基础产出</x:v>
      </x:c>
      <x:c r="C28" s="38" t="str">
        <x:v>C06</x:v>
      </x:c>
      <x:c r="D28" s="38" t="str">
        <x:v>怪物掉落</x:v>
      </x:c>
      <x:c r="E28" s="38" t="str">
        <x:v>稀有怪／地图BOSS／守关BOSS</x:v>
      </x:c>
      <x:c r="F28" s="38" t="str">
        <x:v>全大陆地图</x:v>
      </x:c>
      <x:c r="G28" s="38" t="str">
        <x:v>EL-MAT-C06-RARE</x:v>
      </x:c>
      <x:c r="H28" s="38" t="str">
        <x:v>龙火鳞</x:v>
      </x:c>
      <x:c r="I28" s="38" t="str">
        <x:v>待经济反算</x:v>
      </x:c>
      <x:c r="J28" s="38" t="str">
        <x:v>待经济反算</x:v>
      </x:c>
      <x:c r="K28" s="38" t="str">
        <x:v>是</x:v>
      </x:c>
      <x:c r="L28" s="38" t="str">
        <x:v>是</x:v>
      </x:c>
      <x:c r="M28" s="38" t="str">
        <x:v>可交易</x:v>
      </x:c>
      <x:c r="N28" s="38" t="str">
        <x:v>不作为自动回收主材</x:v>
      </x:c>
      <x:c r="O28" s="38" t="str">
        <x:v>产出实物默认不绑定，按现行材料脚本</x:v>
      </x:c>
      <x:c r="P28" s="38" t="str">
        <x:v>已正式入库</x:v>
      </x:c>
      <x:c r="Q28" s="39" t="str">
        <x:v>稀有合成与中高阶消耗。Idx与Items Looks锁定，不得改名、改号或覆盖</x:v>
      </x:c>
    </x:row>
    <x:row r="29" ht="40" customHeight="1">
      <x:c r="A29" s="37" t="str">
        <x:v>PROD-0025</x:v>
      </x:c>
      <x:c r="B29" s="38" t="str">
        <x:v>基础产出</x:v>
      </x:c>
      <x:c r="C29" s="38" t="str">
        <x:v>C06</x:v>
      </x:c>
      <x:c r="D29" s="38" t="str">
        <x:v>怪物掉落</x:v>
      </x:c>
      <x:c r="E29" s="38" t="str">
        <x:v>地图BOSS／守关BOSS</x:v>
      </x:c>
      <x:c r="F29" s="38" t="str">
        <x:v>全大陆BOSS地图</x:v>
      </x:c>
      <x:c r="G29" s="38" t="str">
        <x:v>EL-MAT-C06-MARK</x:v>
      </x:c>
      <x:c r="H29" s="38" t="str">
        <x:v>红狮战印</x:v>
      </x:c>
      <x:c r="I29" s="38" t="str">
        <x:v>待经济反算</x:v>
      </x:c>
      <x:c r="J29" s="38" t="str">
        <x:v>待经济反算</x:v>
      </x:c>
      <x:c r="K29" s="38" t="str">
        <x:v>是</x:v>
      </x:c>
      <x:c r="L29" s="38" t="str">
        <x:v>是</x:v>
      </x:c>
      <x:c r="M29" s="38" t="str">
        <x:v>可交易</x:v>
      </x:c>
      <x:c r="N29" s="38" t="str">
        <x:v>不作为自动回收主材</x:v>
      </x:c>
      <x:c r="O29" s="38" t="str">
        <x:v>产出实物默认不绑定，按现行材料脚本</x:v>
      </x:c>
      <x:c r="P29" s="38" t="str">
        <x:v>已正式入库</x:v>
      </x:c>
      <x:c r="Q29" s="39" t="str">
        <x:v>剧情、称号及重点合成。Idx与Items Looks锁定，不得改名、改号或覆盖</x:v>
      </x:c>
    </x:row>
    <x:row r="30" ht="40" customHeight="1">
      <x:c r="A30" s="37" t="str">
        <x:v>PROD-0026</x:v>
      </x:c>
      <x:c r="B30" s="38" t="str">
        <x:v>基础产出</x:v>
      </x:c>
      <x:c r="C30" s="38" t="str">
        <x:v>C07</x:v>
      </x:c>
      <x:c r="D30" s="38" t="str">
        <x:v>怪物掉落</x:v>
      </x:c>
      <x:c r="E30" s="38" t="str">
        <x:v>全部怪物</x:v>
      </x:c>
      <x:c r="F30" s="38" t="str">
        <x:v>全大陆地图</x:v>
      </x:c>
      <x:c r="G30" s="38" t="str">
        <x:v>EL-MAT-C07-COM</x:v>
      </x:c>
      <x:c r="H30" s="38" t="str">
        <x:v>冻晶尘</x:v>
      </x:c>
      <x:c r="I30" s="38" t="str">
        <x:v>待经济反算</x:v>
      </x:c>
      <x:c r="J30" s="38" t="str">
        <x:v>待经济反算</x:v>
      </x:c>
      <x:c r="K30" s="38" t="str">
        <x:v>是</x:v>
      </x:c>
      <x:c r="L30" s="38" t="str">
        <x:v>是</x:v>
      </x:c>
      <x:c r="M30" s="38" t="str">
        <x:v>可交易</x:v>
      </x:c>
      <x:c r="N30" s="38" t="str">
        <x:v>R7档金币／元宝主回收口</x:v>
      </x:c>
      <x:c r="O30" s="38" t="str">
        <x:v>产出实物默认不绑定，按现行材料脚本</x:v>
      </x:c>
      <x:c r="P30" s="38" t="str">
        <x:v>已正式入库</x:v>
      </x:c>
      <x:c r="Q30" s="39" t="str">
        <x:v>大陆通用合成、升级及基础消耗。Idx与Items Looks锁定，不得改名、改号或覆盖</x:v>
      </x:c>
    </x:row>
    <x:row r="31" ht="40" customHeight="1">
      <x:c r="A31" s="37" t="str">
        <x:v>PROD-0027</x:v>
      </x:c>
      <x:c r="B31" s="38" t="str">
        <x:v>基础产出</x:v>
      </x:c>
      <x:c r="C31" s="38" t="str">
        <x:v>C07</x:v>
      </x:c>
      <x:c r="D31" s="38" t="str">
        <x:v>怪物掉落</x:v>
      </x:c>
      <x:c r="E31" s="38" t="str">
        <x:v>稀有怪／地图BOSS／守关BOSS</x:v>
      </x:c>
      <x:c r="F31" s="38" t="str">
        <x:v>全大陆地图</x:v>
      </x:c>
      <x:c r="G31" s="38" t="str">
        <x:v>EL-MAT-C07-RARE</x:v>
      </x:c>
      <x:c r="H31" s="38" t="str">
        <x:v>白金纺线</x:v>
      </x:c>
      <x:c r="I31" s="38" t="str">
        <x:v>待经济反算</x:v>
      </x:c>
      <x:c r="J31" s="38" t="str">
        <x:v>待经济反算</x:v>
      </x:c>
      <x:c r="K31" s="38" t="str">
        <x:v>是</x:v>
      </x:c>
      <x:c r="L31" s="38" t="str">
        <x:v>是</x:v>
      </x:c>
      <x:c r="M31" s="38" t="str">
        <x:v>可交易</x:v>
      </x:c>
      <x:c r="N31" s="38" t="str">
        <x:v>不作为自动回收主材</x:v>
      </x:c>
      <x:c r="O31" s="38" t="str">
        <x:v>产出实物默认不绑定，按现行材料脚本</x:v>
      </x:c>
      <x:c r="P31" s="38" t="str">
        <x:v>已正式入库</x:v>
      </x:c>
      <x:c r="Q31" s="39" t="str">
        <x:v>稀有合成与中高阶消耗。Idx与Items Looks锁定，不得改名、改号或覆盖</x:v>
      </x:c>
    </x:row>
    <x:row r="32" ht="40" customHeight="1">
      <x:c r="A32" s="37" t="str">
        <x:v>PROD-0028</x:v>
      </x:c>
      <x:c r="B32" s="38" t="str">
        <x:v>基础产出</x:v>
      </x:c>
      <x:c r="C32" s="38" t="str">
        <x:v>C07</x:v>
      </x:c>
      <x:c r="D32" s="38" t="str">
        <x:v>怪物掉落</x:v>
      </x:c>
      <x:c r="E32" s="38" t="str">
        <x:v>地图BOSS／守关BOSS</x:v>
      </x:c>
      <x:c r="F32" s="38" t="str">
        <x:v>全大陆BOSS地图</x:v>
      </x:c>
      <x:c r="G32" s="38" t="str">
        <x:v>EL-MAT-C07-MARK</x:v>
      </x:c>
      <x:c r="H32" s="38" t="str">
        <x:v>圣雪誓印</x:v>
      </x:c>
      <x:c r="I32" s="38" t="str">
        <x:v>待经济反算</x:v>
      </x:c>
      <x:c r="J32" s="38" t="str">
        <x:v>待经济反算</x:v>
      </x:c>
      <x:c r="K32" s="38" t="str">
        <x:v>是</x:v>
      </x:c>
      <x:c r="L32" s="38" t="str">
        <x:v>是</x:v>
      </x:c>
      <x:c r="M32" s="38" t="str">
        <x:v>可交易</x:v>
      </x:c>
      <x:c r="N32" s="38" t="str">
        <x:v>不作为自动回收主材</x:v>
      </x:c>
      <x:c r="O32" s="38" t="str">
        <x:v>产出实物默认不绑定，按现行材料脚本</x:v>
      </x:c>
      <x:c r="P32" s="38" t="str">
        <x:v>已正式入库</x:v>
      </x:c>
      <x:c r="Q32" s="39" t="str">
        <x:v>剧情、称号及重点合成。Idx与Items Looks锁定，不得改名、改号或覆盖</x:v>
      </x:c>
    </x:row>
    <x:row r="33" ht="40" customHeight="1">
      <x:c r="A33" s="37" t="str">
        <x:v>PROD-0029</x:v>
      </x:c>
      <x:c r="B33" s="38" t="str">
        <x:v>基础产出</x:v>
      </x:c>
      <x:c r="C33" s="38" t="str">
        <x:v>C08</x:v>
      </x:c>
      <x:c r="D33" s="38" t="str">
        <x:v>怪物掉落</x:v>
      </x:c>
      <x:c r="E33" s="38" t="str">
        <x:v>全部怪物</x:v>
      </x:c>
      <x:c r="F33" s="38" t="str">
        <x:v>全大陆地图</x:v>
      </x:c>
      <x:c r="G33" s="38" t="str">
        <x:v>EL-MAT-C08-COM</x:v>
      </x:c>
      <x:c r="H33" s="38" t="str">
        <x:v>霜脊铁</x:v>
      </x:c>
      <x:c r="I33" s="38" t="str">
        <x:v>待经济反算</x:v>
      </x:c>
      <x:c r="J33" s="38" t="str">
        <x:v>待经济反算</x:v>
      </x:c>
      <x:c r="K33" s="38" t="str">
        <x:v>是</x:v>
      </x:c>
      <x:c r="L33" s="38" t="str">
        <x:v>是</x:v>
      </x:c>
      <x:c r="M33" s="38" t="str">
        <x:v>可交易</x:v>
      </x:c>
      <x:c r="N33" s="38" t="str">
        <x:v>R8档金币／元宝主回收口</x:v>
      </x:c>
      <x:c r="O33" s="38" t="str">
        <x:v>产出实物默认不绑定，按现行材料脚本</x:v>
      </x:c>
      <x:c r="P33" s="38" t="str">
        <x:v>已正式入库</x:v>
      </x:c>
      <x:c r="Q33" s="39" t="str">
        <x:v>大陆通用合成、升级及基础消耗。Idx与Items Looks锁定，不得改名、改号或覆盖</x:v>
      </x:c>
    </x:row>
    <x:row r="34" ht="40" customHeight="1">
      <x:c r="A34" s="37" t="str">
        <x:v>PROD-0030</x:v>
      </x:c>
      <x:c r="B34" s="38" t="str">
        <x:v>基础产出</x:v>
      </x:c>
      <x:c r="C34" s="38" t="str">
        <x:v>C08</x:v>
      </x:c>
      <x:c r="D34" s="38" t="str">
        <x:v>怪物掉落</x:v>
      </x:c>
      <x:c r="E34" s="38" t="str">
        <x:v>稀有怪／地图BOSS／守关BOSS</x:v>
      </x:c>
      <x:c r="F34" s="38" t="str">
        <x:v>全大陆地图</x:v>
      </x:c>
      <x:c r="G34" s="38" t="str">
        <x:v>EL-MAT-C08-RARE</x:v>
      </x:c>
      <x:c r="H34" s="38" t="str">
        <x:v>巨人火种</x:v>
      </x:c>
      <x:c r="I34" s="38" t="str">
        <x:v>待经济反算</x:v>
      </x:c>
      <x:c r="J34" s="38" t="str">
        <x:v>待经济反算</x:v>
      </x:c>
      <x:c r="K34" s="38" t="str">
        <x:v>是</x:v>
      </x:c>
      <x:c r="L34" s="38" t="str">
        <x:v>是</x:v>
      </x:c>
      <x:c r="M34" s="38" t="str">
        <x:v>可交易</x:v>
      </x:c>
      <x:c r="N34" s="38" t="str">
        <x:v>不作为自动回收主材</x:v>
      </x:c>
      <x:c r="O34" s="38" t="str">
        <x:v>产出实物默认不绑定，按现行材料脚本</x:v>
      </x:c>
      <x:c r="P34" s="38" t="str">
        <x:v>已正式入库</x:v>
      </x:c>
      <x:c r="Q34" s="39" t="str">
        <x:v>稀有合成与中高阶消耗。Idx与Items Looks锁定，不得改名、改号或覆盖</x:v>
      </x:c>
    </x:row>
    <x:row r="35" ht="40" customHeight="1">
      <x:c r="A35" s="37" t="str">
        <x:v>PROD-0031</x:v>
      </x:c>
      <x:c r="B35" s="38" t="str">
        <x:v>基础产出</x:v>
      </x:c>
      <x:c r="C35" s="38" t="str">
        <x:v>C08</x:v>
      </x:c>
      <x:c r="D35" s="38" t="str">
        <x:v>怪物掉落</x:v>
      </x:c>
      <x:c r="E35" s="38" t="str">
        <x:v>地图BOSS／守关BOSS</x:v>
      </x:c>
      <x:c r="F35" s="38" t="str">
        <x:v>全大陆BOSS地图</x:v>
      </x:c>
      <x:c r="G35" s="38" t="str">
        <x:v>EL-MAT-C08-MARK</x:v>
      </x:c>
      <x:c r="H35" s="38" t="str">
        <x:v>巨人火印</x:v>
      </x:c>
      <x:c r="I35" s="38" t="str">
        <x:v>待经济反算</x:v>
      </x:c>
      <x:c r="J35" s="38" t="str">
        <x:v>待经济反算</x:v>
      </x:c>
      <x:c r="K35" s="38" t="str">
        <x:v>是</x:v>
      </x:c>
      <x:c r="L35" s="38" t="str">
        <x:v>是</x:v>
      </x:c>
      <x:c r="M35" s="38" t="str">
        <x:v>可交易</x:v>
      </x:c>
      <x:c r="N35" s="38" t="str">
        <x:v>不作为自动回收主材</x:v>
      </x:c>
      <x:c r="O35" s="38" t="str">
        <x:v>产出实物默认不绑定，按现行材料脚本</x:v>
      </x:c>
      <x:c r="P35" s="38" t="str">
        <x:v>已正式入库</x:v>
      </x:c>
      <x:c r="Q35" s="39" t="str">
        <x:v>剧情、称号及重点合成。Idx与Items Looks锁定，不得改名、改号或覆盖</x:v>
      </x:c>
    </x:row>
    <x:row r="36" ht="40" customHeight="1">
      <x:c r="A36" s="37" t="str">
        <x:v>PROD-0032</x:v>
      </x:c>
      <x:c r="B36" s="38" t="str">
        <x:v>基础产出</x:v>
      </x:c>
      <x:c r="C36" s="38" t="str">
        <x:v>C09</x:v>
      </x:c>
      <x:c r="D36" s="38" t="str">
        <x:v>怪物掉落</x:v>
      </x:c>
      <x:c r="E36" s="38" t="str">
        <x:v>全部怪物</x:v>
      </x:c>
      <x:c r="F36" s="38" t="str">
        <x:v>全大陆地图</x:v>
      </x:c>
      <x:c r="G36" s="38" t="str">
        <x:v>EL-MAT-C09-COM</x:v>
      </x:c>
      <x:c r="H36" s="38" t="str">
        <x:v>黄金叶脉</x:v>
      </x:c>
      <x:c r="I36" s="38" t="str">
        <x:v>待经济反算</x:v>
      </x:c>
      <x:c r="J36" s="38" t="str">
        <x:v>待经济反算</x:v>
      </x:c>
      <x:c r="K36" s="38" t="str">
        <x:v>是</x:v>
      </x:c>
      <x:c r="L36" s="38" t="str">
        <x:v>是</x:v>
      </x:c>
      <x:c r="M36" s="38" t="str">
        <x:v>可交易</x:v>
      </x:c>
      <x:c r="N36" s="38" t="str">
        <x:v>R9档金币／元宝主回收口</x:v>
      </x:c>
      <x:c r="O36" s="38" t="str">
        <x:v>产出实物默认不绑定，按现行材料脚本</x:v>
      </x:c>
      <x:c r="P36" s="38" t="str">
        <x:v>已正式入库</x:v>
      </x:c>
      <x:c r="Q36" s="39" t="str">
        <x:v>大陆通用合成、升级及基础消耗。Idx与Items Looks锁定，不得改名、改号或覆盖</x:v>
      </x:c>
    </x:row>
    <x:row r="37" ht="40" customHeight="1">
      <x:c r="A37" s="37" t="str">
        <x:v>PROD-0033</x:v>
      </x:c>
      <x:c r="B37" s="38" t="str">
        <x:v>基础产出</x:v>
      </x:c>
      <x:c r="C37" s="38" t="str">
        <x:v>C09</x:v>
      </x:c>
      <x:c r="D37" s="38" t="str">
        <x:v>怪物掉落</x:v>
      </x:c>
      <x:c r="E37" s="38" t="str">
        <x:v>稀有怪／地图BOSS／守关BOSS</x:v>
      </x:c>
      <x:c r="F37" s="38" t="str">
        <x:v>全大陆地图</x:v>
      </x:c>
      <x:c r="G37" s="38" t="str">
        <x:v>EL-MAT-C09-RARE</x:v>
      </x:c>
      <x:c r="H37" s="38" t="str">
        <x:v>古王律页</x:v>
      </x:c>
      <x:c r="I37" s="38" t="str">
        <x:v>待经济反算</x:v>
      </x:c>
      <x:c r="J37" s="38" t="str">
        <x:v>待经济反算</x:v>
      </x:c>
      <x:c r="K37" s="38" t="str">
        <x:v>是</x:v>
      </x:c>
      <x:c r="L37" s="38" t="str">
        <x:v>是</x:v>
      </x:c>
      <x:c r="M37" s="38" t="str">
        <x:v>可交易</x:v>
      </x:c>
      <x:c r="N37" s="38" t="str">
        <x:v>不作为自动回收主材</x:v>
      </x:c>
      <x:c r="O37" s="38" t="str">
        <x:v>产出实物默认不绑定，按现行材料脚本</x:v>
      </x:c>
      <x:c r="P37" s="38" t="str">
        <x:v>已正式入库</x:v>
      </x:c>
      <x:c r="Q37" s="39" t="str">
        <x:v>稀有合成与中高阶消耗。Idx与Items Looks锁定，不得改名、改号或覆盖</x:v>
      </x:c>
    </x:row>
    <x:row r="38" ht="40" customHeight="1">
      <x:c r="A38" s="37" t="str">
        <x:v>PROD-0034</x:v>
      </x:c>
      <x:c r="B38" s="38" t="str">
        <x:v>基础产出</x:v>
      </x:c>
      <x:c r="C38" s="38" t="str">
        <x:v>C09</x:v>
      </x:c>
      <x:c r="D38" s="38" t="str">
        <x:v>怪物掉落</x:v>
      </x:c>
      <x:c r="E38" s="38" t="str">
        <x:v>地图BOSS／守关BOSS</x:v>
      </x:c>
      <x:c r="F38" s="38" t="str">
        <x:v>全大陆BOSS地图</x:v>
      </x:c>
      <x:c r="G38" s="38" t="str">
        <x:v>EL-MAT-C09-MARK</x:v>
      </x:c>
      <x:c r="H38" s="38" t="str">
        <x:v>黄金律印</x:v>
      </x:c>
      <x:c r="I38" s="38" t="str">
        <x:v>待经济反算</x:v>
      </x:c>
      <x:c r="J38" s="38" t="str">
        <x:v>待经济反算</x:v>
      </x:c>
      <x:c r="K38" s="38" t="str">
        <x:v>是</x:v>
      </x:c>
      <x:c r="L38" s="38" t="str">
        <x:v>是</x:v>
      </x:c>
      <x:c r="M38" s="38" t="str">
        <x:v>可交易</x:v>
      </x:c>
      <x:c r="N38" s="38" t="str">
        <x:v>不作为自动回收主材</x:v>
      </x:c>
      <x:c r="O38" s="38" t="str">
        <x:v>产出实物默认不绑定，按现行材料脚本</x:v>
      </x:c>
      <x:c r="P38" s="38" t="str">
        <x:v>已正式入库</x:v>
      </x:c>
      <x:c r="Q38" s="39" t="str">
        <x:v>剧情、称号及重点合成。Idx与Items Looks锁定，不得改名、改号或覆盖</x:v>
      </x:c>
    </x:row>
    <x:row r="39" ht="40" customHeight="1">
      <x:c r="A39" s="37" t="str">
        <x:v>PROD-0035</x:v>
      </x:c>
      <x:c r="B39" s="38" t="str">
        <x:v>基础产出</x:v>
      </x:c>
      <x:c r="C39" s="38" t="str">
        <x:v>C10</x:v>
      </x:c>
      <x:c r="D39" s="38" t="str">
        <x:v>怪物掉落</x:v>
      </x:c>
      <x:c r="E39" s="38" t="str">
        <x:v>全部怪物</x:v>
      </x:c>
      <x:c r="F39" s="38" t="str">
        <x:v>全大陆地图</x:v>
      </x:c>
      <x:c r="G39" s="38" t="str">
        <x:v>EL-MAT-C10-COM</x:v>
      </x:c>
      <x:c r="H39" s="38" t="str">
        <x:v>王城金屑</x:v>
      </x:c>
      <x:c r="I39" s="38" t="str">
        <x:v>待经济反算</x:v>
      </x:c>
      <x:c r="J39" s="38" t="str">
        <x:v>待经济反算</x:v>
      </x:c>
      <x:c r="K39" s="38" t="str">
        <x:v>是</x:v>
      </x:c>
      <x:c r="L39" s="38" t="str">
        <x:v>是</x:v>
      </x:c>
      <x:c r="M39" s="38" t="str">
        <x:v>可交易</x:v>
      </x:c>
      <x:c r="N39" s="38" t="str">
        <x:v>R10档金币／元宝主回收口</x:v>
      </x:c>
      <x:c r="O39" s="38" t="str">
        <x:v>产出实物默认不绑定，按现行材料脚本</x:v>
      </x:c>
      <x:c r="P39" s="38" t="str">
        <x:v>已正式入库</x:v>
      </x:c>
      <x:c r="Q39" s="39" t="str">
        <x:v>大陆通用合成、升级及基础消耗。Idx与Items Looks锁定，不得改名、改号或覆盖</x:v>
      </x:c>
    </x:row>
    <x:row r="40" ht="40" customHeight="1">
      <x:c r="A40" s="37" t="str">
        <x:v>PROD-0036</x:v>
      </x:c>
      <x:c r="B40" s="38" t="str">
        <x:v>基础产出</x:v>
      </x:c>
      <x:c r="C40" s="38" t="str">
        <x:v>C10</x:v>
      </x:c>
      <x:c r="D40" s="38" t="str">
        <x:v>怪物掉落</x:v>
      </x:c>
      <x:c r="E40" s="38" t="str">
        <x:v>稀有怪／地图BOSS／守关BOSS</x:v>
      </x:c>
      <x:c r="F40" s="38" t="str">
        <x:v>全大陆地图</x:v>
      </x:c>
      <x:c r="G40" s="38" t="str">
        <x:v>EL-MAT-C10-RARE</x:v>
      </x:c>
      <x:c r="H40" s="38" t="str">
        <x:v>王宫律文</x:v>
      </x:c>
      <x:c r="I40" s="38" t="str">
        <x:v>待经济反算</x:v>
      </x:c>
      <x:c r="J40" s="38" t="str">
        <x:v>待经济反算</x:v>
      </x:c>
      <x:c r="K40" s="38" t="str">
        <x:v>是</x:v>
      </x:c>
      <x:c r="L40" s="38" t="str">
        <x:v>是</x:v>
      </x:c>
      <x:c r="M40" s="38" t="str">
        <x:v>可交易</x:v>
      </x:c>
      <x:c r="N40" s="38" t="str">
        <x:v>不作为自动回收主材</x:v>
      </x:c>
      <x:c r="O40" s="38" t="str">
        <x:v>产出实物默认不绑定，按现行材料脚本</x:v>
      </x:c>
      <x:c r="P40" s="38" t="str">
        <x:v>已正式入库</x:v>
      </x:c>
      <x:c r="Q40" s="39" t="str">
        <x:v>稀有合成与中高阶消耗。Idx与Items Looks锁定，不得改名、改号或覆盖</x:v>
      </x:c>
    </x:row>
    <x:row r="41" ht="40" customHeight="1">
      <x:c r="A41" s="37" t="str">
        <x:v>PROD-0037</x:v>
      </x:c>
      <x:c r="B41" s="38" t="str">
        <x:v>基础产出</x:v>
      </x:c>
      <x:c r="C41" s="38" t="str">
        <x:v>C10</x:v>
      </x:c>
      <x:c r="D41" s="38" t="str">
        <x:v>怪物掉落</x:v>
      </x:c>
      <x:c r="E41" s="38" t="str">
        <x:v>地图BOSS／守关BOSS</x:v>
      </x:c>
      <x:c r="F41" s="38" t="str">
        <x:v>全大陆BOSS地图</x:v>
      </x:c>
      <x:c r="G41" s="38" t="str">
        <x:v>EL-MAT-C10-MARK</x:v>
      </x:c>
      <x:c r="H41" s="38" t="str">
        <x:v>艾尔登王印</x:v>
      </x:c>
      <x:c r="I41" s="38" t="str">
        <x:v>待经济反算</x:v>
      </x:c>
      <x:c r="J41" s="38" t="str">
        <x:v>待经济反算</x:v>
      </x:c>
      <x:c r="K41" s="38" t="str">
        <x:v>是</x:v>
      </x:c>
      <x:c r="L41" s="38" t="str">
        <x:v>是</x:v>
      </x:c>
      <x:c r="M41" s="38" t="str">
        <x:v>可交易</x:v>
      </x:c>
      <x:c r="N41" s="38" t="str">
        <x:v>不作为自动回收主材</x:v>
      </x:c>
      <x:c r="O41" s="38" t="str">
        <x:v>产出实物默认不绑定，按现行材料脚本</x:v>
      </x:c>
      <x:c r="P41" s="38" t="str">
        <x:v>已正式入库</x:v>
      </x:c>
      <x:c r="Q41" s="39" t="str">
        <x:v>剧情、称号及重点合成。Idx与Items Looks锁定，不得改名、改号或覆盖</x:v>
      </x:c>
    </x:row>
    <x:row r="42" ht="40" customHeight="1">
      <x:c r="A42" s="37" t="str">
        <x:v>PROD-0038</x:v>
      </x:c>
      <x:c r="B42" s="38" t="str">
        <x:v>基础产出</x:v>
      </x:c>
      <x:c r="C42" s="38" t="str">
        <x:v>C03</x:v>
      </x:c>
      <x:c r="D42" s="38" t="str">
        <x:v>怪物掉落</x:v>
      </x:c>
      <x:c r="E42" s="38" t="str">
        <x:v>普通怪</x:v>
      </x:c>
      <x:c r="F42" s="38" t="str">
        <x:v>全大陆普通怪</x:v>
      </x:c>
      <x:c r="G42" s="38" t="str">
        <x:v>EL-MAT-C03-Q01</x:v>
      </x:c>
      <x:c r="H42" s="38" t="str">
        <x:v>裂风崖羽</x:v>
      </x:c>
      <x:c r="I42" s="38" t="str">
        <x:v>待经济反算</x:v>
      </x:c>
      <x:c r="J42" s="38" t="str">
        <x:v>待经济反算</x:v>
      </x:c>
      <x:c r="K42" s="38" t="str">
        <x:v>是</x:v>
      </x:c>
      <x:c r="L42" s="38" t="str">
        <x:v>是</x:v>
      </x:c>
      <x:c r="M42" s="38" t="str">
        <x:v>可交易</x:v>
      </x:c>
      <x:c r="N42" s="38" t="str">
        <x:v>不作为自动回收主材</x:v>
      </x:c>
      <x:c r="O42" s="38" t="str">
        <x:v>产出实物默认不绑定，按现行材料脚本</x:v>
      </x:c>
      <x:c r="P42" s="38" t="str">
        <x:v>已正式入库</x:v>
      </x:c>
      <x:c r="Q42" s="39" t="str">
        <x:v>普通怪身份凭证。Idx与Items Looks锁定，不得改名、改号或覆盖</x:v>
      </x:c>
    </x:row>
    <x:row r="43" ht="40" customHeight="1">
      <x:c r="A43" s="37" t="str">
        <x:v>PROD-0039</x:v>
      </x:c>
      <x:c r="B43" s="38" t="str">
        <x:v>基础产出</x:v>
      </x:c>
      <x:c r="C43" s="38" t="str">
        <x:v>C03</x:v>
      </x:c>
      <x:c r="D43" s="38" t="str">
        <x:v>怪物掉落</x:v>
      </x:c>
      <x:c r="E43" s="38" t="str">
        <x:v>稀有怪</x:v>
      </x:c>
      <x:c r="F43" s="38" t="str">
        <x:v>全大陆稀有怪</x:v>
      </x:c>
      <x:c r="G43" s="38" t="str">
        <x:v>EL-MAT-C03-Q02</x:v>
      </x:c>
      <x:c r="H43" s="38" t="str">
        <x:v>商队火漆</x:v>
      </x:c>
      <x:c r="I43" s="38" t="str">
        <x:v>待经济反算</x:v>
      </x:c>
      <x:c r="J43" s="38" t="str">
        <x:v>待经济反算</x:v>
      </x:c>
      <x:c r="K43" s="38" t="str">
        <x:v>是</x:v>
      </x:c>
      <x:c r="L43" s="38" t="str">
        <x:v>是</x:v>
      </x:c>
      <x:c r="M43" s="38" t="str">
        <x:v>可交易</x:v>
      </x:c>
      <x:c r="N43" s="38" t="str">
        <x:v>不作为自动回收主材</x:v>
      </x:c>
      <x:c r="O43" s="38" t="str">
        <x:v>产出实物默认不绑定，按现行材料脚本</x:v>
      </x:c>
      <x:c r="P43" s="38" t="str">
        <x:v>已正式入库</x:v>
      </x:c>
      <x:c r="Q43" s="39" t="str">
        <x:v>稀有怪身份凭证。Idx与Items Looks锁定，不得改名、改号或覆盖</x:v>
      </x:c>
    </x:row>
    <x:row r="44" ht="40" customHeight="1">
      <x:c r="A44" s="37" t="str">
        <x:v>PROD-0040</x:v>
      </x:c>
      <x:c r="B44" s="38" t="str">
        <x:v>基础产出</x:v>
      </x:c>
      <x:c r="C44" s="38" t="str">
        <x:v>C03</x:v>
      </x:c>
      <x:c r="D44" s="38" t="str">
        <x:v>怪物掉落</x:v>
      </x:c>
      <x:c r="E44" s="38" t="str">
        <x:v>地图BOSS</x:v>
      </x:c>
      <x:c r="F44" s="38" t="str">
        <x:v>全大陆地图BOSS</x:v>
      </x:c>
      <x:c r="G44" s="38" t="str">
        <x:v>EL-MAT-C03-Q03</x:v>
      </x:c>
      <x:c r="H44" s="38" t="str">
        <x:v>守垒铜钥</x:v>
      </x:c>
      <x:c r="I44" s="38" t="str">
        <x:v>待经济反算</x:v>
      </x:c>
      <x:c r="J44" s="38" t="str">
        <x:v>待经济反算</x:v>
      </x:c>
      <x:c r="K44" s="38" t="str">
        <x:v>是</x:v>
      </x:c>
      <x:c r="L44" s="38" t="str">
        <x:v>是</x:v>
      </x:c>
      <x:c r="M44" s="38" t="str">
        <x:v>可交易</x:v>
      </x:c>
      <x:c r="N44" s="38" t="str">
        <x:v>不作为自动回收主材</x:v>
      </x:c>
      <x:c r="O44" s="38" t="str">
        <x:v>产出实物默认不绑定，按现行材料脚本</x:v>
      </x:c>
      <x:c r="P44" s="38" t="str">
        <x:v>已正式入库</x:v>
      </x:c>
      <x:c r="Q44" s="39" t="str">
        <x:v>地图BOSS身份凭证。Idx与Items Looks锁定，不得改名、改号或覆盖</x:v>
      </x:c>
    </x:row>
    <x:row r="45" ht="40" customHeight="1">
      <x:c r="A45" s="37" t="str">
        <x:v>PROD-0041</x:v>
      </x:c>
      <x:c r="B45" s="38" t="str">
        <x:v>基础产出</x:v>
      </x:c>
      <x:c r="C45" s="38" t="str">
        <x:v>C03</x:v>
      </x:c>
      <x:c r="D45" s="38" t="str">
        <x:v>怪物掉落</x:v>
      </x:c>
      <x:c r="E45" s="38" t="str">
        <x:v>守关BOSS</x:v>
      </x:c>
      <x:c r="F45" s="38" t="str">
        <x:v>大陆最终图</x:v>
      </x:c>
      <x:c r="G45" s="38" t="str">
        <x:v>EL-MAT-C03-Q04</x:v>
      </x:c>
      <x:c r="H45" s="38" t="str">
        <x:v>哨垒旗冠</x:v>
      </x:c>
      <x:c r="I45" s="38" t="str">
        <x:v>待经济反算</x:v>
      </x:c>
      <x:c r="J45" s="38" t="str">
        <x:v>待经济反算</x:v>
      </x:c>
      <x:c r="K45" s="38" t="str">
        <x:v>是</x:v>
      </x:c>
      <x:c r="L45" s="38" t="str">
        <x:v>是</x:v>
      </x:c>
      <x:c r="M45" s="38" t="str">
        <x:v>可交易</x:v>
      </x:c>
      <x:c r="N45" s="38" t="str">
        <x:v>不作为自动回收主材</x:v>
      </x:c>
      <x:c r="O45" s="38" t="str">
        <x:v>产出实物默认不绑定，按现行材料脚本</x:v>
      </x:c>
      <x:c r="P45" s="38" t="str">
        <x:v>已正式入库</x:v>
      </x:c>
      <x:c r="Q45" s="39" t="str">
        <x:v>守关BOSS身份凭证。Idx与Items Looks锁定，不得改名、改号或覆盖</x:v>
      </x:c>
    </x:row>
    <x:row r="46" ht="40" customHeight="1">
      <x:c r="A46" s="37" t="str">
        <x:v>PROD-0042</x:v>
      </x:c>
      <x:c r="B46" s="38" t="str">
        <x:v>基础产出</x:v>
      </x:c>
      <x:c r="C46" s="38" t="str">
        <x:v>C04</x:v>
      </x:c>
      <x:c r="D46" s="38" t="str">
        <x:v>怪物掉落</x:v>
      </x:c>
      <x:c r="E46" s="38" t="str">
        <x:v>普通怪</x:v>
      </x:c>
      <x:c r="F46" s="38" t="str">
        <x:v>全大陆普通怪</x:v>
      </x:c>
      <x:c r="G46" s="38" t="str">
        <x:v>EL-MAT-C04-Q01</x:v>
      </x:c>
      <x:c r="H46" s="38" t="str">
        <x:v>雾潮银鳞</x:v>
      </x:c>
      <x:c r="I46" s="38" t="str">
        <x:v>待经济反算</x:v>
      </x:c>
      <x:c r="J46" s="38" t="str">
        <x:v>待经济反算</x:v>
      </x:c>
      <x:c r="K46" s="38" t="str">
        <x:v>是</x:v>
      </x:c>
      <x:c r="L46" s="38" t="str">
        <x:v>是</x:v>
      </x:c>
      <x:c r="M46" s="38" t="str">
        <x:v>可交易</x:v>
      </x:c>
      <x:c r="N46" s="38" t="str">
        <x:v>不作为自动回收主材</x:v>
      </x:c>
      <x:c r="O46" s="38" t="str">
        <x:v>产出实物默认不绑定，按现行材料脚本</x:v>
      </x:c>
      <x:c r="P46" s="38" t="str">
        <x:v>已正式入库</x:v>
      </x:c>
      <x:c r="Q46" s="39" t="str">
        <x:v>普通怪身份凭证。Idx与Items Looks锁定，不得改名、改号或覆盖</x:v>
      </x:c>
    </x:row>
    <x:row r="47" ht="40" customHeight="1">
      <x:c r="A47" s="37" t="str">
        <x:v>PROD-0043</x:v>
      </x:c>
      <x:c r="B47" s="38" t="str">
        <x:v>基础产出</x:v>
      </x:c>
      <x:c r="C47" s="38" t="str">
        <x:v>C04</x:v>
      </x:c>
      <x:c r="D47" s="38" t="str">
        <x:v>怪物掉落</x:v>
      </x:c>
      <x:c r="E47" s="38" t="str">
        <x:v>稀有怪</x:v>
      </x:c>
      <x:c r="F47" s="38" t="str">
        <x:v>全大陆稀有怪</x:v>
      </x:c>
      <x:c r="G47" s="38" t="str">
        <x:v>EL-MAT-C04-Q02</x:v>
      </x:c>
      <x:c r="H47" s="38" t="str">
        <x:v>沉船缆扣</x:v>
      </x:c>
      <x:c r="I47" s="38" t="str">
        <x:v>待经济反算</x:v>
      </x:c>
      <x:c r="J47" s="38" t="str">
        <x:v>待经济反算</x:v>
      </x:c>
      <x:c r="K47" s="38" t="str">
        <x:v>是</x:v>
      </x:c>
      <x:c r="L47" s="38" t="str">
        <x:v>是</x:v>
      </x:c>
      <x:c r="M47" s="38" t="str">
        <x:v>可交易</x:v>
      </x:c>
      <x:c r="N47" s="38" t="str">
        <x:v>不作为自动回收主材</x:v>
      </x:c>
      <x:c r="O47" s="38" t="str">
        <x:v>产出实物默认不绑定，按现行材料脚本</x:v>
      </x:c>
      <x:c r="P47" s="38" t="str">
        <x:v>已正式入库</x:v>
      </x:c>
      <x:c r="Q47" s="39" t="str">
        <x:v>稀有怪身份凭证。Idx与Items Looks锁定，不得改名、改号或覆盖</x:v>
      </x:c>
    </x:row>
    <x:row r="48" ht="40" customHeight="1">
      <x:c r="A48" s="37" t="str">
        <x:v>PROD-0044</x:v>
      </x:c>
      <x:c r="B48" s="38" t="str">
        <x:v>基础产出</x:v>
      </x:c>
      <x:c r="C48" s="38" t="str">
        <x:v>C04</x:v>
      </x:c>
      <x:c r="D48" s="38" t="str">
        <x:v>怪物掉落</x:v>
      </x:c>
      <x:c r="E48" s="38" t="str">
        <x:v>地图BOSS</x:v>
      </x:c>
      <x:c r="F48" s="38" t="str">
        <x:v>全大陆地图BOSS</x:v>
      </x:c>
      <x:c r="G48" s="38" t="str">
        <x:v>EL-MAT-C04-Q03</x:v>
      </x:c>
      <x:c r="H48" s="38" t="str">
        <x:v>深湖压舱印</x:v>
      </x:c>
      <x:c r="I48" s="38" t="str">
        <x:v>待经济反算</x:v>
      </x:c>
      <x:c r="J48" s="38" t="str">
        <x:v>待经济反算</x:v>
      </x:c>
      <x:c r="K48" s="38" t="str">
        <x:v>是</x:v>
      </x:c>
      <x:c r="L48" s="38" t="str">
        <x:v>是</x:v>
      </x:c>
      <x:c r="M48" s="38" t="str">
        <x:v>可交易</x:v>
      </x:c>
      <x:c r="N48" s="38" t="str">
        <x:v>不作为自动回收主材</x:v>
      </x:c>
      <x:c r="O48" s="38" t="str">
        <x:v>产出实物默认不绑定，按现行材料脚本</x:v>
      </x:c>
      <x:c r="P48" s="38" t="str">
        <x:v>已正式入库</x:v>
      </x:c>
      <x:c r="Q48" s="39" t="str">
        <x:v>地图BOSS身份凭证。Idx与Items Looks锁定，不得改名、改号或覆盖</x:v>
      </x:c>
    </x:row>
    <x:row r="49" ht="40" customHeight="1">
      <x:c r="A49" s="37" t="str">
        <x:v>PROD-0045</x:v>
      </x:c>
      <x:c r="B49" s="38" t="str">
        <x:v>基础产出</x:v>
      </x:c>
      <x:c r="C49" s="38" t="str">
        <x:v>C04</x:v>
      </x:c>
      <x:c r="D49" s="38" t="str">
        <x:v>怪物掉落</x:v>
      </x:c>
      <x:c r="E49" s="38" t="str">
        <x:v>守关BOSS</x:v>
      </x:c>
      <x:c r="F49" s="38" t="str">
        <x:v>大陆最终图</x:v>
      </x:c>
      <x:c r="G49" s="38" t="str">
        <x:v>EL-MAT-C04-Q04</x:v>
      </x:c>
      <x:c r="H49" s="38" t="str">
        <x:v>湖底封门珠</x:v>
      </x:c>
      <x:c r="I49" s="38" t="str">
        <x:v>待经济反算</x:v>
      </x:c>
      <x:c r="J49" s="38" t="str">
        <x:v>待经济反算</x:v>
      </x:c>
      <x:c r="K49" s="38" t="str">
        <x:v>是</x:v>
      </x:c>
      <x:c r="L49" s="38" t="str">
        <x:v>是</x:v>
      </x:c>
      <x:c r="M49" s="38" t="str">
        <x:v>可交易</x:v>
      </x:c>
      <x:c r="N49" s="38" t="str">
        <x:v>不作为自动回收主材</x:v>
      </x:c>
      <x:c r="O49" s="38" t="str">
        <x:v>产出实物默认不绑定，按现行材料脚本</x:v>
      </x:c>
      <x:c r="P49" s="38" t="str">
        <x:v>已正式入库</x:v>
      </x:c>
      <x:c r="Q49" s="39" t="str">
        <x:v>守关BOSS身份凭证。Idx与Items Looks锁定，不得改名、改号或覆盖</x:v>
      </x:c>
    </x:row>
    <x:row r="50" ht="40" customHeight="1">
      <x:c r="A50" s="37" t="str">
        <x:v>PROD-0046</x:v>
      </x:c>
      <x:c r="B50" s="38" t="str">
        <x:v>基础产出</x:v>
      </x:c>
      <x:c r="C50" s="38" t="str">
        <x:v>C05</x:v>
      </x:c>
      <x:c r="D50" s="38" t="str">
        <x:v>怪物掉落</x:v>
      </x:c>
      <x:c r="E50" s="38" t="str">
        <x:v>普通怪</x:v>
      </x:c>
      <x:c r="F50" s="38" t="str">
        <x:v>全大陆普通怪</x:v>
      </x:c>
      <x:c r="G50" s="38" t="str">
        <x:v>EL-MAT-C05-Q01</x:v>
      </x:c>
      <x:c r="H50" s="38" t="str">
        <x:v>雾月星砂</x:v>
      </x:c>
      <x:c r="I50" s="38" t="str">
        <x:v>待经济反算</x:v>
      </x:c>
      <x:c r="J50" s="38" t="str">
        <x:v>待经济反算</x:v>
      </x:c>
      <x:c r="K50" s="38" t="str">
        <x:v>是</x:v>
      </x:c>
      <x:c r="L50" s="38" t="str">
        <x:v>是</x:v>
      </x:c>
      <x:c r="M50" s="38" t="str">
        <x:v>可交易</x:v>
      </x:c>
      <x:c r="N50" s="38" t="str">
        <x:v>不作为自动回收主材</x:v>
      </x:c>
      <x:c r="O50" s="38" t="str">
        <x:v>产出实物默认不绑定，按现行材料脚本</x:v>
      </x:c>
      <x:c r="P50" s="38" t="str">
        <x:v>已正式入库</x:v>
      </x:c>
      <x:c r="Q50" s="39" t="str">
        <x:v>普通怪身份凭证。Idx与Items Looks锁定，不得改名、改号或覆盖</x:v>
      </x:c>
    </x:row>
    <x:row r="51" ht="40" customHeight="1">
      <x:c r="A51" s="37" t="str">
        <x:v>PROD-0047</x:v>
      </x:c>
      <x:c r="B51" s="38" t="str">
        <x:v>基础产出</x:v>
      </x:c>
      <x:c r="C51" s="38" t="str">
        <x:v>C05</x:v>
      </x:c>
      <x:c r="D51" s="38" t="str">
        <x:v>怪物掉落</x:v>
      </x:c>
      <x:c r="E51" s="38" t="str">
        <x:v>稀有怪</x:v>
      </x:c>
      <x:c r="F51" s="38" t="str">
        <x:v>全大陆稀有怪</x:v>
      </x:c>
      <x:c r="G51" s="38" t="str">
        <x:v>EL-MAT-C05-Q02</x:v>
      </x:c>
      <x:c r="H51" s="38" t="str">
        <x:v>学院封蜡</x:v>
      </x:c>
      <x:c r="I51" s="38" t="str">
        <x:v>待经济反算</x:v>
      </x:c>
      <x:c r="J51" s="38" t="str">
        <x:v>待经济反算</x:v>
      </x:c>
      <x:c r="K51" s="38" t="str">
        <x:v>是</x:v>
      </x:c>
      <x:c r="L51" s="38" t="str">
        <x:v>是</x:v>
      </x:c>
      <x:c r="M51" s="38" t="str">
        <x:v>可交易</x:v>
      </x:c>
      <x:c r="N51" s="38" t="str">
        <x:v>不作为自动回收主材</x:v>
      </x:c>
      <x:c r="O51" s="38" t="str">
        <x:v>产出实物默认不绑定，按现行材料脚本</x:v>
      </x:c>
      <x:c r="P51" s="38" t="str">
        <x:v>已正式入库</x:v>
      </x:c>
      <x:c r="Q51" s="39" t="str">
        <x:v>稀有怪身份凭证。Idx与Items Looks锁定，不得改名、改号或覆盖</x:v>
      </x:c>
    </x:row>
    <x:row r="52" ht="40" customHeight="1">
      <x:c r="A52" s="37" t="str">
        <x:v>PROD-0048</x:v>
      </x:c>
      <x:c r="B52" s="38" t="str">
        <x:v>基础产出</x:v>
      </x:c>
      <x:c r="C52" s="38" t="str">
        <x:v>C05</x:v>
      </x:c>
      <x:c r="D52" s="38" t="str">
        <x:v>怪物掉落</x:v>
      </x:c>
      <x:c r="E52" s="38" t="str">
        <x:v>地图BOSS</x:v>
      </x:c>
      <x:c r="F52" s="38" t="str">
        <x:v>全大陆地图BOSS</x:v>
      </x:c>
      <x:c r="G52" s="38" t="str">
        <x:v>EL-MAT-C05-Q03</x:v>
      </x:c>
      <x:c r="H52" s="38" t="str">
        <x:v>月蚀镜片</x:v>
      </x:c>
      <x:c r="I52" s="38" t="str">
        <x:v>待经济反算</x:v>
      </x:c>
      <x:c r="J52" s="38" t="str">
        <x:v>待经济反算</x:v>
      </x:c>
      <x:c r="K52" s="38" t="str">
        <x:v>是</x:v>
      </x:c>
      <x:c r="L52" s="38" t="str">
        <x:v>是</x:v>
      </x:c>
      <x:c r="M52" s="38" t="str">
        <x:v>可交易</x:v>
      </x:c>
      <x:c r="N52" s="38" t="str">
        <x:v>不作为自动回收主材</x:v>
      </x:c>
      <x:c r="O52" s="38" t="str">
        <x:v>产出实物默认不绑定，按现行材料脚本</x:v>
      </x:c>
      <x:c r="P52" s="38" t="str">
        <x:v>已正式入库</x:v>
      </x:c>
      <x:c r="Q52" s="39" t="str">
        <x:v>地图BOSS身份凭证。Idx与Items Looks锁定，不得改名、改号或覆盖</x:v>
      </x:c>
    </x:row>
    <x:row r="53" ht="40" customHeight="1">
      <x:c r="A53" s="37" t="str">
        <x:v>PROD-0049</x:v>
      </x:c>
      <x:c r="B53" s="38" t="str">
        <x:v>基础产出</x:v>
      </x:c>
      <x:c r="C53" s="38" t="str">
        <x:v>C05</x:v>
      </x:c>
      <x:c r="D53" s="38" t="str">
        <x:v>怪物掉落</x:v>
      </x:c>
      <x:c r="E53" s="38" t="str">
        <x:v>守关BOSS</x:v>
      </x:c>
      <x:c r="F53" s="38" t="str">
        <x:v>大陆最终图</x:v>
      </x:c>
      <x:c r="G53" s="38" t="str">
        <x:v>EL-MAT-C05-Q04</x:v>
      </x:c>
      <x:c r="H53" s="38" t="str">
        <x:v>禁域星钥</x:v>
      </x:c>
      <x:c r="I53" s="38" t="str">
        <x:v>待经济反算</x:v>
      </x:c>
      <x:c r="J53" s="38" t="str">
        <x:v>待经济反算</x:v>
      </x:c>
      <x:c r="K53" s="38" t="str">
        <x:v>是</x:v>
      </x:c>
      <x:c r="L53" s="38" t="str">
        <x:v>是</x:v>
      </x:c>
      <x:c r="M53" s="38" t="str">
        <x:v>可交易</x:v>
      </x:c>
      <x:c r="N53" s="38" t="str">
        <x:v>不作为自动回收主材</x:v>
      </x:c>
      <x:c r="O53" s="38" t="str">
        <x:v>产出实物默认不绑定，按现行材料脚本</x:v>
      </x:c>
      <x:c r="P53" s="38" t="str">
        <x:v>已正式入库</x:v>
      </x:c>
      <x:c r="Q53" s="39" t="str">
        <x:v>守关BOSS身份凭证。Idx与Items Looks锁定，不得改名、改号或覆盖</x:v>
      </x:c>
    </x:row>
    <x:row r="54" ht="40" customHeight="1">
      <x:c r="A54" s="37" t="str">
        <x:v>PROD-0050</x:v>
      </x:c>
      <x:c r="B54" s="38" t="str">
        <x:v>基础产出</x:v>
      </x:c>
      <x:c r="C54" s="38" t="str">
        <x:v>C06</x:v>
      </x:c>
      <x:c r="D54" s="38" t="str">
        <x:v>怪物掉落</x:v>
      </x:c>
      <x:c r="E54" s="38" t="str">
        <x:v>普通怪</x:v>
      </x:c>
      <x:c r="F54" s="38" t="str">
        <x:v>全大陆普通怪</x:v>
      </x:c>
      <x:c r="G54" s="38" t="str">
        <x:v>EL-MAT-C06-Q01</x:v>
      </x:c>
      <x:c r="H54" s="38" t="str">
        <x:v>红狮断箭</x:v>
      </x:c>
      <x:c r="I54" s="38" t="str">
        <x:v>待经济反算</x:v>
      </x:c>
      <x:c r="J54" s="38" t="str">
        <x:v>待经济反算</x:v>
      </x:c>
      <x:c r="K54" s="38" t="str">
        <x:v>是</x:v>
      </x:c>
      <x:c r="L54" s="38" t="str">
        <x:v>是</x:v>
      </x:c>
      <x:c r="M54" s="38" t="str">
        <x:v>可交易</x:v>
      </x:c>
      <x:c r="N54" s="38" t="str">
        <x:v>不作为自动回收主材</x:v>
      </x:c>
      <x:c r="O54" s="38" t="str">
        <x:v>产出实物默认不绑定，按现行材料脚本</x:v>
      </x:c>
      <x:c r="P54" s="38" t="str">
        <x:v>已正式入库</x:v>
      </x:c>
      <x:c r="Q54" s="39" t="str">
        <x:v>普通怪身份凭证。Idx与Items Looks锁定，不得改名、改号或覆盖</x:v>
      </x:c>
    </x:row>
    <x:row r="55" ht="40" customHeight="1">
      <x:c r="A55" s="37" t="str">
        <x:v>PROD-0051</x:v>
      </x:c>
      <x:c r="B55" s="38" t="str">
        <x:v>基础产出</x:v>
      </x:c>
      <x:c r="C55" s="38" t="str">
        <x:v>C06</x:v>
      </x:c>
      <x:c r="D55" s="38" t="str">
        <x:v>怪物掉落</x:v>
      </x:c>
      <x:c r="E55" s="38" t="str">
        <x:v>稀有怪</x:v>
      </x:c>
      <x:c r="F55" s="38" t="str">
        <x:v>全大陆稀有怪</x:v>
      </x:c>
      <x:c r="G55" s="38" t="str">
        <x:v>EL-MAT-C06-Q02</x:v>
      </x:c>
      <x:c r="H55" s="38" t="str">
        <x:v>净火腺囊</x:v>
      </x:c>
      <x:c r="I55" s="38" t="str">
        <x:v>待经济反算</x:v>
      </x:c>
      <x:c r="J55" s="38" t="str">
        <x:v>待经济反算</x:v>
      </x:c>
      <x:c r="K55" s="38" t="str">
        <x:v>是</x:v>
      </x:c>
      <x:c r="L55" s="38" t="str">
        <x:v>是</x:v>
      </x:c>
      <x:c r="M55" s="38" t="str">
        <x:v>可交易</x:v>
      </x:c>
      <x:c r="N55" s="38" t="str">
        <x:v>不作为自动回收主材</x:v>
      </x:c>
      <x:c r="O55" s="38" t="str">
        <x:v>产出实物默认不绑定，按现行材料脚本</x:v>
      </x:c>
      <x:c r="P55" s="38" t="str">
        <x:v>已正式入库</x:v>
      </x:c>
      <x:c r="Q55" s="39" t="str">
        <x:v>稀有怪身份凭证。Idx与Items Looks锁定，不得改名、改号或覆盖</x:v>
      </x:c>
    </x:row>
    <x:row r="56" ht="40" customHeight="1">
      <x:c r="A56" s="37" t="str">
        <x:v>PROD-0052</x:v>
      </x:c>
      <x:c r="B56" s="38" t="str">
        <x:v>基础产出</x:v>
      </x:c>
      <x:c r="C56" s="38" t="str">
        <x:v>C06</x:v>
      </x:c>
      <x:c r="D56" s="38" t="str">
        <x:v>怪物掉落</x:v>
      </x:c>
      <x:c r="E56" s="38" t="str">
        <x:v>地图BOSS</x:v>
      </x:c>
      <x:c r="F56" s="38" t="str">
        <x:v>全大陆地图BOSS</x:v>
      </x:c>
      <x:c r="G56" s="38" t="str">
        <x:v>EL-MAT-C06-Q03</x:v>
      </x:c>
      <x:c r="H56" s="38" t="str">
        <x:v>龙窟熔牙</x:v>
      </x:c>
      <x:c r="I56" s="38" t="str">
        <x:v>待经济反算</x:v>
      </x:c>
      <x:c r="J56" s="38" t="str">
        <x:v>待经济反算</x:v>
      </x:c>
      <x:c r="K56" s="38" t="str">
        <x:v>是</x:v>
      </x:c>
      <x:c r="L56" s="38" t="str">
        <x:v>是</x:v>
      </x:c>
      <x:c r="M56" s="38" t="str">
        <x:v>可交易</x:v>
      </x:c>
      <x:c r="N56" s="38" t="str">
        <x:v>不作为自动回收主材</x:v>
      </x:c>
      <x:c r="O56" s="38" t="str">
        <x:v>产出实物默认不绑定，按现行材料脚本</x:v>
      </x:c>
      <x:c r="P56" s="38" t="str">
        <x:v>已正式入库</x:v>
      </x:c>
      <x:c r="Q56" s="39" t="str">
        <x:v>地图BOSS身份凭证。Idx与Items Looks锁定，不得改名、改号或覆盖</x:v>
      </x:c>
    </x:row>
    <x:row r="57" ht="40" customHeight="1">
      <x:c r="A57" s="37" t="str">
        <x:v>PROD-0053</x:v>
      </x:c>
      <x:c r="B57" s="38" t="str">
        <x:v>基础产出</x:v>
      </x:c>
      <x:c r="C57" s="38" t="str">
        <x:v>C06</x:v>
      </x:c>
      <x:c r="D57" s="38" t="str">
        <x:v>怪物掉落</x:v>
      </x:c>
      <x:c r="E57" s="38" t="str">
        <x:v>守关BOSS</x:v>
      </x:c>
      <x:c r="F57" s="38" t="str">
        <x:v>大陆最终图</x:v>
      </x:c>
      <x:c r="G57" s="38" t="str">
        <x:v>EL-MAT-C06-Q04</x:v>
      </x:c>
      <x:c r="H57" s="38" t="str">
        <x:v>碎星仪仗钉</x:v>
      </x:c>
      <x:c r="I57" s="38" t="str">
        <x:v>待经济反算</x:v>
      </x:c>
      <x:c r="J57" s="38" t="str">
        <x:v>待经济反算</x:v>
      </x:c>
      <x:c r="K57" s="38" t="str">
        <x:v>是</x:v>
      </x:c>
      <x:c r="L57" s="38" t="str">
        <x:v>是</x:v>
      </x:c>
      <x:c r="M57" s="38" t="str">
        <x:v>可交易</x:v>
      </x:c>
      <x:c r="N57" s="38" t="str">
        <x:v>不作为自动回收主材</x:v>
      </x:c>
      <x:c r="O57" s="38" t="str">
        <x:v>产出实物默认不绑定，按现行材料脚本</x:v>
      </x:c>
      <x:c r="P57" s="38" t="str">
        <x:v>已正式入库</x:v>
      </x:c>
      <x:c r="Q57" s="39" t="str">
        <x:v>守关BOSS身份凭证。Idx与Items Looks锁定，不得改名、改号或覆盖</x:v>
      </x:c>
    </x:row>
    <x:row r="58" ht="40" customHeight="1">
      <x:c r="A58" s="37" t="str">
        <x:v>PROD-0054</x:v>
      </x:c>
      <x:c r="B58" s="38" t="str">
        <x:v>基础产出</x:v>
      </x:c>
      <x:c r="C58" s="38" t="str">
        <x:v>C07</x:v>
      </x:c>
      <x:c r="D58" s="38" t="str">
        <x:v>怪物掉落</x:v>
      </x:c>
      <x:c r="E58" s="38" t="str">
        <x:v>普通怪</x:v>
      </x:c>
      <x:c r="F58" s="38" t="str">
        <x:v>全大陆普通怪</x:v>
      </x:c>
      <x:c r="G58" s="38" t="str">
        <x:v>EL-MAT-C07-Q01</x:v>
      </x:c>
      <x:c r="H58" s="38" t="str">
        <x:v>白金路标片</x:v>
      </x:c>
      <x:c r="I58" s="38" t="str">
        <x:v>待经济反算</x:v>
      </x:c>
      <x:c r="J58" s="38" t="str">
        <x:v>待经济反算</x:v>
      </x:c>
      <x:c r="K58" s="38" t="str">
        <x:v>是</x:v>
      </x:c>
      <x:c r="L58" s="38" t="str">
        <x:v>是</x:v>
      </x:c>
      <x:c r="M58" s="38" t="str">
        <x:v>可交易</x:v>
      </x:c>
      <x:c r="N58" s="38" t="str">
        <x:v>不作为自动回收主材</x:v>
      </x:c>
      <x:c r="O58" s="38" t="str">
        <x:v>产出实物默认不绑定，按现行材料脚本</x:v>
      </x:c>
      <x:c r="P58" s="38" t="str">
        <x:v>已正式入库</x:v>
      </x:c>
      <x:c r="Q58" s="39" t="str">
        <x:v>普通怪身份凭证。Idx与Items Looks锁定，不得改名、改号或覆盖</x:v>
      </x:c>
    </x:row>
    <x:row r="59" ht="40" customHeight="1">
      <x:c r="A59" s="37" t="str">
        <x:v>PROD-0055</x:v>
      </x:c>
      <x:c r="B59" s="38" t="str">
        <x:v>基础产出</x:v>
      </x:c>
      <x:c r="C59" s="38" t="str">
        <x:v>C07</x:v>
      </x:c>
      <x:c r="D59" s="38" t="str">
        <x:v>怪物掉落</x:v>
      </x:c>
      <x:c r="E59" s="38" t="str">
        <x:v>稀有怪</x:v>
      </x:c>
      <x:c r="F59" s="38" t="str">
        <x:v>全大陆稀有怪</x:v>
      </x:c>
      <x:c r="G59" s="38" t="str">
        <x:v>EL-MAT-C07-Q02</x:v>
      </x:c>
      <x:c r="H59" s="38" t="str">
        <x:v>冻原银角</x:v>
      </x:c>
      <x:c r="I59" s="38" t="str">
        <x:v>待经济反算</x:v>
      </x:c>
      <x:c r="J59" s="38" t="str">
        <x:v>待经济反算</x:v>
      </x:c>
      <x:c r="K59" s="38" t="str">
        <x:v>是</x:v>
      </x:c>
      <x:c r="L59" s="38" t="str">
        <x:v>是</x:v>
      </x:c>
      <x:c r="M59" s="38" t="str">
        <x:v>可交易</x:v>
      </x:c>
      <x:c r="N59" s="38" t="str">
        <x:v>不作为自动回收主材</x:v>
      </x:c>
      <x:c r="O59" s="38" t="str">
        <x:v>产出实物默认不绑定，按现行材料脚本</x:v>
      </x:c>
      <x:c r="P59" s="38" t="str">
        <x:v>已正式入库</x:v>
      </x:c>
      <x:c r="Q59" s="39" t="str">
        <x:v>稀有怪身份凭证。Idx与Items Looks锁定，不得改名、改号或覆盖</x:v>
      </x:c>
    </x:row>
    <x:row r="60" ht="40" customHeight="1">
      <x:c r="A60" s="37" t="str">
        <x:v>PROD-0056</x:v>
      </x:c>
      <x:c r="B60" s="38" t="str">
        <x:v>基础产出</x:v>
      </x:c>
      <x:c r="C60" s="38" t="str">
        <x:v>C07</x:v>
      </x:c>
      <x:c r="D60" s="38" t="str">
        <x:v>怪物掉落</x:v>
      </x:c>
      <x:c r="E60" s="38" t="str">
        <x:v>地图BOSS</x:v>
      </x:c>
      <x:c r="F60" s="38" t="str">
        <x:v>全大陆地图BOSS</x:v>
      </x:c>
      <x:c r="G60" s="38" t="str">
        <x:v>EL-MAT-C07-Q03</x:v>
      </x:c>
      <x:c r="H60" s="38" t="str">
        <x:v>秘树霜芽</x:v>
      </x:c>
      <x:c r="I60" s="38" t="str">
        <x:v>待经济反算</x:v>
      </x:c>
      <x:c r="J60" s="38" t="str">
        <x:v>待经济反算</x:v>
      </x:c>
      <x:c r="K60" s="38" t="str">
        <x:v>是</x:v>
      </x:c>
      <x:c r="L60" s="38" t="str">
        <x:v>是</x:v>
      </x:c>
      <x:c r="M60" s="38" t="str">
        <x:v>可交易</x:v>
      </x:c>
      <x:c r="N60" s="38" t="str">
        <x:v>不作为自动回收主材</x:v>
      </x:c>
      <x:c r="O60" s="38" t="str">
        <x:v>产出实物默认不绑定，按现行材料脚本</x:v>
      </x:c>
      <x:c r="P60" s="38" t="str">
        <x:v>已正式入库</x:v>
      </x:c>
      <x:c r="Q60" s="39" t="str">
        <x:v>地图BOSS身份凭证。Idx与Items Looks锁定，不得改名、改号或覆盖</x:v>
      </x:c>
    </x:row>
    <x:row r="61" ht="40" customHeight="1">
      <x:c r="A61" s="37" t="str">
        <x:v>PROD-0057</x:v>
      </x:c>
      <x:c r="B61" s="38" t="str">
        <x:v>基础产出</x:v>
      </x:c>
      <x:c r="C61" s="38" t="str">
        <x:v>C07</x:v>
      </x:c>
      <x:c r="D61" s="38" t="str">
        <x:v>怪物掉落</x:v>
      </x:c>
      <x:c r="E61" s="38" t="str">
        <x:v>守关BOSS</x:v>
      </x:c>
      <x:c r="F61" s="38" t="str">
        <x:v>大陆最终图</x:v>
      </x:c>
      <x:c r="G61" s="38" t="str">
        <x:v>EL-MAT-C07-Q04</x:v>
      </x:c>
      <x:c r="H61" s="38" t="str">
        <x:v>圣雪门楔</x:v>
      </x:c>
      <x:c r="I61" s="38" t="str">
        <x:v>待经济反算</x:v>
      </x:c>
      <x:c r="J61" s="38" t="str">
        <x:v>待经济反算</x:v>
      </x:c>
      <x:c r="K61" s="38" t="str">
        <x:v>是</x:v>
      </x:c>
      <x:c r="L61" s="38" t="str">
        <x:v>是</x:v>
      </x:c>
      <x:c r="M61" s="38" t="str">
        <x:v>可交易</x:v>
      </x:c>
      <x:c r="N61" s="38" t="str">
        <x:v>不作为自动回收主材</x:v>
      </x:c>
      <x:c r="O61" s="38" t="str">
        <x:v>产出实物默认不绑定，按现行材料脚本</x:v>
      </x:c>
      <x:c r="P61" s="38" t="str">
        <x:v>已正式入库</x:v>
      </x:c>
      <x:c r="Q61" s="39" t="str">
        <x:v>守关BOSS身份凭证。Idx与Items Looks锁定，不得改名、改号或覆盖</x:v>
      </x:c>
    </x:row>
    <x:row r="62" ht="40" customHeight="1">
      <x:c r="A62" s="37" t="str">
        <x:v>PROD-0058</x:v>
      </x:c>
      <x:c r="B62" s="38" t="str">
        <x:v>基础产出</x:v>
      </x:c>
      <x:c r="C62" s="38" t="str">
        <x:v>C08</x:v>
      </x:c>
      <x:c r="D62" s="38" t="str">
        <x:v>怪物掉落</x:v>
      </x:c>
      <x:c r="E62" s="38" t="str">
        <x:v>普通怪</x:v>
      </x:c>
      <x:c r="F62" s="38" t="str">
        <x:v>全大陆普通怪</x:v>
      </x:c>
      <x:c r="G62" s="38" t="str">
        <x:v>EL-MAT-C08-Q01</x:v>
      </x:c>
      <x:c r="H62" s="38" t="str">
        <x:v>登山铁楔</x:v>
      </x:c>
      <x:c r="I62" s="38" t="str">
        <x:v>待经济反算</x:v>
      </x:c>
      <x:c r="J62" s="38" t="str">
        <x:v>待经济反算</x:v>
      </x:c>
      <x:c r="K62" s="38" t="str">
        <x:v>是</x:v>
      </x:c>
      <x:c r="L62" s="38" t="str">
        <x:v>是</x:v>
      </x:c>
      <x:c r="M62" s="38" t="str">
        <x:v>可交易</x:v>
      </x:c>
      <x:c r="N62" s="38" t="str">
        <x:v>不作为自动回收主材</x:v>
      </x:c>
      <x:c r="O62" s="38" t="str">
        <x:v>产出实物默认不绑定，按现行材料脚本</x:v>
      </x:c>
      <x:c r="P62" s="38" t="str">
        <x:v>已正式入库</x:v>
      </x:c>
      <x:c r="Q62" s="39" t="str">
        <x:v>普通怪身份凭证。Idx与Items Looks锁定，不得改名、改号或覆盖</x:v>
      </x:c>
    </x:row>
    <x:row r="63" ht="40" customHeight="1">
      <x:c r="A63" s="37" t="str">
        <x:v>PROD-0059</x:v>
      </x:c>
      <x:c r="B63" s="38" t="str">
        <x:v>基础产出</x:v>
      </x:c>
      <x:c r="C63" s="38" t="str">
        <x:v>C08</x:v>
      </x:c>
      <x:c r="D63" s="38" t="str">
        <x:v>怪物掉落</x:v>
      </x:c>
      <x:c r="E63" s="38" t="str">
        <x:v>稀有怪</x:v>
      </x:c>
      <x:c r="F63" s="38" t="str">
        <x:v>全大陆稀有怪</x:v>
      </x:c>
      <x:c r="G63" s="38" t="str">
        <x:v>EL-MAT-C08-Q02</x:v>
      </x:c>
      <x:c r="H63" s="38" t="str">
        <x:v>裂峰号角片</x:v>
      </x:c>
      <x:c r="I63" s="38" t="str">
        <x:v>待经济反算</x:v>
      </x:c>
      <x:c r="J63" s="38" t="str">
        <x:v>待经济反算</x:v>
      </x:c>
      <x:c r="K63" s="38" t="str">
        <x:v>是</x:v>
      </x:c>
      <x:c r="L63" s="38" t="str">
        <x:v>是</x:v>
      </x:c>
      <x:c r="M63" s="38" t="str">
        <x:v>可交易</x:v>
      </x:c>
      <x:c r="N63" s="38" t="str">
        <x:v>不作为自动回收主材</x:v>
      </x:c>
      <x:c r="O63" s="38" t="str">
        <x:v>产出实物默认不绑定，按现行材料脚本</x:v>
      </x:c>
      <x:c r="P63" s="38" t="str">
        <x:v>已正式入库</x:v>
      </x:c>
      <x:c r="Q63" s="39" t="str">
        <x:v>稀有怪身份凭证。Idx与Items Looks锁定，不得改名、改号或覆盖</x:v>
      </x:c>
    </x:row>
    <x:row r="64" ht="40" customHeight="1">
      <x:c r="A64" s="37" t="str">
        <x:v>PROD-0060</x:v>
      </x:c>
      <x:c r="B64" s="38" t="str">
        <x:v>基础产出</x:v>
      </x:c>
      <x:c r="C64" s="38" t="str">
        <x:v>C08</x:v>
      </x:c>
      <x:c r="D64" s="38" t="str">
        <x:v>怪物掉落</x:v>
      </x:c>
      <x:c r="E64" s="38" t="str">
        <x:v>地图BOSS</x:v>
      </x:c>
      <x:c r="F64" s="38" t="str">
        <x:v>全大陆地图BOSS</x:v>
      </x:c>
      <x:c r="G64" s="38" t="str">
        <x:v>EL-MAT-C08-Q03</x:v>
      </x:c>
      <x:c r="H64" s="38" t="str">
        <x:v>冰宫守门铃</x:v>
      </x:c>
      <x:c r="I64" s="38" t="str">
        <x:v>待经济反算</x:v>
      </x:c>
      <x:c r="J64" s="38" t="str">
        <x:v>待经济反算</x:v>
      </x:c>
      <x:c r="K64" s="38" t="str">
        <x:v>是</x:v>
      </x:c>
      <x:c r="L64" s="38" t="str">
        <x:v>是</x:v>
      </x:c>
      <x:c r="M64" s="38" t="str">
        <x:v>可交易</x:v>
      </x:c>
      <x:c r="N64" s="38" t="str">
        <x:v>不作为自动回收主材</x:v>
      </x:c>
      <x:c r="O64" s="38" t="str">
        <x:v>产出实物默认不绑定，按现行材料脚本</x:v>
      </x:c>
      <x:c r="P64" s="38" t="str">
        <x:v>已正式入库</x:v>
      </x:c>
      <x:c r="Q64" s="39" t="str">
        <x:v>地图BOSS身份凭证。Idx与Items Looks锁定，不得改名、改号或覆盖</x:v>
      </x:c>
    </x:row>
    <x:row r="65" ht="40" customHeight="1">
      <x:c r="A65" s="37" t="str">
        <x:v>PROD-0061</x:v>
      </x:c>
      <x:c r="B65" s="38" t="str">
        <x:v>基础产出</x:v>
      </x:c>
      <x:c r="C65" s="38" t="str">
        <x:v>C08</x:v>
      </x:c>
      <x:c r="D65" s="38" t="str">
        <x:v>怪物掉落</x:v>
      </x:c>
      <x:c r="E65" s="38" t="str">
        <x:v>守关BOSS</x:v>
      </x:c>
      <x:c r="F65" s="38" t="str">
        <x:v>大陆最终图</x:v>
      </x:c>
      <x:c r="G65" s="38" t="str">
        <x:v>EL-MAT-C08-Q04</x:v>
      </x:c>
      <x:c r="H65" s="38" t="str">
        <x:v>王庭炉冠</x:v>
      </x:c>
      <x:c r="I65" s="38" t="str">
        <x:v>待经济反算</x:v>
      </x:c>
      <x:c r="J65" s="38" t="str">
        <x:v>待经济反算</x:v>
      </x:c>
      <x:c r="K65" s="38" t="str">
        <x:v>是</x:v>
      </x:c>
      <x:c r="L65" s="38" t="str">
        <x:v>是</x:v>
      </x:c>
      <x:c r="M65" s="38" t="str">
        <x:v>可交易</x:v>
      </x:c>
      <x:c r="N65" s="38" t="str">
        <x:v>不作为自动回收主材</x:v>
      </x:c>
      <x:c r="O65" s="38" t="str">
        <x:v>产出实物默认不绑定，按现行材料脚本</x:v>
      </x:c>
      <x:c r="P65" s="38" t="str">
        <x:v>已正式入库</x:v>
      </x:c>
      <x:c r="Q65" s="39" t="str">
        <x:v>守关BOSS身份凭证。Idx与Items Looks锁定，不得改名、改号或覆盖</x:v>
      </x:c>
    </x:row>
    <x:row r="66" ht="40" customHeight="1">
      <x:c r="A66" s="37" t="str">
        <x:v>PROD-0062</x:v>
      </x:c>
      <x:c r="B66" s="38" t="str">
        <x:v>基础产出</x:v>
      </x:c>
      <x:c r="C66" s="38" t="str">
        <x:v>C09</x:v>
      </x:c>
      <x:c r="D66" s="38" t="str">
        <x:v>怪物掉落</x:v>
      </x:c>
      <x:c r="E66" s="38" t="str">
        <x:v>普通怪</x:v>
      </x:c>
      <x:c r="F66" s="38" t="str">
        <x:v>全大陆普通怪</x:v>
      </x:c>
      <x:c r="G66" s="38" t="str">
        <x:v>EL-MAT-C09-Q01</x:v>
      </x:c>
      <x:c r="H66" s="38" t="str">
        <x:v>金叶驿票</x:v>
      </x:c>
      <x:c r="I66" s="38" t="str">
        <x:v>待经济反算</x:v>
      </x:c>
      <x:c r="J66" s="38" t="str">
        <x:v>待经济反算</x:v>
      </x:c>
      <x:c r="K66" s="38" t="str">
        <x:v>是</x:v>
      </x:c>
      <x:c r="L66" s="38" t="str">
        <x:v>是</x:v>
      </x:c>
      <x:c r="M66" s="38" t="str">
        <x:v>可交易</x:v>
      </x:c>
      <x:c r="N66" s="38" t="str">
        <x:v>不作为自动回收主材</x:v>
      </x:c>
      <x:c r="O66" s="38" t="str">
        <x:v>产出实物默认不绑定，按现行材料脚本</x:v>
      </x:c>
      <x:c r="P66" s="38" t="str">
        <x:v>已正式入库</x:v>
      </x:c>
      <x:c r="Q66" s="39" t="str">
        <x:v>普通怪身份凭证。Idx与Items Looks锁定，不得改名、改号或覆盖</x:v>
      </x:c>
    </x:row>
    <x:row r="67" ht="40" customHeight="1">
      <x:c r="A67" s="37" t="str">
        <x:v>PROD-0063</x:v>
      </x:c>
      <x:c r="B67" s="38" t="str">
        <x:v>基础产出</x:v>
      </x:c>
      <x:c r="C67" s="38" t="str">
        <x:v>C09</x:v>
      </x:c>
      <x:c r="D67" s="38" t="str">
        <x:v>怪物掉落</x:v>
      </x:c>
      <x:c r="E67" s="38" t="str">
        <x:v>稀有怪</x:v>
      </x:c>
      <x:c r="F67" s="38" t="str">
        <x:v>全大陆稀有怪</x:v>
      </x:c>
      <x:c r="G67" s="38" t="str">
        <x:v>EL-MAT-C09-Q02</x:v>
      </x:c>
      <x:c r="H67" s="38" t="str">
        <x:v>矿脉灯芯</x:v>
      </x:c>
      <x:c r="I67" s="38" t="str">
        <x:v>待经济反算</x:v>
      </x:c>
      <x:c r="J67" s="38" t="str">
        <x:v>待经济反算</x:v>
      </x:c>
      <x:c r="K67" s="38" t="str">
        <x:v>是</x:v>
      </x:c>
      <x:c r="L67" s="38" t="str">
        <x:v>是</x:v>
      </x:c>
      <x:c r="M67" s="38" t="str">
        <x:v>可交易</x:v>
      </x:c>
      <x:c r="N67" s="38" t="str">
        <x:v>不作为自动回收主材</x:v>
      </x:c>
      <x:c r="O67" s="38" t="str">
        <x:v>产出实物默认不绑定，按现行材料脚本</x:v>
      </x:c>
      <x:c r="P67" s="38" t="str">
        <x:v>已正式入库</x:v>
      </x:c>
      <x:c r="Q67" s="39" t="str">
        <x:v>稀有怪身份凭证。Idx与Items Looks锁定，不得改名、改号或覆盖</x:v>
      </x:c>
    </x:row>
    <x:row r="68" ht="40" customHeight="1">
      <x:c r="A68" s="37" t="str">
        <x:v>PROD-0064</x:v>
      </x:c>
      <x:c r="B68" s="38" t="str">
        <x:v>基础产出</x:v>
      </x:c>
      <x:c r="C68" s="38" t="str">
        <x:v>C09</x:v>
      </x:c>
      <x:c r="D68" s="38" t="str">
        <x:v>怪物掉落</x:v>
      </x:c>
      <x:c r="E68" s="38" t="str">
        <x:v>地图BOSS</x:v>
      </x:c>
      <x:c r="F68" s="38" t="str">
        <x:v>全大陆地图BOSS</x:v>
      </x:c>
      <x:c r="G68" s="38" t="str">
        <x:v>EL-MAT-C09-Q03</x:v>
      </x:c>
      <x:c r="H68" s="38" t="str">
        <x:v>裁文蜡封</x:v>
      </x:c>
      <x:c r="I68" s="38" t="str">
        <x:v>待经济反算</x:v>
      </x:c>
      <x:c r="J68" s="38" t="str">
        <x:v>待经济反算</x:v>
      </x:c>
      <x:c r="K68" s="38" t="str">
        <x:v>是</x:v>
      </x:c>
      <x:c r="L68" s="38" t="str">
        <x:v>是</x:v>
      </x:c>
      <x:c r="M68" s="38" t="str">
        <x:v>可交易</x:v>
      </x:c>
      <x:c r="N68" s="38" t="str">
        <x:v>不作为自动回收主材</x:v>
      </x:c>
      <x:c r="O68" s="38" t="str">
        <x:v>产出实物默认不绑定，按现行材料脚本</x:v>
      </x:c>
      <x:c r="P68" s="38" t="str">
        <x:v>已正式入库</x:v>
      </x:c>
      <x:c r="Q68" s="39" t="str">
        <x:v>地图BOSS身份凭证。Idx与Items Looks锁定，不得改名、改号或覆盖</x:v>
      </x:c>
    </x:row>
    <x:row r="69" ht="40" customHeight="1">
      <x:c r="A69" s="37" t="str">
        <x:v>PROD-0065</x:v>
      </x:c>
      <x:c r="B69" s="38" t="str">
        <x:v>基础产出</x:v>
      </x:c>
      <x:c r="C69" s="38" t="str">
        <x:v>C09</x:v>
      </x:c>
      <x:c r="D69" s="38" t="str">
        <x:v>怪物掉落</x:v>
      </x:c>
      <x:c r="E69" s="38" t="str">
        <x:v>守关BOSS</x:v>
      </x:c>
      <x:c r="F69" s="38" t="str">
        <x:v>大陆最终图</x:v>
      </x:c>
      <x:c r="G69" s="38" t="str">
        <x:v>EL-MAT-C09-Q04</x:v>
      </x:c>
      <x:c r="H69" s="38" t="str">
        <x:v>高原王诏金版</x:v>
      </x:c>
      <x:c r="I69" s="38" t="str">
        <x:v>待经济反算</x:v>
      </x:c>
      <x:c r="J69" s="38" t="str">
        <x:v>待经济反算</x:v>
      </x:c>
      <x:c r="K69" s="38" t="str">
        <x:v>是</x:v>
      </x:c>
      <x:c r="L69" s="38" t="str">
        <x:v>是</x:v>
      </x:c>
      <x:c r="M69" s="38" t="str">
        <x:v>可交易</x:v>
      </x:c>
      <x:c r="N69" s="38" t="str">
        <x:v>不作为自动回收主材</x:v>
      </x:c>
      <x:c r="O69" s="38" t="str">
        <x:v>产出实物默认不绑定，按现行材料脚本</x:v>
      </x:c>
      <x:c r="P69" s="38" t="str">
        <x:v>已正式入库</x:v>
      </x:c>
      <x:c r="Q69" s="39" t="str">
        <x:v>守关BOSS身份凭证。Idx与Items Looks锁定，不得改名、改号或覆盖</x:v>
      </x:c>
    </x:row>
    <x:row r="70" ht="40" customHeight="1">
      <x:c r="A70" s="37" t="str">
        <x:v>PROD-0066</x:v>
      </x:c>
      <x:c r="B70" s="38" t="str">
        <x:v>基础产出</x:v>
      </x:c>
      <x:c r="C70" s="38" t="str">
        <x:v>C10</x:v>
      </x:c>
      <x:c r="D70" s="38" t="str">
        <x:v>怪物掉落</x:v>
      </x:c>
      <x:c r="E70" s="38" t="str">
        <x:v>普通怪</x:v>
      </x:c>
      <x:c r="F70" s="38" t="str">
        <x:v>全大陆普通怪</x:v>
      </x:c>
      <x:c r="G70" s="38" t="str">
        <x:v>EL-MAT-C10-Q01</x:v>
      </x:c>
      <x:c r="H70" s="38" t="str">
        <x:v>无名墓钉</x:v>
      </x:c>
      <x:c r="I70" s="38" t="str">
        <x:v>待经济反算</x:v>
      </x:c>
      <x:c r="J70" s="38" t="str">
        <x:v>待经济反算</x:v>
      </x:c>
      <x:c r="K70" s="38" t="str">
        <x:v>是</x:v>
      </x:c>
      <x:c r="L70" s="38" t="str">
        <x:v>是</x:v>
      </x:c>
      <x:c r="M70" s="38" t="str">
        <x:v>可交易</x:v>
      </x:c>
      <x:c r="N70" s="38" t="str">
        <x:v>不作为自动回收主材</x:v>
      </x:c>
      <x:c r="O70" s="38" t="str">
        <x:v>产出实物默认不绑定，按现行材料脚本</x:v>
      </x:c>
      <x:c r="P70" s="38" t="str">
        <x:v>已正式入库</x:v>
      </x:c>
      <x:c r="Q70" s="39" t="str">
        <x:v>普通怪身份凭证。Idx与Items Looks锁定，不得改名、改号或覆盖</x:v>
      </x:c>
    </x:row>
    <x:row r="71" ht="40" customHeight="1">
      <x:c r="A71" s="37" t="str">
        <x:v>PROD-0067</x:v>
      </x:c>
      <x:c r="B71" s="38" t="str">
        <x:v>基础产出</x:v>
      </x:c>
      <x:c r="C71" s="38" t="str">
        <x:v>C10</x:v>
      </x:c>
      <x:c r="D71" s="38" t="str">
        <x:v>怪物掉落</x:v>
      </x:c>
      <x:c r="E71" s="38" t="str">
        <x:v>稀有怪</x:v>
      </x:c>
      <x:c r="F71" s="38" t="str">
        <x:v>全大陆稀有怪</x:v>
      </x:c>
      <x:c r="G71" s="38" t="str">
        <x:v>EL-MAT-C10-Q02</x:v>
      </x:c>
      <x:c r="H71" s="38" t="str">
        <x:v>旧渠阀芯</x:v>
      </x:c>
      <x:c r="I71" s="38" t="str">
        <x:v>待经济反算</x:v>
      </x:c>
      <x:c r="J71" s="38" t="str">
        <x:v>待经济反算</x:v>
      </x:c>
      <x:c r="K71" s="38" t="str">
        <x:v>是</x:v>
      </x:c>
      <x:c r="L71" s="38" t="str">
        <x:v>是</x:v>
      </x:c>
      <x:c r="M71" s="38" t="str">
        <x:v>可交易</x:v>
      </x:c>
      <x:c r="N71" s="38" t="str">
        <x:v>不作为自动回收主材</x:v>
      </x:c>
      <x:c r="O71" s="38" t="str">
        <x:v>产出实物默认不绑定，按现行材料脚本</x:v>
      </x:c>
      <x:c r="P71" s="38" t="str">
        <x:v>已正式入库</x:v>
      </x:c>
      <x:c r="Q71" s="39" t="str">
        <x:v>稀有怪身份凭证。Idx与Items Looks锁定，不得改名、改号或覆盖</x:v>
      </x:c>
    </x:row>
    <x:row r="72" ht="40" customHeight="1">
      <x:c r="A72" s="37" t="str">
        <x:v>PROD-0068</x:v>
      </x:c>
      <x:c r="B72" s="38" t="str">
        <x:v>基础产出</x:v>
      </x:c>
      <x:c r="C72" s="38" t="str">
        <x:v>C10</x:v>
      </x:c>
      <x:c r="D72" s="38" t="str">
        <x:v>怪物掉落</x:v>
      </x:c>
      <x:c r="E72" s="38" t="str">
        <x:v>地图BOSS</x:v>
      </x:c>
      <x:c r="F72" s="38" t="str">
        <x:v>全大陆地图BOSS</x:v>
      </x:c>
      <x:c r="G72" s="38" t="str">
        <x:v>EL-MAT-C10-Q03</x:v>
      </x:c>
      <x:c r="H72" s="38" t="str">
        <x:v>失温熔炉楔</x:v>
      </x:c>
      <x:c r="I72" s="38" t="str">
        <x:v>待经济反算</x:v>
      </x:c>
      <x:c r="J72" s="38" t="str">
        <x:v>待经济反算</x:v>
      </x:c>
      <x:c r="K72" s="38" t="str">
        <x:v>是</x:v>
      </x:c>
      <x:c r="L72" s="38" t="str">
        <x:v>是</x:v>
      </x:c>
      <x:c r="M72" s="38" t="str">
        <x:v>可交易</x:v>
      </x:c>
      <x:c r="N72" s="38" t="str">
        <x:v>不作为自动回收主材</x:v>
      </x:c>
      <x:c r="O72" s="38" t="str">
        <x:v>产出实物默认不绑定，按现行材料脚本</x:v>
      </x:c>
      <x:c r="P72" s="38" t="str">
        <x:v>已正式入库</x:v>
      </x:c>
      <x:c r="Q72" s="39" t="str">
        <x:v>地图BOSS身份凭证。Idx与Items Looks锁定，不得改名、改号或覆盖</x:v>
      </x:c>
    </x:row>
    <x:row r="73" ht="40" customHeight="1">
      <x:c r="A73" s="37" t="str">
        <x:v>PROD-0069</x:v>
      </x:c>
      <x:c r="B73" s="38" t="str">
        <x:v>基础产出</x:v>
      </x:c>
      <x:c r="C73" s="38" t="str">
        <x:v>C10</x:v>
      </x:c>
      <x:c r="D73" s="38" t="str">
        <x:v>怪物掉落</x:v>
      </x:c>
      <x:c r="E73" s="38" t="str">
        <x:v>守关BOSS</x:v>
      </x:c>
      <x:c r="F73" s="38" t="str">
        <x:v>大陆最终图</x:v>
      </x:c>
      <x:c r="G73" s="38" t="str">
        <x:v>EL-MAT-C10-Q04</x:v>
      </x:c>
      <x:c r="H73" s="38" t="str">
        <x:v>王宫断冠片</x:v>
      </x:c>
      <x:c r="I73" s="38" t="str">
        <x:v>待经济反算</x:v>
      </x:c>
      <x:c r="J73" s="38" t="str">
        <x:v>待经济反算</x:v>
      </x:c>
      <x:c r="K73" s="38" t="str">
        <x:v>是</x:v>
      </x:c>
      <x:c r="L73" s="38" t="str">
        <x:v>是</x:v>
      </x:c>
      <x:c r="M73" s="38" t="str">
        <x:v>可交易</x:v>
      </x:c>
      <x:c r="N73" s="38" t="str">
        <x:v>不作为自动回收主材</x:v>
      </x:c>
      <x:c r="O73" s="38" t="str">
        <x:v>产出实物默认不绑定，按现行材料脚本</x:v>
      </x:c>
      <x:c r="P73" s="38" t="str">
        <x:v>已正式入库</x:v>
      </x:c>
      <x:c r="Q73" s="39" t="str">
        <x:v>守关BOSS身份凭证。Idx与Items Looks锁定，不得改名、改号或覆盖</x:v>
      </x:c>
    </x:row>
    <x:row r="74" ht="40" customHeight="1">
      <x:c r="A74" s="37" t="str">
        <x:v>PROD-0070</x:v>
      </x:c>
      <x:c r="B74" s="38" t="str">
        <x:v>基础产出</x:v>
      </x:c>
      <x:c r="C74" s="38" t="str">
        <x:v>C03</x:v>
      </x:c>
      <x:c r="D74" s="38" t="str">
        <x:v>怪物掉落</x:v>
      </x:c>
      <x:c r="E74" s="38" t="str">
        <x:v>全部怪物（独立判定）</x:v>
      </x:c>
      <x:c r="F74" s="38" t="str">
        <x:v>全大陆所有地图</x:v>
      </x:c>
      <x:c r="G74" s="38" t="str">
        <x:v>EL-MAT-C03-COLLECT</x:v>
      </x:c>
      <x:c r="H74" s="38" t="str">
        <x:v>西境风痕碑拓</x:v>
      </x:c>
      <x:c r="I74" s="38" t="str">
        <x:v>待经济反算</x:v>
      </x:c>
      <x:c r="J74" s="38" t="str">
        <x:v>待经济反算</x:v>
      </x:c>
      <x:c r="K74" s="38" t="str">
        <x:v>是</x:v>
      </x:c>
      <x:c r="L74" s="38" t="str">
        <x:v>是</x:v>
      </x:c>
      <x:c r="M74" s="38" t="str">
        <x:v>可交易</x:v>
      </x:c>
      <x:c r="N74" s="38" t="str">
        <x:v>禁止普通回收</x:v>
      </x:c>
      <x:c r="O74" s="38" t="str">
        <x:v>产出实物默认不绑定，按现行材料脚本</x:v>
      </x:c>
      <x:c r="P74" s="38" t="str">
        <x:v>来源结构已确认；概率待经济反算</x:v>
      </x:c>
      <x:c r="Q74" s="39" t="str">
        <x:v>不可装备；只供高价值大陆图鉴收集。Idx 972从原预留段启用；Items Looks不得顺延占用6463—6470（与装备候选重叠），需平台提供8个已核验空闲槽。</x:v>
      </x:c>
    </x:row>
    <x:row r="75" ht="40" customHeight="1">
      <x:c r="A75" s="37" t="str">
        <x:v>PROD-0071</x:v>
      </x:c>
      <x:c r="B75" s="38" t="str">
        <x:v>基础产出</x:v>
      </x:c>
      <x:c r="C75" s="38" t="str">
        <x:v>C04</x:v>
      </x:c>
      <x:c r="D75" s="38" t="str">
        <x:v>怪物掉落</x:v>
      </x:c>
      <x:c r="E75" s="38" t="str">
        <x:v>全部怪物（独立判定）</x:v>
      </x:c>
      <x:c r="F75" s="38" t="str">
        <x:v>全大陆所有地图</x:v>
      </x:c>
      <x:c r="G75" s="38" t="str">
        <x:v>EL-MAT-C04-COLLECT</x:v>
      </x:c>
      <x:c r="H75" s="38" t="str">
        <x:v>月潮忆珀</x:v>
      </x:c>
      <x:c r="I75" s="38" t="str">
        <x:v>待经济反算</x:v>
      </x:c>
      <x:c r="J75" s="38" t="str">
        <x:v>待经济反算</x:v>
      </x:c>
      <x:c r="K75" s="38" t="str">
        <x:v>是</x:v>
      </x:c>
      <x:c r="L75" s="38" t="str">
        <x:v>是</x:v>
      </x:c>
      <x:c r="M75" s="38" t="str">
        <x:v>可交易</x:v>
      </x:c>
      <x:c r="N75" s="38" t="str">
        <x:v>禁止普通回收</x:v>
      </x:c>
      <x:c r="O75" s="38" t="str">
        <x:v>产出实物默认不绑定，按现行材料脚本</x:v>
      </x:c>
      <x:c r="P75" s="38" t="str">
        <x:v>来源结构已确认；概率待经济反算</x:v>
      </x:c>
      <x:c r="Q75" s="39" t="str">
        <x:v>不可装备；只供高价值大陆图鉴收集。Idx 973从原预留段启用；Items Looks不得顺延占用6463—6470（与装备候选重叠），需平台提供8个已核验空闲槽。</x:v>
      </x:c>
    </x:row>
    <x:row r="76" ht="40" customHeight="1">
      <x:c r="A76" s="37" t="str">
        <x:v>PROD-0072</x:v>
      </x:c>
      <x:c r="B76" s="38" t="str">
        <x:v>基础产出</x:v>
      </x:c>
      <x:c r="C76" s="38" t="str">
        <x:v>C05</x:v>
      </x:c>
      <x:c r="D76" s="38" t="str">
        <x:v>怪物掉落</x:v>
      </x:c>
      <x:c r="E76" s="38" t="str">
        <x:v>全部怪物（独立判定）</x:v>
      </x:c>
      <x:c r="F76" s="38" t="str">
        <x:v>全大陆所有地图</x:v>
      </x:c>
      <x:c r="G76" s="38" t="str">
        <x:v>EL-MAT-C05-COLLECT</x:v>
      </x:c>
      <x:c r="H76" s="38" t="str">
        <x:v>湖心月谱残章</x:v>
      </x:c>
      <x:c r="I76" s="38" t="str">
        <x:v>待经济反算</x:v>
      </x:c>
      <x:c r="J76" s="38" t="str">
        <x:v>待经济反算</x:v>
      </x:c>
      <x:c r="K76" s="38" t="str">
        <x:v>是</x:v>
      </x:c>
      <x:c r="L76" s="38" t="str">
        <x:v>是</x:v>
      </x:c>
      <x:c r="M76" s="38" t="str">
        <x:v>可交易</x:v>
      </x:c>
      <x:c r="N76" s="38" t="str">
        <x:v>禁止普通回收</x:v>
      </x:c>
      <x:c r="O76" s="38" t="str">
        <x:v>产出实物默认不绑定，按现行材料脚本</x:v>
      </x:c>
      <x:c r="P76" s="38" t="str">
        <x:v>来源结构已确认；概率待经济反算</x:v>
      </x:c>
      <x:c r="Q76" s="39" t="str">
        <x:v>不可装备；只供高价值大陆图鉴收集。Idx 974从原预留段启用；Items Looks不得顺延占用6463—6470（与装备候选重叠），需平台提供8个已核验空闲槽。</x:v>
      </x:c>
    </x:row>
    <x:row r="77" ht="40" customHeight="1">
      <x:c r="A77" s="37" t="str">
        <x:v>PROD-0073</x:v>
      </x:c>
      <x:c r="B77" s="38" t="str">
        <x:v>基础产出</x:v>
      </x:c>
      <x:c r="C77" s="38" t="str">
        <x:v>C06</x:v>
      </x:c>
      <x:c r="D77" s="38" t="str">
        <x:v>怪物掉落</x:v>
      </x:c>
      <x:c r="E77" s="38" t="str">
        <x:v>全部怪物（独立判定）</x:v>
      </x:c>
      <x:c r="F77" s="38" t="str">
        <x:v>全大陆所有地图</x:v>
      </x:c>
      <x:c r="G77" s="38" t="str">
        <x:v>EL-MAT-C06-COLLECT</x:v>
      </x:c>
      <x:c r="H77" s="38" t="str">
        <x:v>熔原罪火残章</x:v>
      </x:c>
      <x:c r="I77" s="38" t="str">
        <x:v>待经济反算</x:v>
      </x:c>
      <x:c r="J77" s="38" t="str">
        <x:v>待经济反算</x:v>
      </x:c>
      <x:c r="K77" s="38" t="str">
        <x:v>是</x:v>
      </x:c>
      <x:c r="L77" s="38" t="str">
        <x:v>是</x:v>
      </x:c>
      <x:c r="M77" s="38" t="str">
        <x:v>可交易</x:v>
      </x:c>
      <x:c r="N77" s="38" t="str">
        <x:v>禁止普通回收</x:v>
      </x:c>
      <x:c r="O77" s="38" t="str">
        <x:v>产出实物默认不绑定，按现行材料脚本</x:v>
      </x:c>
      <x:c r="P77" s="38" t="str">
        <x:v>来源结构已确认；概率待经济反算</x:v>
      </x:c>
      <x:c r="Q77" s="39" t="str">
        <x:v>不可装备；只供高价值大陆图鉴收集。Idx 975从原预留段启用；Items Looks不得顺延占用6463—6470（与装备候选重叠），需平台提供8个已核验空闲槽。</x:v>
      </x:c>
    </x:row>
    <x:row r="78" ht="40" customHeight="1">
      <x:c r="A78" s="37" t="str">
        <x:v>PROD-0074</x:v>
      </x:c>
      <x:c r="B78" s="38" t="str">
        <x:v>基础产出</x:v>
      </x:c>
      <x:c r="C78" s="38" t="str">
        <x:v>C07</x:v>
      </x:c>
      <x:c r="D78" s="38" t="str">
        <x:v>怪物掉落</x:v>
      </x:c>
      <x:c r="E78" s="38" t="str">
        <x:v>全部怪物（独立判定）</x:v>
      </x:c>
      <x:c r="F78" s="38" t="str">
        <x:v>全大陆所有地图</x:v>
      </x:c>
      <x:c r="G78" s="38" t="str">
        <x:v>EL-MAT-C07-COLLECT</x:v>
      </x:c>
      <x:c r="H78" s="38" t="str">
        <x:v>永霜朝圣痕</x:v>
      </x:c>
      <x:c r="I78" s="38" t="str">
        <x:v>待经济反算</x:v>
      </x:c>
      <x:c r="J78" s="38" t="str">
        <x:v>待经济反算</x:v>
      </x:c>
      <x:c r="K78" s="38" t="str">
        <x:v>是</x:v>
      </x:c>
      <x:c r="L78" s="38" t="str">
        <x:v>是</x:v>
      </x:c>
      <x:c r="M78" s="38" t="str">
        <x:v>可交易</x:v>
      </x:c>
      <x:c r="N78" s="38" t="str">
        <x:v>禁止普通回收</x:v>
      </x:c>
      <x:c r="O78" s="38" t="str">
        <x:v>产出实物默认不绑定，按现行材料脚本</x:v>
      </x:c>
      <x:c r="P78" s="38" t="str">
        <x:v>来源结构已确认；概率待经济反算</x:v>
      </x:c>
      <x:c r="Q78" s="39" t="str">
        <x:v>不可装备；只供高价值大陆图鉴收集。Idx 976从原预留段启用；Items Looks不得顺延占用6463—6470（与装备候选重叠），需平台提供8个已核验空闲槽。</x:v>
      </x:c>
    </x:row>
    <x:row r="79" ht="40" customHeight="1">
      <x:c r="A79" s="37" t="str">
        <x:v>PROD-0075</x:v>
      </x:c>
      <x:c r="B79" s="38" t="str">
        <x:v>基础产出</x:v>
      </x:c>
      <x:c r="C79" s="38" t="str">
        <x:v>C08</x:v>
      </x:c>
      <x:c r="D79" s="38" t="str">
        <x:v>怪物掉落</x:v>
      </x:c>
      <x:c r="E79" s="38" t="str">
        <x:v>全部怪物（独立判定）</x:v>
      </x:c>
      <x:c r="F79" s="38" t="str">
        <x:v>全大陆所有地图</x:v>
      </x:c>
      <x:c r="G79" s="38" t="str">
        <x:v>EL-MAT-C08-COLLECT</x:v>
      </x:c>
      <x:c r="H79" s="38" t="str">
        <x:v>穹霜碑珀</x:v>
      </x:c>
      <x:c r="I79" s="38" t="str">
        <x:v>待经济反算</x:v>
      </x:c>
      <x:c r="J79" s="38" t="str">
        <x:v>待经济反算</x:v>
      </x:c>
      <x:c r="K79" s="38" t="str">
        <x:v>是</x:v>
      </x:c>
      <x:c r="L79" s="38" t="str">
        <x:v>是</x:v>
      </x:c>
      <x:c r="M79" s="38" t="str">
        <x:v>可交易</x:v>
      </x:c>
      <x:c r="N79" s="38" t="str">
        <x:v>禁止普通回收</x:v>
      </x:c>
      <x:c r="O79" s="38" t="str">
        <x:v>产出实物默认不绑定，按现行材料脚本</x:v>
      </x:c>
      <x:c r="P79" s="38" t="str">
        <x:v>来源结构已确认；概率待经济反算</x:v>
      </x:c>
      <x:c r="Q79" s="39" t="str">
        <x:v>不可装备；只供高价值大陆图鉴收集。Idx 977从原预留段启用；Items Looks不得顺延占用6463—6470（与装备候选重叠），需平台提供8个已核验空闲槽。</x:v>
      </x:c>
    </x:row>
    <x:row r="80" ht="40" customHeight="1">
      <x:c r="A80" s="37" t="str">
        <x:v>PROD-0076</x:v>
      </x:c>
      <x:c r="B80" s="38" t="str">
        <x:v>基础产出</x:v>
      </x:c>
      <x:c r="C80" s="38" t="str">
        <x:v>C09</x:v>
      </x:c>
      <x:c r="D80" s="38" t="str">
        <x:v>怪物掉落</x:v>
      </x:c>
      <x:c r="E80" s="38" t="str">
        <x:v>全部怪物（独立判定）</x:v>
      </x:c>
      <x:c r="F80" s="38" t="str">
        <x:v>全大陆所有地图</x:v>
      </x:c>
      <x:c r="G80" s="38" t="str">
        <x:v>EL-MAT-C09-COLLECT</x:v>
      </x:c>
      <x:c r="H80" s="38" t="str">
        <x:v>古坛鎏叶髓</x:v>
      </x:c>
      <x:c r="I80" s="38" t="str">
        <x:v>待经济反算</x:v>
      </x:c>
      <x:c r="J80" s="38" t="str">
        <x:v>待经济反算</x:v>
      </x:c>
      <x:c r="K80" s="38" t="str">
        <x:v>是</x:v>
      </x:c>
      <x:c r="L80" s="38" t="str">
        <x:v>是</x:v>
      </x:c>
      <x:c r="M80" s="38" t="str">
        <x:v>可交易</x:v>
      </x:c>
      <x:c r="N80" s="38" t="str">
        <x:v>禁止普通回收</x:v>
      </x:c>
      <x:c r="O80" s="38" t="str">
        <x:v>产出实物默认不绑定，按现行材料脚本</x:v>
      </x:c>
      <x:c r="P80" s="38" t="str">
        <x:v>来源结构已确认；概率待经济反算</x:v>
      </x:c>
      <x:c r="Q80" s="39" t="str">
        <x:v>不可装备；只供高价值大陆图鉴收集。Idx 978从原预留段启用；Items Looks不得顺延占用6463—6470（与装备候选重叠），需平台提供8个已核验空闲槽。</x:v>
      </x:c>
    </x:row>
    <x:row r="81" ht="40" customHeight="1">
      <x:c r="A81" s="37" t="str">
        <x:v>PROD-0077</x:v>
      </x:c>
      <x:c r="B81" s="38" t="str">
        <x:v>基础产出</x:v>
      </x:c>
      <x:c r="C81" s="38" t="str">
        <x:v>C10</x:v>
      </x:c>
      <x:c r="D81" s="38" t="str">
        <x:v>怪物掉落</x:v>
      </x:c>
      <x:c r="E81" s="38" t="str">
        <x:v>全部怪物（独立判定）</x:v>
      </x:c>
      <x:c r="F81" s="38" t="str">
        <x:v>全大陆所有地图</x:v>
      </x:c>
      <x:c r="G81" s="38" t="str">
        <x:v>EL-MAT-C10-COLLECT</x:v>
      </x:c>
      <x:c r="H81" s="38" t="str">
        <x:v>穹律鎏痕拓片</x:v>
      </x:c>
      <x:c r="I81" s="38" t="str">
        <x:v>待经济反算</x:v>
      </x:c>
      <x:c r="J81" s="38" t="str">
        <x:v>待经济反算</x:v>
      </x:c>
      <x:c r="K81" s="38" t="str">
        <x:v>是</x:v>
      </x:c>
      <x:c r="L81" s="38" t="str">
        <x:v>是</x:v>
      </x:c>
      <x:c r="M81" s="38" t="str">
        <x:v>可交易</x:v>
      </x:c>
      <x:c r="N81" s="38" t="str">
        <x:v>禁止普通回收</x:v>
      </x:c>
      <x:c r="O81" s="38" t="str">
        <x:v>产出实物默认不绑定，按现行材料脚本</x:v>
      </x:c>
      <x:c r="P81" s="38" t="str">
        <x:v>来源结构已确认；概率待经济反算</x:v>
      </x:c>
      <x:c r="Q81" s="39" t="str">
        <x:v>不可装备；只供高价值大陆图鉴收集。Idx 979从原预留段启用；Items Looks不得顺延占用6463—6470（与装备候选重叠），需平台提供8个已核验空闲槽。</x:v>
      </x:c>
    </x:row>
    <x:row r="82" ht="40" customHeight="1">
      <x:c r="A82" s="37" t="str">
        <x:v>PROD-0078</x:v>
      </x:c>
      <x:c r="B82" s="38" t="str">
        <x:v>基础产出</x:v>
      </x:c>
      <x:c r="C82" s="38" t="str">
        <x:v>全服</x:v>
      </x:c>
      <x:c r="D82" s="38" t="str">
        <x:v>怪物掉落/既有系统</x:v>
      </x:c>
      <x:c r="E82" s="38" t="str">
        <x:v>既有第一/第二大陆来源表</x:v>
      </x:c>
      <x:c r="F82" s="38" t="str">
        <x:v>按原材料类别投放；需在合并掉落总账时逐行回读</x:v>
      </x:c>
      <x:c r="G82" s="38" t="str">
        <x:v>MAT-WAR-ASH-DAILY</x:v>
      </x:c>
      <x:c r="H82" s="38" t="str">
        <x:v>每日守关武器附魔材料（聚合）</x:v>
      </x:c>
      <x:c r="I82" s="38" t="str">
        <x:v>待经济反算</x:v>
      </x:c>
      <x:c r="J82" s="38" t="str">
        <x:v>待经济反算</x:v>
      </x:c>
      <x:c r="K82" s="38" t="str">
        <x:v>是</x:v>
      </x:c>
      <x:c r="L82" s="38" t="str">
        <x:v>是</x:v>
      </x:c>
      <x:c r="M82" s="38" t="str">
        <x:v>按实际材料规则；未定义前待确认</x:v>
      </x:c>
      <x:c r="N82" s="38" t="str">
        <x:v>不作为自动回收主材</x:v>
      </x:c>
      <x:c r="O82" s="38" t="str">
        <x:v>沿用对应实物规则</x:v>
      </x:c>
      <x:c r="P82" s="38" t="str">
        <x:v>来源结构已确认；数值待经济反算</x:v>
      </x:c>
      <x:c r="Q82" s="39" t="str"/>
    </x:row>
    <x:row r="83" ht="40" customHeight="1">
      <x:c r="A83" s="37" t="str">
        <x:v>PROD-0079</x:v>
      </x:c>
      <x:c r="B83" s="38" t="str">
        <x:v>基础产出</x:v>
      </x:c>
      <x:c r="C83" s="38" t="str">
        <x:v>C01</x:v>
      </x:c>
      <x:c r="D83" s="38" t="str">
        <x:v>怪物独立掉落池</x:v>
      </x:c>
      <x:c r="E83" s="38" t="str">
        <x:v>本大陆全部怪物</x:v>
      </x:c>
      <x:c r="F83" s="38" t="str">
        <x:v>大陆收藏材料独立极低概率判定</x:v>
      </x:c>
      <x:c r="G83" s="38" t="str">
        <x:v>EL-MAT-C01-COLLECT-TBD</x:v>
      </x:c>
      <x:c r="H83" s="38" t="str">
        <x:v>C1大陆收藏材料（待命名/编码）</x:v>
      </x:c>
      <x:c r="I83" s="38" t="str">
        <x:v>待经济反算</x:v>
      </x:c>
      <x:c r="J83" s="38" t="str">
        <x:v>待经济反算</x:v>
      </x:c>
      <x:c r="K83" s="38" t="str">
        <x:v>是</x:v>
      </x:c>
      <x:c r="L83" s="38" t="str">
        <x:v>否</x:v>
      </x:c>
      <x:c r="M83" s="38" t="str">
        <x:v>计划可交易</x:v>
      </x:c>
      <x:c r="N83" s="38" t="str">
        <x:v>禁止普通回收</x:v>
      </x:c>
      <x:c r="O83" s="38" t="str">
        <x:v>计划为可交易实物；登记后消耗</x:v>
      </x:c>
      <x:c r="P83" s="38" t="str">
        <x:v>硬缺口：名称/Idx/Items Looks未定义，暂不可部署</x:v>
      </x:c>
      <x:c r="Q83" s="39" t="str">
        <x:v>规则存在但资源对象缺失；不得借用现有材料造成双用途。</x:v>
      </x:c>
    </x:row>
    <x:row r="84" ht="40" customHeight="1">
      <x:c r="A84" s="37" t="str">
        <x:v>PROD-0080</x:v>
      </x:c>
      <x:c r="B84" s="38" t="str">
        <x:v>基础产出</x:v>
      </x:c>
      <x:c r="C84" s="38" t="str">
        <x:v>C02</x:v>
      </x:c>
      <x:c r="D84" s="38" t="str">
        <x:v>怪物独立掉落池</x:v>
      </x:c>
      <x:c r="E84" s="38" t="str">
        <x:v>本大陆全部怪物</x:v>
      </x:c>
      <x:c r="F84" s="38" t="str">
        <x:v>大陆收藏材料独立极低概率判定</x:v>
      </x:c>
      <x:c r="G84" s="38" t="str">
        <x:v>EL-MAT-C02-COLLECT-TBD</x:v>
      </x:c>
      <x:c r="H84" s="38" t="str">
        <x:v>C2大陆收藏材料（待命名/编码）</x:v>
      </x:c>
      <x:c r="I84" s="38" t="str">
        <x:v>待经济反算</x:v>
      </x:c>
      <x:c r="J84" s="38" t="str">
        <x:v>待经济反算</x:v>
      </x:c>
      <x:c r="K84" s="38" t="str">
        <x:v>是</x:v>
      </x:c>
      <x:c r="L84" s="38" t="str">
        <x:v>否</x:v>
      </x:c>
      <x:c r="M84" s="38" t="str">
        <x:v>计划可交易</x:v>
      </x:c>
      <x:c r="N84" s="38" t="str">
        <x:v>禁止普通回收</x:v>
      </x:c>
      <x:c r="O84" s="38" t="str">
        <x:v>计划为可交易实物；登记后消耗</x:v>
      </x:c>
      <x:c r="P84" s="38" t="str">
        <x:v>硬缺口：名称/Idx/Items Looks未定义，暂不可部署</x:v>
      </x:c>
      <x:c r="Q84" s="39" t="str">
        <x:v>规则存在但资源对象缺失；不得借用现有材料造成双用途。</x:v>
      </x:c>
    </x:row>
    <x:row r="85" ht="40" customHeight="1">
      <x:c r="A85" s="37" t="str">
        <x:v>PROD-0081</x:v>
      </x:c>
      <x:c r="B85" s="38" t="str">
        <x:v>基础产出</x:v>
      </x:c>
      <x:c r="C85" s="38" t="str">
        <x:v>C01—C10</x:v>
      </x:c>
      <x:c r="D85" s="38" t="str">
        <x:v>怪物装备掉落</x:v>
      </x:c>
      <x:c r="E85" s="38" t="str">
        <x:v>普通怪</x:v>
      </x:c>
      <x:c r="F85" s="38" t="str">
        <x:v>怪物自身专属池</x:v>
      </x:c>
      <x:c r="G85" s="38" t="str">
        <x:v>EQ-EXCLUSIVE-NORMAL</x:v>
      </x:c>
      <x:c r="H85" s="38" t="str">
        <x:v>普通怪专属装备（聚合）</x:v>
      </x:c>
      <x:c r="I85" s="38" t="str">
        <x:v>待经济反算</x:v>
      </x:c>
      <x:c r="J85" s="38" t="str">
        <x:v>待经济反算</x:v>
      </x:c>
      <x:c r="K85" s="38" t="str">
        <x:v>是</x:v>
      </x:c>
      <x:c r="L85" s="38" t="str">
        <x:v>是</x:v>
      </x:c>
      <x:c r="M85" s="38" t="str">
        <x:v>可交易</x:v>
      </x:c>
      <x:c r="N85" s="38" t="str">
        <x:v>可用于任务/称号/分解；是否直接回收待统一表</x:v>
      </x:c>
      <x:c r="O85" s="38" t="str">
        <x:v>沿用对应实物规则</x:v>
      </x:c>
      <x:c r="P85" s="38" t="str">
        <x:v>结构已确认；数值待经济反算</x:v>
      </x:c>
      <x:c r="Q85" s="39" t="str">
        <x:v>基础主线掉落。</x:v>
      </x:c>
    </x:row>
    <x:row r="86" ht="40" customHeight="1">
      <x:c r="A86" s="37" t="str">
        <x:v>PROD-0082</x:v>
      </x:c>
      <x:c r="B86" s="38" t="str">
        <x:v>基础产出</x:v>
      </x:c>
      <x:c r="C86" s="38" t="str">
        <x:v>C01—C10</x:v>
      </x:c>
      <x:c r="D86" s="38" t="str">
        <x:v>怪物装备掉落</x:v>
      </x:c>
      <x:c r="E86" s="38" t="str">
        <x:v>稀有/精英怪</x:v>
      </x:c>
      <x:c r="F86" s="38" t="str">
        <x:v>怪物自身专属池</x:v>
      </x:c>
      <x:c r="G86" s="38" t="str">
        <x:v>EQ-EXCLUSIVE-ELITE</x:v>
      </x:c>
      <x:c r="H86" s="38" t="str">
        <x:v>精英怪专属装备（聚合）</x:v>
      </x:c>
      <x:c r="I86" s="38" t="str">
        <x:v>待经济反算</x:v>
      </x:c>
      <x:c r="J86" s="38" t="str">
        <x:v>待经济反算</x:v>
      </x:c>
      <x:c r="K86" s="38" t="str">
        <x:v>是</x:v>
      </x:c>
      <x:c r="L86" s="38" t="str">
        <x:v>是</x:v>
      </x:c>
      <x:c r="M86" s="38" t="str">
        <x:v>可交易</x:v>
      </x:c>
      <x:c r="N86" s="38" t="str">
        <x:v>可用于任务/称号/分解；是否直接回收待统一表</x:v>
      </x:c>
      <x:c r="O86" s="38" t="str">
        <x:v>沿用对应实物规则</x:v>
      </x:c>
      <x:c r="P86" s="38" t="str">
        <x:v>结构已确认；数值待经济反算</x:v>
      </x:c>
      <x:c r="Q86" s="39" t="str">
        <x:v>基础主线掉落。</x:v>
      </x:c>
    </x:row>
    <x:row r="87" ht="40" customHeight="1">
      <x:c r="A87" s="37" t="str">
        <x:v>PROD-0083</x:v>
      </x:c>
      <x:c r="B87" s="38" t="str">
        <x:v>基础产出</x:v>
      </x:c>
      <x:c r="C87" s="38" t="str">
        <x:v>C01—C10</x:v>
      </x:c>
      <x:c r="D87" s="38" t="str">
        <x:v>怪物装备掉落</x:v>
      </x:c>
      <x:c r="E87" s="38" t="str">
        <x:v>地图BOSS</x:v>
      </x:c>
      <x:c r="F87" s="38" t="str">
        <x:v>BOSS自身专属池</x:v>
      </x:c>
      <x:c r="G87" s="38" t="str">
        <x:v>EQ-EXCLUSIVE-MAPBOSS</x:v>
      </x:c>
      <x:c r="H87" s="38" t="str">
        <x:v>地图BOSS专属装备（聚合）</x:v>
      </x:c>
      <x:c r="I87" s="38" t="str">
        <x:v>待经济反算</x:v>
      </x:c>
      <x:c r="J87" s="38" t="str">
        <x:v>待经济反算</x:v>
      </x:c>
      <x:c r="K87" s="38" t="str">
        <x:v>是</x:v>
      </x:c>
      <x:c r="L87" s="38" t="str">
        <x:v>是</x:v>
      </x:c>
      <x:c r="M87" s="38" t="str">
        <x:v>可交易</x:v>
      </x:c>
      <x:c r="N87" s="38" t="str">
        <x:v>可用于任务/称号/分解；是否直接回收待统一表</x:v>
      </x:c>
      <x:c r="O87" s="38" t="str">
        <x:v>沿用对应实物规则</x:v>
      </x:c>
      <x:c r="P87" s="38" t="str">
        <x:v>结构已确认；数值待经济反算</x:v>
      </x:c>
      <x:c r="Q87" s="39" t="str">
        <x:v>基础主线掉落。</x:v>
      </x:c>
    </x:row>
    <x:row r="88" ht="40" customHeight="1">
      <x:c r="A88" s="37" t="str">
        <x:v>PROD-0084</x:v>
      </x:c>
      <x:c r="B88" s="38" t="str">
        <x:v>基础产出</x:v>
      </x:c>
      <x:c r="C88" s="38" t="str">
        <x:v>C01—C10</x:v>
      </x:c>
      <x:c r="D88" s="38" t="str">
        <x:v>怪物装备掉落</x:v>
      </x:c>
      <x:c r="E88" s="38" t="str">
        <x:v>主线守关BOSS</x:v>
      </x:c>
      <x:c r="F88" s="38" t="str">
        <x:v>守关BOSS自身专属池</x:v>
      </x:c>
      <x:c r="G88" s="38" t="str">
        <x:v>EQ-EXCLUSIVE-GUARDIAN</x:v>
      </x:c>
      <x:c r="H88" s="38" t="str">
        <x:v>主线守关BOSS专属装备（聚合）</x:v>
      </x:c>
      <x:c r="I88" s="38" t="str">
        <x:v>待经济反算</x:v>
      </x:c>
      <x:c r="J88" s="38" t="str">
        <x:v>待经济反算</x:v>
      </x:c>
      <x:c r="K88" s="38" t="str">
        <x:v>是</x:v>
      </x:c>
      <x:c r="L88" s="38" t="str">
        <x:v>是</x:v>
      </x:c>
      <x:c r="M88" s="38" t="str">
        <x:v>可交易</x:v>
      </x:c>
      <x:c r="N88" s="38" t="str">
        <x:v>可用于任务/称号/分解；是否直接回收待统一表</x:v>
      </x:c>
      <x:c r="O88" s="38" t="str">
        <x:v>沿用对应实物规则</x:v>
      </x:c>
      <x:c r="P88" s="38" t="str">
        <x:v>结构已确认；数值待经济反算</x:v>
      </x:c>
      <x:c r="Q88" s="39" t="str">
        <x:v>基础主线掉落。</x:v>
      </x:c>
    </x:row>
    <x:row r="89" ht="40" customHeight="1">
      <x:c r="A89" s="37" t="str">
        <x:v>PROD-0085</x:v>
      </x:c>
      <x:c r="B89" s="38" t="str">
        <x:v>基础产出</x:v>
      </x:c>
      <x:c r="C89" s="38" t="str">
        <x:v>C01—C10</x:v>
      </x:c>
      <x:c r="D89" s="38" t="str">
        <x:v>怪物装备掉落</x:v>
      </x:c>
      <x:c r="E89" s="38" t="str">
        <x:v>常规BOSS</x:v>
      </x:c>
      <x:c r="F89" s="38" t="str">
        <x:v>本地图小怪专属兼掉池</x:v>
      </x:c>
      <x:c r="G89" s="38" t="str">
        <x:v>EQ-EXCLUSIVE-NORMAL</x:v>
      </x:c>
      <x:c r="H89" s="38" t="str">
        <x:v>普通怪专属装备（聚合）</x:v>
      </x:c>
      <x:c r="I89" s="38" t="str">
        <x:v>待经济反算</x:v>
      </x:c>
      <x:c r="J89" s="38" t="str">
        <x:v>待经济反算</x:v>
      </x:c>
      <x:c r="K89" s="38" t="str">
        <x:v>是</x:v>
      </x:c>
      <x:c r="L89" s="38" t="str">
        <x:v>是</x:v>
      </x:c>
      <x:c r="M89" s="38" t="str">
        <x:v>可交易</x:v>
      </x:c>
      <x:c r="N89" s="38" t="str">
        <x:v>可用于任务/称号/分解；是否直接回收待统一表</x:v>
      </x:c>
      <x:c r="O89" s="38" t="str">
        <x:v>沿用对应实物规则</x:v>
      </x:c>
      <x:c r="P89" s="38" t="str">
        <x:v>结构已确认；数值待经济反算</x:v>
      </x:c>
      <x:c r="Q89" s="39" t="str">
        <x:v>与BOSS自身专属池、每日福利池分账，禁止重复计产。</x:v>
      </x:c>
    </x:row>
    <x:row r="90" ht="40" customHeight="1">
      <x:c r="A90" s="37" t="str">
        <x:v>PROD-0086</x:v>
      </x:c>
      <x:c r="B90" s="38" t="str">
        <x:v>基础产出</x:v>
      </x:c>
      <x:c r="C90" s="38" t="str">
        <x:v>C01—C10</x:v>
      </x:c>
      <x:c r="D90" s="38" t="str">
        <x:v>怪物装备掉落</x:v>
      </x:c>
      <x:c r="E90" s="38" t="str">
        <x:v>各大陆普通/稀有/BOSS</x:v>
      </x:c>
      <x:c r="F90" s="38" t="str">
        <x:v>制式装备低频掉落</x:v>
      </x:c>
      <x:c r="G90" s="38" t="str">
        <x:v>EQ-STANDARD</x:v>
      </x:c>
      <x:c r="H90" s="38" t="str">
        <x:v>制式装备（聚合）</x:v>
      </x:c>
      <x:c r="I90" s="38" t="str">
        <x:v>待经济反算</x:v>
      </x:c>
      <x:c r="J90" s="38" t="str">
        <x:v>待经济反算</x:v>
      </x:c>
      <x:c r="K90" s="38" t="str">
        <x:v>是</x:v>
      </x:c>
      <x:c r="L90" s="38" t="str">
        <x:v>是</x:v>
      </x:c>
      <x:c r="M90" s="38" t="str">
        <x:v>可交易</x:v>
      </x:c>
      <x:c r="N90" s="38" t="str">
        <x:v>仅原始掉落件可按回收表回收</x:v>
      </x:c>
      <x:c r="O90" s="38" t="str">
        <x:v>沿用对应实物规则</x:v>
      </x:c>
      <x:c r="P90" s="38" t="str">
        <x:v>结构已确认；数值待经济反算</x:v>
      </x:c>
      <x:c r="Q90" s="39" t="str">
        <x:v>控制地面对象与掉落量，只作金币/元宝回收辅助。</x:v>
      </x:c>
    </x:row>
    <x:row r="91" ht="40" customHeight="1">
      <x:c r="A91" s="37" t="str">
        <x:v>PROD-0087</x:v>
      </x:c>
      <x:c r="B91" s="38" t="str">
        <x:v>基础产出</x:v>
      </x:c>
      <x:c r="C91" s="38" t="str">
        <x:v>C02—C10</x:v>
      </x:c>
      <x:c r="D91" s="38" t="str">
        <x:v>怪物独立掉落池</x:v>
      </x:c>
      <x:c r="E91" s="38" t="str">
        <x:v>第二大陆及以后全部怪物</x:v>
      </x:c>
      <x:c r="F91" s="38" t="str">
        <x:v>一次1/x RANDOM触发后六件神器随机一件</x:v>
      </x:c>
      <x:c r="G91" s="38" t="str">
        <x:v>EQ-DREAM-ARTIFACT-POOL</x:v>
      </x:c>
      <x:c r="H91" s="38" t="str">
        <x:v>追梦六神器公共奖池（聚合）</x:v>
      </x:c>
      <x:c r="I91" s="38" t="str">
        <x:v>待经济反算</x:v>
      </x:c>
      <x:c r="J91" s="38" t="str">
        <x:v>待经济反算</x:v>
      </x:c>
      <x:c r="K91" s="38" t="str">
        <x:v>是</x:v>
      </x:c>
      <x:c r="L91" s="38" t="str">
        <x:v>是</x:v>
      </x:c>
      <x:c r="M91" s="38" t="str">
        <x:v>沿用现行神器交易规则</x:v>
      </x:c>
      <x:c r="N91" s="38" t="str">
        <x:v>禁止普通回收</x:v>
      </x:c>
      <x:c r="O91" s="38" t="str">
        <x:v>沿用对应实物规则</x:v>
      </x:c>
      <x:c r="P91" s="38" t="str">
        <x:v>结构已确认；数值待经济反算</x:v>
      </x:c>
      <x:c r="Q91" s="39" t="str">
        <x:v>受人物爆率放大；基础x按几十万至百万量级后续反算，不拆成六次独立判定。</x:v>
      </x:c>
    </x:row>
    <x:row r="92" ht="40" customHeight="1">
      <x:c r="A92" s="37" t="str">
        <x:v>PROD-0088</x:v>
      </x:c>
      <x:c r="B92" s="38" t="str">
        <x:v>基础产出</x:v>
      </x:c>
      <x:c r="C92" s="38" t="str">
        <x:v>C01</x:v>
      </x:c>
      <x:c r="D92" s="38" t="str">
        <x:v>材料回收</x:v>
      </x:c>
      <x:c r="E92" s="38" t="str">
        <x:v>海蚀铁片回收</x:v>
      </x:c>
      <x:c r="F92" s="38" t="str">
        <x:v>R1；金币主、元宝辅</x:v>
      </x:c>
      <x:c r="G92" s="38" t="str">
        <x:v>CUR-GOLD</x:v>
      </x:c>
      <x:c r="H92" s="38" t="str">
        <x:v>金币</x:v>
      </x:c>
      <x:c r="I92" s="38" t="str">
        <x:v>待经济反算</x:v>
      </x:c>
      <x:c r="J92" s="38" t="str">
        <x:v>待经济反算</x:v>
      </x:c>
      <x:c r="K92" s="38" t="str">
        <x:v>是</x:v>
      </x:c>
      <x:c r="L92" s="38" t="str">
        <x:v>是</x:v>
      </x:c>
      <x:c r="M92" s="38" t="str">
        <x:v>材料可交易；回收后转为金币</x:v>
      </x:c>
      <x:c r="N92" s="38" t="str">
        <x:v>原材料被系统消耗；合成成品不得反向回收套利</x:v>
      </x:c>
      <x:c r="O92" s="38" t="str">
        <x:v>沿用现行货币账户</x:v>
      </x:c>
      <x:c r="P92" s="38" t="str">
        <x:v>主产出口；回收价待经济反算</x:v>
      </x:c>
      <x:c r="Q92" s="39" t="str">
        <x:v>高小时数量；单次多叠加、触发频率较低；材料回收底价计入所有配方机会成本；禁止合成后回收套利</x:v>
      </x:c>
    </x:row>
    <x:row r="93" ht="40" customHeight="1">
      <x:c r="A93" s="37" t="str">
        <x:v>PROD-0089</x:v>
      </x:c>
      <x:c r="B93" s="38" t="str">
        <x:v>基础产出</x:v>
      </x:c>
      <x:c r="C93" s="38" t="str">
        <x:v>C01</x:v>
      </x:c>
      <x:c r="D93" s="38" t="str">
        <x:v>材料回收</x:v>
      </x:c>
      <x:c r="E93" s="38" t="str">
        <x:v>海蚀铁片回收</x:v>
      </x:c>
      <x:c r="F93" s="38" t="str">
        <x:v>R1；金币主、元宝辅</x:v>
      </x:c>
      <x:c r="G93" s="38" t="str">
        <x:v>CUR-YUANBAO</x:v>
      </x:c>
      <x:c r="H93" s="38" t="str">
        <x:v>元宝</x:v>
      </x:c>
      <x:c r="I93" s="38" t="str">
        <x:v>待经济反算</x:v>
      </x:c>
      <x:c r="J93" s="38" t="str">
        <x:v>待经济反算</x:v>
      </x:c>
      <x:c r="K93" s="38" t="str">
        <x:v>是</x:v>
      </x:c>
      <x:c r="L93" s="38" t="str">
        <x:v>是</x:v>
      </x:c>
      <x:c r="M93" s="38" t="str">
        <x:v>材料可交易；回收后转为元宝</x:v>
      </x:c>
      <x:c r="N93" s="38" t="str">
        <x:v>原材料被系统消耗；合成成品不得反向回收套利</x:v>
      </x:c>
      <x:c r="O93" s="38" t="str">
        <x:v>沿用现行货币账户</x:v>
      </x:c>
      <x:c r="P93" s="38" t="str">
        <x:v>主产出口；回收价待经济反算</x:v>
      </x:c>
      <x:c r="Q93" s="39" t="str">
        <x:v>高小时数量；单次多叠加、触发频率较低；材料回收底价计入所有配方机会成本；禁止合成后回收套利</x:v>
      </x:c>
    </x:row>
    <x:row r="94" ht="40" customHeight="1">
      <x:c r="A94" s="37" t="str">
        <x:v>PROD-0090</x:v>
      </x:c>
      <x:c r="B94" s="38" t="str">
        <x:v>基础产出</x:v>
      </x:c>
      <x:c r="C94" s="38" t="str">
        <x:v>C02</x:v>
      </x:c>
      <x:c r="D94" s="38" t="str">
        <x:v>材料回收</x:v>
      </x:c>
      <x:c r="E94" s="38" t="str">
        <x:v>风暴石片回收</x:v>
      </x:c>
      <x:c r="F94" s="38" t="str">
        <x:v>R2；元宝主、金币辅</x:v>
      </x:c>
      <x:c r="G94" s="38" t="str">
        <x:v>CUR-GOLD</x:v>
      </x:c>
      <x:c r="H94" s="38" t="str">
        <x:v>金币</x:v>
      </x:c>
      <x:c r="I94" s="38" t="str">
        <x:v>待经济反算</x:v>
      </x:c>
      <x:c r="J94" s="38" t="str">
        <x:v>待经济反算</x:v>
      </x:c>
      <x:c r="K94" s="38" t="str">
        <x:v>是</x:v>
      </x:c>
      <x:c r="L94" s="38" t="str">
        <x:v>是</x:v>
      </x:c>
      <x:c r="M94" s="38" t="str">
        <x:v>材料可交易；回收后转为金币</x:v>
      </x:c>
      <x:c r="N94" s="38" t="str">
        <x:v>原材料被系统消耗；合成成品不得反向回收套利</x:v>
      </x:c>
      <x:c r="O94" s="38" t="str">
        <x:v>沿用现行货币账户</x:v>
      </x:c>
      <x:c r="P94" s="38" t="str">
        <x:v>主产出口；回收价待经济反算</x:v>
      </x:c>
      <x:c r="Q94" s="39" t="str">
        <x:v>高小时数量；单次多叠加、触发频率较低；材料回收底价计入所有配方机会成本；禁止合成后回收套利</x:v>
      </x:c>
    </x:row>
    <x:row r="95" ht="40" customHeight="1">
      <x:c r="A95" s="37" t="str">
        <x:v>PROD-0091</x:v>
      </x:c>
      <x:c r="B95" s="38" t="str">
        <x:v>基础产出</x:v>
      </x:c>
      <x:c r="C95" s="38" t="str">
        <x:v>C02</x:v>
      </x:c>
      <x:c r="D95" s="38" t="str">
        <x:v>材料回收</x:v>
      </x:c>
      <x:c r="E95" s="38" t="str">
        <x:v>风暴石片回收</x:v>
      </x:c>
      <x:c r="F95" s="38" t="str">
        <x:v>R2；元宝主、金币辅</x:v>
      </x:c>
      <x:c r="G95" s="38" t="str">
        <x:v>CUR-YUANBAO</x:v>
      </x:c>
      <x:c r="H95" s="38" t="str">
        <x:v>元宝</x:v>
      </x:c>
      <x:c r="I95" s="38" t="str">
        <x:v>待经济反算</x:v>
      </x:c>
      <x:c r="J95" s="38" t="str">
        <x:v>待经济反算</x:v>
      </x:c>
      <x:c r="K95" s="38" t="str">
        <x:v>是</x:v>
      </x:c>
      <x:c r="L95" s="38" t="str">
        <x:v>是</x:v>
      </x:c>
      <x:c r="M95" s="38" t="str">
        <x:v>材料可交易；回收后转为元宝</x:v>
      </x:c>
      <x:c r="N95" s="38" t="str">
        <x:v>原材料被系统消耗；合成成品不得反向回收套利</x:v>
      </x:c>
      <x:c r="O95" s="38" t="str">
        <x:v>沿用现行货币账户</x:v>
      </x:c>
      <x:c r="P95" s="38" t="str">
        <x:v>主产出口；回收价待经济反算</x:v>
      </x:c>
      <x:c r="Q95" s="39" t="str">
        <x:v>高小时数量；单次多叠加、触发频率较低；材料回收底价计入所有配方机会成本；禁止合成后回收套利</x:v>
      </x:c>
    </x:row>
    <x:row r="96" ht="40" customHeight="1">
      <x:c r="A96" s="37" t="str">
        <x:v>PROD-0092</x:v>
      </x:c>
      <x:c r="B96" s="38" t="str">
        <x:v>基础产出</x:v>
      </x:c>
      <x:c r="C96" s="38" t="str">
        <x:v>C03</x:v>
      </x:c>
      <x:c r="D96" s="38" t="str">
        <x:v>材料回收</x:v>
      </x:c>
      <x:c r="E96" s="38" t="str">
        <x:v>风蚀铁片回收</x:v>
      </x:c>
      <x:c r="F96" s="38" t="str">
        <x:v>R3；金币主、元宝辅</x:v>
      </x:c>
      <x:c r="G96" s="38" t="str">
        <x:v>CUR-GOLD</x:v>
      </x:c>
      <x:c r="H96" s="38" t="str">
        <x:v>金币</x:v>
      </x:c>
      <x:c r="I96" s="38" t="str">
        <x:v>待经济反算</x:v>
      </x:c>
      <x:c r="J96" s="38" t="str">
        <x:v>待经济反算</x:v>
      </x:c>
      <x:c r="K96" s="38" t="str">
        <x:v>是</x:v>
      </x:c>
      <x:c r="L96" s="38" t="str">
        <x:v>是</x:v>
      </x:c>
      <x:c r="M96" s="38" t="str">
        <x:v>材料可交易；回收后转为金币</x:v>
      </x:c>
      <x:c r="N96" s="38" t="str">
        <x:v>原材料被系统消耗；合成成品不得反向回收套利</x:v>
      </x:c>
      <x:c r="O96" s="38" t="str">
        <x:v>沿用现行货币账户</x:v>
      </x:c>
      <x:c r="P96" s="38" t="str">
        <x:v>主产出口；回收价待经济反算</x:v>
      </x:c>
      <x:c r="Q96" s="39" t="str">
        <x:v>高小时数量；单次多叠加、触发频率较低；材料回收底价计入所有配方机会成本；禁止合成后回收套利</x:v>
      </x:c>
    </x:row>
    <x:row r="97" ht="40" customHeight="1">
      <x:c r="A97" s="37" t="str">
        <x:v>PROD-0093</x:v>
      </x:c>
      <x:c r="B97" s="38" t="str">
        <x:v>基础产出</x:v>
      </x:c>
      <x:c r="C97" s="38" t="str">
        <x:v>C03</x:v>
      </x:c>
      <x:c r="D97" s="38" t="str">
        <x:v>材料回收</x:v>
      </x:c>
      <x:c r="E97" s="38" t="str">
        <x:v>风蚀铁片回收</x:v>
      </x:c>
      <x:c r="F97" s="38" t="str">
        <x:v>R3；金币主、元宝辅</x:v>
      </x:c>
      <x:c r="G97" s="38" t="str">
        <x:v>CUR-YUANBAO</x:v>
      </x:c>
      <x:c r="H97" s="38" t="str">
        <x:v>元宝</x:v>
      </x:c>
      <x:c r="I97" s="38" t="str">
        <x:v>待经济反算</x:v>
      </x:c>
      <x:c r="J97" s="38" t="str">
        <x:v>待经济反算</x:v>
      </x:c>
      <x:c r="K97" s="38" t="str">
        <x:v>是</x:v>
      </x:c>
      <x:c r="L97" s="38" t="str">
        <x:v>是</x:v>
      </x:c>
      <x:c r="M97" s="38" t="str">
        <x:v>材料可交易；回收后转为元宝</x:v>
      </x:c>
      <x:c r="N97" s="38" t="str">
        <x:v>原材料被系统消耗；合成成品不得反向回收套利</x:v>
      </x:c>
      <x:c r="O97" s="38" t="str">
        <x:v>沿用现行货币账户</x:v>
      </x:c>
      <x:c r="P97" s="38" t="str">
        <x:v>主产出口；回收价待经济反算</x:v>
      </x:c>
      <x:c r="Q97" s="39" t="str">
        <x:v>高小时数量；单次多叠加、触发频率较低；材料回收底价计入所有配方机会成本；禁止合成后回收套利</x:v>
      </x:c>
    </x:row>
    <x:row r="98" ht="40" customHeight="1">
      <x:c r="A98" s="37" t="str">
        <x:v>PROD-0094</x:v>
      </x:c>
      <x:c r="B98" s="38" t="str">
        <x:v>基础产出</x:v>
      </x:c>
      <x:c r="C98" s="38" t="str">
        <x:v>C04</x:v>
      </x:c>
      <x:c r="D98" s="38" t="str">
        <x:v>材料回收</x:v>
      </x:c>
      <x:c r="E98" s="38" t="str">
        <x:v>湖盐结晶回收</x:v>
      </x:c>
      <x:c r="F98" s="38" t="str">
        <x:v>R4；金币、元宝并重</x:v>
      </x:c>
      <x:c r="G98" s="38" t="str">
        <x:v>CUR-GOLD</x:v>
      </x:c>
      <x:c r="H98" s="38" t="str">
        <x:v>金币</x:v>
      </x:c>
      <x:c r="I98" s="38" t="str">
        <x:v>待经济反算</x:v>
      </x:c>
      <x:c r="J98" s="38" t="str">
        <x:v>待经济反算</x:v>
      </x:c>
      <x:c r="K98" s="38" t="str">
        <x:v>是</x:v>
      </x:c>
      <x:c r="L98" s="38" t="str">
        <x:v>是</x:v>
      </x:c>
      <x:c r="M98" s="38" t="str">
        <x:v>材料可交易；回收后转为金币</x:v>
      </x:c>
      <x:c r="N98" s="38" t="str">
        <x:v>原材料被系统消耗；合成成品不得反向回收套利</x:v>
      </x:c>
      <x:c r="O98" s="38" t="str">
        <x:v>沿用现行货币账户</x:v>
      </x:c>
      <x:c r="P98" s="38" t="str">
        <x:v>主产出口；回收价待经济反算</x:v>
      </x:c>
      <x:c r="Q98" s="39" t="str">
        <x:v>高小时数量；单次多叠加、触发频率较低；材料回收底价计入所有配方机会成本；禁止合成后回收套利</x:v>
      </x:c>
    </x:row>
    <x:row r="99" ht="40" customHeight="1">
      <x:c r="A99" s="37" t="str">
        <x:v>PROD-0095</x:v>
      </x:c>
      <x:c r="B99" s="38" t="str">
        <x:v>基础产出</x:v>
      </x:c>
      <x:c r="C99" s="38" t="str">
        <x:v>C04</x:v>
      </x:c>
      <x:c r="D99" s="38" t="str">
        <x:v>材料回收</x:v>
      </x:c>
      <x:c r="E99" s="38" t="str">
        <x:v>湖盐结晶回收</x:v>
      </x:c>
      <x:c r="F99" s="38" t="str">
        <x:v>R4；金币、元宝并重</x:v>
      </x:c>
      <x:c r="G99" s="38" t="str">
        <x:v>CUR-YUANBAO</x:v>
      </x:c>
      <x:c r="H99" s="38" t="str">
        <x:v>元宝</x:v>
      </x:c>
      <x:c r="I99" s="38" t="str">
        <x:v>待经济反算</x:v>
      </x:c>
      <x:c r="J99" s="38" t="str">
        <x:v>待经济反算</x:v>
      </x:c>
      <x:c r="K99" s="38" t="str">
        <x:v>是</x:v>
      </x:c>
      <x:c r="L99" s="38" t="str">
        <x:v>是</x:v>
      </x:c>
      <x:c r="M99" s="38" t="str">
        <x:v>材料可交易；回收后转为元宝</x:v>
      </x:c>
      <x:c r="N99" s="38" t="str">
        <x:v>原材料被系统消耗；合成成品不得反向回收套利</x:v>
      </x:c>
      <x:c r="O99" s="38" t="str">
        <x:v>沿用现行货币账户</x:v>
      </x:c>
      <x:c r="P99" s="38" t="str">
        <x:v>主产出口；回收价待经济反算</x:v>
      </x:c>
      <x:c r="Q99" s="39" t="str">
        <x:v>高小时数量；单次多叠加、触发频率较低；材料回收底价计入所有配方机会成本；禁止合成后回收套利</x:v>
      </x:c>
    </x:row>
    <x:row r="100" ht="40" customHeight="1">
      <x:c r="A100" s="37" t="str">
        <x:v>PROD-0096</x:v>
      </x:c>
      <x:c r="B100" s="38" t="str">
        <x:v>基础产出</x:v>
      </x:c>
      <x:c r="C100" s="38" t="str">
        <x:v>C05</x:v>
      </x:c>
      <x:c r="D100" s="38" t="str">
        <x:v>材料回收</x:v>
      </x:c>
      <x:c r="E100" s="38" t="str">
        <x:v>辉石碎晶回收</x:v>
      </x:c>
      <x:c r="F100" s="38" t="str">
        <x:v>R5；元宝主、金币辅</x:v>
      </x:c>
      <x:c r="G100" s="38" t="str">
        <x:v>CUR-GOLD</x:v>
      </x:c>
      <x:c r="H100" s="38" t="str">
        <x:v>金币</x:v>
      </x:c>
      <x:c r="I100" s="38" t="str">
        <x:v>待经济反算</x:v>
      </x:c>
      <x:c r="J100" s="38" t="str">
        <x:v>待经济反算</x:v>
      </x:c>
      <x:c r="K100" s="38" t="str">
        <x:v>是</x:v>
      </x:c>
      <x:c r="L100" s="38" t="str">
        <x:v>是</x:v>
      </x:c>
      <x:c r="M100" s="38" t="str">
        <x:v>材料可交易；回收后转为金币</x:v>
      </x:c>
      <x:c r="N100" s="38" t="str">
        <x:v>原材料被系统消耗；合成成品不得反向回收套利</x:v>
      </x:c>
      <x:c r="O100" s="38" t="str">
        <x:v>沿用现行货币账户</x:v>
      </x:c>
      <x:c r="P100" s="38" t="str">
        <x:v>主产出口；回收价待经济反算</x:v>
      </x:c>
      <x:c r="Q100" s="39" t="str">
        <x:v>高小时数量；单次多叠加、触发频率较低；材料回收底价计入所有配方机会成本；禁止合成后回收套利</x:v>
      </x:c>
    </x:row>
    <x:row r="101" ht="40" customHeight="1">
      <x:c r="A101" s="37" t="str">
        <x:v>PROD-0097</x:v>
      </x:c>
      <x:c r="B101" s="38" t="str">
        <x:v>基础产出</x:v>
      </x:c>
      <x:c r="C101" s="38" t="str">
        <x:v>C05</x:v>
      </x:c>
      <x:c r="D101" s="38" t="str">
        <x:v>材料回收</x:v>
      </x:c>
      <x:c r="E101" s="38" t="str">
        <x:v>辉石碎晶回收</x:v>
      </x:c>
      <x:c r="F101" s="38" t="str">
        <x:v>R5；元宝主、金币辅</x:v>
      </x:c>
      <x:c r="G101" s="38" t="str">
        <x:v>CUR-YUANBAO</x:v>
      </x:c>
      <x:c r="H101" s="38" t="str">
        <x:v>元宝</x:v>
      </x:c>
      <x:c r="I101" s="38" t="str">
        <x:v>待经济反算</x:v>
      </x:c>
      <x:c r="J101" s="38" t="str">
        <x:v>待经济反算</x:v>
      </x:c>
      <x:c r="K101" s="38" t="str">
        <x:v>是</x:v>
      </x:c>
      <x:c r="L101" s="38" t="str">
        <x:v>是</x:v>
      </x:c>
      <x:c r="M101" s="38" t="str">
        <x:v>材料可交易；回收后转为元宝</x:v>
      </x:c>
      <x:c r="N101" s="38" t="str">
        <x:v>原材料被系统消耗；合成成品不得反向回收套利</x:v>
      </x:c>
      <x:c r="O101" s="38" t="str">
        <x:v>沿用现行货币账户</x:v>
      </x:c>
      <x:c r="P101" s="38" t="str">
        <x:v>主产出口；回收价待经济反算</x:v>
      </x:c>
      <x:c r="Q101" s="39" t="str">
        <x:v>高小时数量；单次多叠加、触发频率较低；材料回收底价计入所有配方机会成本；禁止合成后回收套利</x:v>
      </x:c>
    </x:row>
    <x:row r="102" ht="40" customHeight="1">
      <x:c r="A102" s="37" t="str">
        <x:v>PROD-0098</x:v>
      </x:c>
      <x:c r="B102" s="38" t="str">
        <x:v>基础产出</x:v>
      </x:c>
      <x:c r="C102" s="38" t="str">
        <x:v>C06</x:v>
      </x:c>
      <x:c r="D102" s="38" t="str">
        <x:v>材料回收</x:v>
      </x:c>
      <x:c r="E102" s="38" t="str">
        <x:v>猩红矿渣回收</x:v>
      </x:c>
      <x:c r="F102" s="38" t="str">
        <x:v>R6；金币主、元宝辅</x:v>
      </x:c>
      <x:c r="G102" s="38" t="str">
        <x:v>CUR-GOLD</x:v>
      </x:c>
      <x:c r="H102" s="38" t="str">
        <x:v>金币</x:v>
      </x:c>
      <x:c r="I102" s="38" t="str">
        <x:v>待经济反算</x:v>
      </x:c>
      <x:c r="J102" s="38" t="str">
        <x:v>待经济反算</x:v>
      </x:c>
      <x:c r="K102" s="38" t="str">
        <x:v>是</x:v>
      </x:c>
      <x:c r="L102" s="38" t="str">
        <x:v>是</x:v>
      </x:c>
      <x:c r="M102" s="38" t="str">
        <x:v>材料可交易；回收后转为金币</x:v>
      </x:c>
      <x:c r="N102" s="38" t="str">
        <x:v>原材料被系统消耗；合成成品不得反向回收套利</x:v>
      </x:c>
      <x:c r="O102" s="38" t="str">
        <x:v>沿用现行货币账户</x:v>
      </x:c>
      <x:c r="P102" s="38" t="str">
        <x:v>主产出口；回收价待经济反算</x:v>
      </x:c>
      <x:c r="Q102" s="39" t="str">
        <x:v>高小时数量；单次多叠加、触发频率较低；材料回收底价计入所有配方机会成本；禁止合成后回收套利</x:v>
      </x:c>
    </x:row>
    <x:row r="103" ht="40" customHeight="1">
      <x:c r="A103" s="37" t="str">
        <x:v>PROD-0099</x:v>
      </x:c>
      <x:c r="B103" s="38" t="str">
        <x:v>基础产出</x:v>
      </x:c>
      <x:c r="C103" s="38" t="str">
        <x:v>C06</x:v>
      </x:c>
      <x:c r="D103" s="38" t="str">
        <x:v>材料回收</x:v>
      </x:c>
      <x:c r="E103" s="38" t="str">
        <x:v>猩红矿渣回收</x:v>
      </x:c>
      <x:c r="F103" s="38" t="str">
        <x:v>R6；金币主、元宝辅</x:v>
      </x:c>
      <x:c r="G103" s="38" t="str">
        <x:v>CUR-YUANBAO</x:v>
      </x:c>
      <x:c r="H103" s="38" t="str">
        <x:v>元宝</x:v>
      </x:c>
      <x:c r="I103" s="38" t="str">
        <x:v>待经济反算</x:v>
      </x:c>
      <x:c r="J103" s="38" t="str">
        <x:v>待经济反算</x:v>
      </x:c>
      <x:c r="K103" s="38" t="str">
        <x:v>是</x:v>
      </x:c>
      <x:c r="L103" s="38" t="str">
        <x:v>是</x:v>
      </x:c>
      <x:c r="M103" s="38" t="str">
        <x:v>材料可交易；回收后转为元宝</x:v>
      </x:c>
      <x:c r="N103" s="38" t="str">
        <x:v>原材料被系统消耗；合成成品不得反向回收套利</x:v>
      </x:c>
      <x:c r="O103" s="38" t="str">
        <x:v>沿用现行货币账户</x:v>
      </x:c>
      <x:c r="P103" s="38" t="str">
        <x:v>主产出口；回收价待经济反算</x:v>
      </x:c>
      <x:c r="Q103" s="39" t="str">
        <x:v>高小时数量；单次多叠加、触发频率较低；材料回收底价计入所有配方机会成本；禁止合成后回收套利</x:v>
      </x:c>
    </x:row>
    <x:row r="104" ht="40" customHeight="1">
      <x:c r="A104" s="37" t="str">
        <x:v>PROD-0100</x:v>
      </x:c>
      <x:c r="B104" s="38" t="str">
        <x:v>基础产出</x:v>
      </x:c>
      <x:c r="C104" s="38" t="str">
        <x:v>C07</x:v>
      </x:c>
      <x:c r="D104" s="38" t="str">
        <x:v>材料回收</x:v>
      </x:c>
      <x:c r="E104" s="38" t="str">
        <x:v>冻晶尘回收</x:v>
      </x:c>
      <x:c r="F104" s="38" t="str">
        <x:v>R7；金币、元宝并重</x:v>
      </x:c>
      <x:c r="G104" s="38" t="str">
        <x:v>CUR-GOLD</x:v>
      </x:c>
      <x:c r="H104" s="38" t="str">
        <x:v>金币</x:v>
      </x:c>
      <x:c r="I104" s="38" t="str">
        <x:v>待经济反算</x:v>
      </x:c>
      <x:c r="J104" s="38" t="str">
        <x:v>待经济反算</x:v>
      </x:c>
      <x:c r="K104" s="38" t="str">
        <x:v>是</x:v>
      </x:c>
      <x:c r="L104" s="38" t="str">
        <x:v>是</x:v>
      </x:c>
      <x:c r="M104" s="38" t="str">
        <x:v>材料可交易；回收后转为金币</x:v>
      </x:c>
      <x:c r="N104" s="38" t="str">
        <x:v>原材料被系统消耗；合成成品不得反向回收套利</x:v>
      </x:c>
      <x:c r="O104" s="38" t="str">
        <x:v>沿用现行货币账户</x:v>
      </x:c>
      <x:c r="P104" s="38" t="str">
        <x:v>主产出口；回收价待经济反算</x:v>
      </x:c>
      <x:c r="Q104" s="39" t="str">
        <x:v>高小时数量；单次多叠加、触发频率较低；材料回收底价计入所有配方机会成本；禁止合成后回收套利</x:v>
      </x:c>
    </x:row>
    <x:row r="105" ht="40" customHeight="1">
      <x:c r="A105" s="37" t="str">
        <x:v>PROD-0101</x:v>
      </x:c>
      <x:c r="B105" s="38" t="str">
        <x:v>基础产出</x:v>
      </x:c>
      <x:c r="C105" s="38" t="str">
        <x:v>C07</x:v>
      </x:c>
      <x:c r="D105" s="38" t="str">
        <x:v>材料回收</x:v>
      </x:c>
      <x:c r="E105" s="38" t="str">
        <x:v>冻晶尘回收</x:v>
      </x:c>
      <x:c r="F105" s="38" t="str">
        <x:v>R7；金币、元宝并重</x:v>
      </x:c>
      <x:c r="G105" s="38" t="str">
        <x:v>CUR-YUANBAO</x:v>
      </x:c>
      <x:c r="H105" s="38" t="str">
        <x:v>元宝</x:v>
      </x:c>
      <x:c r="I105" s="38" t="str">
        <x:v>待经济反算</x:v>
      </x:c>
      <x:c r="J105" s="38" t="str">
        <x:v>待经济反算</x:v>
      </x:c>
      <x:c r="K105" s="38" t="str">
        <x:v>是</x:v>
      </x:c>
      <x:c r="L105" s="38" t="str">
        <x:v>是</x:v>
      </x:c>
      <x:c r="M105" s="38" t="str">
        <x:v>材料可交易；回收后转为元宝</x:v>
      </x:c>
      <x:c r="N105" s="38" t="str">
        <x:v>原材料被系统消耗；合成成品不得反向回收套利</x:v>
      </x:c>
      <x:c r="O105" s="38" t="str">
        <x:v>沿用现行货币账户</x:v>
      </x:c>
      <x:c r="P105" s="38" t="str">
        <x:v>主产出口；回收价待经济反算</x:v>
      </x:c>
      <x:c r="Q105" s="39" t="str">
        <x:v>高小时数量；单次多叠加、触发频率较低；材料回收底价计入所有配方机会成本；禁止合成后回收套利</x:v>
      </x:c>
    </x:row>
    <x:row r="106" ht="40" customHeight="1">
      <x:c r="A106" s="37" t="str">
        <x:v>PROD-0102</x:v>
      </x:c>
      <x:c r="B106" s="38" t="str">
        <x:v>基础产出</x:v>
      </x:c>
      <x:c r="C106" s="38" t="str">
        <x:v>C08</x:v>
      </x:c>
      <x:c r="D106" s="38" t="str">
        <x:v>材料回收</x:v>
      </x:c>
      <x:c r="E106" s="38" t="str">
        <x:v>霜脊铁回收</x:v>
      </x:c>
      <x:c r="F106" s="38" t="str">
        <x:v>R8；金币主、元宝辅</x:v>
      </x:c>
      <x:c r="G106" s="38" t="str">
        <x:v>CUR-GOLD</x:v>
      </x:c>
      <x:c r="H106" s="38" t="str">
        <x:v>金币</x:v>
      </x:c>
      <x:c r="I106" s="38" t="str">
        <x:v>待经济反算</x:v>
      </x:c>
      <x:c r="J106" s="38" t="str">
        <x:v>待经济反算</x:v>
      </x:c>
      <x:c r="K106" s="38" t="str">
        <x:v>是</x:v>
      </x:c>
      <x:c r="L106" s="38" t="str">
        <x:v>是</x:v>
      </x:c>
      <x:c r="M106" s="38" t="str">
        <x:v>材料可交易；回收后转为金币</x:v>
      </x:c>
      <x:c r="N106" s="38" t="str">
        <x:v>原材料被系统消耗；合成成品不得反向回收套利</x:v>
      </x:c>
      <x:c r="O106" s="38" t="str">
        <x:v>沿用现行货币账户</x:v>
      </x:c>
      <x:c r="P106" s="38" t="str">
        <x:v>主产出口；回收价待经济反算</x:v>
      </x:c>
      <x:c r="Q106" s="39" t="str">
        <x:v>高小时数量；单次多叠加、触发频率较低；材料回收底价计入所有配方机会成本；禁止合成后回收套利</x:v>
      </x:c>
    </x:row>
    <x:row r="107" ht="40" customHeight="1">
      <x:c r="A107" s="37" t="str">
        <x:v>PROD-0103</x:v>
      </x:c>
      <x:c r="B107" s="38" t="str">
        <x:v>基础产出</x:v>
      </x:c>
      <x:c r="C107" s="38" t="str">
        <x:v>C08</x:v>
      </x:c>
      <x:c r="D107" s="38" t="str">
        <x:v>材料回收</x:v>
      </x:c>
      <x:c r="E107" s="38" t="str">
        <x:v>霜脊铁回收</x:v>
      </x:c>
      <x:c r="F107" s="38" t="str">
        <x:v>R8；金币主、元宝辅</x:v>
      </x:c>
      <x:c r="G107" s="38" t="str">
        <x:v>CUR-YUANBAO</x:v>
      </x:c>
      <x:c r="H107" s="38" t="str">
        <x:v>元宝</x:v>
      </x:c>
      <x:c r="I107" s="38" t="str">
        <x:v>待经济反算</x:v>
      </x:c>
      <x:c r="J107" s="38" t="str">
        <x:v>待经济反算</x:v>
      </x:c>
      <x:c r="K107" s="38" t="str">
        <x:v>是</x:v>
      </x:c>
      <x:c r="L107" s="38" t="str">
        <x:v>是</x:v>
      </x:c>
      <x:c r="M107" s="38" t="str">
        <x:v>材料可交易；回收后转为元宝</x:v>
      </x:c>
      <x:c r="N107" s="38" t="str">
        <x:v>原材料被系统消耗；合成成品不得反向回收套利</x:v>
      </x:c>
      <x:c r="O107" s="38" t="str">
        <x:v>沿用现行货币账户</x:v>
      </x:c>
      <x:c r="P107" s="38" t="str">
        <x:v>主产出口；回收价待经济反算</x:v>
      </x:c>
      <x:c r="Q107" s="39" t="str">
        <x:v>高小时数量；单次多叠加、触发频率较低；材料回收底价计入所有配方机会成本；禁止合成后回收套利</x:v>
      </x:c>
    </x:row>
    <x:row r="108" ht="40" customHeight="1">
      <x:c r="A108" s="37" t="str">
        <x:v>PROD-0104</x:v>
      </x:c>
      <x:c r="B108" s="38" t="str">
        <x:v>基础产出</x:v>
      </x:c>
      <x:c r="C108" s="38" t="str">
        <x:v>C09</x:v>
      </x:c>
      <x:c r="D108" s="38" t="str">
        <x:v>材料回收</x:v>
      </x:c>
      <x:c r="E108" s="38" t="str">
        <x:v>黄金叶脉回收</x:v>
      </x:c>
      <x:c r="F108" s="38" t="str">
        <x:v>R9；元宝主、金币辅</x:v>
      </x:c>
      <x:c r="G108" s="38" t="str">
        <x:v>CUR-GOLD</x:v>
      </x:c>
      <x:c r="H108" s="38" t="str">
        <x:v>金币</x:v>
      </x:c>
      <x:c r="I108" s="38" t="str">
        <x:v>待经济反算</x:v>
      </x:c>
      <x:c r="J108" s="38" t="str">
        <x:v>待经济反算</x:v>
      </x:c>
      <x:c r="K108" s="38" t="str">
        <x:v>是</x:v>
      </x:c>
      <x:c r="L108" s="38" t="str">
        <x:v>是</x:v>
      </x:c>
      <x:c r="M108" s="38" t="str">
        <x:v>材料可交易；回收后转为金币</x:v>
      </x:c>
      <x:c r="N108" s="38" t="str">
        <x:v>原材料被系统消耗；合成成品不得反向回收套利</x:v>
      </x:c>
      <x:c r="O108" s="38" t="str">
        <x:v>沿用现行货币账户</x:v>
      </x:c>
      <x:c r="P108" s="38" t="str">
        <x:v>主产出口；回收价待经济反算</x:v>
      </x:c>
      <x:c r="Q108" s="39" t="str">
        <x:v>高小时数量；单次多叠加、触发频率较低；材料回收底价计入所有配方机会成本；禁止合成后回收套利</x:v>
      </x:c>
    </x:row>
    <x:row r="109" ht="40" customHeight="1">
      <x:c r="A109" s="37" t="str">
        <x:v>PROD-0105</x:v>
      </x:c>
      <x:c r="B109" s="38" t="str">
        <x:v>基础产出</x:v>
      </x:c>
      <x:c r="C109" s="38" t="str">
        <x:v>C09</x:v>
      </x:c>
      <x:c r="D109" s="38" t="str">
        <x:v>材料回收</x:v>
      </x:c>
      <x:c r="E109" s="38" t="str">
        <x:v>黄金叶脉回收</x:v>
      </x:c>
      <x:c r="F109" s="38" t="str">
        <x:v>R9；元宝主、金币辅</x:v>
      </x:c>
      <x:c r="G109" s="38" t="str">
        <x:v>CUR-YUANBAO</x:v>
      </x:c>
      <x:c r="H109" s="38" t="str">
        <x:v>元宝</x:v>
      </x:c>
      <x:c r="I109" s="38" t="str">
        <x:v>待经济反算</x:v>
      </x:c>
      <x:c r="J109" s="38" t="str">
        <x:v>待经济反算</x:v>
      </x:c>
      <x:c r="K109" s="38" t="str">
        <x:v>是</x:v>
      </x:c>
      <x:c r="L109" s="38" t="str">
        <x:v>是</x:v>
      </x:c>
      <x:c r="M109" s="38" t="str">
        <x:v>材料可交易；回收后转为元宝</x:v>
      </x:c>
      <x:c r="N109" s="38" t="str">
        <x:v>原材料被系统消耗；合成成品不得反向回收套利</x:v>
      </x:c>
      <x:c r="O109" s="38" t="str">
        <x:v>沿用现行货币账户</x:v>
      </x:c>
      <x:c r="P109" s="38" t="str">
        <x:v>主产出口；回收价待经济反算</x:v>
      </x:c>
      <x:c r="Q109" s="39" t="str">
        <x:v>高小时数量；单次多叠加、触发频率较低；材料回收底价计入所有配方机会成本；禁止合成后回收套利</x:v>
      </x:c>
    </x:row>
    <x:row r="110" ht="40" customHeight="1">
      <x:c r="A110" s="37" t="str">
        <x:v>PROD-0106</x:v>
      </x:c>
      <x:c r="B110" s="38" t="str">
        <x:v>基础产出</x:v>
      </x:c>
      <x:c r="C110" s="38" t="str">
        <x:v>C10</x:v>
      </x:c>
      <x:c r="D110" s="38" t="str">
        <x:v>材料回收</x:v>
      </x:c>
      <x:c r="E110" s="38" t="str">
        <x:v>王城金屑回收</x:v>
      </x:c>
      <x:c r="F110" s="38" t="str">
        <x:v>R10；金币、元宝并重</x:v>
      </x:c>
      <x:c r="G110" s="38" t="str">
        <x:v>CUR-GOLD</x:v>
      </x:c>
      <x:c r="H110" s="38" t="str">
        <x:v>金币</x:v>
      </x:c>
      <x:c r="I110" s="38" t="str">
        <x:v>待经济反算</x:v>
      </x:c>
      <x:c r="J110" s="38" t="str">
        <x:v>待经济反算</x:v>
      </x:c>
      <x:c r="K110" s="38" t="str">
        <x:v>是</x:v>
      </x:c>
      <x:c r="L110" s="38" t="str">
        <x:v>是</x:v>
      </x:c>
      <x:c r="M110" s="38" t="str">
        <x:v>材料可交易；回收后转为金币</x:v>
      </x:c>
      <x:c r="N110" s="38" t="str">
        <x:v>原材料被系统消耗；合成成品不得反向回收套利</x:v>
      </x:c>
      <x:c r="O110" s="38" t="str">
        <x:v>沿用现行货币账户</x:v>
      </x:c>
      <x:c r="P110" s="38" t="str">
        <x:v>主产出口；回收价待经济反算</x:v>
      </x:c>
      <x:c r="Q110" s="39" t="str">
        <x:v>高小时数量；单次多叠加、触发频率较低；材料回收底价计入所有配方机会成本；禁止合成后回收套利</x:v>
      </x:c>
    </x:row>
    <x:row r="111" ht="40" customHeight="1">
      <x:c r="A111" s="37" t="str">
        <x:v>PROD-0107</x:v>
      </x:c>
      <x:c r="B111" s="38" t="str">
        <x:v>基础产出</x:v>
      </x:c>
      <x:c r="C111" s="38" t="str">
        <x:v>C10</x:v>
      </x:c>
      <x:c r="D111" s="38" t="str">
        <x:v>材料回收</x:v>
      </x:c>
      <x:c r="E111" s="38" t="str">
        <x:v>王城金屑回收</x:v>
      </x:c>
      <x:c r="F111" s="38" t="str">
        <x:v>R10；金币、元宝并重</x:v>
      </x:c>
      <x:c r="G111" s="38" t="str">
        <x:v>CUR-YUANBAO</x:v>
      </x:c>
      <x:c r="H111" s="38" t="str">
        <x:v>元宝</x:v>
      </x:c>
      <x:c r="I111" s="38" t="str">
        <x:v>待经济反算</x:v>
      </x:c>
      <x:c r="J111" s="38" t="str">
        <x:v>待经济反算</x:v>
      </x:c>
      <x:c r="K111" s="38" t="str">
        <x:v>是</x:v>
      </x:c>
      <x:c r="L111" s="38" t="str">
        <x:v>是</x:v>
      </x:c>
      <x:c r="M111" s="38" t="str">
        <x:v>材料可交易；回收后转为元宝</x:v>
      </x:c>
      <x:c r="N111" s="38" t="str">
        <x:v>原材料被系统消耗；合成成品不得反向回收套利</x:v>
      </x:c>
      <x:c r="O111" s="38" t="str">
        <x:v>沿用现行货币账户</x:v>
      </x:c>
      <x:c r="P111" s="38" t="str">
        <x:v>主产出口；回收价待经济反算</x:v>
      </x:c>
      <x:c r="Q111" s="39" t="str">
        <x:v>高小时数量；单次多叠加、触发频率较低；材料回收底价计入所有配方机会成本；禁止合成后回收套利</x:v>
      </x:c>
    </x:row>
    <x:row r="112" ht="40" customHeight="1">
      <x:c r="A112" s="37" t="str">
        <x:v>PROD-0108</x:v>
      </x:c>
      <x:c r="B112" s="38" t="str">
        <x:v>基础产出</x:v>
      </x:c>
      <x:c r="C112" s="38" t="str">
        <x:v>C01—C10</x:v>
      </x:c>
      <x:c r="D112" s="38" t="str">
        <x:v>装备回收</x:v>
      </x:c>
      <x:c r="E112" s="38" t="str">
        <x:v>低频制式装备回收</x:v>
      </x:c>
      <x:c r="F112" s="38" t="str">
        <x:v>辅助货币产出</x:v>
      </x:c>
      <x:c r="G112" s="38" t="str">
        <x:v>CUR-GOLD</x:v>
      </x:c>
      <x:c r="H112" s="38" t="str">
        <x:v>金币</x:v>
      </x:c>
      <x:c r="I112" s="38" t="str">
        <x:v>待经济反算</x:v>
      </x:c>
      <x:c r="J112" s="38" t="str">
        <x:v>待经济反算</x:v>
      </x:c>
      <x:c r="K112" s="38" t="str">
        <x:v>是</x:v>
      </x:c>
      <x:c r="L112" s="38" t="str">
        <x:v>是</x:v>
      </x:c>
      <x:c r="M112" s="38" t="str">
        <x:v>不进入玩家摆摊；通过交易物间接流通</x:v>
      </x:c>
      <x:c r="N112" s="38" t="str">
        <x:v>只允许原始制式装备；合成装备/生肖/群攻生肖禁止回收</x:v>
      </x:c>
      <x:c r="O112" s="38" t="str">
        <x:v>沿用现行货币账户</x:v>
      </x:c>
      <x:c r="P112" s="38" t="str">
        <x:v>结构已确认；数值待经济反算</x:v>
      </x:c>
      <x:c r="Q112" s="39" t="str">
        <x:v>不得作为主货币来源；回收价待经济反算。</x:v>
      </x:c>
    </x:row>
    <x:row r="113" ht="40" customHeight="1">
      <x:c r="A113" s="37" t="str">
        <x:v>PROD-0109</x:v>
      </x:c>
      <x:c r="B113" s="38" t="str">
        <x:v>基础产出</x:v>
      </x:c>
      <x:c r="C113" s="38" t="str">
        <x:v>C01—C10</x:v>
      </x:c>
      <x:c r="D113" s="38" t="str">
        <x:v>装备回收</x:v>
      </x:c>
      <x:c r="E113" s="38" t="str">
        <x:v>低频制式装备回收</x:v>
      </x:c>
      <x:c r="F113" s="38" t="str">
        <x:v>辅助货币产出</x:v>
      </x:c>
      <x:c r="G113" s="38" t="str">
        <x:v>CUR-YUANBAO</x:v>
      </x:c>
      <x:c r="H113" s="38" t="str">
        <x:v>元宝</x:v>
      </x:c>
      <x:c r="I113" s="38" t="str">
        <x:v>待经济反算</x:v>
      </x:c>
      <x:c r="J113" s="38" t="str">
        <x:v>待经济反算</x:v>
      </x:c>
      <x:c r="K113" s="38" t="str">
        <x:v>是</x:v>
      </x:c>
      <x:c r="L113" s="38" t="str">
        <x:v>是</x:v>
      </x:c>
      <x:c r="M113" s="38" t="str">
        <x:v>不进入玩家摆摊；通过交易物间接流通</x:v>
      </x:c>
      <x:c r="N113" s="38" t="str">
        <x:v>只允许原始制式装备；合成装备/生肖/群攻生肖禁止回收</x:v>
      </x:c>
      <x:c r="O113" s="38" t="str">
        <x:v>沿用现行货币账户</x:v>
      </x:c>
      <x:c r="P113" s="38" t="str">
        <x:v>结构已确认；数值待经济反算</x:v>
      </x:c>
      <x:c r="Q113" s="39" t="str">
        <x:v>不得作为主货币来源；回收价待经济反算。</x:v>
      </x:c>
    </x:row>
    <x:row r="114" ht="40" customHeight="1">
      <x:c r="A114" s="37" t="str">
        <x:v>PROD-0110</x:v>
      </x:c>
      <x:c r="B114" s="38" t="str">
        <x:v>基础产出</x:v>
      </x:c>
      <x:c r="C114" s="38" t="str">
        <x:v>全服</x:v>
      </x:c>
      <x:c r="D114" s="38" t="str">
        <x:v>付费/既有系统</x:v>
      </x:c>
      <x:c r="E114" s="38" t="str">
        <x:v>灵符渠道</x:v>
      </x:c>
      <x:c r="F114" s="38" t="str">
        <x:v>现有充值与灵符系统</x:v>
      </x:c>
      <x:c r="G114" s="38" t="str">
        <x:v>CUR-LINGFU</x:v>
      </x:c>
      <x:c r="H114" s="38" t="str">
        <x:v>灵符</x:v>
      </x:c>
      <x:c r="I114" s="38" t="str">
        <x:v>待经济反算</x:v>
      </x:c>
      <x:c r="J114" s="38" t="str">
        <x:v>待经济反算</x:v>
      </x:c>
      <x:c r="K114" s="38" t="str">
        <x:v>否</x:v>
      </x:c>
      <x:c r="L114" s="38" t="str">
        <x:v>是</x:v>
      </x:c>
      <x:c r="M114" s="38" t="str">
        <x:v>付费渠道；是否角色/账号绑定沿用现行脚本</x:v>
      </x:c>
      <x:c r="N114" s="38" t="str">
        <x:v>货币本身不可回收</x:v>
      </x:c>
      <x:c r="O114" s="38" t="str">
        <x:v>沿用现行灵符脚本</x:v>
      </x:c>
      <x:c r="P114" s="38" t="str">
        <x:v>外部付费投入；不计入怪物基础自产</x:v>
      </x:c>
      <x:c r="Q114" s="39" t="str">
        <x:v>灵符仍须进入消费账，但不伪造免费掉落来源。</x:v>
      </x:c>
    </x:row>
    <x:row r="115" ht="40" customHeight="1">
      <x:c r="A115" s="37" t="str">
        <x:v>PROD-0111</x:v>
      </x:c>
      <x:c r="B115" s="38" t="str">
        <x:v>基础产出</x:v>
      </x:c>
      <x:c r="C115" s="38" t="str">
        <x:v>待定义</x:v>
      </x:c>
      <x:c r="D115" s="38" t="str">
        <x:v>待定义</x:v>
      </x:c>
      <x:c r="E115" s="38" t="str">
        <x:v>未建立产出来源</x:v>
      </x:c>
      <x:c r="F115" s="38" t="str">
        <x:v>转生已消费但生产端缺失</x:v>
      </x:c>
      <x:c r="G115" s="38" t="str">
        <x:v>CUR-SMALL-RUNE</x:v>
      </x:c>
      <x:c r="H115" s="38" t="str">
        <x:v>小卢恩</x:v>
      </x:c>
      <x:c r="I115" s="38" t="str">
        <x:v>待经济反算</x:v>
      </x:c>
      <x:c r="J115" s="38" t="str">
        <x:v>待经济反算</x:v>
      </x:c>
      <x:c r="K115" s="38" t="str">
        <x:v>是</x:v>
      </x:c>
      <x:c r="L115" s="38" t="str">
        <x:v>否</x:v>
      </x:c>
      <x:c r="M115" s="38" t="str">
        <x:v>不进入玩家摆摊；通过交易物间接流通</x:v>
      </x:c>
      <x:c r="N115" s="38" t="str">
        <x:v>货币本身不可回收</x:v>
      </x:c>
      <x:c r="O115" s="38" t="str">
        <x:v>沿用现行货币账户</x:v>
      </x:c>
      <x:c r="P115" s="38" t="str">
        <x:v>硬缺口：必须在经济数值阶段前确定来源</x:v>
      </x:c>
      <x:c r="Q115" s="39" t="str">
        <x:v>不得把旧直接掉落概率或重复专属分解臆定为现行值。</x:v>
      </x:c>
    </x:row>
    <x:row r="116" ht="40" customHeight="1">
      <x:c r="A116" s="37" t="str">
        <x:v>PROD-0112</x:v>
      </x:c>
      <x:c r="B116" s="38" t="str">
        <x:v>基础产出</x:v>
      </x:c>
      <x:c r="C116" s="38" t="str">
        <x:v>待定义</x:v>
      </x:c>
      <x:c r="D116" s="38" t="str">
        <x:v>待定义</x:v>
      </x:c>
      <x:c r="E116" s="38" t="str">
        <x:v>未建立产出来源</x:v>
      </x:c>
      <x:c r="F116" s="38" t="str">
        <x:v>转生已消费但生产端缺失</x:v>
      </x:c>
      <x:c r="G116" s="38" t="str">
        <x:v>CUR-LARGE-RUNE</x:v>
      </x:c>
      <x:c r="H116" s="38" t="str">
        <x:v>大卢恩</x:v>
      </x:c>
      <x:c r="I116" s="38" t="str">
        <x:v>待经济反算</x:v>
      </x:c>
      <x:c r="J116" s="38" t="str">
        <x:v>待经济反算</x:v>
      </x:c>
      <x:c r="K116" s="38" t="str">
        <x:v>是</x:v>
      </x:c>
      <x:c r="L116" s="38" t="str">
        <x:v>否</x:v>
      </x:c>
      <x:c r="M116" s="38" t="str">
        <x:v>不进入玩家摆摊；通过交易物间接流通</x:v>
      </x:c>
      <x:c r="N116" s="38" t="str">
        <x:v>货币本身不可回收</x:v>
      </x:c>
      <x:c r="O116" s="38" t="str">
        <x:v>沿用现行货币账户</x:v>
      </x:c>
      <x:c r="P116" s="38" t="str">
        <x:v>硬缺口：必须在经济数值阶段前确定来源</x:v>
      </x:c>
      <x:c r="Q116" s="39" t="str">
        <x:v>不得把旧直接掉落概率或重复专属分解臆定为现行值。</x:v>
      </x:c>
    </x:row>
    <x:row r="117" ht="40" customHeight="1">
      <x:c r="A117" s="37" t="str">
        <x:v>PROD-0113</x:v>
      </x:c>
      <x:c r="B117" s="38" t="str">
        <x:v>每日额外福利产出</x:v>
      </x:c>
      <x:c r="C117" s="38" t="str">
        <x:v>C01</x:v>
      </x:c>
      <x:c r="D117" s="38" t="str">
        <x:v>每日额外守关BOSS</x:v>
      </x:c>
      <x:c r="E117" s="38" t="str">
        <x:v>漂流群岛每日单人守关福利</x:v>
      </x:c>
      <x:c r="F117" s="38" t="str">
        <x:v>每角色每日3次；不可协助</x:v>
      </x:c>
      <x:c r="G117" s="38" t="str">
        <x:v>EQ-EXCLUSIVE-NORMAL</x:v>
      </x:c>
      <x:c r="H117" s="38" t="str">
        <x:v>当前大陆小怪专属（多个，主产）</x:v>
      </x:c>
      <x:c r="I117" s="38" t="str">
        <x:v>待经济反算</x:v>
      </x:c>
      <x:c r="J117" s="38" t="str">
        <x:v>待经济反算</x:v>
      </x:c>
      <x:c r="K117" s="38" t="str">
        <x:v>否</x:v>
      </x:c>
      <x:c r="L117" s="38" t="str">
        <x:v>是</x:v>
      </x:c>
      <x:c r="M117" s="38" t="str">
        <x:v>可交易</x:v>
      </x:c>
      <x:c r="N117" s="38" t="str">
        <x:v>可用于任务/称号/分解；是否直接回收待统一表</x:v>
      </x:c>
      <x:c r="O117" s="38" t="str">
        <x:v>沿用对应实物规则</x:v>
      </x:c>
      <x:c r="P117" s="38" t="str">
        <x:v>福利池单列；数量/概率待经济反算</x:v>
      </x:c>
      <x:c r="Q117" s="39" t="str">
        <x:v>不计入基础产出、不计入主线通关时间、不与主线守关或常规BOSS兼掉重复计账。</x:v>
      </x:c>
    </x:row>
    <x:row r="118" ht="40" customHeight="1">
      <x:c r="A118" s="37" t="str">
        <x:v>PROD-0114</x:v>
      </x:c>
      <x:c r="B118" s="38" t="str">
        <x:v>每日额外福利产出</x:v>
      </x:c>
      <x:c r="C118" s="38" t="str">
        <x:v>C01</x:v>
      </x:c>
      <x:c r="D118" s="38" t="str">
        <x:v>每日额外守关BOSS</x:v>
      </x:c>
      <x:c r="E118" s="38" t="str">
        <x:v>漂流群岛每日单人守关福利</x:v>
      </x:c>
      <x:c r="F118" s="38" t="str">
        <x:v>每角色每日3次；不可协助</x:v>
      </x:c>
      <x:c r="G118" s="38" t="str">
        <x:v>EQ-EXCLUSIVE-ELITE</x:v>
      </x:c>
      <x:c r="H118" s="38" t="str">
        <x:v>当前大陆精英专属（概率）</x:v>
      </x:c>
      <x:c r="I118" s="38" t="str">
        <x:v>待经济反算</x:v>
      </x:c>
      <x:c r="J118" s="38" t="str">
        <x:v>待经济反算</x:v>
      </x:c>
      <x:c r="K118" s="38" t="str">
        <x:v>否</x:v>
      </x:c>
      <x:c r="L118" s="38" t="str">
        <x:v>是</x:v>
      </x:c>
      <x:c r="M118" s="38" t="str">
        <x:v>可交易</x:v>
      </x:c>
      <x:c r="N118" s="38" t="str">
        <x:v>可用于任务/称号/分解；是否直接回收待统一表</x:v>
      </x:c>
      <x:c r="O118" s="38" t="str">
        <x:v>沿用对应实物规则</x:v>
      </x:c>
      <x:c r="P118" s="38" t="str">
        <x:v>福利池单列；数量/概率待经济反算</x:v>
      </x:c>
      <x:c r="Q118" s="39" t="str">
        <x:v>不计入基础产出、不计入主线通关时间、不与主线守关或常规BOSS兼掉重复计账。</x:v>
      </x:c>
    </x:row>
    <x:row r="119" ht="40" customHeight="1">
      <x:c r="A119" s="37" t="str">
        <x:v>PROD-0115</x:v>
      </x:c>
      <x:c r="B119" s="38" t="str">
        <x:v>每日额外福利产出</x:v>
      </x:c>
      <x:c r="C119" s="38" t="str">
        <x:v>C01</x:v>
      </x:c>
      <x:c r="D119" s="38" t="str">
        <x:v>每日额外守关BOSS</x:v>
      </x:c>
      <x:c r="E119" s="38" t="str">
        <x:v>漂流群岛每日单人守关福利</x:v>
      </x:c>
      <x:c r="F119" s="38" t="str">
        <x:v>每角色每日3次；不可协助</x:v>
      </x:c>
      <x:c r="G119" s="38" t="str">
        <x:v>EQ-EXCLUSIVE-MAPBOSS</x:v>
      </x:c>
      <x:c r="H119" s="38" t="str">
        <x:v>当前大陆地图BOSS专属（概率）</x:v>
      </x:c>
      <x:c r="I119" s="38" t="str">
        <x:v>待经济反算</x:v>
      </x:c>
      <x:c r="J119" s="38" t="str">
        <x:v>待经济反算</x:v>
      </x:c>
      <x:c r="K119" s="38" t="str">
        <x:v>否</x:v>
      </x:c>
      <x:c r="L119" s="38" t="str">
        <x:v>是</x:v>
      </x:c>
      <x:c r="M119" s="38" t="str">
        <x:v>可交易</x:v>
      </x:c>
      <x:c r="N119" s="38" t="str">
        <x:v>可用于任务/称号/分解；是否直接回收待统一表</x:v>
      </x:c>
      <x:c r="O119" s="38" t="str">
        <x:v>沿用对应实物规则</x:v>
      </x:c>
      <x:c r="P119" s="38" t="str">
        <x:v>福利池单列；数量/概率待经济反算</x:v>
      </x:c>
      <x:c r="Q119" s="39" t="str">
        <x:v>不计入基础产出、不计入主线通关时间、不与主线守关或常规BOSS兼掉重复计账。</x:v>
      </x:c>
    </x:row>
    <x:row r="120" ht="40" customHeight="1">
      <x:c r="A120" s="37" t="str">
        <x:v>PROD-0116</x:v>
      </x:c>
      <x:c r="B120" s="38" t="str">
        <x:v>每日额外福利产出</x:v>
      </x:c>
      <x:c r="C120" s="38" t="str">
        <x:v>C01</x:v>
      </x:c>
      <x:c r="D120" s="38" t="str">
        <x:v>每日额外守关BOSS</x:v>
      </x:c>
      <x:c r="E120" s="38" t="str">
        <x:v>漂流群岛每日单人守关福利</x:v>
      </x:c>
      <x:c r="F120" s="38" t="str">
        <x:v>每角色每日3次；不可协助</x:v>
      </x:c>
      <x:c r="G120" s="38" t="str">
        <x:v>MAT-WAR-ASH-DAILY</x:v>
      </x:c>
      <x:c r="H120" s="38" t="str">
        <x:v>武器附魔材料</x:v>
      </x:c>
      <x:c r="I120" s="38" t="str">
        <x:v>待经济反算</x:v>
      </x:c>
      <x:c r="J120" s="38" t="str">
        <x:v>待经济反算</x:v>
      </x:c>
      <x:c r="K120" s="38" t="str">
        <x:v>否</x:v>
      </x:c>
      <x:c r="L120" s="38" t="str">
        <x:v>是</x:v>
      </x:c>
      <x:c r="M120" s="38" t="str">
        <x:v>按实际材料规则；未定义前待确认</x:v>
      </x:c>
      <x:c r="N120" s="38" t="str">
        <x:v>不作为自动回收主材</x:v>
      </x:c>
      <x:c r="O120" s="38" t="str">
        <x:v>沿用对应实物规则</x:v>
      </x:c>
      <x:c r="P120" s="38" t="str">
        <x:v>福利池单列；数量/概率待经济反算</x:v>
      </x:c>
      <x:c r="Q120" s="39" t="str">
        <x:v>不计入基础产出、不计入主线通关时间、不与主线守关或常规BOSS兼掉重复计账。</x:v>
      </x:c>
    </x:row>
    <x:row r="121" ht="40" customHeight="1">
      <x:c r="A121" s="37" t="str">
        <x:v>PROD-0117</x:v>
      </x:c>
      <x:c r="B121" s="38" t="str">
        <x:v>每日额外福利产出</x:v>
      </x:c>
      <x:c r="C121" s="38" t="str">
        <x:v>C02</x:v>
      </x:c>
      <x:c r="D121" s="38" t="str">
        <x:v>每日额外守关BOSS</x:v>
      </x:c>
      <x:c r="E121" s="38" t="str">
        <x:v>宁姆格福每日单人守关福利</x:v>
      </x:c>
      <x:c r="F121" s="38" t="str">
        <x:v>每角色每日3次；不可协助</x:v>
      </x:c>
      <x:c r="G121" s="38" t="str">
        <x:v>EQ-EXCLUSIVE-NORMAL</x:v>
      </x:c>
      <x:c r="H121" s="38" t="str">
        <x:v>当前大陆小怪专属（多个，主产）</x:v>
      </x:c>
      <x:c r="I121" s="38" t="str">
        <x:v>待经济反算</x:v>
      </x:c>
      <x:c r="J121" s="38" t="str">
        <x:v>待经济反算</x:v>
      </x:c>
      <x:c r="K121" s="38" t="str">
        <x:v>否</x:v>
      </x:c>
      <x:c r="L121" s="38" t="str">
        <x:v>是</x:v>
      </x:c>
      <x:c r="M121" s="38" t="str">
        <x:v>可交易</x:v>
      </x:c>
      <x:c r="N121" s="38" t="str">
        <x:v>可用于任务/称号/分解；是否直接回收待统一表</x:v>
      </x:c>
      <x:c r="O121" s="38" t="str">
        <x:v>沿用对应实物规则</x:v>
      </x:c>
      <x:c r="P121" s="38" t="str">
        <x:v>福利池单列；数量/概率待经济反算</x:v>
      </x:c>
      <x:c r="Q121" s="39" t="str">
        <x:v>不计入基础产出、不计入主线通关时间、不与主线守关或常规BOSS兼掉重复计账。</x:v>
      </x:c>
    </x:row>
    <x:row r="122" ht="40" customHeight="1">
      <x:c r="A122" s="37" t="str">
        <x:v>PROD-0118</x:v>
      </x:c>
      <x:c r="B122" s="38" t="str">
        <x:v>每日额外福利产出</x:v>
      </x:c>
      <x:c r="C122" s="38" t="str">
        <x:v>C02</x:v>
      </x:c>
      <x:c r="D122" s="38" t="str">
        <x:v>每日额外守关BOSS</x:v>
      </x:c>
      <x:c r="E122" s="38" t="str">
        <x:v>宁姆格福每日单人守关福利</x:v>
      </x:c>
      <x:c r="F122" s="38" t="str">
        <x:v>每角色每日3次；不可协助</x:v>
      </x:c>
      <x:c r="G122" s="38" t="str">
        <x:v>EQ-EXCLUSIVE-ELITE</x:v>
      </x:c>
      <x:c r="H122" s="38" t="str">
        <x:v>当前大陆精英专属（概率）</x:v>
      </x:c>
      <x:c r="I122" s="38" t="str">
        <x:v>待经济反算</x:v>
      </x:c>
      <x:c r="J122" s="38" t="str">
        <x:v>待经济反算</x:v>
      </x:c>
      <x:c r="K122" s="38" t="str">
        <x:v>否</x:v>
      </x:c>
      <x:c r="L122" s="38" t="str">
        <x:v>是</x:v>
      </x:c>
      <x:c r="M122" s="38" t="str">
        <x:v>可交易</x:v>
      </x:c>
      <x:c r="N122" s="38" t="str">
        <x:v>可用于任务/称号/分解；是否直接回收待统一表</x:v>
      </x:c>
      <x:c r="O122" s="38" t="str">
        <x:v>沿用对应实物规则</x:v>
      </x:c>
      <x:c r="P122" s="38" t="str">
        <x:v>福利池单列；数量/概率待经济反算</x:v>
      </x:c>
      <x:c r="Q122" s="39" t="str">
        <x:v>不计入基础产出、不计入主线通关时间、不与主线守关或常规BOSS兼掉重复计账。</x:v>
      </x:c>
    </x:row>
    <x:row r="123" ht="40" customHeight="1">
      <x:c r="A123" s="37" t="str">
        <x:v>PROD-0119</x:v>
      </x:c>
      <x:c r="B123" s="38" t="str">
        <x:v>每日额外福利产出</x:v>
      </x:c>
      <x:c r="C123" s="38" t="str">
        <x:v>C02</x:v>
      </x:c>
      <x:c r="D123" s="38" t="str">
        <x:v>每日额外守关BOSS</x:v>
      </x:c>
      <x:c r="E123" s="38" t="str">
        <x:v>宁姆格福每日单人守关福利</x:v>
      </x:c>
      <x:c r="F123" s="38" t="str">
        <x:v>每角色每日3次；不可协助</x:v>
      </x:c>
      <x:c r="G123" s="38" t="str">
        <x:v>EQ-EXCLUSIVE-MAPBOSS</x:v>
      </x:c>
      <x:c r="H123" s="38" t="str">
        <x:v>当前大陆地图BOSS专属（概率）</x:v>
      </x:c>
      <x:c r="I123" s="38" t="str">
        <x:v>待经济反算</x:v>
      </x:c>
      <x:c r="J123" s="38" t="str">
        <x:v>待经济反算</x:v>
      </x:c>
      <x:c r="K123" s="38" t="str">
        <x:v>否</x:v>
      </x:c>
      <x:c r="L123" s="38" t="str">
        <x:v>是</x:v>
      </x:c>
      <x:c r="M123" s="38" t="str">
        <x:v>可交易</x:v>
      </x:c>
      <x:c r="N123" s="38" t="str">
        <x:v>可用于任务/称号/分解；是否直接回收待统一表</x:v>
      </x:c>
      <x:c r="O123" s="38" t="str">
        <x:v>沿用对应实物规则</x:v>
      </x:c>
      <x:c r="P123" s="38" t="str">
        <x:v>福利池单列；数量/概率待经济反算</x:v>
      </x:c>
      <x:c r="Q123" s="39" t="str">
        <x:v>不计入基础产出、不计入主线通关时间、不与主线守关或常规BOSS兼掉重复计账。</x:v>
      </x:c>
    </x:row>
    <x:row r="124" ht="40" customHeight="1">
      <x:c r="A124" s="37" t="str">
        <x:v>PROD-0120</x:v>
      </x:c>
      <x:c r="B124" s="38" t="str">
        <x:v>每日额外福利产出</x:v>
      </x:c>
      <x:c r="C124" s="38" t="str">
        <x:v>C02</x:v>
      </x:c>
      <x:c r="D124" s="38" t="str">
        <x:v>每日额外守关BOSS</x:v>
      </x:c>
      <x:c r="E124" s="38" t="str">
        <x:v>宁姆格福每日单人守关福利</x:v>
      </x:c>
      <x:c r="F124" s="38" t="str">
        <x:v>每角色每日3次；不可协助</x:v>
      </x:c>
      <x:c r="G124" s="38" t="str">
        <x:v>MAT-WAR-ASH-DAILY</x:v>
      </x:c>
      <x:c r="H124" s="38" t="str">
        <x:v>武器附魔材料</x:v>
      </x:c>
      <x:c r="I124" s="38" t="str">
        <x:v>待经济反算</x:v>
      </x:c>
      <x:c r="J124" s="38" t="str">
        <x:v>待经济反算</x:v>
      </x:c>
      <x:c r="K124" s="38" t="str">
        <x:v>否</x:v>
      </x:c>
      <x:c r="L124" s="38" t="str">
        <x:v>是</x:v>
      </x:c>
      <x:c r="M124" s="38" t="str">
        <x:v>按实际材料规则；未定义前待确认</x:v>
      </x:c>
      <x:c r="N124" s="38" t="str">
        <x:v>不作为自动回收主材</x:v>
      </x:c>
      <x:c r="O124" s="38" t="str">
        <x:v>沿用对应实物规则</x:v>
      </x:c>
      <x:c r="P124" s="38" t="str">
        <x:v>福利池单列；数量/概率待经济反算</x:v>
      </x:c>
      <x:c r="Q124" s="39" t="str">
        <x:v>不计入基础产出、不计入主线通关时间、不与主线守关或常规BOSS兼掉重复计账。</x:v>
      </x:c>
    </x:row>
    <x:row r="125" ht="40" customHeight="1">
      <x:c r="A125" s="37" t="str">
        <x:v>PROD-0121</x:v>
      </x:c>
      <x:c r="B125" s="38" t="str">
        <x:v>每日额外福利产出</x:v>
      </x:c>
      <x:c r="C125" s="38" t="str">
        <x:v>C03</x:v>
      </x:c>
      <x:c r="D125" s="38" t="str">
        <x:v>每日额外守关BOSS</x:v>
      </x:c>
      <x:c r="E125" s="38" t="str">
        <x:v>宁姆格福西域每日单人守关福利</x:v>
      </x:c>
      <x:c r="F125" s="38" t="str">
        <x:v>每角色每日3次；不可协助</x:v>
      </x:c>
      <x:c r="G125" s="38" t="str">
        <x:v>EQ-EXCLUSIVE-NORMAL</x:v>
      </x:c>
      <x:c r="H125" s="38" t="str">
        <x:v>当前大陆小怪专属（多个，主产）</x:v>
      </x:c>
      <x:c r="I125" s="38" t="str">
        <x:v>待经济反算</x:v>
      </x:c>
      <x:c r="J125" s="38" t="str">
        <x:v>待经济反算</x:v>
      </x:c>
      <x:c r="K125" s="38" t="str">
        <x:v>否</x:v>
      </x:c>
      <x:c r="L125" s="38" t="str">
        <x:v>是</x:v>
      </x:c>
      <x:c r="M125" s="38" t="str">
        <x:v>可交易</x:v>
      </x:c>
      <x:c r="N125" s="38" t="str">
        <x:v>可用于任务/称号/分解；是否直接回收待统一表</x:v>
      </x:c>
      <x:c r="O125" s="38" t="str">
        <x:v>沿用对应实物规则</x:v>
      </x:c>
      <x:c r="P125" s="38" t="str">
        <x:v>福利池单列；数量/概率待经济反算</x:v>
      </x:c>
      <x:c r="Q125" s="39" t="str">
        <x:v>不计入基础产出、不计入主线通关时间、不与主线守关或常规BOSS兼掉重复计账。</x:v>
      </x:c>
    </x:row>
    <x:row r="126" ht="40" customHeight="1">
      <x:c r="A126" s="37" t="str">
        <x:v>PROD-0122</x:v>
      </x:c>
      <x:c r="B126" s="38" t="str">
        <x:v>每日额外福利产出</x:v>
      </x:c>
      <x:c r="C126" s="38" t="str">
        <x:v>C03</x:v>
      </x:c>
      <x:c r="D126" s="38" t="str">
        <x:v>每日额外守关BOSS</x:v>
      </x:c>
      <x:c r="E126" s="38" t="str">
        <x:v>宁姆格福西域每日单人守关福利</x:v>
      </x:c>
      <x:c r="F126" s="38" t="str">
        <x:v>每角色每日3次；不可协助</x:v>
      </x:c>
      <x:c r="G126" s="38" t="str">
        <x:v>EQ-EXCLUSIVE-ELITE</x:v>
      </x:c>
      <x:c r="H126" s="38" t="str">
        <x:v>当前大陆精英专属（概率）</x:v>
      </x:c>
      <x:c r="I126" s="38" t="str">
        <x:v>待经济反算</x:v>
      </x:c>
      <x:c r="J126" s="38" t="str">
        <x:v>待经济反算</x:v>
      </x:c>
      <x:c r="K126" s="38" t="str">
        <x:v>否</x:v>
      </x:c>
      <x:c r="L126" s="38" t="str">
        <x:v>是</x:v>
      </x:c>
      <x:c r="M126" s="38" t="str">
        <x:v>可交易</x:v>
      </x:c>
      <x:c r="N126" s="38" t="str">
        <x:v>可用于任务/称号/分解；是否直接回收待统一表</x:v>
      </x:c>
      <x:c r="O126" s="38" t="str">
        <x:v>沿用对应实物规则</x:v>
      </x:c>
      <x:c r="P126" s="38" t="str">
        <x:v>福利池单列；数量/概率待经济反算</x:v>
      </x:c>
      <x:c r="Q126" s="39" t="str">
        <x:v>不计入基础产出、不计入主线通关时间、不与主线守关或常规BOSS兼掉重复计账。</x:v>
      </x:c>
    </x:row>
    <x:row r="127" ht="40" customHeight="1">
      <x:c r="A127" s="37" t="str">
        <x:v>PROD-0123</x:v>
      </x:c>
      <x:c r="B127" s="38" t="str">
        <x:v>每日额外福利产出</x:v>
      </x:c>
      <x:c r="C127" s="38" t="str">
        <x:v>C03</x:v>
      </x:c>
      <x:c r="D127" s="38" t="str">
        <x:v>每日额外守关BOSS</x:v>
      </x:c>
      <x:c r="E127" s="38" t="str">
        <x:v>宁姆格福西域每日单人守关福利</x:v>
      </x:c>
      <x:c r="F127" s="38" t="str">
        <x:v>每角色每日3次；不可协助</x:v>
      </x:c>
      <x:c r="G127" s="38" t="str">
        <x:v>EQ-EXCLUSIVE-MAPBOSS</x:v>
      </x:c>
      <x:c r="H127" s="38" t="str">
        <x:v>当前大陆地图BOSS专属（概率）</x:v>
      </x:c>
      <x:c r="I127" s="38" t="str">
        <x:v>待经济反算</x:v>
      </x:c>
      <x:c r="J127" s="38" t="str">
        <x:v>待经济反算</x:v>
      </x:c>
      <x:c r="K127" s="38" t="str">
        <x:v>否</x:v>
      </x:c>
      <x:c r="L127" s="38" t="str">
        <x:v>是</x:v>
      </x:c>
      <x:c r="M127" s="38" t="str">
        <x:v>可交易</x:v>
      </x:c>
      <x:c r="N127" s="38" t="str">
        <x:v>可用于任务/称号/分解；是否直接回收待统一表</x:v>
      </x:c>
      <x:c r="O127" s="38" t="str">
        <x:v>沿用对应实物规则</x:v>
      </x:c>
      <x:c r="P127" s="38" t="str">
        <x:v>福利池单列；数量/概率待经济反算</x:v>
      </x:c>
      <x:c r="Q127" s="39" t="str">
        <x:v>不计入基础产出、不计入主线通关时间、不与主线守关或常规BOSS兼掉重复计账。</x:v>
      </x:c>
    </x:row>
    <x:row r="128" ht="40" customHeight="1">
      <x:c r="A128" s="37" t="str">
        <x:v>PROD-0124</x:v>
      </x:c>
      <x:c r="B128" s="38" t="str">
        <x:v>每日额外福利产出</x:v>
      </x:c>
      <x:c r="C128" s="38" t="str">
        <x:v>C03</x:v>
      </x:c>
      <x:c r="D128" s="38" t="str">
        <x:v>每日额外守关BOSS</x:v>
      </x:c>
      <x:c r="E128" s="38" t="str">
        <x:v>宁姆格福西域每日单人守关福利</x:v>
      </x:c>
      <x:c r="F128" s="38" t="str">
        <x:v>每角色每日3次；不可协助</x:v>
      </x:c>
      <x:c r="G128" s="38" t="str">
        <x:v>MAT-WAR-ASH-DAILY</x:v>
      </x:c>
      <x:c r="H128" s="38" t="str">
        <x:v>武器附魔材料</x:v>
      </x:c>
      <x:c r="I128" s="38" t="str">
        <x:v>待经济反算</x:v>
      </x:c>
      <x:c r="J128" s="38" t="str">
        <x:v>待经济反算</x:v>
      </x:c>
      <x:c r="K128" s="38" t="str">
        <x:v>否</x:v>
      </x:c>
      <x:c r="L128" s="38" t="str">
        <x:v>是</x:v>
      </x:c>
      <x:c r="M128" s="38" t="str">
        <x:v>按实际材料规则；未定义前待确认</x:v>
      </x:c>
      <x:c r="N128" s="38" t="str">
        <x:v>不作为自动回收主材</x:v>
      </x:c>
      <x:c r="O128" s="38" t="str">
        <x:v>沿用对应实物规则</x:v>
      </x:c>
      <x:c r="P128" s="38" t="str">
        <x:v>福利池单列；数量/概率待经济反算</x:v>
      </x:c>
      <x:c r="Q128" s="39" t="str">
        <x:v>不计入基础产出、不计入主线通关时间、不与主线守关或常规BOSS兼掉重复计账。</x:v>
      </x:c>
    </x:row>
    <x:row r="129" ht="40" customHeight="1">
      <x:c r="A129" s="37" t="str">
        <x:v>PROD-0125</x:v>
      </x:c>
      <x:c r="B129" s="38" t="str">
        <x:v>每日额外福利产出</x:v>
      </x:c>
      <x:c r="C129" s="38" t="str">
        <x:v>C04</x:v>
      </x:c>
      <x:c r="D129" s="38" t="str">
        <x:v>每日额外守关BOSS</x:v>
      </x:c>
      <x:c r="E129" s="38" t="str">
        <x:v>利耶尼亚海域每日单人守关福利</x:v>
      </x:c>
      <x:c r="F129" s="38" t="str">
        <x:v>每角色每日3次；不可协助</x:v>
      </x:c>
      <x:c r="G129" s="38" t="str">
        <x:v>EQ-EXCLUSIVE-NORMAL</x:v>
      </x:c>
      <x:c r="H129" s="38" t="str">
        <x:v>当前大陆小怪专属（多个，主产）</x:v>
      </x:c>
      <x:c r="I129" s="38" t="str">
        <x:v>待经济反算</x:v>
      </x:c>
      <x:c r="J129" s="38" t="str">
        <x:v>待经济反算</x:v>
      </x:c>
      <x:c r="K129" s="38" t="str">
        <x:v>否</x:v>
      </x:c>
      <x:c r="L129" s="38" t="str">
        <x:v>是</x:v>
      </x:c>
      <x:c r="M129" s="38" t="str">
        <x:v>可交易</x:v>
      </x:c>
      <x:c r="N129" s="38" t="str">
        <x:v>可用于任务/称号/分解；是否直接回收待统一表</x:v>
      </x:c>
      <x:c r="O129" s="38" t="str">
        <x:v>沿用对应实物规则</x:v>
      </x:c>
      <x:c r="P129" s="38" t="str">
        <x:v>福利池单列；数量/概率待经济反算</x:v>
      </x:c>
      <x:c r="Q129" s="39" t="str">
        <x:v>不计入基础产出、不计入主线通关时间、不与主线守关或常规BOSS兼掉重复计账。</x:v>
      </x:c>
    </x:row>
    <x:row r="130" ht="40" customHeight="1">
      <x:c r="A130" s="37" t="str">
        <x:v>PROD-0126</x:v>
      </x:c>
      <x:c r="B130" s="38" t="str">
        <x:v>每日额外福利产出</x:v>
      </x:c>
      <x:c r="C130" s="38" t="str">
        <x:v>C04</x:v>
      </x:c>
      <x:c r="D130" s="38" t="str">
        <x:v>每日额外守关BOSS</x:v>
      </x:c>
      <x:c r="E130" s="38" t="str">
        <x:v>利耶尼亚海域每日单人守关福利</x:v>
      </x:c>
      <x:c r="F130" s="38" t="str">
        <x:v>每角色每日3次；不可协助</x:v>
      </x:c>
      <x:c r="G130" s="38" t="str">
        <x:v>EQ-EXCLUSIVE-ELITE</x:v>
      </x:c>
      <x:c r="H130" s="38" t="str">
        <x:v>当前大陆精英专属（概率）</x:v>
      </x:c>
      <x:c r="I130" s="38" t="str">
        <x:v>待经济反算</x:v>
      </x:c>
      <x:c r="J130" s="38" t="str">
        <x:v>待经济反算</x:v>
      </x:c>
      <x:c r="K130" s="38" t="str">
        <x:v>否</x:v>
      </x:c>
      <x:c r="L130" s="38" t="str">
        <x:v>是</x:v>
      </x:c>
      <x:c r="M130" s="38" t="str">
        <x:v>可交易</x:v>
      </x:c>
      <x:c r="N130" s="38" t="str">
        <x:v>可用于任务/称号/分解；是否直接回收待统一表</x:v>
      </x:c>
      <x:c r="O130" s="38" t="str">
        <x:v>沿用对应实物规则</x:v>
      </x:c>
      <x:c r="P130" s="38" t="str">
        <x:v>福利池单列；数量/概率待经济反算</x:v>
      </x:c>
      <x:c r="Q130" s="39" t="str">
        <x:v>不计入基础产出、不计入主线通关时间、不与主线守关或常规BOSS兼掉重复计账。</x:v>
      </x:c>
    </x:row>
    <x:row r="131" ht="40" customHeight="1">
      <x:c r="A131" s="37" t="str">
        <x:v>PROD-0127</x:v>
      </x:c>
      <x:c r="B131" s="38" t="str">
        <x:v>每日额外福利产出</x:v>
      </x:c>
      <x:c r="C131" s="38" t="str">
        <x:v>C04</x:v>
      </x:c>
      <x:c r="D131" s="38" t="str">
        <x:v>每日额外守关BOSS</x:v>
      </x:c>
      <x:c r="E131" s="38" t="str">
        <x:v>利耶尼亚海域每日单人守关福利</x:v>
      </x:c>
      <x:c r="F131" s="38" t="str">
        <x:v>每角色每日3次；不可协助</x:v>
      </x:c>
      <x:c r="G131" s="38" t="str">
        <x:v>EQ-EXCLUSIVE-MAPBOSS</x:v>
      </x:c>
      <x:c r="H131" s="38" t="str">
        <x:v>当前大陆地图BOSS专属（概率）</x:v>
      </x:c>
      <x:c r="I131" s="38" t="str">
        <x:v>待经济反算</x:v>
      </x:c>
      <x:c r="J131" s="38" t="str">
        <x:v>待经济反算</x:v>
      </x:c>
      <x:c r="K131" s="38" t="str">
        <x:v>否</x:v>
      </x:c>
      <x:c r="L131" s="38" t="str">
        <x:v>是</x:v>
      </x:c>
      <x:c r="M131" s="38" t="str">
        <x:v>可交易</x:v>
      </x:c>
      <x:c r="N131" s="38" t="str">
        <x:v>可用于任务/称号/分解；是否直接回收待统一表</x:v>
      </x:c>
      <x:c r="O131" s="38" t="str">
        <x:v>沿用对应实物规则</x:v>
      </x:c>
      <x:c r="P131" s="38" t="str">
        <x:v>福利池单列；数量/概率待经济反算</x:v>
      </x:c>
      <x:c r="Q131" s="39" t="str">
        <x:v>不计入基础产出、不计入主线通关时间、不与主线守关或常规BOSS兼掉重复计账。</x:v>
      </x:c>
    </x:row>
    <x:row r="132" ht="40" customHeight="1">
      <x:c r="A132" s="37" t="str">
        <x:v>PROD-0128</x:v>
      </x:c>
      <x:c r="B132" s="38" t="str">
        <x:v>每日额外福利产出</x:v>
      </x:c>
      <x:c r="C132" s="38" t="str">
        <x:v>C04</x:v>
      </x:c>
      <x:c r="D132" s="38" t="str">
        <x:v>每日额外守关BOSS</x:v>
      </x:c>
      <x:c r="E132" s="38" t="str">
        <x:v>利耶尼亚海域每日单人守关福利</x:v>
      </x:c>
      <x:c r="F132" s="38" t="str">
        <x:v>每角色每日3次；不可协助</x:v>
      </x:c>
      <x:c r="G132" s="38" t="str">
        <x:v>MAT-WAR-ASH-DAILY</x:v>
      </x:c>
      <x:c r="H132" s="38" t="str">
        <x:v>武器附魔材料</x:v>
      </x:c>
      <x:c r="I132" s="38" t="str">
        <x:v>待经济反算</x:v>
      </x:c>
      <x:c r="J132" s="38" t="str">
        <x:v>待经济反算</x:v>
      </x:c>
      <x:c r="K132" s="38" t="str">
        <x:v>否</x:v>
      </x:c>
      <x:c r="L132" s="38" t="str">
        <x:v>是</x:v>
      </x:c>
      <x:c r="M132" s="38" t="str">
        <x:v>按实际材料规则；未定义前待确认</x:v>
      </x:c>
      <x:c r="N132" s="38" t="str">
        <x:v>不作为自动回收主材</x:v>
      </x:c>
      <x:c r="O132" s="38" t="str">
        <x:v>沿用对应实物规则</x:v>
      </x:c>
      <x:c r="P132" s="38" t="str">
        <x:v>福利池单列；数量/概率待经济反算</x:v>
      </x:c>
      <x:c r="Q132" s="39" t="str">
        <x:v>不计入基础产出、不计入主线通关时间、不与主线守关或常规BOSS兼掉重复计账。</x:v>
      </x:c>
    </x:row>
    <x:row r="133" ht="40" customHeight="1">
      <x:c r="A133" s="37" t="str">
        <x:v>PROD-0129</x:v>
      </x:c>
      <x:c r="B133" s="38" t="str">
        <x:v>每日额外福利产出</x:v>
      </x:c>
      <x:c r="C133" s="38" t="str">
        <x:v>C05</x:v>
      </x:c>
      <x:c r="D133" s="38" t="str">
        <x:v>每日额外守关BOSS</x:v>
      </x:c>
      <x:c r="E133" s="38" t="str">
        <x:v>湖之利耶尼亚每日单人守关福利</x:v>
      </x:c>
      <x:c r="F133" s="38" t="str">
        <x:v>每角色每日3次；不可协助</x:v>
      </x:c>
      <x:c r="G133" s="38" t="str">
        <x:v>EQ-EXCLUSIVE-NORMAL</x:v>
      </x:c>
      <x:c r="H133" s="38" t="str">
        <x:v>当前大陆小怪专属（多个，主产）</x:v>
      </x:c>
      <x:c r="I133" s="38" t="str">
        <x:v>待经济反算</x:v>
      </x:c>
      <x:c r="J133" s="38" t="str">
        <x:v>待经济反算</x:v>
      </x:c>
      <x:c r="K133" s="38" t="str">
        <x:v>否</x:v>
      </x:c>
      <x:c r="L133" s="38" t="str">
        <x:v>是</x:v>
      </x:c>
      <x:c r="M133" s="38" t="str">
        <x:v>可交易</x:v>
      </x:c>
      <x:c r="N133" s="38" t="str">
        <x:v>可用于任务/称号/分解；是否直接回收待统一表</x:v>
      </x:c>
      <x:c r="O133" s="38" t="str">
        <x:v>沿用对应实物规则</x:v>
      </x:c>
      <x:c r="P133" s="38" t="str">
        <x:v>福利池单列；数量/概率待经济反算</x:v>
      </x:c>
      <x:c r="Q133" s="39" t="str">
        <x:v>不计入基础产出、不计入主线通关时间、不与主线守关或常规BOSS兼掉重复计账。</x:v>
      </x:c>
    </x:row>
    <x:row r="134" ht="40" customHeight="1">
      <x:c r="A134" s="37" t="str">
        <x:v>PROD-0130</x:v>
      </x:c>
      <x:c r="B134" s="38" t="str">
        <x:v>每日额外福利产出</x:v>
      </x:c>
      <x:c r="C134" s="38" t="str">
        <x:v>C05</x:v>
      </x:c>
      <x:c r="D134" s="38" t="str">
        <x:v>每日额外守关BOSS</x:v>
      </x:c>
      <x:c r="E134" s="38" t="str">
        <x:v>湖之利耶尼亚每日单人守关福利</x:v>
      </x:c>
      <x:c r="F134" s="38" t="str">
        <x:v>每角色每日3次；不可协助</x:v>
      </x:c>
      <x:c r="G134" s="38" t="str">
        <x:v>EQ-EXCLUSIVE-ELITE</x:v>
      </x:c>
      <x:c r="H134" s="38" t="str">
        <x:v>当前大陆精英专属（概率）</x:v>
      </x:c>
      <x:c r="I134" s="38" t="str">
        <x:v>待经济反算</x:v>
      </x:c>
      <x:c r="J134" s="38" t="str">
        <x:v>待经济反算</x:v>
      </x:c>
      <x:c r="K134" s="38" t="str">
        <x:v>否</x:v>
      </x:c>
      <x:c r="L134" s="38" t="str">
        <x:v>是</x:v>
      </x:c>
      <x:c r="M134" s="38" t="str">
        <x:v>可交易</x:v>
      </x:c>
      <x:c r="N134" s="38" t="str">
        <x:v>可用于任务/称号/分解；是否直接回收待统一表</x:v>
      </x:c>
      <x:c r="O134" s="38" t="str">
        <x:v>沿用对应实物规则</x:v>
      </x:c>
      <x:c r="P134" s="38" t="str">
        <x:v>福利池单列；数量/概率待经济反算</x:v>
      </x:c>
      <x:c r="Q134" s="39" t="str">
        <x:v>不计入基础产出、不计入主线通关时间、不与主线守关或常规BOSS兼掉重复计账。</x:v>
      </x:c>
    </x:row>
    <x:row r="135" ht="40" customHeight="1">
      <x:c r="A135" s="37" t="str">
        <x:v>PROD-0131</x:v>
      </x:c>
      <x:c r="B135" s="38" t="str">
        <x:v>每日额外福利产出</x:v>
      </x:c>
      <x:c r="C135" s="38" t="str">
        <x:v>C05</x:v>
      </x:c>
      <x:c r="D135" s="38" t="str">
        <x:v>每日额外守关BOSS</x:v>
      </x:c>
      <x:c r="E135" s="38" t="str">
        <x:v>湖之利耶尼亚每日单人守关福利</x:v>
      </x:c>
      <x:c r="F135" s="38" t="str">
        <x:v>每角色每日3次；不可协助</x:v>
      </x:c>
      <x:c r="G135" s="38" t="str">
        <x:v>EQ-EXCLUSIVE-MAPBOSS</x:v>
      </x:c>
      <x:c r="H135" s="38" t="str">
        <x:v>当前大陆地图BOSS专属（概率）</x:v>
      </x:c>
      <x:c r="I135" s="38" t="str">
        <x:v>待经济反算</x:v>
      </x:c>
      <x:c r="J135" s="38" t="str">
        <x:v>待经济反算</x:v>
      </x:c>
      <x:c r="K135" s="38" t="str">
        <x:v>否</x:v>
      </x:c>
      <x:c r="L135" s="38" t="str">
        <x:v>是</x:v>
      </x:c>
      <x:c r="M135" s="38" t="str">
        <x:v>可交易</x:v>
      </x:c>
      <x:c r="N135" s="38" t="str">
        <x:v>可用于任务/称号/分解；是否直接回收待统一表</x:v>
      </x:c>
      <x:c r="O135" s="38" t="str">
        <x:v>沿用对应实物规则</x:v>
      </x:c>
      <x:c r="P135" s="38" t="str">
        <x:v>福利池单列；数量/概率待经济反算</x:v>
      </x:c>
      <x:c r="Q135" s="39" t="str">
        <x:v>不计入基础产出、不计入主线通关时间、不与主线守关或常规BOSS兼掉重复计账。</x:v>
      </x:c>
    </x:row>
    <x:row r="136" ht="40" customHeight="1">
      <x:c r="A136" s="37" t="str">
        <x:v>PROD-0132</x:v>
      </x:c>
      <x:c r="B136" s="38" t="str">
        <x:v>每日额外福利产出</x:v>
      </x:c>
      <x:c r="C136" s="38" t="str">
        <x:v>C05</x:v>
      </x:c>
      <x:c r="D136" s="38" t="str">
        <x:v>每日额外守关BOSS</x:v>
      </x:c>
      <x:c r="E136" s="38" t="str">
        <x:v>湖之利耶尼亚每日单人守关福利</x:v>
      </x:c>
      <x:c r="F136" s="38" t="str">
        <x:v>每角色每日3次；不可协助</x:v>
      </x:c>
      <x:c r="G136" s="38" t="str">
        <x:v>MAT-WAR-ASH-DAILY</x:v>
      </x:c>
      <x:c r="H136" s="38" t="str">
        <x:v>武器附魔材料</x:v>
      </x:c>
      <x:c r="I136" s="38" t="str">
        <x:v>待经济反算</x:v>
      </x:c>
      <x:c r="J136" s="38" t="str">
        <x:v>待经济反算</x:v>
      </x:c>
      <x:c r="K136" s="38" t="str">
        <x:v>否</x:v>
      </x:c>
      <x:c r="L136" s="38" t="str">
        <x:v>是</x:v>
      </x:c>
      <x:c r="M136" s="38" t="str">
        <x:v>按实际材料规则；未定义前待确认</x:v>
      </x:c>
      <x:c r="N136" s="38" t="str">
        <x:v>不作为自动回收主材</x:v>
      </x:c>
      <x:c r="O136" s="38" t="str">
        <x:v>沿用对应实物规则</x:v>
      </x:c>
      <x:c r="P136" s="38" t="str">
        <x:v>福利池单列；数量/概率待经济反算</x:v>
      </x:c>
      <x:c r="Q136" s="39" t="str">
        <x:v>不计入基础产出、不计入主线通关时间、不与主线守关或常规BOSS兼掉重复计账。</x:v>
      </x:c>
    </x:row>
    <x:row r="137" ht="40" customHeight="1">
      <x:c r="A137" s="37" t="str">
        <x:v>PROD-0133</x:v>
      </x:c>
      <x:c r="B137" s="38" t="str">
        <x:v>每日额外福利产出</x:v>
      </x:c>
      <x:c r="C137" s="38" t="str">
        <x:v>C06</x:v>
      </x:c>
      <x:c r="D137" s="38" t="str">
        <x:v>每日额外守关BOSS</x:v>
      </x:c>
      <x:c r="E137" s="38" t="str">
        <x:v>盖利德每日单人守关福利</x:v>
      </x:c>
      <x:c r="F137" s="38" t="str">
        <x:v>每角色每日2次；不可协助</x:v>
      </x:c>
      <x:c r="G137" s="38" t="str">
        <x:v>EQ-EXCLUSIVE-NORMAL</x:v>
      </x:c>
      <x:c r="H137" s="38" t="str">
        <x:v>当前大陆小怪专属（多个，主产）</x:v>
      </x:c>
      <x:c r="I137" s="38" t="str">
        <x:v>待经济反算</x:v>
      </x:c>
      <x:c r="J137" s="38" t="str">
        <x:v>待经济反算</x:v>
      </x:c>
      <x:c r="K137" s="38" t="str">
        <x:v>否</x:v>
      </x:c>
      <x:c r="L137" s="38" t="str">
        <x:v>是</x:v>
      </x:c>
      <x:c r="M137" s="38" t="str">
        <x:v>可交易</x:v>
      </x:c>
      <x:c r="N137" s="38" t="str">
        <x:v>可用于任务/称号/分解；是否直接回收待统一表</x:v>
      </x:c>
      <x:c r="O137" s="38" t="str">
        <x:v>沿用对应实物规则</x:v>
      </x:c>
      <x:c r="P137" s="38" t="str">
        <x:v>福利池单列；数量/概率待经济反算</x:v>
      </x:c>
      <x:c r="Q137" s="39" t="str">
        <x:v>不计入基础产出、不计入主线通关时间、不与主线守关或常规BOSS兼掉重复计账。</x:v>
      </x:c>
    </x:row>
    <x:row r="138" ht="40" customHeight="1">
      <x:c r="A138" s="37" t="str">
        <x:v>PROD-0134</x:v>
      </x:c>
      <x:c r="B138" s="38" t="str">
        <x:v>每日额外福利产出</x:v>
      </x:c>
      <x:c r="C138" s="38" t="str">
        <x:v>C06</x:v>
      </x:c>
      <x:c r="D138" s="38" t="str">
        <x:v>每日额外守关BOSS</x:v>
      </x:c>
      <x:c r="E138" s="38" t="str">
        <x:v>盖利德每日单人守关福利</x:v>
      </x:c>
      <x:c r="F138" s="38" t="str">
        <x:v>每角色每日2次；不可协助</x:v>
      </x:c>
      <x:c r="G138" s="38" t="str">
        <x:v>EQ-EXCLUSIVE-ELITE</x:v>
      </x:c>
      <x:c r="H138" s="38" t="str">
        <x:v>当前大陆精英专属（概率）</x:v>
      </x:c>
      <x:c r="I138" s="38" t="str">
        <x:v>待经济反算</x:v>
      </x:c>
      <x:c r="J138" s="38" t="str">
        <x:v>待经济反算</x:v>
      </x:c>
      <x:c r="K138" s="38" t="str">
        <x:v>否</x:v>
      </x:c>
      <x:c r="L138" s="38" t="str">
        <x:v>是</x:v>
      </x:c>
      <x:c r="M138" s="38" t="str">
        <x:v>可交易</x:v>
      </x:c>
      <x:c r="N138" s="38" t="str">
        <x:v>可用于任务/称号/分解；是否直接回收待统一表</x:v>
      </x:c>
      <x:c r="O138" s="38" t="str">
        <x:v>沿用对应实物规则</x:v>
      </x:c>
      <x:c r="P138" s="38" t="str">
        <x:v>福利池单列；数量/概率待经济反算</x:v>
      </x:c>
      <x:c r="Q138" s="39" t="str">
        <x:v>不计入基础产出、不计入主线通关时间、不与主线守关或常规BOSS兼掉重复计账。</x:v>
      </x:c>
    </x:row>
    <x:row r="139" ht="40" customHeight="1">
      <x:c r="A139" s="37" t="str">
        <x:v>PROD-0135</x:v>
      </x:c>
      <x:c r="B139" s="38" t="str">
        <x:v>每日额外福利产出</x:v>
      </x:c>
      <x:c r="C139" s="38" t="str">
        <x:v>C06</x:v>
      </x:c>
      <x:c r="D139" s="38" t="str">
        <x:v>每日额外守关BOSS</x:v>
      </x:c>
      <x:c r="E139" s="38" t="str">
        <x:v>盖利德每日单人守关福利</x:v>
      </x:c>
      <x:c r="F139" s="38" t="str">
        <x:v>每角色每日2次；不可协助</x:v>
      </x:c>
      <x:c r="G139" s="38" t="str">
        <x:v>EQ-EXCLUSIVE-MAPBOSS</x:v>
      </x:c>
      <x:c r="H139" s="38" t="str">
        <x:v>当前大陆地图BOSS专属（概率）</x:v>
      </x:c>
      <x:c r="I139" s="38" t="str">
        <x:v>待经济反算</x:v>
      </x:c>
      <x:c r="J139" s="38" t="str">
        <x:v>待经济反算</x:v>
      </x:c>
      <x:c r="K139" s="38" t="str">
        <x:v>否</x:v>
      </x:c>
      <x:c r="L139" s="38" t="str">
        <x:v>是</x:v>
      </x:c>
      <x:c r="M139" s="38" t="str">
        <x:v>可交易</x:v>
      </x:c>
      <x:c r="N139" s="38" t="str">
        <x:v>可用于任务/称号/分解；是否直接回收待统一表</x:v>
      </x:c>
      <x:c r="O139" s="38" t="str">
        <x:v>沿用对应实物规则</x:v>
      </x:c>
      <x:c r="P139" s="38" t="str">
        <x:v>福利池单列；数量/概率待经济反算</x:v>
      </x:c>
      <x:c r="Q139" s="39" t="str">
        <x:v>不计入基础产出、不计入主线通关时间、不与主线守关或常规BOSS兼掉重复计账。</x:v>
      </x:c>
    </x:row>
    <x:row r="140" ht="40" customHeight="1">
      <x:c r="A140" s="37" t="str">
        <x:v>PROD-0136</x:v>
      </x:c>
      <x:c r="B140" s="38" t="str">
        <x:v>每日额外福利产出</x:v>
      </x:c>
      <x:c r="C140" s="38" t="str">
        <x:v>C06</x:v>
      </x:c>
      <x:c r="D140" s="38" t="str">
        <x:v>每日额外守关BOSS</x:v>
      </x:c>
      <x:c r="E140" s="38" t="str">
        <x:v>盖利德每日单人守关福利</x:v>
      </x:c>
      <x:c r="F140" s="38" t="str">
        <x:v>每角色每日2次；不可协助</x:v>
      </x:c>
      <x:c r="G140" s="38" t="str">
        <x:v>MAT-WAR-ASH-DAILY</x:v>
      </x:c>
      <x:c r="H140" s="38" t="str">
        <x:v>武器附魔材料</x:v>
      </x:c>
      <x:c r="I140" s="38" t="str">
        <x:v>待经济反算</x:v>
      </x:c>
      <x:c r="J140" s="38" t="str">
        <x:v>待经济反算</x:v>
      </x:c>
      <x:c r="K140" s="38" t="str">
        <x:v>否</x:v>
      </x:c>
      <x:c r="L140" s="38" t="str">
        <x:v>是</x:v>
      </x:c>
      <x:c r="M140" s="38" t="str">
        <x:v>按实际材料规则；未定义前待确认</x:v>
      </x:c>
      <x:c r="N140" s="38" t="str">
        <x:v>不作为自动回收主材</x:v>
      </x:c>
      <x:c r="O140" s="38" t="str">
        <x:v>沿用对应实物规则</x:v>
      </x:c>
      <x:c r="P140" s="38" t="str">
        <x:v>福利池单列；数量/概率待经济反算</x:v>
      </x:c>
      <x:c r="Q140" s="39" t="str">
        <x:v>不计入基础产出、不计入主线通关时间、不与主线守关或常规BOSS兼掉重复计账。</x:v>
      </x:c>
    </x:row>
    <x:row r="141" ht="40" customHeight="1">
      <x:c r="A141" s="37" t="str">
        <x:v>PROD-0137</x:v>
      </x:c>
      <x:c r="B141" s="38" t="str">
        <x:v>每日额外福利产出</x:v>
      </x:c>
      <x:c r="C141" s="38" t="str">
        <x:v>C07</x:v>
      </x:c>
      <x:c r="D141" s="38" t="str">
        <x:v>每日额外守关BOSS</x:v>
      </x:c>
      <x:c r="E141" s="38" t="str">
        <x:v>化圣雪原每日单人守关福利</x:v>
      </x:c>
      <x:c r="F141" s="38" t="str">
        <x:v>每角色每日2次；不可协助</x:v>
      </x:c>
      <x:c r="G141" s="38" t="str">
        <x:v>EQ-EXCLUSIVE-NORMAL</x:v>
      </x:c>
      <x:c r="H141" s="38" t="str">
        <x:v>当前大陆小怪专属（多个，主产）</x:v>
      </x:c>
      <x:c r="I141" s="38" t="str">
        <x:v>待经济反算</x:v>
      </x:c>
      <x:c r="J141" s="38" t="str">
        <x:v>待经济反算</x:v>
      </x:c>
      <x:c r="K141" s="38" t="str">
        <x:v>否</x:v>
      </x:c>
      <x:c r="L141" s="38" t="str">
        <x:v>是</x:v>
      </x:c>
      <x:c r="M141" s="38" t="str">
        <x:v>可交易</x:v>
      </x:c>
      <x:c r="N141" s="38" t="str">
        <x:v>可用于任务/称号/分解；是否直接回收待统一表</x:v>
      </x:c>
      <x:c r="O141" s="38" t="str">
        <x:v>沿用对应实物规则</x:v>
      </x:c>
      <x:c r="P141" s="38" t="str">
        <x:v>福利池单列；数量/概率待经济反算</x:v>
      </x:c>
      <x:c r="Q141" s="39" t="str">
        <x:v>不计入基础产出、不计入主线通关时间、不与主线守关或常规BOSS兼掉重复计账。</x:v>
      </x:c>
    </x:row>
    <x:row r="142" ht="40" customHeight="1">
      <x:c r="A142" s="37" t="str">
        <x:v>PROD-0138</x:v>
      </x:c>
      <x:c r="B142" s="38" t="str">
        <x:v>每日额外福利产出</x:v>
      </x:c>
      <x:c r="C142" s="38" t="str">
        <x:v>C07</x:v>
      </x:c>
      <x:c r="D142" s="38" t="str">
        <x:v>每日额外守关BOSS</x:v>
      </x:c>
      <x:c r="E142" s="38" t="str">
        <x:v>化圣雪原每日单人守关福利</x:v>
      </x:c>
      <x:c r="F142" s="38" t="str">
        <x:v>每角色每日2次；不可协助</x:v>
      </x:c>
      <x:c r="G142" s="38" t="str">
        <x:v>EQ-EXCLUSIVE-ELITE</x:v>
      </x:c>
      <x:c r="H142" s="38" t="str">
        <x:v>当前大陆精英专属（概率）</x:v>
      </x:c>
      <x:c r="I142" s="38" t="str">
        <x:v>待经济反算</x:v>
      </x:c>
      <x:c r="J142" s="38" t="str">
        <x:v>待经济反算</x:v>
      </x:c>
      <x:c r="K142" s="38" t="str">
        <x:v>否</x:v>
      </x:c>
      <x:c r="L142" s="38" t="str">
        <x:v>是</x:v>
      </x:c>
      <x:c r="M142" s="38" t="str">
        <x:v>可交易</x:v>
      </x:c>
      <x:c r="N142" s="38" t="str">
        <x:v>可用于任务/称号/分解；是否直接回收待统一表</x:v>
      </x:c>
      <x:c r="O142" s="38" t="str">
        <x:v>沿用对应实物规则</x:v>
      </x:c>
      <x:c r="P142" s="38" t="str">
        <x:v>福利池单列；数量/概率待经济反算</x:v>
      </x:c>
      <x:c r="Q142" s="39" t="str">
        <x:v>不计入基础产出、不计入主线通关时间、不与主线守关或常规BOSS兼掉重复计账。</x:v>
      </x:c>
    </x:row>
    <x:row r="143" ht="40" customHeight="1">
      <x:c r="A143" s="37" t="str">
        <x:v>PROD-0139</x:v>
      </x:c>
      <x:c r="B143" s="38" t="str">
        <x:v>每日额外福利产出</x:v>
      </x:c>
      <x:c r="C143" s="38" t="str">
        <x:v>C07</x:v>
      </x:c>
      <x:c r="D143" s="38" t="str">
        <x:v>每日额外守关BOSS</x:v>
      </x:c>
      <x:c r="E143" s="38" t="str">
        <x:v>化圣雪原每日单人守关福利</x:v>
      </x:c>
      <x:c r="F143" s="38" t="str">
        <x:v>每角色每日2次；不可协助</x:v>
      </x:c>
      <x:c r="G143" s="38" t="str">
        <x:v>EQ-EXCLUSIVE-MAPBOSS</x:v>
      </x:c>
      <x:c r="H143" s="38" t="str">
        <x:v>当前大陆地图BOSS专属（概率）</x:v>
      </x:c>
      <x:c r="I143" s="38" t="str">
        <x:v>待经济反算</x:v>
      </x:c>
      <x:c r="J143" s="38" t="str">
        <x:v>待经济反算</x:v>
      </x:c>
      <x:c r="K143" s="38" t="str">
        <x:v>否</x:v>
      </x:c>
      <x:c r="L143" s="38" t="str">
        <x:v>是</x:v>
      </x:c>
      <x:c r="M143" s="38" t="str">
        <x:v>可交易</x:v>
      </x:c>
      <x:c r="N143" s="38" t="str">
        <x:v>可用于任务/称号/分解；是否直接回收待统一表</x:v>
      </x:c>
      <x:c r="O143" s="38" t="str">
        <x:v>沿用对应实物规则</x:v>
      </x:c>
      <x:c r="P143" s="38" t="str">
        <x:v>福利池单列；数量/概率待经济反算</x:v>
      </x:c>
      <x:c r="Q143" s="39" t="str">
        <x:v>不计入基础产出、不计入主线通关时间、不与主线守关或常规BOSS兼掉重复计账。</x:v>
      </x:c>
    </x:row>
    <x:row r="144" ht="40" customHeight="1">
      <x:c r="A144" s="37" t="str">
        <x:v>PROD-0140</x:v>
      </x:c>
      <x:c r="B144" s="38" t="str">
        <x:v>每日额外福利产出</x:v>
      </x:c>
      <x:c r="C144" s="38" t="str">
        <x:v>C07</x:v>
      </x:c>
      <x:c r="D144" s="38" t="str">
        <x:v>每日额外守关BOSS</x:v>
      </x:c>
      <x:c r="E144" s="38" t="str">
        <x:v>化圣雪原每日单人守关福利</x:v>
      </x:c>
      <x:c r="F144" s="38" t="str">
        <x:v>每角色每日2次；不可协助</x:v>
      </x:c>
      <x:c r="G144" s="38" t="str">
        <x:v>MAT-WAR-ASH-DAILY</x:v>
      </x:c>
      <x:c r="H144" s="38" t="str">
        <x:v>武器附魔材料</x:v>
      </x:c>
      <x:c r="I144" s="38" t="str">
        <x:v>待经济反算</x:v>
      </x:c>
      <x:c r="J144" s="38" t="str">
        <x:v>待经济反算</x:v>
      </x:c>
      <x:c r="K144" s="38" t="str">
        <x:v>否</x:v>
      </x:c>
      <x:c r="L144" s="38" t="str">
        <x:v>是</x:v>
      </x:c>
      <x:c r="M144" s="38" t="str">
        <x:v>按实际材料规则；未定义前待确认</x:v>
      </x:c>
      <x:c r="N144" s="38" t="str">
        <x:v>不作为自动回收主材</x:v>
      </x:c>
      <x:c r="O144" s="38" t="str">
        <x:v>沿用对应实物规则</x:v>
      </x:c>
      <x:c r="P144" s="38" t="str">
        <x:v>福利池单列；数量/概率待经济反算</x:v>
      </x:c>
      <x:c r="Q144" s="39" t="str">
        <x:v>不计入基础产出、不计入主线通关时间、不与主线守关或常规BOSS兼掉重复计账。</x:v>
      </x:c>
    </x:row>
    <x:row r="145" ht="40" customHeight="1">
      <x:c r="A145" s="37" t="str">
        <x:v>PROD-0141</x:v>
      </x:c>
      <x:c r="B145" s="38" t="str">
        <x:v>每日额外福利产出</x:v>
      </x:c>
      <x:c r="C145" s="38" t="str">
        <x:v>C08</x:v>
      </x:c>
      <x:c r="D145" s="38" t="str">
        <x:v>每日额外守关BOSS</x:v>
      </x:c>
      <x:c r="E145" s="38" t="str">
        <x:v>巨人山顶每日单人守关福利</x:v>
      </x:c>
      <x:c r="F145" s="38" t="str">
        <x:v>每角色每日2次；不可协助</x:v>
      </x:c>
      <x:c r="G145" s="38" t="str">
        <x:v>EQ-EXCLUSIVE-NORMAL</x:v>
      </x:c>
      <x:c r="H145" s="38" t="str">
        <x:v>当前大陆小怪专属（多个，主产）</x:v>
      </x:c>
      <x:c r="I145" s="38" t="str">
        <x:v>待经济反算</x:v>
      </x:c>
      <x:c r="J145" s="38" t="str">
        <x:v>待经济反算</x:v>
      </x:c>
      <x:c r="K145" s="38" t="str">
        <x:v>否</x:v>
      </x:c>
      <x:c r="L145" s="38" t="str">
        <x:v>是</x:v>
      </x:c>
      <x:c r="M145" s="38" t="str">
        <x:v>可交易</x:v>
      </x:c>
      <x:c r="N145" s="38" t="str">
        <x:v>可用于任务/称号/分解；是否直接回收待统一表</x:v>
      </x:c>
      <x:c r="O145" s="38" t="str">
        <x:v>沿用对应实物规则</x:v>
      </x:c>
      <x:c r="P145" s="38" t="str">
        <x:v>福利池单列；数量/概率待经济反算</x:v>
      </x:c>
      <x:c r="Q145" s="39" t="str">
        <x:v>不计入基础产出、不计入主线通关时间、不与主线守关或常规BOSS兼掉重复计账。</x:v>
      </x:c>
    </x:row>
    <x:row r="146" ht="40" customHeight="1">
      <x:c r="A146" s="37" t="str">
        <x:v>PROD-0142</x:v>
      </x:c>
      <x:c r="B146" s="38" t="str">
        <x:v>每日额外福利产出</x:v>
      </x:c>
      <x:c r="C146" s="38" t="str">
        <x:v>C08</x:v>
      </x:c>
      <x:c r="D146" s="38" t="str">
        <x:v>每日额外守关BOSS</x:v>
      </x:c>
      <x:c r="E146" s="38" t="str">
        <x:v>巨人山顶每日单人守关福利</x:v>
      </x:c>
      <x:c r="F146" s="38" t="str">
        <x:v>每角色每日2次；不可协助</x:v>
      </x:c>
      <x:c r="G146" s="38" t="str">
        <x:v>EQ-EXCLUSIVE-ELITE</x:v>
      </x:c>
      <x:c r="H146" s="38" t="str">
        <x:v>当前大陆精英专属（概率）</x:v>
      </x:c>
      <x:c r="I146" s="38" t="str">
        <x:v>待经济反算</x:v>
      </x:c>
      <x:c r="J146" s="38" t="str">
        <x:v>待经济反算</x:v>
      </x:c>
      <x:c r="K146" s="38" t="str">
        <x:v>否</x:v>
      </x:c>
      <x:c r="L146" s="38" t="str">
        <x:v>是</x:v>
      </x:c>
      <x:c r="M146" s="38" t="str">
        <x:v>可交易</x:v>
      </x:c>
      <x:c r="N146" s="38" t="str">
        <x:v>可用于任务/称号/分解；是否直接回收待统一表</x:v>
      </x:c>
      <x:c r="O146" s="38" t="str">
        <x:v>沿用对应实物规则</x:v>
      </x:c>
      <x:c r="P146" s="38" t="str">
        <x:v>福利池单列；数量/概率待经济反算</x:v>
      </x:c>
      <x:c r="Q146" s="39" t="str">
        <x:v>不计入基础产出、不计入主线通关时间、不与主线守关或常规BOSS兼掉重复计账。</x:v>
      </x:c>
    </x:row>
    <x:row r="147" ht="40" customHeight="1">
      <x:c r="A147" s="37" t="str">
        <x:v>PROD-0143</x:v>
      </x:c>
      <x:c r="B147" s="38" t="str">
        <x:v>每日额外福利产出</x:v>
      </x:c>
      <x:c r="C147" s="38" t="str">
        <x:v>C08</x:v>
      </x:c>
      <x:c r="D147" s="38" t="str">
        <x:v>每日额外守关BOSS</x:v>
      </x:c>
      <x:c r="E147" s="38" t="str">
        <x:v>巨人山顶每日单人守关福利</x:v>
      </x:c>
      <x:c r="F147" s="38" t="str">
        <x:v>每角色每日2次；不可协助</x:v>
      </x:c>
      <x:c r="G147" s="38" t="str">
        <x:v>EQ-EXCLUSIVE-MAPBOSS</x:v>
      </x:c>
      <x:c r="H147" s="38" t="str">
        <x:v>当前大陆地图BOSS专属（概率）</x:v>
      </x:c>
      <x:c r="I147" s="38" t="str">
        <x:v>待经济反算</x:v>
      </x:c>
      <x:c r="J147" s="38" t="str">
        <x:v>待经济反算</x:v>
      </x:c>
      <x:c r="K147" s="38" t="str">
        <x:v>否</x:v>
      </x:c>
      <x:c r="L147" s="38" t="str">
        <x:v>是</x:v>
      </x:c>
      <x:c r="M147" s="38" t="str">
        <x:v>可交易</x:v>
      </x:c>
      <x:c r="N147" s="38" t="str">
        <x:v>可用于任务/称号/分解；是否直接回收待统一表</x:v>
      </x:c>
      <x:c r="O147" s="38" t="str">
        <x:v>沿用对应实物规则</x:v>
      </x:c>
      <x:c r="P147" s="38" t="str">
        <x:v>福利池单列；数量/概率待经济反算</x:v>
      </x:c>
      <x:c r="Q147" s="39" t="str">
        <x:v>不计入基础产出、不计入主线通关时间、不与主线守关或常规BOSS兼掉重复计账。</x:v>
      </x:c>
    </x:row>
    <x:row r="148" ht="40" customHeight="1">
      <x:c r="A148" s="37" t="str">
        <x:v>PROD-0144</x:v>
      </x:c>
      <x:c r="B148" s="38" t="str">
        <x:v>每日额外福利产出</x:v>
      </x:c>
      <x:c r="C148" s="38" t="str">
        <x:v>C08</x:v>
      </x:c>
      <x:c r="D148" s="38" t="str">
        <x:v>每日额外守关BOSS</x:v>
      </x:c>
      <x:c r="E148" s="38" t="str">
        <x:v>巨人山顶每日单人守关福利</x:v>
      </x:c>
      <x:c r="F148" s="38" t="str">
        <x:v>每角色每日2次；不可协助</x:v>
      </x:c>
      <x:c r="G148" s="38" t="str">
        <x:v>MAT-WAR-ASH-DAILY</x:v>
      </x:c>
      <x:c r="H148" s="38" t="str">
        <x:v>武器附魔材料</x:v>
      </x:c>
      <x:c r="I148" s="38" t="str">
        <x:v>待经济反算</x:v>
      </x:c>
      <x:c r="J148" s="38" t="str">
        <x:v>待经济反算</x:v>
      </x:c>
      <x:c r="K148" s="38" t="str">
        <x:v>否</x:v>
      </x:c>
      <x:c r="L148" s="38" t="str">
        <x:v>是</x:v>
      </x:c>
      <x:c r="M148" s="38" t="str">
        <x:v>按实际材料规则；未定义前待确认</x:v>
      </x:c>
      <x:c r="N148" s="38" t="str">
        <x:v>不作为自动回收主材</x:v>
      </x:c>
      <x:c r="O148" s="38" t="str">
        <x:v>沿用对应实物规则</x:v>
      </x:c>
      <x:c r="P148" s="38" t="str">
        <x:v>福利池单列；数量/概率待经济反算</x:v>
      </x:c>
      <x:c r="Q148" s="39" t="str">
        <x:v>不计入基础产出、不计入主线通关时间、不与主线守关或常规BOSS兼掉重复计账。</x:v>
      </x:c>
    </x:row>
    <x:row r="149" ht="40" customHeight="1">
      <x:c r="A149" s="37" t="str">
        <x:v>PROD-0145</x:v>
      </x:c>
      <x:c r="B149" s="38" t="str">
        <x:v>每日额外福利产出</x:v>
      </x:c>
      <x:c r="C149" s="38" t="str">
        <x:v>C09</x:v>
      </x:c>
      <x:c r="D149" s="38" t="str">
        <x:v>每日额外守关BOSS</x:v>
      </x:c>
      <x:c r="E149" s="38" t="str">
        <x:v>亚坛高原每日单人守关福利</x:v>
      </x:c>
      <x:c r="F149" s="38" t="str">
        <x:v>每角色每日1次；不可协助</x:v>
      </x:c>
      <x:c r="G149" s="38" t="str">
        <x:v>EQ-EXCLUSIVE-NORMAL</x:v>
      </x:c>
      <x:c r="H149" s="38" t="str">
        <x:v>当前大陆小怪专属（多个，主产）</x:v>
      </x:c>
      <x:c r="I149" s="38" t="str">
        <x:v>待经济反算</x:v>
      </x:c>
      <x:c r="J149" s="38" t="str">
        <x:v>待经济反算</x:v>
      </x:c>
      <x:c r="K149" s="38" t="str">
        <x:v>否</x:v>
      </x:c>
      <x:c r="L149" s="38" t="str">
        <x:v>是</x:v>
      </x:c>
      <x:c r="M149" s="38" t="str">
        <x:v>可交易</x:v>
      </x:c>
      <x:c r="N149" s="38" t="str">
        <x:v>可用于任务/称号/分解；是否直接回收待统一表</x:v>
      </x:c>
      <x:c r="O149" s="38" t="str">
        <x:v>沿用对应实物规则</x:v>
      </x:c>
      <x:c r="P149" s="38" t="str">
        <x:v>福利池单列；数量/概率待经济反算</x:v>
      </x:c>
      <x:c r="Q149" s="39" t="str">
        <x:v>不计入基础产出、不计入主线通关时间、不与主线守关或常规BOSS兼掉重复计账。</x:v>
      </x:c>
    </x:row>
    <x:row r="150" ht="40" customHeight="1">
      <x:c r="A150" s="37" t="str">
        <x:v>PROD-0146</x:v>
      </x:c>
      <x:c r="B150" s="38" t="str">
        <x:v>每日额外福利产出</x:v>
      </x:c>
      <x:c r="C150" s="38" t="str">
        <x:v>C09</x:v>
      </x:c>
      <x:c r="D150" s="38" t="str">
        <x:v>每日额外守关BOSS</x:v>
      </x:c>
      <x:c r="E150" s="38" t="str">
        <x:v>亚坛高原每日单人守关福利</x:v>
      </x:c>
      <x:c r="F150" s="38" t="str">
        <x:v>每角色每日1次；不可协助</x:v>
      </x:c>
      <x:c r="G150" s="38" t="str">
        <x:v>EQ-EXCLUSIVE-ELITE</x:v>
      </x:c>
      <x:c r="H150" s="38" t="str">
        <x:v>当前大陆精英专属（概率）</x:v>
      </x:c>
      <x:c r="I150" s="38" t="str">
        <x:v>待经济反算</x:v>
      </x:c>
      <x:c r="J150" s="38" t="str">
        <x:v>待经济反算</x:v>
      </x:c>
      <x:c r="K150" s="38" t="str">
        <x:v>否</x:v>
      </x:c>
      <x:c r="L150" s="38" t="str">
        <x:v>是</x:v>
      </x:c>
      <x:c r="M150" s="38" t="str">
        <x:v>可交易</x:v>
      </x:c>
      <x:c r="N150" s="38" t="str">
        <x:v>可用于任务/称号/分解；是否直接回收待统一表</x:v>
      </x:c>
      <x:c r="O150" s="38" t="str">
        <x:v>沿用对应实物规则</x:v>
      </x:c>
      <x:c r="P150" s="38" t="str">
        <x:v>福利池单列；数量/概率待经济反算</x:v>
      </x:c>
      <x:c r="Q150" s="39" t="str">
        <x:v>不计入基础产出、不计入主线通关时间、不与主线守关或常规BOSS兼掉重复计账。</x:v>
      </x:c>
    </x:row>
    <x:row r="151" ht="40" customHeight="1">
      <x:c r="A151" s="37" t="str">
        <x:v>PROD-0147</x:v>
      </x:c>
      <x:c r="B151" s="38" t="str">
        <x:v>每日额外福利产出</x:v>
      </x:c>
      <x:c r="C151" s="38" t="str">
        <x:v>C09</x:v>
      </x:c>
      <x:c r="D151" s="38" t="str">
        <x:v>每日额外守关BOSS</x:v>
      </x:c>
      <x:c r="E151" s="38" t="str">
        <x:v>亚坛高原每日单人守关福利</x:v>
      </x:c>
      <x:c r="F151" s="38" t="str">
        <x:v>每角色每日1次；不可协助</x:v>
      </x:c>
      <x:c r="G151" s="38" t="str">
        <x:v>EQ-EXCLUSIVE-MAPBOSS</x:v>
      </x:c>
      <x:c r="H151" s="38" t="str">
        <x:v>当前大陆地图BOSS专属（概率）</x:v>
      </x:c>
      <x:c r="I151" s="38" t="str">
        <x:v>待经济反算</x:v>
      </x:c>
      <x:c r="J151" s="38" t="str">
        <x:v>待经济反算</x:v>
      </x:c>
      <x:c r="K151" s="38" t="str">
        <x:v>否</x:v>
      </x:c>
      <x:c r="L151" s="38" t="str">
        <x:v>是</x:v>
      </x:c>
      <x:c r="M151" s="38" t="str">
        <x:v>可交易</x:v>
      </x:c>
      <x:c r="N151" s="38" t="str">
        <x:v>可用于任务/称号/分解；是否直接回收待统一表</x:v>
      </x:c>
      <x:c r="O151" s="38" t="str">
        <x:v>沿用对应实物规则</x:v>
      </x:c>
      <x:c r="P151" s="38" t="str">
        <x:v>福利池单列；数量/概率待经济反算</x:v>
      </x:c>
      <x:c r="Q151" s="39" t="str">
        <x:v>不计入基础产出、不计入主线通关时间、不与主线守关或常规BOSS兼掉重复计账。</x:v>
      </x:c>
    </x:row>
    <x:row r="152" ht="40" customHeight="1">
      <x:c r="A152" s="37" t="str">
        <x:v>PROD-0148</x:v>
      </x:c>
      <x:c r="B152" s="38" t="str">
        <x:v>每日额外福利产出</x:v>
      </x:c>
      <x:c r="C152" s="38" t="str">
        <x:v>C09</x:v>
      </x:c>
      <x:c r="D152" s="38" t="str">
        <x:v>每日额外守关BOSS</x:v>
      </x:c>
      <x:c r="E152" s="38" t="str">
        <x:v>亚坛高原每日单人守关福利</x:v>
      </x:c>
      <x:c r="F152" s="38" t="str">
        <x:v>每角色每日1次；不可协助</x:v>
      </x:c>
      <x:c r="G152" s="38" t="str">
        <x:v>MAT-WAR-ASH-DAILY</x:v>
      </x:c>
      <x:c r="H152" s="38" t="str">
        <x:v>武器附魔材料</x:v>
      </x:c>
      <x:c r="I152" s="38" t="str">
        <x:v>待经济反算</x:v>
      </x:c>
      <x:c r="J152" s="38" t="str">
        <x:v>待经济反算</x:v>
      </x:c>
      <x:c r="K152" s="38" t="str">
        <x:v>否</x:v>
      </x:c>
      <x:c r="L152" s="38" t="str">
        <x:v>是</x:v>
      </x:c>
      <x:c r="M152" s="38" t="str">
        <x:v>按实际材料规则；未定义前待确认</x:v>
      </x:c>
      <x:c r="N152" s="38" t="str">
        <x:v>不作为自动回收主材</x:v>
      </x:c>
      <x:c r="O152" s="38" t="str">
        <x:v>沿用对应实物规则</x:v>
      </x:c>
      <x:c r="P152" s="38" t="str">
        <x:v>福利池单列；数量/概率待经济反算</x:v>
      </x:c>
      <x:c r="Q152" s="39" t="str">
        <x:v>不计入基础产出、不计入主线通关时间、不与主线守关或常规BOSS兼掉重复计账。</x:v>
      </x:c>
    </x:row>
    <x:row r="153" ht="40" customHeight="1">
      <x:c r="A153" s="37" t="str">
        <x:v>PROD-0149</x:v>
      </x:c>
      <x:c r="B153" s="38" t="str">
        <x:v>每日额外福利产出</x:v>
      </x:c>
      <x:c r="C153" s="38" t="str">
        <x:v>C10</x:v>
      </x:c>
      <x:c r="D153" s="38" t="str">
        <x:v>每日额外守关BOSS</x:v>
      </x:c>
      <x:c r="E153" s="38" t="str">
        <x:v>王城罗德尔每日单人守关福利</x:v>
      </x:c>
      <x:c r="F153" s="38" t="str">
        <x:v>每角色每日1次；不可协助</x:v>
      </x:c>
      <x:c r="G153" s="38" t="str">
        <x:v>EQ-EXCLUSIVE-NORMAL</x:v>
      </x:c>
      <x:c r="H153" s="38" t="str">
        <x:v>当前大陆小怪专属（多个，主产）</x:v>
      </x:c>
      <x:c r="I153" s="38" t="str">
        <x:v>待经济反算</x:v>
      </x:c>
      <x:c r="J153" s="38" t="str">
        <x:v>待经济反算</x:v>
      </x:c>
      <x:c r="K153" s="38" t="str">
        <x:v>否</x:v>
      </x:c>
      <x:c r="L153" s="38" t="str">
        <x:v>是</x:v>
      </x:c>
      <x:c r="M153" s="38" t="str">
        <x:v>可交易</x:v>
      </x:c>
      <x:c r="N153" s="38" t="str">
        <x:v>可用于任务/称号/分解；是否直接回收待统一表</x:v>
      </x:c>
      <x:c r="O153" s="38" t="str">
        <x:v>沿用对应实物规则</x:v>
      </x:c>
      <x:c r="P153" s="38" t="str">
        <x:v>福利池单列；数量/概率待经济反算</x:v>
      </x:c>
      <x:c r="Q153" s="39" t="str">
        <x:v>不计入基础产出、不计入主线通关时间、不与主线守关或常规BOSS兼掉重复计账。</x:v>
      </x:c>
    </x:row>
    <x:row r="154" ht="40" customHeight="1">
      <x:c r="A154" s="37" t="str">
        <x:v>PROD-0150</x:v>
      </x:c>
      <x:c r="B154" s="38" t="str">
        <x:v>每日额外福利产出</x:v>
      </x:c>
      <x:c r="C154" s="38" t="str">
        <x:v>C10</x:v>
      </x:c>
      <x:c r="D154" s="38" t="str">
        <x:v>每日额外守关BOSS</x:v>
      </x:c>
      <x:c r="E154" s="38" t="str">
        <x:v>王城罗德尔每日单人守关福利</x:v>
      </x:c>
      <x:c r="F154" s="38" t="str">
        <x:v>每角色每日1次；不可协助</x:v>
      </x:c>
      <x:c r="G154" s="38" t="str">
        <x:v>EQ-EXCLUSIVE-ELITE</x:v>
      </x:c>
      <x:c r="H154" s="38" t="str">
        <x:v>当前大陆精英专属（概率）</x:v>
      </x:c>
      <x:c r="I154" s="38" t="str">
        <x:v>待经济反算</x:v>
      </x:c>
      <x:c r="J154" s="38" t="str">
        <x:v>待经济反算</x:v>
      </x:c>
      <x:c r="K154" s="38" t="str">
        <x:v>否</x:v>
      </x:c>
      <x:c r="L154" s="38" t="str">
        <x:v>是</x:v>
      </x:c>
      <x:c r="M154" s="38" t="str">
        <x:v>可交易</x:v>
      </x:c>
      <x:c r="N154" s="38" t="str">
        <x:v>可用于任务/称号/分解；是否直接回收待统一表</x:v>
      </x:c>
      <x:c r="O154" s="38" t="str">
        <x:v>沿用对应实物规则</x:v>
      </x:c>
      <x:c r="P154" s="38" t="str">
        <x:v>福利池单列；数量/概率待经济反算</x:v>
      </x:c>
      <x:c r="Q154" s="39" t="str">
        <x:v>不计入基础产出、不计入主线通关时间、不与主线守关或常规BOSS兼掉重复计账。</x:v>
      </x:c>
    </x:row>
    <x:row r="155" ht="40" customHeight="1">
      <x:c r="A155" s="37" t="str">
        <x:v>PROD-0151</x:v>
      </x:c>
      <x:c r="B155" s="38" t="str">
        <x:v>每日额外福利产出</x:v>
      </x:c>
      <x:c r="C155" s="38" t="str">
        <x:v>C10</x:v>
      </x:c>
      <x:c r="D155" s="38" t="str">
        <x:v>每日额外守关BOSS</x:v>
      </x:c>
      <x:c r="E155" s="38" t="str">
        <x:v>王城罗德尔每日单人守关福利</x:v>
      </x:c>
      <x:c r="F155" s="38" t="str">
        <x:v>每角色每日1次；不可协助</x:v>
      </x:c>
      <x:c r="G155" s="38" t="str">
        <x:v>EQ-EXCLUSIVE-MAPBOSS</x:v>
      </x:c>
      <x:c r="H155" s="38" t="str">
        <x:v>当前大陆地图BOSS专属（概率）</x:v>
      </x:c>
      <x:c r="I155" s="38" t="str">
        <x:v>待经济反算</x:v>
      </x:c>
      <x:c r="J155" s="38" t="str">
        <x:v>待经济反算</x:v>
      </x:c>
      <x:c r="K155" s="38" t="str">
        <x:v>否</x:v>
      </x:c>
      <x:c r="L155" s="38" t="str">
        <x:v>是</x:v>
      </x:c>
      <x:c r="M155" s="38" t="str">
        <x:v>可交易</x:v>
      </x:c>
      <x:c r="N155" s="38" t="str">
        <x:v>可用于任务/称号/分解；是否直接回收待统一表</x:v>
      </x:c>
      <x:c r="O155" s="38" t="str">
        <x:v>沿用对应实物规则</x:v>
      </x:c>
      <x:c r="P155" s="38" t="str">
        <x:v>福利池单列；数量/概率待经济反算</x:v>
      </x:c>
      <x:c r="Q155" s="39" t="str">
        <x:v>不计入基础产出、不计入主线通关时间、不与主线守关或常规BOSS兼掉重复计账。</x:v>
      </x:c>
    </x:row>
    <x:row r="156" ht="40" customHeight="1">
      <x:c r="A156" s="40" t="str">
        <x:v>PROD-0152</x:v>
      </x:c>
      <x:c r="B156" s="41" t="str">
        <x:v>每日额外福利产出</x:v>
      </x:c>
      <x:c r="C156" s="41" t="str">
        <x:v>C10</x:v>
      </x:c>
      <x:c r="D156" s="41" t="str">
        <x:v>每日额外守关BOSS</x:v>
      </x:c>
      <x:c r="E156" s="41" t="str">
        <x:v>王城罗德尔每日单人守关福利</x:v>
      </x:c>
      <x:c r="F156" s="41" t="str">
        <x:v>每角色每日1次；不可协助</x:v>
      </x:c>
      <x:c r="G156" s="41" t="str">
        <x:v>MAT-WAR-ASH-DAILY</x:v>
      </x:c>
      <x:c r="H156" s="41" t="str">
        <x:v>武器附魔材料</x:v>
      </x:c>
      <x:c r="I156" s="41" t="str">
        <x:v>待经济反算</x:v>
      </x:c>
      <x:c r="J156" s="41" t="str">
        <x:v>待经济反算</x:v>
      </x:c>
      <x:c r="K156" s="41" t="str">
        <x:v>否</x:v>
      </x:c>
      <x:c r="L156" s="41" t="str">
        <x:v>是</x:v>
      </x:c>
      <x:c r="M156" s="41" t="str">
        <x:v>按实际材料规则；未定义前待确认</x:v>
      </x:c>
      <x:c r="N156" s="41" t="str">
        <x:v>不作为自动回收主材</x:v>
      </x:c>
      <x:c r="O156" s="41" t="str">
        <x:v>沿用对应实物规则</x:v>
      </x:c>
      <x:c r="P156" s="41" t="str">
        <x:v>福利池单列；数量/概率待经济反算</x:v>
      </x:c>
      <x:c r="Q156" s="42" t="str">
        <x:v>不计入基础产出、不计入主线通关时间、不与主线守关或常规BOSS兼掉重复计账。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fc0ce4a990e4b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12" hidden="0" customWidth="1"/>
    <x:col min="5" max="5" width="28" hidden="0" customWidth="1"/>
    <x:col min="6" max="6" width="26" hidden="0" customWidth="1"/>
    <x:col min="7" max="7" width="34" hidden="0" customWidth="1"/>
    <x:col min="8" max="8" width="18" hidden="0" customWidth="1"/>
    <x:col min="9" max="9" width="20" hidden="0" customWidth="1"/>
    <x:col min="10" max="10" width="42" hidden="0" customWidth="1"/>
    <x:col min="11" max="11" width="34" hidden="0" customWidth="1"/>
    <x:col min="12" max="12" width="22" hidden="0" customWidth="1"/>
    <x:col min="13" max="13" width="20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0" hidden="0" customWidth="1"/>
    <x:col min="19" max="19" width="26" hidden="0" customWidth="1"/>
    <x:col min="20" max="20" width="28" hidden="0" customWidth="1"/>
    <x:col min="21" max="21" width="28" hidden="0" customWidth="1"/>
    <x:col min="22" max="22" width="30" hidden="0" customWidth="1"/>
    <x:col min="23" max="23" width="52" hidden="0" customWidth="1"/>
  </x:cols>
  <x:sheetData>
    <x:row r="1" ht="34" customHeight="1">
      <x:c r="A1" s="4" t="str">
        <x:v>消耗端：资源 → 配方/系统</x:v>
      </x:c>
      <x:c r="B1" s="4" t="str">
        <x:v>消耗端：资源 → 配方/系统</x:v>
      </x:c>
      <x:c r="C1" s="4" t="str">
        <x:v>消耗端：资源 → 配方/系统</x:v>
      </x:c>
      <x:c r="D1" s="4" t="str">
        <x:v>消耗端：资源 → 配方/系统</x:v>
      </x:c>
      <x:c r="E1" s="4" t="str">
        <x:v>消耗端：资源 → 配方/系统</x:v>
      </x:c>
      <x:c r="F1" s="4" t="str">
        <x:v>消耗端：资源 → 配方/系统</x:v>
      </x:c>
      <x:c r="G1" s="4" t="str">
        <x:v>消耗端：资源 → 配方/系统</x:v>
      </x:c>
      <x:c r="H1" s="4" t="str">
        <x:v>消耗端：资源 → 配方/系统</x:v>
      </x:c>
      <x:c r="I1" s="4" t="str">
        <x:v>消耗端：资源 → 配方/系统</x:v>
      </x:c>
      <x:c r="J1" s="4" t="str">
        <x:v>消耗端：资源 → 配方/系统</x:v>
      </x:c>
      <x:c r="K1" s="4" t="str">
        <x:v>消耗端：资源 → 配方/系统</x:v>
      </x:c>
      <x:c r="L1" s="4" t="str">
        <x:v>消耗端：资源 → 配方/系统</x:v>
      </x:c>
      <x:c r="M1" s="4" t="str">
        <x:v>消耗端：资源 → 配方/系统</x:v>
      </x:c>
      <x:c r="N1" s="4" t="str">
        <x:v>消耗端：资源 → 配方/系统</x:v>
      </x:c>
      <x:c r="O1" s="4" t="str">
        <x:v>消耗端：资源 → 配方/系统</x:v>
      </x:c>
      <x:c r="P1" s="4" t="str">
        <x:v>消耗端：资源 → 配方/系统</x:v>
      </x:c>
      <x:c r="Q1" s="4" t="str">
        <x:v>消耗端：资源 → 配方/系统</x:v>
      </x:c>
      <x:c r="R1" s="4" t="str">
        <x:v>消耗端：资源 → 配方/系统</x:v>
      </x:c>
      <x:c r="S1" s="4" t="str">
        <x:v>消耗端：资源 → 配方/系统</x:v>
      </x:c>
      <x:c r="T1" s="4" t="str">
        <x:v>消耗端：资源 → 配方/系统</x:v>
      </x:c>
      <x:c r="U1" s="4" t="str">
        <x:v>消耗端：资源 → 配方/系统</x:v>
      </x:c>
      <x:c r="V1" s="4" t="str">
        <x:v>消耗端：资源 → 配方/系统</x:v>
      </x:c>
      <x:c r="W1" s="4" t="str">
        <x:v>消耗端：资源 → 配方/系统</x:v>
      </x:c>
    </x:row>
    <x:row r="2" ht="42" customHeight="1">
      <x:c r="A2" s="8" t="str">
        <x:v>共486条消耗边：459条配方输入、7条闲置材料建议用途、10条装备图鉴、10条大陆材料图鉴。斜杠表达保留原文，不自动拆分。</x:v>
      </x:c>
      <x:c r="B2" s="8" t="str">
        <x:v>共486条消耗边：459条配方输入、7条闲置材料建议用途、10条装备图鉴、10条大陆材料图鉴。斜杠表达保留原文，不自动拆分。</x:v>
      </x:c>
      <x:c r="C2" s="8" t="str">
        <x:v>共486条消耗边：459条配方输入、7条闲置材料建议用途、10条装备图鉴、10条大陆材料图鉴。斜杠表达保留原文，不自动拆分。</x:v>
      </x:c>
      <x:c r="D2" s="8" t="str">
        <x:v>共486条消耗边：459条配方输入、7条闲置材料建议用途、10条装备图鉴、10条大陆材料图鉴。斜杠表达保留原文，不自动拆分。</x:v>
      </x:c>
      <x:c r="E2" s="8" t="str">
        <x:v>共486条消耗边：459条配方输入、7条闲置材料建议用途、10条装备图鉴、10条大陆材料图鉴。斜杠表达保留原文，不自动拆分。</x:v>
      </x:c>
      <x:c r="F2" s="8" t="str">
        <x:v>共486条消耗边：459条配方输入、7条闲置材料建议用途、10条装备图鉴、10条大陆材料图鉴。斜杠表达保留原文，不自动拆分。</x:v>
      </x:c>
      <x:c r="G2" s="8" t="str">
        <x:v>共486条消耗边：459条配方输入、7条闲置材料建议用途、10条装备图鉴、10条大陆材料图鉴。斜杠表达保留原文，不自动拆分。</x:v>
      </x:c>
      <x:c r="H2" s="8" t="str">
        <x:v>共486条消耗边：459条配方输入、7条闲置材料建议用途、10条装备图鉴、10条大陆材料图鉴。斜杠表达保留原文，不自动拆分。</x:v>
      </x:c>
      <x:c r="I2" s="8" t="str">
        <x:v>共486条消耗边：459条配方输入、7条闲置材料建议用途、10条装备图鉴、10条大陆材料图鉴。斜杠表达保留原文，不自动拆分。</x:v>
      </x:c>
      <x:c r="J2" s="8" t="str">
        <x:v>共486条消耗边：459条配方输入、7条闲置材料建议用途、10条装备图鉴、10条大陆材料图鉴。斜杠表达保留原文，不自动拆分。</x:v>
      </x:c>
      <x:c r="K2" s="8" t="str">
        <x:v>共486条消耗边：459条配方输入、7条闲置材料建议用途、10条装备图鉴、10条大陆材料图鉴。斜杠表达保留原文，不自动拆分。</x:v>
      </x:c>
      <x:c r="L2" s="8" t="str">
        <x:v>共486条消耗边：459条配方输入、7条闲置材料建议用途、10条装备图鉴、10条大陆材料图鉴。斜杠表达保留原文，不自动拆分。</x:v>
      </x:c>
      <x:c r="M2" s="8" t="str">
        <x:v>共486条消耗边：459条配方输入、7条闲置材料建议用途、10条装备图鉴、10条大陆材料图鉴。斜杠表达保留原文，不自动拆分。</x:v>
      </x:c>
      <x:c r="N2" s="8" t="str">
        <x:v>共486条消耗边：459条配方输入、7条闲置材料建议用途、10条装备图鉴、10条大陆材料图鉴。斜杠表达保留原文，不自动拆分。</x:v>
      </x:c>
      <x:c r="O2" s="8" t="str">
        <x:v>共486条消耗边：459条配方输入、7条闲置材料建议用途、10条装备图鉴、10条大陆材料图鉴。斜杠表达保留原文，不自动拆分。</x:v>
      </x:c>
      <x:c r="P2" s="8" t="str">
        <x:v>共486条消耗边：459条配方输入、7条闲置材料建议用途、10条装备图鉴、10条大陆材料图鉴。斜杠表达保留原文，不自动拆分。</x:v>
      </x:c>
      <x:c r="Q2" s="8" t="str">
        <x:v>共486条消耗边：459条配方输入、7条闲置材料建议用途、10条装备图鉴、10条大陆材料图鉴。斜杠表达保留原文，不自动拆分。</x:v>
      </x:c>
      <x:c r="R2" s="8" t="str">
        <x:v>共486条消耗边：459条配方输入、7条闲置材料建议用途、10条装备图鉴、10条大陆材料图鉴。斜杠表达保留原文，不自动拆分。</x:v>
      </x:c>
      <x:c r="S2" s="8" t="str">
        <x:v>共486条消耗边：459条配方输入、7条闲置材料建议用途、10条装备图鉴、10条大陆材料图鉴。斜杠表达保留原文，不自动拆分。</x:v>
      </x:c>
      <x:c r="T2" s="8" t="str">
        <x:v>共486条消耗边：459条配方输入、7条闲置材料建议用途、10条装备图鉴、10条大陆材料图鉴。斜杠表达保留原文，不自动拆分。</x:v>
      </x:c>
      <x:c r="U2" s="8" t="str">
        <x:v>共486条消耗边：459条配方输入、7条闲置材料建议用途、10条装备图鉴、10条大陆材料图鉴。斜杠表达保留原文，不自动拆分。</x:v>
      </x:c>
      <x:c r="V2" s="8" t="str">
        <x:v>共486条消耗边：459条配方输入、7条闲置材料建议用途、10条装备图鉴、10条大陆材料图鉴。斜杠表达保留原文，不自动拆分。</x:v>
      </x:c>
      <x:c r="W2" s="8" t="str">
        <x:v>共486条消耗边：459条配方输入、7条闲置材料建议用途、10条装备图鉴、10条大陆材料图鉴。斜杠表达保留原文，不自动拆分。</x:v>
      </x:c>
    </x:row>
    <x:row r="4" ht="32" customHeight="1">
      <x:c r="A4" s="14" t="str">
        <x:v>消耗边ID</x:v>
      </x:c>
      <x:c r="B4" s="14" t="str">
        <x:v>边类型</x:v>
      </x:c>
      <x:c r="C4" s="14" t="str">
        <x:v>配方/系统ID</x:v>
      </x:c>
      <x:c r="D4" s="14" t="str">
        <x:v>大陆ID</x:v>
      </x:c>
      <x:c r="E4" s="14" t="str">
        <x:v>资源ID</x:v>
      </x:c>
      <x:c r="F4" s="14" t="str">
        <x:v>资源名称</x:v>
      </x:c>
      <x:c r="G4" s="14" t="str">
        <x:v>候选资源ID</x:v>
      </x:c>
      <x:c r="H4" s="14" t="str">
        <x:v>原输入列</x:v>
      </x:c>
      <x:c r="I4" s="14" t="str">
        <x:v>输入角色</x:v>
      </x:c>
      <x:c r="J4" s="14" t="str">
        <x:v>原单元格</x:v>
      </x:c>
      <x:c r="K4" s="14" t="str">
        <x:v>原词元</x:v>
      </x:c>
      <x:c r="L4" s="14" t="str">
        <x:v>数量表达式</x:v>
      </x:c>
      <x:c r="M4" s="14" t="str">
        <x:v>数量状态</x:v>
      </x:c>
      <x:c r="N4" s="14" t="str">
        <x:v>是否消耗</x:v>
      </x:c>
      <x:c r="O4" s="14" t="str">
        <x:v>仅前置</x:v>
      </x:c>
      <x:c r="P4" s="14" t="str">
        <x:v>斜杠待审</x:v>
      </x:c>
      <x:c r="Q4" s="14" t="str">
        <x:v>计入基础</x:v>
      </x:c>
      <x:c r="R4" s="14" t="str">
        <x:v>启用</x:v>
      </x:c>
      <x:c r="S4" s="14" t="str">
        <x:v>交易边界</x:v>
      </x:c>
      <x:c r="T4" s="14" t="str">
        <x:v>回收边界</x:v>
      </x:c>
      <x:c r="U4" s="14" t="str">
        <x:v>绑定边界</x:v>
      </x:c>
      <x:c r="V4" s="14" t="str">
        <x:v>状态</x:v>
      </x:c>
      <x:c r="W4" s="14" t="str">
        <x:v>备注</x:v>
      </x:c>
    </x:row>
    <x:row r="5" ht="42" customHeight="1">
      <x:c r="A5" s="34" t="str">
        <x:v>CON-CAMP-SWORD-GROWTH-0001</x:v>
      </x:c>
      <x:c r="B5" s="35" t="str">
        <x:v>配方输入</x:v>
      </x:c>
      <x:c r="C5" s="35" t="str">
        <x:v>CAMP-SWORD-GROWTH</x:v>
      </x:c>
      <x:c r="D5" s="35" t="str">
        <x:v>CAMP</x:v>
      </x:c>
      <x:c r="E5" s="35" t="str">
        <x:v>REQ-EB58E599FBBB</x:v>
      </x:c>
      <x:c r="F5" s="35" t="str">
        <x:v>现有脚本条件</x:v>
      </x:c>
      <x:c r="G5" s="35" t="str"/>
      <x:c r="H5" s="35" t="str">
        <x:v>基础件/前置</x:v>
      </x:c>
      <x:c r="I5" s="35" t="str">
        <x:v>基础件/前置</x:v>
      </x:c>
      <x:c r="J5" s="35" t="str">
        <x:v>现有脚本条件</x:v>
      </x:c>
      <x:c r="K5" s="35" t="str">
        <x:v>现有脚本条件</x:v>
      </x:c>
      <x:c r="L5" s="35" t="str">
        <x:v>待经济反算</x:v>
      </x:c>
      <x:c r="M5" s="35" t="str">
        <x:v>待经济反算</x:v>
      </x:c>
      <x:c r="N5" s="35" t="str">
        <x:v>否</x:v>
      </x:c>
      <x:c r="O5" s="35" t="str">
        <x:v>是</x:v>
      </x:c>
      <x:c r="P5" s="35" t="str">
        <x:v>否</x:v>
      </x:c>
      <x:c r="Q5" s="35" t="str">
        <x:v>是</x:v>
      </x:c>
      <x:c r="R5" s="35" t="str">
        <x:v>是</x:v>
      </x:c>
      <x:c r="S5" s="35" t="str">
        <x:v>不可交易</x:v>
      </x:c>
      <x:c r="T5" s="35" t="str">
        <x:v>不适用</x:v>
      </x:c>
      <x:c r="U5" s="35" t="str">
        <x:v>角色状态</x:v>
      </x:c>
      <x:c r="V5" s="35" t="str">
        <x:v>结构已确认；数量待经济反算</x:v>
      </x:c>
      <x:c r="W5" s="36" t="str"/>
    </x:row>
    <x:row r="6" ht="42" customHeight="1">
      <x:c r="A6" s="37" t="str">
        <x:v>CON-CAMP-SWORD-GROWTH-0002</x:v>
      </x:c>
      <x:c r="B6" s="38" t="str">
        <x:v>配方输入</x:v>
      </x:c>
      <x:c r="C6" s="38" t="str">
        <x:v>CAMP-SWORD-GROWTH</x:v>
      </x:c>
      <x:c r="D6" s="38" t="str">
        <x:v>CAMP</x:v>
      </x:c>
      <x:c r="E6" s="38" t="str">
        <x:v>CUR-LINGFU</x:v>
      </x:c>
      <x:c r="F6" s="38" t="str">
        <x:v>灵符</x:v>
      </x:c>
      <x:c r="G6" s="38" t="str"/>
      <x:c r="H6" s="38" t="str">
        <x:v>金币/元宝/灵符</x:v>
      </x:c>
      <x:c r="I6" s="38" t="str">
        <x:v>货币</x:v>
      </x:c>
      <x:c r="J6" s="38" t="str">
        <x:v>既有灵符成本</x:v>
      </x:c>
      <x:c r="K6" s="38" t="str">
        <x:v>既有灵符成本</x:v>
      </x:c>
      <x:c r="L6" s="38" t="str">
        <x:v>既有脚本值</x:v>
      </x:c>
      <x:c r="M6" s="38" t="str">
        <x:v>沿用既有值</x:v>
      </x:c>
      <x:c r="N6" s="38" t="str">
        <x:v>是</x:v>
      </x:c>
      <x:c r="O6" s="38" t="str">
        <x:v>否</x:v>
      </x:c>
      <x:c r="P6" s="38" t="str">
        <x:v>否</x:v>
      </x:c>
      <x:c r="Q6" s="38" t="str">
        <x:v>是</x:v>
      </x:c>
      <x:c r="R6" s="38" t="str">
        <x:v>是</x:v>
      </x:c>
      <x:c r="S6" s="38" t="str">
        <x:v>付费渠道；是否角色/账号绑定沿用现行脚本</x:v>
      </x:c>
      <x:c r="T6" s="38" t="str">
        <x:v>货币本身不可回收</x:v>
      </x:c>
      <x:c r="U6" s="38" t="str">
        <x:v>沿用现行灵符脚本</x:v>
      </x:c>
      <x:c r="V6" s="38" t="str">
        <x:v>结构已确认；数量待经济反算</x:v>
      </x:c>
      <x:c r="W6" s="39" t="str"/>
    </x:row>
    <x:row r="7" ht="42" customHeight="1">
      <x:c r="A7" s="37" t="str">
        <x:v>CON-CAMP-RELIC-GROWTH-0003</x:v>
      </x:c>
      <x:c r="B7" s="38" t="str">
        <x:v>配方输入</x:v>
      </x:c>
      <x:c r="C7" s="38" t="str">
        <x:v>CAMP-RELIC-GROWTH</x:v>
      </x:c>
      <x:c r="D7" s="38" t="str">
        <x:v>CAMP</x:v>
      </x:c>
      <x:c r="E7" s="38" t="str">
        <x:v>REQ-EB58E599FBBB</x:v>
      </x:c>
      <x:c r="F7" s="38" t="str">
        <x:v>现有脚本条件</x:v>
      </x:c>
      <x:c r="G7" s="38" t="str"/>
      <x:c r="H7" s="38" t="str">
        <x:v>基础件/前置</x:v>
      </x:c>
      <x:c r="I7" s="38" t="str">
        <x:v>基础件/前置</x:v>
      </x:c>
      <x:c r="J7" s="38" t="str">
        <x:v>现有脚本条件</x:v>
      </x:c>
      <x:c r="K7" s="38" t="str">
        <x:v>现有脚本条件</x:v>
      </x:c>
      <x:c r="L7" s="38" t="str">
        <x:v>待经济反算</x:v>
      </x:c>
      <x:c r="M7" s="38" t="str">
        <x:v>待经济反算</x:v>
      </x:c>
      <x:c r="N7" s="38" t="str">
        <x:v>否</x:v>
      </x:c>
      <x:c r="O7" s="38" t="str">
        <x:v>是</x:v>
      </x:c>
      <x:c r="P7" s="38" t="str">
        <x:v>否</x:v>
      </x:c>
      <x:c r="Q7" s="38" t="str">
        <x:v>是</x:v>
      </x:c>
      <x:c r="R7" s="38" t="str">
        <x:v>是</x:v>
      </x:c>
      <x:c r="S7" s="38" t="str">
        <x:v>不可交易</x:v>
      </x:c>
      <x:c r="T7" s="38" t="str">
        <x:v>不适用</x:v>
      </x:c>
      <x:c r="U7" s="38" t="str">
        <x:v>角色状态</x:v>
      </x:c>
      <x:c r="V7" s="38" t="str">
        <x:v>结构已确认；数量待经济反算</x:v>
      </x:c>
      <x:c r="W7" s="39" t="str"/>
    </x:row>
    <x:row r="8" ht="42" customHeight="1">
      <x:c r="A8" s="37" t="str">
        <x:v>CON-CAMP-RELIC-GROWTH-0004</x:v>
      </x:c>
      <x:c r="B8" s="38" t="str">
        <x:v>配方输入</x:v>
      </x:c>
      <x:c r="C8" s="38" t="str">
        <x:v>CAMP-RELIC-GROWTH</x:v>
      </x:c>
      <x:c r="D8" s="38" t="str">
        <x:v>CAMP</x:v>
      </x:c>
      <x:c r="E8" s="38" t="str">
        <x:v>CUR-LINGFU</x:v>
      </x:c>
      <x:c r="F8" s="38" t="str">
        <x:v>灵符</x:v>
      </x:c>
      <x:c r="G8" s="38" t="str"/>
      <x:c r="H8" s="38" t="str">
        <x:v>金币/元宝/灵符</x:v>
      </x:c>
      <x:c r="I8" s="38" t="str">
        <x:v>货币</x:v>
      </x:c>
      <x:c r="J8" s="38" t="str">
        <x:v>既有灵符成本</x:v>
      </x:c>
      <x:c r="K8" s="38" t="str">
        <x:v>既有灵符成本</x:v>
      </x:c>
      <x:c r="L8" s="38" t="str">
        <x:v>既有脚本值</x:v>
      </x:c>
      <x:c r="M8" s="38" t="str">
        <x:v>沿用既有值</x:v>
      </x:c>
      <x:c r="N8" s="38" t="str">
        <x:v>是</x:v>
      </x:c>
      <x:c r="O8" s="38" t="str">
        <x:v>否</x:v>
      </x:c>
      <x:c r="P8" s="38" t="str">
        <x:v>否</x:v>
      </x:c>
      <x:c r="Q8" s="38" t="str">
        <x:v>是</x:v>
      </x:c>
      <x:c r="R8" s="38" t="str">
        <x:v>是</x:v>
      </x:c>
      <x:c r="S8" s="38" t="str">
        <x:v>付费渠道；是否角色/账号绑定沿用现行脚本</x:v>
      </x:c>
      <x:c r="T8" s="38" t="str">
        <x:v>货币本身不可回收</x:v>
      </x:c>
      <x:c r="U8" s="38" t="str">
        <x:v>沿用现行灵符脚本</x:v>
      </x:c>
      <x:c r="V8" s="38" t="str">
        <x:v>结构已确认；数量待经济反算</x:v>
      </x:c>
      <x:c r="W8" s="39" t="str"/>
    </x:row>
    <x:row r="9" ht="42" customHeight="1">
      <x:c r="A9" s="37" t="str">
        <x:v>CON-CAMP-TITLE-GROWTH-0005</x:v>
      </x:c>
      <x:c r="B9" s="38" t="str">
        <x:v>配方输入</x:v>
      </x:c>
      <x:c r="C9" s="38" t="str">
        <x:v>CAMP-TITLE-GROWTH</x:v>
      </x:c>
      <x:c r="D9" s="38" t="str">
        <x:v>CAMP</x:v>
      </x:c>
      <x:c r="E9" s="38" t="str">
        <x:v>REQ-8DD4C82CC90F</x:v>
      </x:c>
      <x:c r="F9" s="38" t="str">
        <x:v>上一阶段称号</x:v>
      </x:c>
      <x:c r="G9" s="38" t="str"/>
      <x:c r="H9" s="38" t="str">
        <x:v>基础件/前置</x:v>
      </x:c>
      <x:c r="I9" s="38" t="str">
        <x:v>基础件/前置</x:v>
      </x:c>
      <x:c r="J9" s="38" t="str">
        <x:v>上一阶段称号</x:v>
      </x:c>
      <x:c r="K9" s="38" t="str">
        <x:v>上一阶段称号</x:v>
      </x:c>
      <x:c r="L9" s="38" t="str">
        <x:v>待经济反算</x:v>
      </x:c>
      <x:c r="M9" s="38" t="str">
        <x:v>待经济反算</x:v>
      </x:c>
      <x:c r="N9" s="38" t="str">
        <x:v>否</x:v>
      </x:c>
      <x:c r="O9" s="38" t="str">
        <x:v>是</x:v>
      </x:c>
      <x:c r="P9" s="38" t="str">
        <x:v>否</x:v>
      </x:c>
      <x:c r="Q9" s="38" t="str">
        <x:v>是</x:v>
      </x:c>
      <x:c r="R9" s="38" t="str">
        <x:v>是</x:v>
      </x:c>
      <x:c r="S9" s="38" t="str">
        <x:v>不可交易</x:v>
      </x:c>
      <x:c r="T9" s="38" t="str">
        <x:v>不适用</x:v>
      </x:c>
      <x:c r="U9" s="38" t="str">
        <x:v>角色状态</x:v>
      </x:c>
      <x:c r="V9" s="38" t="str">
        <x:v>结构已确认；数量待经济反算</x:v>
      </x:c>
      <x:c r="W9" s="39" t="str"/>
    </x:row>
    <x:row r="10" ht="42" customHeight="1">
      <x:c r="A10" s="37" t="str">
        <x:v>CON-CAMP-TITLE-GROWTH-0006</x:v>
      </x:c>
      <x:c r="B10" s="38" t="str">
        <x:v>配方输入</x:v>
      </x:c>
      <x:c r="C10" s="38" t="str">
        <x:v>CAMP-TITLE-GROWTH</x:v>
      </x:c>
      <x:c r="D10" s="38" t="str">
        <x:v>CAMP</x:v>
      </x:c>
      <x:c r="E10" s="38"/>
      <x:c r="F10" s="38" t="str">
        <x:v>金币／灵符</x:v>
      </x:c>
      <x:c r="G10" s="38" t="str">
        <x:v>CUR-GOLD、CUR-LINGFU</x:v>
      </x:c>
      <x:c r="H10" s="38" t="str">
        <x:v>金币/元宝/灵符</x:v>
      </x:c>
      <x:c r="I10" s="38" t="str">
        <x:v>货币</x:v>
      </x:c>
      <x:c r="J10" s="38" t="str">
        <x:v>金币／灵符按既有脚本</x:v>
      </x:c>
      <x:c r="K10" s="38" t="str">
        <x:v>金币／灵符按既有脚本</x:v>
      </x:c>
      <x:c r="L10" s="38" t="str">
        <x:v>按既有脚本</x:v>
      </x:c>
      <x:c r="M10" s="38" t="str">
        <x:v>需人工语义确认</x:v>
      </x:c>
      <x:c r="N10" s="38" t="str">
        <x:v>是</x:v>
      </x:c>
      <x:c r="O10" s="38" t="str">
        <x:v>否</x:v>
      </x:c>
      <x:c r="P10" s="38" t="str">
        <x:v>是</x:v>
      </x:c>
      <x:c r="Q10" s="38" t="str">
        <x:v>是</x:v>
      </x:c>
      <x:c r="R10" s="38" t="str">
        <x:v>是</x:v>
      </x:c>
      <x:c r="S10" s="38" t="str">
        <x:v>需人工语义确认</x:v>
      </x:c>
      <x:c r="T10" s="38" t="str">
        <x:v>需人工语义确认</x:v>
      </x:c>
      <x:c r="U10" s="38" t="str">
        <x:v>角色绑定</x:v>
      </x:c>
      <x:c r="V10" s="38" t="str">
        <x:v>需人工语义确认；不得按同时消耗自动拆分</x:v>
      </x:c>
      <x:c r="W10" s="39" t="str"/>
    </x:row>
    <x:row r="11" ht="42" customHeight="1">
      <x:c r="A11" s="37" t="str">
        <x:v>CON-C01-FATE-SINGLE-0007</x:v>
      </x:c>
      <x:c r="B11" s="38" t="str">
        <x:v>配方输入</x:v>
      </x:c>
      <x:c r="C11" s="38" t="str">
        <x:v>C01-FATE-SINGLE</x:v>
      </x:c>
      <x:c r="D11" s="38" t="str">
        <x:v>C01</x:v>
      </x:c>
      <x:c r="E11" s="38" t="str">
        <x:v>EL-MAT-C02-RUNE</x:v>
      </x:c>
      <x:c r="F11" s="38" t="str">
        <x:v>神秘符文</x:v>
      </x:c>
      <x:c r="G11" s="38" t="str"/>
      <x:c r="H11" s="38" t="str">
        <x:v>高产通用材料</x:v>
      </x:c>
      <x:c r="I11" s="38" t="str">
        <x:v>高产通用材料</x:v>
      </x:c>
      <x:c r="J11" s="38" t="str">
        <x:v>神秘符文×N1</x:v>
      </x:c>
      <x:c r="K11" s="38" t="str">
        <x:v>神秘符文×N1</x:v>
      </x:c>
      <x:c r="L11" s="38" t="str">
        <x:v>N1</x:v>
      </x:c>
      <x:c r="M11" s="38" t="str">
        <x:v>待经济反算</x:v>
      </x:c>
      <x:c r="N11" s="38" t="str">
        <x:v>是</x:v>
      </x:c>
      <x:c r="O11" s="38" t="str">
        <x:v>否</x:v>
      </x:c>
      <x:c r="P11" s="38" t="str">
        <x:v>否</x:v>
      </x:c>
      <x:c r="Q11" s="38" t="str">
        <x:v>是</x:v>
      </x:c>
      <x:c r="R11" s="38" t="str">
        <x:v>是</x:v>
      </x:c>
      <x:c r="S11" s="38" t="str">
        <x:v>怪物掉落可交易；商店购买绑定</x:v>
      </x:c>
      <x:c r="T11" s="38" t="str">
        <x:v>不作为自动回收主材</x:v>
      </x:c>
      <x:c r="U11" s="38" t="str">
        <x:v>怪物掉落可交易；灵符商店购买部分绑定</x:v>
      </x:c>
      <x:c r="V11" s="38" t="str">
        <x:v>结构已确认；数量待经济反算</x:v>
      </x:c>
      <x:c r="W11" s="39" t="str"/>
    </x:row>
    <x:row r="12" ht="42" customHeight="1">
      <x:c r="A12" s="37" t="str">
        <x:v>CON-C01-FATE-SINGLE-0008</x:v>
      </x:c>
      <x:c r="B12" s="38" t="str">
        <x:v>配方输入</x:v>
      </x:c>
      <x:c r="C12" s="38" t="str">
        <x:v>C01-FATE-SINGLE</x:v>
      </x:c>
      <x:c r="D12" s="38" t="str">
        <x:v>C01</x:v>
      </x:c>
      <x:c r="E12" s="38" t="str">
        <x:v>CUR-YUANBAO</x:v>
      </x:c>
      <x:c r="F12" s="38" t="str">
        <x:v>元宝</x:v>
      </x:c>
      <x:c r="G12" s="38" t="str"/>
      <x:c r="H12" s="38" t="str">
        <x:v>金币/元宝/灵符</x:v>
      </x:c>
      <x:c r="I12" s="38" t="str">
        <x:v>货币</x:v>
      </x:c>
      <x:c r="J12" s="38" t="str">
        <x:v>元宝×N1</x:v>
      </x:c>
      <x:c r="K12" s="38" t="str">
        <x:v>元宝×N1</x:v>
      </x:c>
      <x:c r="L12" s="38" t="str">
        <x:v>N1</x:v>
      </x:c>
      <x:c r="M12" s="38" t="str">
        <x:v>待经济反算</x:v>
      </x:c>
      <x:c r="N12" s="38" t="str">
        <x:v>是</x:v>
      </x:c>
      <x:c r="O12" s="38" t="str">
        <x:v>否</x:v>
      </x:c>
      <x:c r="P12" s="38" t="str">
        <x:v>否</x:v>
      </x:c>
      <x:c r="Q12" s="38" t="str">
        <x:v>是</x:v>
      </x:c>
      <x:c r="R12" s="38" t="str">
        <x:v>是</x:v>
      </x:c>
      <x:c r="S12" s="38" t="str">
        <x:v>不进入玩家摆摊；通过交易物间接流通</x:v>
      </x:c>
      <x:c r="T12" s="38" t="str">
        <x:v>货币本身不可回收</x:v>
      </x:c>
      <x:c r="U12" s="38" t="str">
        <x:v>沿用现行货币账户</x:v>
      </x:c>
      <x:c r="V12" s="38" t="str">
        <x:v>结构已确认；数量待经济反算</x:v>
      </x:c>
      <x:c r="W12" s="39" t="str"/>
    </x:row>
    <x:row r="13" ht="42" customHeight="1">
      <x:c r="A13" s="37" t="str">
        <x:v>CON-C01-FATE-TEN-0009</x:v>
      </x:c>
      <x:c r="B13" s="38" t="str">
        <x:v>配方输入</x:v>
      </x:c>
      <x:c r="C13" s="38" t="str">
        <x:v>C01-FATE-TEN</x:v>
      </x:c>
      <x:c r="D13" s="38" t="str">
        <x:v>C01</x:v>
      </x:c>
      <x:c r="E13" s="38" t="str">
        <x:v>EL-MAT-C02-RUNE</x:v>
      </x:c>
      <x:c r="F13" s="38" t="str">
        <x:v>神秘符文</x:v>
      </x:c>
      <x:c r="G13" s="38" t="str"/>
      <x:c r="H13" s="38" t="str">
        <x:v>高产通用材料</x:v>
      </x:c>
      <x:c r="I13" s="38" t="str">
        <x:v>高产通用材料</x:v>
      </x:c>
      <x:c r="J13" s="38" t="str">
        <x:v>神秘符文×N2</x:v>
      </x:c>
      <x:c r="K13" s="38" t="str">
        <x:v>神秘符文×N2</x:v>
      </x:c>
      <x:c r="L13" s="38" t="str">
        <x:v>N2</x:v>
      </x:c>
      <x:c r="M13" s="38" t="str">
        <x:v>待经济反算</x:v>
      </x:c>
      <x:c r="N13" s="38" t="str">
        <x:v>是</x:v>
      </x:c>
      <x:c r="O13" s="38" t="str">
        <x:v>否</x:v>
      </x:c>
      <x:c r="P13" s="38" t="str">
        <x:v>否</x:v>
      </x:c>
      <x:c r="Q13" s="38" t="str">
        <x:v>是</x:v>
      </x:c>
      <x:c r="R13" s="38" t="str">
        <x:v>是</x:v>
      </x:c>
      <x:c r="S13" s="38" t="str">
        <x:v>怪物掉落可交易；商店购买绑定</x:v>
      </x:c>
      <x:c r="T13" s="38" t="str">
        <x:v>不作为自动回收主材</x:v>
      </x:c>
      <x:c r="U13" s="38" t="str">
        <x:v>怪物掉落可交易；灵符商店购买部分绑定</x:v>
      </x:c>
      <x:c r="V13" s="38" t="str">
        <x:v>结构已确认；数量待经济反算</x:v>
      </x:c>
      <x:c r="W13" s="39" t="str"/>
    </x:row>
    <x:row r="14" ht="42" customHeight="1">
      <x:c r="A14" s="37" t="str">
        <x:v>CON-C01-FATE-TEN-0010</x:v>
      </x:c>
      <x:c r="B14" s="38" t="str">
        <x:v>配方输入</x:v>
      </x:c>
      <x:c r="C14" s="38" t="str">
        <x:v>C01-FATE-TEN</x:v>
      </x:c>
      <x:c r="D14" s="38" t="str">
        <x:v>C01</x:v>
      </x:c>
      <x:c r="E14" s="38" t="str">
        <x:v>CUR-YUANBAO</x:v>
      </x:c>
      <x:c r="F14" s="38" t="str">
        <x:v>元宝</x:v>
      </x:c>
      <x:c r="G14" s="38" t="str"/>
      <x:c r="H14" s="38" t="str">
        <x:v>金币/元宝/灵符</x:v>
      </x:c>
      <x:c r="I14" s="38" t="str">
        <x:v>货币</x:v>
      </x:c>
      <x:c r="J14" s="38" t="str">
        <x:v>元宝×N2</x:v>
      </x:c>
      <x:c r="K14" s="38" t="str">
        <x:v>元宝×N2</x:v>
      </x:c>
      <x:c r="L14" s="38" t="str">
        <x:v>N2</x:v>
      </x:c>
      <x:c r="M14" s="38" t="str">
        <x:v>待经济反算</x:v>
      </x:c>
      <x:c r="N14" s="38" t="str">
        <x:v>是</x:v>
      </x:c>
      <x:c r="O14" s="38" t="str">
        <x:v>否</x:v>
      </x:c>
      <x:c r="P14" s="38" t="str">
        <x:v>否</x:v>
      </x:c>
      <x:c r="Q14" s="38" t="str">
        <x:v>是</x:v>
      </x:c>
      <x:c r="R14" s="38" t="str">
        <x:v>是</x:v>
      </x:c>
      <x:c r="S14" s="38" t="str">
        <x:v>不进入玩家摆摊；通过交易物间接流通</x:v>
      </x:c>
      <x:c r="T14" s="38" t="str">
        <x:v>货币本身不可回收</x:v>
      </x:c>
      <x:c r="U14" s="38" t="str">
        <x:v>沿用现行货币账户</x:v>
      </x:c>
      <x:c r="V14" s="38" t="str">
        <x:v>结构已确认；数量待经济反算</x:v>
      </x:c>
      <x:c r="W14" s="39" t="str"/>
    </x:row>
    <x:row r="15" ht="42" customHeight="1">
      <x:c r="A15" s="37" t="str">
        <x:v>CON-C01-FATE-SHOP-0011</x:v>
      </x:c>
      <x:c r="B15" s="38" t="str">
        <x:v>配方输入</x:v>
      </x:c>
      <x:c r="C15" s="38" t="str">
        <x:v>C01-FATE-SHOP</x:v>
      </x:c>
      <x:c r="D15" s="38" t="str">
        <x:v>C01</x:v>
      </x:c>
      <x:c r="E15" s="38" t="str">
        <x:v>CUR-LINGFU</x:v>
      </x:c>
      <x:c r="F15" s="38" t="str">
        <x:v>灵符</x:v>
      </x:c>
      <x:c r="G15" s="38" t="str"/>
      <x:c r="H15" s="38" t="str">
        <x:v>金币/元宝/灵符</x:v>
      </x:c>
      <x:c r="I15" s="38" t="str">
        <x:v>货币</x:v>
      </x:c>
      <x:c r="J15" s="38" t="str">
        <x:v>灵符</x:v>
      </x:c>
      <x:c r="K15" s="38" t="str">
        <x:v>灵符</x:v>
      </x:c>
      <x:c r="L15" s="38" t="str">
        <x:v>待经济反算</x:v>
      </x:c>
      <x:c r="M15" s="38" t="str">
        <x:v>待经济反算</x:v>
      </x:c>
      <x:c r="N15" s="38" t="str">
        <x:v>是</x:v>
      </x:c>
      <x:c r="O15" s="38" t="str">
        <x:v>否</x:v>
      </x:c>
      <x:c r="P15" s="38" t="str">
        <x:v>否</x:v>
      </x:c>
      <x:c r="Q15" s="38" t="str">
        <x:v>是</x:v>
      </x:c>
      <x:c r="R15" s="38" t="str">
        <x:v>是</x:v>
      </x:c>
      <x:c r="S15" s="38" t="str">
        <x:v>付费渠道；是否角色/账号绑定沿用现行脚本</x:v>
      </x:c>
      <x:c r="T15" s="38" t="str">
        <x:v>货币本身不可回收</x:v>
      </x:c>
      <x:c r="U15" s="38" t="str">
        <x:v>沿用现行灵符脚本</x:v>
      </x:c>
      <x:c r="V15" s="38" t="str">
        <x:v>结构已确认；数量待经济反算</x:v>
      </x:c>
      <x:c r="W15" s="39" t="str"/>
    </x:row>
    <x:row r="16" ht="42" customHeight="1">
      <x:c r="A16" s="37" t="str">
        <x:v>CON-C01-FATE-SLOT-0012</x:v>
      </x:c>
      <x:c r="B16" s="38" t="str">
        <x:v>配方输入</x:v>
      </x:c>
      <x:c r="C16" s="38" t="str">
        <x:v>C01-FATE-SLOT</x:v>
      </x:c>
      <x:c r="D16" s="38" t="str">
        <x:v>C01</x:v>
      </x:c>
      <x:c r="E16" s="38"/>
      <x:c r="F16" s="38" t="str">
        <x:v>等级／转生条件</x:v>
      </x:c>
      <x:c r="G16" s="38" t="str"/>
      <x:c r="H16" s="38" t="str">
        <x:v>基础件/前置</x:v>
      </x:c>
      <x:c r="I16" s="38" t="str">
        <x:v>基础件/前置</x:v>
      </x:c>
      <x:c r="J16" s="38" t="str">
        <x:v>等级／转生条件</x:v>
      </x:c>
      <x:c r="K16" s="38" t="str">
        <x:v>等级／转生条件</x:v>
      </x:c>
      <x:c r="L16" s="38" t="str">
        <x:v>待经济反算</x:v>
      </x:c>
      <x:c r="M16" s="38" t="str">
        <x:v>待经济反算</x:v>
      </x:c>
      <x:c r="N16" s="38" t="str">
        <x:v>否</x:v>
      </x:c>
      <x:c r="O16" s="38" t="str">
        <x:v>是</x:v>
      </x:c>
      <x:c r="P16" s="38" t="str">
        <x:v>是</x:v>
      </x:c>
      <x:c r="Q16" s="38" t="str">
        <x:v>是</x:v>
      </x:c>
      <x:c r="R16" s="38" t="str">
        <x:v>是</x:v>
      </x:c>
      <x:c r="S16" s="38" t="str">
        <x:v>需人工语义确认</x:v>
      </x:c>
      <x:c r="T16" s="38" t="str">
        <x:v>需人工语义确认</x:v>
      </x:c>
      <x:c r="U16" s="38" t="str">
        <x:v>角色绑定</x:v>
      </x:c>
      <x:c r="V16" s="38" t="str">
        <x:v>需人工语义确认；不得按同时消耗自动拆分</x:v>
      </x:c>
      <x:c r="W16" s="39" t="str"/>
    </x:row>
    <x:row r="17" ht="42" customHeight="1">
      <x:c r="A17" s="37" t="str">
        <x:v>CON-C02-ASH-NORMAL-0013</x:v>
      </x:c>
      <x:c r="B17" s="38" t="str">
        <x:v>配方输入</x:v>
      </x:c>
      <x:c r="C17" s="38" t="str">
        <x:v>C02-ASH-NORMAL</x:v>
      </x:c>
      <x:c r="D17" s="38" t="str">
        <x:v>C02</x:v>
      </x:c>
      <x:c r="E17" s="38" t="str">
        <x:v>ITEM-8BE76790A0FB</x:v>
      </x:c>
      <x:c r="F17" s="38" t="str">
        <x:v>目标武器</x:v>
      </x:c>
      <x:c r="G17" s="38" t="str"/>
      <x:c r="H17" s="38" t="str">
        <x:v>基础件/前置</x:v>
      </x:c>
      <x:c r="I17" s="38" t="str">
        <x:v>基础件/前置</x:v>
      </x:c>
      <x:c r="J17" s="38" t="str">
        <x:v>目标武器</x:v>
      </x:c>
      <x:c r="K17" s="38" t="str">
        <x:v>目标武器</x:v>
      </x:c>
      <x:c r="L17" s="38" t="str">
        <x:v>待经济反算</x:v>
      </x:c>
      <x:c r="M17" s="38" t="str">
        <x:v>待经济反算</x:v>
      </x:c>
      <x:c r="N17" s="38" t="str">
        <x:v>否</x:v>
      </x:c>
      <x:c r="O17" s="38" t="str">
        <x:v>是</x:v>
      </x:c>
      <x:c r="P17" s="38" t="str">
        <x:v>否</x:v>
      </x:c>
      <x:c r="Q17" s="38" t="str">
        <x:v>是</x:v>
      </x:c>
      <x:c r="R17" s="38" t="str">
        <x:v>是</x:v>
      </x:c>
      <x:c r="S17" s="38" t="str">
        <x:v>可交易（沿用原物品规则）</x:v>
      </x:c>
      <x:c r="T17" s="38" t="str">
        <x:v>沿用原物品；若为合成成品则禁止回收</x:v>
      </x:c>
      <x:c r="U17" s="38" t="str">
        <x:v>沿用配方交易/绑定列</x:v>
      </x:c>
      <x:c r="V17" s="38" t="str">
        <x:v>结构已确认；数量待经济反算</x:v>
      </x:c>
      <x:c r="W17" s="39" t="str"/>
    </x:row>
    <x:row r="18" ht="42" customHeight="1">
      <x:c r="A18" s="37" t="str">
        <x:v>CON-C02-ASH-NORMAL-0014</x:v>
      </x:c>
      <x:c r="B18" s="38" t="str">
        <x:v>配方输入</x:v>
      </x:c>
      <x:c r="C18" s="38" t="str">
        <x:v>C02-ASH-NORMAL</x:v>
      </x:c>
      <x:c r="D18" s="38" t="str">
        <x:v>C02</x:v>
      </x:c>
      <x:c r="E18" s="38" t="str">
        <x:v>EL-MAT-C02-COM</x:v>
      </x:c>
      <x:c r="F18" s="38" t="str">
        <x:v>风暴石片</x:v>
      </x:c>
      <x:c r="G18" s="38" t="str"/>
      <x:c r="H18" s="38" t="str">
        <x:v>高产通用材料</x:v>
      </x:c>
      <x:c r="I18" s="38" t="str">
        <x:v>高产通用材料</x:v>
      </x:c>
      <x:c r="J18" s="38" t="str">
        <x:v>风暴石片</x:v>
      </x:c>
      <x:c r="K18" s="38" t="str">
        <x:v>风暴石片</x:v>
      </x:c>
      <x:c r="L18" s="38" t="str">
        <x:v>待经济反算</x:v>
      </x:c>
      <x:c r="M18" s="38" t="str">
        <x:v>待经济反算</x:v>
      </x:c>
      <x:c r="N18" s="38" t="str">
        <x:v>是</x:v>
      </x:c>
      <x:c r="O18" s="38" t="str">
        <x:v>否</x:v>
      </x:c>
      <x:c r="P18" s="38" t="str">
        <x:v>否</x:v>
      </x:c>
      <x:c r="Q18" s="38" t="str">
        <x:v>是</x:v>
      </x:c>
      <x:c r="R18" s="38" t="str">
        <x:v>是</x:v>
      </x:c>
      <x:c r="S18" s="38" t="str">
        <x:v>可交易</x:v>
      </x:c>
      <x:c r="T18" s="38" t="str">
        <x:v>R2档金币／元宝主回收口</x:v>
      </x:c>
      <x:c r="U18" s="38" t="str">
        <x:v>产出实物默认不绑定，按现行材料脚本</x:v>
      </x:c>
      <x:c r="V18" s="38" t="str">
        <x:v>结构已确认；数量待经济反算</x:v>
      </x:c>
      <x:c r="W18" s="39" t="str"/>
    </x:row>
    <x:row r="19" ht="42" customHeight="1">
      <x:c r="A19" s="37" t="str">
        <x:v>CON-C02-ASH-NORMAL-0015</x:v>
      </x:c>
      <x:c r="B19" s="38" t="str">
        <x:v>配方输入</x:v>
      </x:c>
      <x:c r="C19" s="38" t="str">
        <x:v>C02-ASH-NORMAL</x:v>
      </x:c>
      <x:c r="D19" s="38" t="str">
        <x:v>C02</x:v>
      </x:c>
      <x:c r="E19" s="38" t="str">
        <x:v>EL-MAT-GLOBAL-SOMBER</x:v>
      </x:c>
      <x:c r="F19" s="38" t="str">
        <x:v>失色锻造石</x:v>
      </x:c>
      <x:c r="G19" s="38" t="str"/>
      <x:c r="H19" s="38" t="str">
        <x:v>全局材料</x:v>
      </x:c>
      <x:c r="I19" s="38" t="str">
        <x:v>全局材料</x:v>
      </x:c>
      <x:c r="J19" s="38" t="str">
        <x:v>失色锻造石</x:v>
      </x:c>
      <x:c r="K19" s="38" t="str">
        <x:v>失色锻造石</x:v>
      </x:c>
      <x:c r="L19" s="38" t="str">
        <x:v>待经济反算</x:v>
      </x:c>
      <x:c r="M19" s="38" t="str">
        <x:v>待经济反算</x:v>
      </x:c>
      <x:c r="N19" s="38" t="str">
        <x:v>是</x:v>
      </x:c>
      <x:c r="O19" s="38" t="str">
        <x:v>否</x:v>
      </x:c>
      <x:c r="P19" s="38" t="str">
        <x:v>否</x:v>
      </x:c>
      <x:c r="Q19" s="38" t="str">
        <x:v>是</x:v>
      </x:c>
      <x:c r="R19" s="38" t="str">
        <x:v>是</x:v>
      </x:c>
      <x:c r="S19" s="38" t="str">
        <x:v>可交易</x:v>
      </x:c>
      <x:c r="T19" s="38" t="str">
        <x:v>不作为自动回收主材</x:v>
      </x:c>
      <x:c r="U19" s="38" t="str">
        <x:v>产出实物默认不绑定，按现行材料脚本</x:v>
      </x:c>
      <x:c r="V19" s="38" t="str">
        <x:v>结构已确认；数量待经济反算</x:v>
      </x:c>
      <x:c r="W19" s="39" t="str"/>
    </x:row>
    <x:row r="20" ht="42" customHeight="1">
      <x:c r="A20" s="37" t="str">
        <x:v>CON-C02-ASH-NORMAL-0016</x:v>
      </x:c>
      <x:c r="B20" s="38" t="str">
        <x:v>配方输入</x:v>
      </x:c>
      <x:c r="C20" s="38" t="str">
        <x:v>C02-ASH-NORMAL</x:v>
      </x:c>
      <x:c r="D20" s="38" t="str">
        <x:v>C02</x:v>
      </x:c>
      <x:c r="E20" s="38" t="str">
        <x:v>CUR-YUANBAO</x:v>
      </x:c>
      <x:c r="F20" s="38" t="str">
        <x:v>元宝</x:v>
      </x:c>
      <x:c r="G20" s="38" t="str"/>
      <x:c r="H20" s="38" t="str">
        <x:v>金币/元宝/灵符</x:v>
      </x:c>
      <x:c r="I20" s="38" t="str">
        <x:v>货币</x:v>
      </x:c>
      <x:c r="J20" s="38" t="str">
        <x:v>元宝</x:v>
      </x:c>
      <x:c r="K20" s="38" t="str">
        <x:v>元宝</x:v>
      </x:c>
      <x:c r="L20" s="38" t="str">
        <x:v>待经济反算</x:v>
      </x:c>
      <x:c r="M20" s="38" t="str">
        <x:v>待经济反算</x:v>
      </x:c>
      <x:c r="N20" s="38" t="str">
        <x:v>是</x:v>
      </x:c>
      <x:c r="O20" s="38" t="str">
        <x:v>否</x:v>
      </x:c>
      <x:c r="P20" s="38" t="str">
        <x:v>否</x:v>
      </x:c>
      <x:c r="Q20" s="38" t="str">
        <x:v>是</x:v>
      </x:c>
      <x:c r="R20" s="38" t="str">
        <x:v>是</x:v>
      </x:c>
      <x:c r="S20" s="38" t="str">
        <x:v>不进入玩家摆摊；通过交易物间接流通</x:v>
      </x:c>
      <x:c r="T20" s="38" t="str">
        <x:v>货币本身不可回收</x:v>
      </x:c>
      <x:c r="U20" s="38" t="str">
        <x:v>沿用现行货币账户</x:v>
      </x:c>
      <x:c r="V20" s="38" t="str">
        <x:v>结构已确认；数量待经济反算</x:v>
      </x:c>
      <x:c r="W20" s="39" t="str"/>
    </x:row>
    <x:row r="21" ht="42" customHeight="1">
      <x:c r="A21" s="37" t="str">
        <x:v>CON-C02-ASH-HIGH-0017</x:v>
      </x:c>
      <x:c r="B21" s="38" t="str">
        <x:v>配方输入</x:v>
      </x:c>
      <x:c r="C21" s="38" t="str">
        <x:v>C02-ASH-HIGH</x:v>
      </x:c>
      <x:c r="D21" s="38" t="str">
        <x:v>C02</x:v>
      </x:c>
      <x:c r="E21" s="38" t="str">
        <x:v>ITEM-8BE76790A0FB</x:v>
      </x:c>
      <x:c r="F21" s="38" t="str">
        <x:v>目标武器</x:v>
      </x:c>
      <x:c r="G21" s="38" t="str"/>
      <x:c r="H21" s="38" t="str">
        <x:v>基础件/前置</x:v>
      </x:c>
      <x:c r="I21" s="38" t="str">
        <x:v>基础件/前置</x:v>
      </x:c>
      <x:c r="J21" s="38" t="str">
        <x:v>目标武器</x:v>
      </x:c>
      <x:c r="K21" s="38" t="str">
        <x:v>目标武器</x:v>
      </x:c>
      <x:c r="L21" s="38" t="str">
        <x:v>待经济反算</x:v>
      </x:c>
      <x:c r="M21" s="38" t="str">
        <x:v>待经济反算</x:v>
      </x:c>
      <x:c r="N21" s="38" t="str">
        <x:v>否</x:v>
      </x:c>
      <x:c r="O21" s="38" t="str">
        <x:v>是</x:v>
      </x:c>
      <x:c r="P21" s="38" t="str">
        <x:v>否</x:v>
      </x:c>
      <x:c r="Q21" s="38" t="str">
        <x:v>是</x:v>
      </x:c>
      <x:c r="R21" s="38" t="str">
        <x:v>是</x:v>
      </x:c>
      <x:c r="S21" s="38" t="str">
        <x:v>可交易（沿用原物品规则）</x:v>
      </x:c>
      <x:c r="T21" s="38" t="str">
        <x:v>沿用原物品；若为合成成品则禁止回收</x:v>
      </x:c>
      <x:c r="U21" s="38" t="str">
        <x:v>沿用配方交易/绑定列</x:v>
      </x:c>
      <x:c r="V21" s="38" t="str">
        <x:v>结构已确认；数量待经济反算</x:v>
      </x:c>
      <x:c r="W21" s="39" t="str"/>
    </x:row>
    <x:row r="22" ht="42" customHeight="1">
      <x:c r="A22" s="37" t="str">
        <x:v>CON-C02-ASH-HIGH-0018</x:v>
      </x:c>
      <x:c r="B22" s="38" t="str">
        <x:v>配方输入</x:v>
      </x:c>
      <x:c r="C22" s="38" t="str">
        <x:v>C02-ASH-HIGH</x:v>
      </x:c>
      <x:c r="D22" s="38" t="str">
        <x:v>C02</x:v>
      </x:c>
      <x:c r="E22" s="38" t="str">
        <x:v>EL-MAT-C02-COM</x:v>
      </x:c>
      <x:c r="F22" s="38" t="str">
        <x:v>风暴石片</x:v>
      </x:c>
      <x:c r="G22" s="38" t="str"/>
      <x:c r="H22" s="38" t="str">
        <x:v>高产通用材料</x:v>
      </x:c>
      <x:c r="I22" s="38" t="str">
        <x:v>高产通用材料</x:v>
      </x:c>
      <x:c r="J22" s="38" t="str">
        <x:v>风暴石片</x:v>
      </x:c>
      <x:c r="K22" s="38" t="str">
        <x:v>风暴石片</x:v>
      </x:c>
      <x:c r="L22" s="38" t="str">
        <x:v>待经济反算</x:v>
      </x:c>
      <x:c r="M22" s="38" t="str">
        <x:v>待经济反算</x:v>
      </x:c>
      <x:c r="N22" s="38" t="str">
        <x:v>是</x:v>
      </x:c>
      <x:c r="O22" s="38" t="str">
        <x:v>否</x:v>
      </x:c>
      <x:c r="P22" s="38" t="str">
        <x:v>否</x:v>
      </x:c>
      <x:c r="Q22" s="38" t="str">
        <x:v>是</x:v>
      </x:c>
      <x:c r="R22" s="38" t="str">
        <x:v>是</x:v>
      </x:c>
      <x:c r="S22" s="38" t="str">
        <x:v>可交易</x:v>
      </x:c>
      <x:c r="T22" s="38" t="str">
        <x:v>R2档金币／元宝主回收口</x:v>
      </x:c>
      <x:c r="U22" s="38" t="str">
        <x:v>产出实物默认不绑定，按现行材料脚本</x:v>
      </x:c>
      <x:c r="V22" s="38" t="str">
        <x:v>结构已确认；数量待经济反算</x:v>
      </x:c>
      <x:c r="W22" s="39" t="str"/>
    </x:row>
    <x:row r="23" ht="42" customHeight="1">
      <x:c r="A23" s="37" t="str">
        <x:v>CON-C02-ASH-HIGH-0019</x:v>
      </x:c>
      <x:c r="B23" s="38" t="str">
        <x:v>配方输入</x:v>
      </x:c>
      <x:c r="C23" s="38" t="str">
        <x:v>C02-ASH-HIGH</x:v>
      </x:c>
      <x:c r="D23" s="38" t="str">
        <x:v>C02</x:v>
      </x:c>
      <x:c r="E23" s="38" t="str">
        <x:v>EL-MAT-C02-RARE</x:v>
      </x:c>
      <x:c r="F23" s="38" t="str">
        <x:v>黄金树芽</x:v>
      </x:c>
      <x:c r="G23" s="38" t="str"/>
      <x:c r="H23" s="38" t="str">
        <x:v>稀有/证物材料</x:v>
      </x:c>
      <x:c r="I23" s="38" t="str">
        <x:v>稀有/证物材料</x:v>
      </x:c>
      <x:c r="J23" s="38" t="str">
        <x:v>黄金树芽＋接肢王印</x:v>
      </x:c>
      <x:c r="K23" s="38" t="str">
        <x:v>黄金树芽</x:v>
      </x:c>
      <x:c r="L23" s="38" t="str">
        <x:v>待经济反算</x:v>
      </x:c>
      <x:c r="M23" s="38" t="str">
        <x:v>待经济反算</x:v>
      </x:c>
      <x:c r="N23" s="38" t="str">
        <x:v>是</x:v>
      </x:c>
      <x:c r="O23" s="38" t="str">
        <x:v>否</x:v>
      </x:c>
      <x:c r="P23" s="38" t="str">
        <x:v>否</x:v>
      </x:c>
      <x:c r="Q23" s="38" t="str">
        <x:v>是</x:v>
      </x:c>
      <x:c r="R23" s="38" t="str">
        <x:v>是</x:v>
      </x:c>
      <x:c r="S23" s="38" t="str">
        <x:v>可交易</x:v>
      </x:c>
      <x:c r="T23" s="38" t="str">
        <x:v>不作为自动回收主材</x:v>
      </x:c>
      <x:c r="U23" s="38" t="str">
        <x:v>产出实物默认不绑定，按现行材料脚本</x:v>
      </x:c>
      <x:c r="V23" s="38" t="str">
        <x:v>结构已确认；数量待经济反算</x:v>
      </x:c>
      <x:c r="W23" s="39" t="str"/>
    </x:row>
    <x:row r="24" ht="42" customHeight="1">
      <x:c r="A24" s="37" t="str">
        <x:v>CON-C02-ASH-HIGH-0020</x:v>
      </x:c>
      <x:c r="B24" s="38" t="str">
        <x:v>配方输入</x:v>
      </x:c>
      <x:c r="C24" s="38" t="str">
        <x:v>C02-ASH-HIGH</x:v>
      </x:c>
      <x:c r="D24" s="38" t="str">
        <x:v>C02</x:v>
      </x:c>
      <x:c r="E24" s="38" t="str">
        <x:v>EL-MAT-C02-MARK</x:v>
      </x:c>
      <x:c r="F24" s="38" t="str">
        <x:v>接肢王印</x:v>
      </x:c>
      <x:c r="G24" s="38" t="str"/>
      <x:c r="H24" s="38" t="str">
        <x:v>稀有/证物材料</x:v>
      </x:c>
      <x:c r="I24" s="38" t="str">
        <x:v>稀有/证物材料</x:v>
      </x:c>
      <x:c r="J24" s="38" t="str">
        <x:v>黄金树芽＋接肢王印</x:v>
      </x:c>
      <x:c r="K24" s="38" t="str">
        <x:v>接肢王印</x:v>
      </x:c>
      <x:c r="L24" s="38" t="str">
        <x:v>待经济反算</x:v>
      </x:c>
      <x:c r="M24" s="38" t="str">
        <x:v>待经济反算</x:v>
      </x:c>
      <x:c r="N24" s="38" t="str">
        <x:v>是</x:v>
      </x:c>
      <x:c r="O24" s="38" t="str">
        <x:v>否</x:v>
      </x:c>
      <x:c r="P24" s="38" t="str">
        <x:v>否</x:v>
      </x:c>
      <x:c r="Q24" s="38" t="str">
        <x:v>是</x:v>
      </x:c>
      <x:c r="R24" s="38" t="str">
        <x:v>是</x:v>
      </x:c>
      <x:c r="S24" s="38" t="str">
        <x:v>可交易</x:v>
      </x:c>
      <x:c r="T24" s="38" t="str">
        <x:v>不作为自动回收主材</x:v>
      </x:c>
      <x:c r="U24" s="38" t="str">
        <x:v>产出实物默认不绑定，按现行材料脚本</x:v>
      </x:c>
      <x:c r="V24" s="38" t="str">
        <x:v>结构已确认；数量待经济反算</x:v>
      </x:c>
      <x:c r="W24" s="39" t="str"/>
    </x:row>
    <x:row r="25" ht="42" customHeight="1">
      <x:c r="A25" s="37" t="str">
        <x:v>CON-C02-ASH-HIGH-0021</x:v>
      </x:c>
      <x:c r="B25" s="38" t="str">
        <x:v>配方输入</x:v>
      </x:c>
      <x:c r="C25" s="38" t="str">
        <x:v>C02-ASH-HIGH</x:v>
      </x:c>
      <x:c r="D25" s="38" t="str">
        <x:v>C02</x:v>
      </x:c>
      <x:c r="E25" s="38" t="str">
        <x:v>EL-MAT-GLOBAL-SOMBER</x:v>
      </x:c>
      <x:c r="F25" s="38" t="str">
        <x:v>失色锻造石</x:v>
      </x:c>
      <x:c r="G25" s="38" t="str"/>
      <x:c r="H25" s="38" t="str">
        <x:v>全局材料</x:v>
      </x:c>
      <x:c r="I25" s="38" t="str">
        <x:v>全局材料</x:v>
      </x:c>
      <x:c r="J25" s="38" t="str">
        <x:v>失色锻造石</x:v>
      </x:c>
      <x:c r="K25" s="38" t="str">
        <x:v>失色锻造石</x:v>
      </x:c>
      <x:c r="L25" s="38" t="str">
        <x:v>待经济反算</x:v>
      </x:c>
      <x:c r="M25" s="38" t="str">
        <x:v>待经济反算</x:v>
      </x:c>
      <x:c r="N25" s="38" t="str">
        <x:v>是</x:v>
      </x:c>
      <x:c r="O25" s="38" t="str">
        <x:v>否</x:v>
      </x:c>
      <x:c r="P25" s="38" t="str">
        <x:v>否</x:v>
      </x:c>
      <x:c r="Q25" s="38" t="str">
        <x:v>是</x:v>
      </x:c>
      <x:c r="R25" s="38" t="str">
        <x:v>是</x:v>
      </x:c>
      <x:c r="S25" s="38" t="str">
        <x:v>可交易</x:v>
      </x:c>
      <x:c r="T25" s="38" t="str">
        <x:v>不作为自动回收主材</x:v>
      </x:c>
      <x:c r="U25" s="38" t="str">
        <x:v>产出实物默认不绑定，按现行材料脚本</x:v>
      </x:c>
      <x:c r="V25" s="38" t="str">
        <x:v>结构已确认；数量待经济反算</x:v>
      </x:c>
      <x:c r="W25" s="39" t="str"/>
    </x:row>
    <x:row r="26" ht="42" customHeight="1">
      <x:c r="A26" s="37" t="str">
        <x:v>CON-C02-ASH-HIGH-0022</x:v>
      </x:c>
      <x:c r="B26" s="38" t="str">
        <x:v>配方输入</x:v>
      </x:c>
      <x:c r="C26" s="38" t="str">
        <x:v>C02-ASH-HIGH</x:v>
      </x:c>
      <x:c r="D26" s="38" t="str">
        <x:v>C02</x:v>
      </x:c>
      <x:c r="E26" s="38" t="str">
        <x:v>CUR-YUANBAO</x:v>
      </x:c>
      <x:c r="F26" s="38" t="str">
        <x:v>元宝</x:v>
      </x:c>
      <x:c r="G26" s="38" t="str"/>
      <x:c r="H26" s="38" t="str">
        <x:v>金币/元宝/灵符</x:v>
      </x:c>
      <x:c r="I26" s="38" t="str">
        <x:v>货币</x:v>
      </x:c>
      <x:c r="J26" s="38" t="str">
        <x:v>元宝</x:v>
      </x:c>
      <x:c r="K26" s="38" t="str">
        <x:v>元宝</x:v>
      </x:c>
      <x:c r="L26" s="38" t="str">
        <x:v>待经济反算</x:v>
      </x:c>
      <x:c r="M26" s="38" t="str">
        <x:v>待经济反算</x:v>
      </x:c>
      <x:c r="N26" s="38" t="str">
        <x:v>是</x:v>
      </x:c>
      <x:c r="O26" s="38" t="str">
        <x:v>否</x:v>
      </x:c>
      <x:c r="P26" s="38" t="str">
        <x:v>否</x:v>
      </x:c>
      <x:c r="Q26" s="38" t="str">
        <x:v>是</x:v>
      </x:c>
      <x:c r="R26" s="38" t="str">
        <x:v>是</x:v>
      </x:c>
      <x:c r="S26" s="38" t="str">
        <x:v>不进入玩家摆摊；通过交易物间接流通</x:v>
      </x:c>
      <x:c r="T26" s="38" t="str">
        <x:v>货币本身不可回收</x:v>
      </x:c>
      <x:c r="U26" s="38" t="str">
        <x:v>沿用现行货币账户</x:v>
      </x:c>
      <x:c r="V26" s="38" t="str">
        <x:v>结构已确认；数量待经济反算</x:v>
      </x:c>
      <x:c r="W26" s="39" t="str"/>
    </x:row>
    <x:row r="27" ht="42" customHeight="1">
      <x:c r="A27" s="37" t="str">
        <x:v>CON-C02-ASH-OVERWRITE-0023</x:v>
      </x:c>
      <x:c r="B27" s="38" t="str">
        <x:v>配方输入</x:v>
      </x:c>
      <x:c r="C27" s="38" t="str">
        <x:v>C02-ASH-OVERWRITE</x:v>
      </x:c>
      <x:c r="D27" s="38" t="str">
        <x:v>C02</x:v>
      </x:c>
      <x:c r="E27" s="38" t="str">
        <x:v>ITEM-8BE76790A0FB</x:v>
      </x:c>
      <x:c r="F27" s="38" t="str">
        <x:v>目标武器</x:v>
      </x:c>
      <x:c r="G27" s="38" t="str"/>
      <x:c r="H27" s="38" t="str">
        <x:v>基础件/前置</x:v>
      </x:c>
      <x:c r="I27" s="38" t="str">
        <x:v>基础件/前置</x:v>
      </x:c>
      <x:c r="J27" s="38" t="str">
        <x:v>目标武器</x:v>
      </x:c>
      <x:c r="K27" s="38" t="str">
        <x:v>目标武器</x:v>
      </x:c>
      <x:c r="L27" s="38" t="str">
        <x:v>待经济反算</x:v>
      </x:c>
      <x:c r="M27" s="38" t="str">
        <x:v>待经济反算</x:v>
      </x:c>
      <x:c r="N27" s="38" t="str">
        <x:v>否</x:v>
      </x:c>
      <x:c r="O27" s="38" t="str">
        <x:v>是</x:v>
      </x:c>
      <x:c r="P27" s="38" t="str">
        <x:v>否</x:v>
      </x:c>
      <x:c r="Q27" s="38" t="str">
        <x:v>是</x:v>
      </x:c>
      <x:c r="R27" s="38" t="str">
        <x:v>是</x:v>
      </x:c>
      <x:c r="S27" s="38" t="str">
        <x:v>可交易（沿用原物品规则）</x:v>
      </x:c>
      <x:c r="T27" s="38" t="str">
        <x:v>沿用原物品；若为合成成品则禁止回收</x:v>
      </x:c>
      <x:c r="U27" s="38" t="str">
        <x:v>沿用配方交易/绑定列</x:v>
      </x:c>
      <x:c r="V27" s="38" t="str">
        <x:v>结构已确认；数量待经济反算</x:v>
      </x:c>
      <x:c r="W27" s="39" t="str"/>
    </x:row>
    <x:row r="28" ht="42" customHeight="1">
      <x:c r="A28" s="37" t="str">
        <x:v>CON-C02-ASH-OVERWRITE-0024</x:v>
      </x:c>
      <x:c r="B28" s="38" t="str">
        <x:v>配方输入</x:v>
      </x:c>
      <x:c r="C28" s="38" t="str">
        <x:v>C02-ASH-OVERWRITE</x:v>
      </x:c>
      <x:c r="D28" s="38" t="str">
        <x:v>C02</x:v>
      </x:c>
      <x:c r="E28" s="38" t="str">
        <x:v>EL-MAT-GLOBAL-SOMBER</x:v>
      </x:c>
      <x:c r="F28" s="38" t="str">
        <x:v>失色锻造石</x:v>
      </x:c>
      <x:c r="G28" s="38" t="str"/>
      <x:c r="H28" s="38" t="str">
        <x:v>全局材料</x:v>
      </x:c>
      <x:c r="I28" s="38" t="str">
        <x:v>全局材料</x:v>
      </x:c>
      <x:c r="J28" s="38" t="str">
        <x:v>失色锻造石</x:v>
      </x:c>
      <x:c r="K28" s="38" t="str">
        <x:v>失色锻造石</x:v>
      </x:c>
      <x:c r="L28" s="38" t="str">
        <x:v>待经济反算</x:v>
      </x:c>
      <x:c r="M28" s="38" t="str">
        <x:v>待经济反算</x:v>
      </x:c>
      <x:c r="N28" s="38" t="str">
        <x:v>是</x:v>
      </x:c>
      <x:c r="O28" s="38" t="str">
        <x:v>否</x:v>
      </x:c>
      <x:c r="P28" s="38" t="str">
        <x:v>否</x:v>
      </x:c>
      <x:c r="Q28" s="38" t="str">
        <x:v>是</x:v>
      </x:c>
      <x:c r="R28" s="38" t="str">
        <x:v>是</x:v>
      </x:c>
      <x:c r="S28" s="38" t="str">
        <x:v>可交易</x:v>
      </x:c>
      <x:c r="T28" s="38" t="str">
        <x:v>不作为自动回收主材</x:v>
      </x:c>
      <x:c r="U28" s="38" t="str">
        <x:v>产出实物默认不绑定，按现行材料脚本</x:v>
      </x:c>
      <x:c r="V28" s="38" t="str">
        <x:v>结构已确认；数量待经济反算</x:v>
      </x:c>
      <x:c r="W28" s="39" t="str"/>
    </x:row>
    <x:row r="29" ht="42" customHeight="1">
      <x:c r="A29" s="37" t="str">
        <x:v>CON-C02-ASH-OVERWRITE-0025</x:v>
      </x:c>
      <x:c r="B29" s="38" t="str">
        <x:v>配方输入</x:v>
      </x:c>
      <x:c r="C29" s="38" t="str">
        <x:v>C02-ASH-OVERWRITE</x:v>
      </x:c>
      <x:c r="D29" s="38" t="str">
        <x:v>C02</x:v>
      </x:c>
      <x:c r="E29" s="38" t="str">
        <x:v>CUR-GOLD</x:v>
      </x:c>
      <x:c r="F29" s="38" t="str">
        <x:v>金币</x:v>
      </x:c>
      <x:c r="G29" s="38" t="str"/>
      <x:c r="H29" s="38" t="str">
        <x:v>金币/元宝/灵符</x:v>
      </x:c>
      <x:c r="I29" s="38" t="str">
        <x:v>货币</x:v>
      </x:c>
      <x:c r="J29" s="38" t="str">
        <x:v>金币</x:v>
      </x:c>
      <x:c r="K29" s="38" t="str">
        <x:v>金币</x:v>
      </x:c>
      <x:c r="L29" s="38" t="str">
        <x:v>待经济反算</x:v>
      </x:c>
      <x:c r="M29" s="38" t="str">
        <x:v>待经济反算</x:v>
      </x:c>
      <x:c r="N29" s="38" t="str">
        <x:v>是</x:v>
      </x:c>
      <x:c r="O29" s="38" t="str">
        <x:v>否</x:v>
      </x:c>
      <x:c r="P29" s="38" t="str">
        <x:v>否</x:v>
      </x:c>
      <x:c r="Q29" s="38" t="str">
        <x:v>是</x:v>
      </x:c>
      <x:c r="R29" s="38" t="str">
        <x:v>是</x:v>
      </x:c>
      <x:c r="S29" s="38" t="str">
        <x:v>不进入玩家摆摊；通过交易物间接流通</x:v>
      </x:c>
      <x:c r="T29" s="38" t="str">
        <x:v>货币本身不可回收</x:v>
      </x:c>
      <x:c r="U29" s="38" t="str">
        <x:v>沿用现行货币账户</x:v>
      </x:c>
      <x:c r="V29" s="38" t="str">
        <x:v>结构已确认；数量待经济反算</x:v>
      </x:c>
      <x:c r="W29" s="39" t="str"/>
    </x:row>
    <x:row r="30" ht="42" customHeight="1">
      <x:c r="A30" s="37" t="str">
        <x:v>CON-C01-SYN-EQ-01-0026</x:v>
      </x:c>
      <x:c r="B30" s="38" t="str">
        <x:v>配方输入</x:v>
      </x:c>
      <x:c r="C30" s="38" t="str">
        <x:v>C01-SYN-EQ-01</x:v>
      </x:c>
      <x:c r="D30" s="38" t="str">
        <x:v>C01</x:v>
      </x:c>
      <x:c r="E30" s="38" t="str">
        <x:v>ITEM-D1690C961471</x:v>
      </x:c>
      <x:c r="F30" s="38" t="str">
        <x:v>猎犬骨戒</x:v>
      </x:c>
      <x:c r="G30" s="38" t="str"/>
      <x:c r="H30" s="38" t="str">
        <x:v>基础件/前置</x:v>
      </x:c>
      <x:c r="I30" s="38" t="str">
        <x:v>基础件/前置</x:v>
      </x:c>
      <x:c r="J30" s="38" t="str">
        <x:v>猎犬骨戒＋王庭秘戒</x:v>
      </x:c>
      <x:c r="K30" s="38" t="str">
        <x:v>猎犬骨戒</x:v>
      </x:c>
      <x:c r="L30" s="38" t="str">
        <x:v>待经济反算</x:v>
      </x:c>
      <x:c r="M30" s="38" t="str">
        <x:v>待经济反算</x:v>
      </x:c>
      <x:c r="N30" s="38" t="str">
        <x:v>是</x:v>
      </x:c>
      <x:c r="O30" s="38" t="str">
        <x:v>否</x:v>
      </x:c>
      <x:c r="P30" s="38" t="str">
        <x:v>否</x:v>
      </x:c>
      <x:c r="Q30" s="38" t="str">
        <x:v>是</x:v>
      </x:c>
      <x:c r="R30" s="38" t="str">
        <x:v>是</x:v>
      </x:c>
      <x:c r="S30" s="38" t="str">
        <x:v>可交易（沿用原物品规则）</x:v>
      </x:c>
      <x:c r="T30" s="38" t="str">
        <x:v>沿用原物品；若为合成成品则禁止回收</x:v>
      </x:c>
      <x:c r="U30" s="38" t="str">
        <x:v>沿用配方交易/绑定列</x:v>
      </x:c>
      <x:c r="V30" s="38" t="str">
        <x:v>结构已确认；数量待经济反算</x:v>
      </x:c>
      <x:c r="W30" s="39" t="str"/>
    </x:row>
    <x:row r="31" ht="42" customHeight="1">
      <x:c r="A31" s="37" t="str">
        <x:v>CON-C01-SYN-EQ-01-0027</x:v>
      </x:c>
      <x:c r="B31" s="38" t="str">
        <x:v>配方输入</x:v>
      </x:c>
      <x:c r="C31" s="38" t="str">
        <x:v>C01-SYN-EQ-01</x:v>
      </x:c>
      <x:c r="D31" s="38" t="str">
        <x:v>C01</x:v>
      </x:c>
      <x:c r="E31" s="38" t="str">
        <x:v>ITEM-213999C05C5C</x:v>
      </x:c>
      <x:c r="F31" s="38" t="str">
        <x:v>王庭秘戒</x:v>
      </x:c>
      <x:c r="G31" s="38" t="str"/>
      <x:c r="H31" s="38" t="str">
        <x:v>基础件/前置</x:v>
      </x:c>
      <x:c r="I31" s="38" t="str">
        <x:v>基础件/前置</x:v>
      </x:c>
      <x:c r="J31" s="38" t="str">
        <x:v>猎犬骨戒＋王庭秘戒</x:v>
      </x:c>
      <x:c r="K31" s="38" t="str">
        <x:v>王庭秘戒</x:v>
      </x:c>
      <x:c r="L31" s="38" t="str">
        <x:v>待经济反算</x:v>
      </x:c>
      <x:c r="M31" s="38" t="str">
        <x:v>待经济反算</x:v>
      </x:c>
      <x:c r="N31" s="38" t="str">
        <x:v>是</x:v>
      </x:c>
      <x:c r="O31" s="38" t="str">
        <x:v>否</x:v>
      </x:c>
      <x:c r="P31" s="38" t="str">
        <x:v>否</x:v>
      </x:c>
      <x:c r="Q31" s="38" t="str">
        <x:v>是</x:v>
      </x:c>
      <x:c r="R31" s="38" t="str">
        <x:v>是</x:v>
      </x:c>
      <x:c r="S31" s="38" t="str">
        <x:v>可交易（沿用原物品规则）</x:v>
      </x:c>
      <x:c r="T31" s="38" t="str">
        <x:v>沿用原物品；若为合成成品则禁止回收</x:v>
      </x:c>
      <x:c r="U31" s="38" t="str">
        <x:v>沿用配方交易/绑定列</x:v>
      </x:c>
      <x:c r="V31" s="38" t="str">
        <x:v>结构已确认；数量待经济反算</x:v>
      </x:c>
      <x:c r="W31" s="39" t="str"/>
    </x:row>
    <x:row r="32" ht="42" customHeight="1">
      <x:c r="A32" s="37" t="str">
        <x:v>CON-C01-SYN-EQ-01-0028</x:v>
      </x:c>
      <x:c r="B32" s="38" t="str">
        <x:v>配方输入</x:v>
      </x:c>
      <x:c r="C32" s="38" t="str">
        <x:v>C01-SYN-EQ-01</x:v>
      </x:c>
      <x:c r="D32" s="38" t="str">
        <x:v>C01</x:v>
      </x:c>
      <x:c r="E32" s="38" t="str">
        <x:v>EL-MAT-C01-COM</x:v>
      </x:c>
      <x:c r="F32" s="38" t="str">
        <x:v>海蚀铁片</x:v>
      </x:c>
      <x:c r="G32" s="38" t="str"/>
      <x:c r="H32" s="38" t="str">
        <x:v>高产通用材料</x:v>
      </x:c>
      <x:c r="I32" s="38" t="str">
        <x:v>高产通用材料</x:v>
      </x:c>
      <x:c r="J32" s="38" t="str">
        <x:v>海蚀铁片</x:v>
      </x:c>
      <x:c r="K32" s="38" t="str">
        <x:v>海蚀铁片</x:v>
      </x:c>
      <x:c r="L32" s="38" t="str">
        <x:v>待经济反算</x:v>
      </x:c>
      <x:c r="M32" s="38" t="str">
        <x:v>待经济反算</x:v>
      </x:c>
      <x:c r="N32" s="38" t="str">
        <x:v>是</x:v>
      </x:c>
      <x:c r="O32" s="38" t="str">
        <x:v>否</x:v>
      </x:c>
      <x:c r="P32" s="38" t="str">
        <x:v>否</x:v>
      </x:c>
      <x:c r="Q32" s="38" t="str">
        <x:v>是</x:v>
      </x:c>
      <x:c r="R32" s="38" t="str">
        <x:v>是</x:v>
      </x:c>
      <x:c r="S32" s="38" t="str">
        <x:v>可交易</x:v>
      </x:c>
      <x:c r="T32" s="38" t="str">
        <x:v>R1档金币／元宝主回收口</x:v>
      </x:c>
      <x:c r="U32" s="38" t="str">
        <x:v>产出实物默认不绑定，按现行材料脚本</x:v>
      </x:c>
      <x:c r="V32" s="38" t="str">
        <x:v>结构已确认；数量待经济反算</x:v>
      </x:c>
      <x:c r="W32" s="39" t="str"/>
    </x:row>
    <x:row r="33" ht="42" customHeight="1">
      <x:c r="A33" s="37" t="str">
        <x:v>CON-C01-SYN-EQ-01-0029</x:v>
      </x:c>
      <x:c r="B33" s="38" t="str">
        <x:v>配方输入</x:v>
      </x:c>
      <x:c r="C33" s="38" t="str">
        <x:v>C01-SYN-EQ-01</x:v>
      </x:c>
      <x:c r="D33" s="38" t="str">
        <x:v>C01</x:v>
      </x:c>
      <x:c r="E33" s="38" t="str">
        <x:v>EL-MAT-C01-RARE</x:v>
      </x:c>
      <x:c r="F33" s="38" t="str">
        <x:v>潮痕结晶</x:v>
      </x:c>
      <x:c r="G33" s="38" t="str"/>
      <x:c r="H33" s="38" t="str">
        <x:v>稀有/证物材料</x:v>
      </x:c>
      <x:c r="I33" s="38" t="str">
        <x:v>稀有/证物材料</x:v>
      </x:c>
      <x:c r="J33" s="38" t="str">
        <x:v>潮痕结晶＋漂流大陆印记</x:v>
      </x:c>
      <x:c r="K33" s="38" t="str">
        <x:v>潮痕结晶</x:v>
      </x:c>
      <x:c r="L33" s="38" t="str">
        <x:v>待经济反算</x:v>
      </x:c>
      <x:c r="M33" s="38" t="str">
        <x:v>待经济反算</x:v>
      </x:c>
      <x:c r="N33" s="38" t="str">
        <x:v>是</x:v>
      </x:c>
      <x:c r="O33" s="38" t="str">
        <x:v>否</x:v>
      </x:c>
      <x:c r="P33" s="38" t="str">
        <x:v>否</x:v>
      </x:c>
      <x:c r="Q33" s="38" t="str">
        <x:v>是</x:v>
      </x:c>
      <x:c r="R33" s="38" t="str">
        <x:v>是</x:v>
      </x:c>
      <x:c r="S33" s="38" t="str">
        <x:v>可交易</x:v>
      </x:c>
      <x:c r="T33" s="38" t="str">
        <x:v>不作为自动回收主材</x:v>
      </x:c>
      <x:c r="U33" s="38" t="str">
        <x:v>产出实物默认不绑定，按现行材料脚本</x:v>
      </x:c>
      <x:c r="V33" s="38" t="str">
        <x:v>结构已确认；数量待经济反算</x:v>
      </x:c>
      <x:c r="W33" s="39" t="str"/>
    </x:row>
    <x:row r="34" ht="42" customHeight="1">
      <x:c r="A34" s="37" t="str">
        <x:v>CON-C01-SYN-EQ-01-0030</x:v>
      </x:c>
      <x:c r="B34" s="38" t="str">
        <x:v>配方输入</x:v>
      </x:c>
      <x:c r="C34" s="38" t="str">
        <x:v>C01-SYN-EQ-01</x:v>
      </x:c>
      <x:c r="D34" s="38" t="str">
        <x:v>C01</x:v>
      </x:c>
      <x:c r="E34" s="38" t="str">
        <x:v>EL-MAT-C01-MARK</x:v>
      </x:c>
      <x:c r="F34" s="38" t="str">
        <x:v>漂流大陆印记</x:v>
      </x:c>
      <x:c r="G34" s="38" t="str"/>
      <x:c r="H34" s="38" t="str">
        <x:v>稀有/证物材料</x:v>
      </x:c>
      <x:c r="I34" s="38" t="str">
        <x:v>稀有/证物材料</x:v>
      </x:c>
      <x:c r="J34" s="38" t="str">
        <x:v>潮痕结晶＋漂流大陆印记</x:v>
      </x:c>
      <x:c r="K34" s="38" t="str">
        <x:v>漂流大陆印记</x:v>
      </x:c>
      <x:c r="L34" s="38" t="str">
        <x:v>待经济反算</x:v>
      </x:c>
      <x:c r="M34" s="38" t="str">
        <x:v>待经济反算</x:v>
      </x:c>
      <x:c r="N34" s="38" t="str">
        <x:v>是</x:v>
      </x:c>
      <x:c r="O34" s="38" t="str">
        <x:v>否</x:v>
      </x:c>
      <x:c r="P34" s="38" t="str">
        <x:v>否</x:v>
      </x:c>
      <x:c r="Q34" s="38" t="str">
        <x:v>是</x:v>
      </x:c>
      <x:c r="R34" s="38" t="str">
        <x:v>是</x:v>
      </x:c>
      <x:c r="S34" s="38" t="str">
        <x:v>可交易</x:v>
      </x:c>
      <x:c r="T34" s="38" t="str">
        <x:v>不作为自动回收主材</x:v>
      </x:c>
      <x:c r="U34" s="38" t="str">
        <x:v>产出实物默认不绑定，按现行材料脚本</x:v>
      </x:c>
      <x:c r="V34" s="38" t="str">
        <x:v>结构已确认；数量待经济反算</x:v>
      </x:c>
      <x:c r="W34" s="39" t="str"/>
    </x:row>
    <x:row r="35" ht="42" customHeight="1">
      <x:c r="A35" s="37" t="str">
        <x:v>CON-C01-SYN-EQ-01-0031</x:v>
      </x:c>
      <x:c r="B35" s="38" t="str">
        <x:v>配方输入</x:v>
      </x:c>
      <x:c r="C35" s="38" t="str">
        <x:v>C01-SYN-EQ-01</x:v>
      </x:c>
      <x:c r="D35" s="38" t="str">
        <x:v>C01</x:v>
      </x:c>
      <x:c r="E35" s="38" t="str">
        <x:v>EL-MAT-GLOBAL-SOMBER</x:v>
      </x:c>
      <x:c r="F35" s="38" t="str">
        <x:v>失色锻造石</x:v>
      </x:c>
      <x:c r="G35" s="38" t="str"/>
      <x:c r="H35" s="38" t="str">
        <x:v>全局材料</x:v>
      </x:c>
      <x:c r="I35" s="38" t="str">
        <x:v>全局材料</x:v>
      </x:c>
      <x:c r="J35" s="38" t="str">
        <x:v>失色锻造石</x:v>
      </x:c>
      <x:c r="K35" s="38" t="str">
        <x:v>失色锻造石</x:v>
      </x:c>
      <x:c r="L35" s="38" t="str">
        <x:v>待经济反算</x:v>
      </x:c>
      <x:c r="M35" s="38" t="str">
        <x:v>待经济反算</x:v>
      </x:c>
      <x:c r="N35" s="38" t="str">
        <x:v>是</x:v>
      </x:c>
      <x:c r="O35" s="38" t="str">
        <x:v>否</x:v>
      </x:c>
      <x:c r="P35" s="38" t="str">
        <x:v>否</x:v>
      </x:c>
      <x:c r="Q35" s="38" t="str">
        <x:v>是</x:v>
      </x:c>
      <x:c r="R35" s="38" t="str">
        <x:v>是</x:v>
      </x:c>
      <x:c r="S35" s="38" t="str">
        <x:v>可交易</x:v>
      </x:c>
      <x:c r="T35" s="38" t="str">
        <x:v>不作为自动回收主材</x:v>
      </x:c>
      <x:c r="U35" s="38" t="str">
        <x:v>产出实物默认不绑定，按现行材料脚本</x:v>
      </x:c>
      <x:c r="V35" s="38" t="str">
        <x:v>结构已确认；数量待经济反算</x:v>
      </x:c>
      <x:c r="W35" s="39" t="str"/>
    </x:row>
    <x:row r="36" ht="42" customHeight="1">
      <x:c r="A36" s="37" t="str">
        <x:v>CON-C01-SYN-EQ-01-0032</x:v>
      </x:c>
      <x:c r="B36" s="38" t="str">
        <x:v>配方输入</x:v>
      </x:c>
      <x:c r="C36" s="38" t="str">
        <x:v>C01-SYN-EQ-01</x:v>
      </x:c>
      <x:c r="D36" s="38" t="str">
        <x:v>C01</x:v>
      </x:c>
      <x:c r="E36" s="38" t="str">
        <x:v>CUR-GOLD</x:v>
      </x:c>
      <x:c r="F36" s="38" t="str">
        <x:v>金币</x:v>
      </x:c>
      <x:c r="G36" s="38" t="str"/>
      <x:c r="H36" s="38" t="str">
        <x:v>金币/元宝/灵符</x:v>
      </x:c>
      <x:c r="I36" s="38" t="str">
        <x:v>货币</x:v>
      </x:c>
      <x:c r="J36" s="38" t="str">
        <x:v>金币</x:v>
      </x:c>
      <x:c r="K36" s="38" t="str">
        <x:v>金币</x:v>
      </x:c>
      <x:c r="L36" s="38" t="str">
        <x:v>待经济反算</x:v>
      </x:c>
      <x:c r="M36" s="38" t="str">
        <x:v>待经济反算</x:v>
      </x:c>
      <x:c r="N36" s="38" t="str">
        <x:v>是</x:v>
      </x:c>
      <x:c r="O36" s="38" t="str">
        <x:v>否</x:v>
      </x:c>
      <x:c r="P36" s="38" t="str">
        <x:v>否</x:v>
      </x:c>
      <x:c r="Q36" s="38" t="str">
        <x:v>是</x:v>
      </x:c>
      <x:c r="R36" s="38" t="str">
        <x:v>是</x:v>
      </x:c>
      <x:c r="S36" s="38" t="str">
        <x:v>不进入玩家摆摊；通过交易物间接流通</x:v>
      </x:c>
      <x:c r="T36" s="38" t="str">
        <x:v>货币本身不可回收</x:v>
      </x:c>
      <x:c r="U36" s="38" t="str">
        <x:v>沿用现行货币账户</x:v>
      </x:c>
      <x:c r="V36" s="38" t="str">
        <x:v>结构已确认；数量待经济反算</x:v>
      </x:c>
      <x:c r="W36" s="39" t="str"/>
    </x:row>
    <x:row r="37" ht="42" customHeight="1">
      <x:c r="A37" s="37" t="str">
        <x:v>CON-C02-SYN-EQ-01-0033</x:v>
      </x:c>
      <x:c r="B37" s="38" t="str">
        <x:v>配方输入</x:v>
      </x:c>
      <x:c r="C37" s="38" t="str">
        <x:v>C02-SYN-EQ-01</x:v>
      </x:c>
      <x:c r="D37" s="38" t="str">
        <x:v>C02</x:v>
      </x:c>
      <x:c r="E37" s="38" t="str">
        <x:v>ITEM-8E2963B4933C</x:v>
      </x:c>
      <x:c r="F37" s="38" t="str">
        <x:v>破垒鹰链</x:v>
      </x:c>
      <x:c r="G37" s="38" t="str"/>
      <x:c r="H37" s="38" t="str">
        <x:v>基础件/前置</x:v>
      </x:c>
      <x:c r="I37" s="38" t="str">
        <x:v>基础件/前置</x:v>
      </x:c>
      <x:c r="J37" s="38" t="str">
        <x:v>破垒鹰链＋古树祷链</x:v>
      </x:c>
      <x:c r="K37" s="38" t="str">
        <x:v>破垒鹰链</x:v>
      </x:c>
      <x:c r="L37" s="38" t="str">
        <x:v>待经济反算</x:v>
      </x:c>
      <x:c r="M37" s="38" t="str">
        <x:v>待经济反算</x:v>
      </x:c>
      <x:c r="N37" s="38" t="str">
        <x:v>是</x:v>
      </x:c>
      <x:c r="O37" s="38" t="str">
        <x:v>否</x:v>
      </x:c>
      <x:c r="P37" s="38" t="str">
        <x:v>否</x:v>
      </x:c>
      <x:c r="Q37" s="38" t="str">
        <x:v>是</x:v>
      </x:c>
      <x:c r="R37" s="38" t="str">
        <x:v>是</x:v>
      </x:c>
      <x:c r="S37" s="38" t="str">
        <x:v>可交易（沿用原物品规则）</x:v>
      </x:c>
      <x:c r="T37" s="38" t="str">
        <x:v>沿用原物品；若为合成成品则禁止回收</x:v>
      </x:c>
      <x:c r="U37" s="38" t="str">
        <x:v>沿用配方交易/绑定列</x:v>
      </x:c>
      <x:c r="V37" s="38" t="str">
        <x:v>结构已确认；数量待经济反算</x:v>
      </x:c>
      <x:c r="W37" s="39" t="str"/>
    </x:row>
    <x:row r="38" ht="42" customHeight="1">
      <x:c r="A38" s="37" t="str">
        <x:v>CON-C02-SYN-EQ-01-0034</x:v>
      </x:c>
      <x:c r="B38" s="38" t="str">
        <x:v>配方输入</x:v>
      </x:c>
      <x:c r="C38" s="38" t="str">
        <x:v>C02-SYN-EQ-01</x:v>
      </x:c>
      <x:c r="D38" s="38" t="str">
        <x:v>C02</x:v>
      </x:c>
      <x:c r="E38" s="38" t="str">
        <x:v>ITEM-8B49EB190B10</x:v>
      </x:c>
      <x:c r="F38" s="38" t="str">
        <x:v>古树祷链</x:v>
      </x:c>
      <x:c r="G38" s="38" t="str"/>
      <x:c r="H38" s="38" t="str">
        <x:v>基础件/前置</x:v>
      </x:c>
      <x:c r="I38" s="38" t="str">
        <x:v>基础件/前置</x:v>
      </x:c>
      <x:c r="J38" s="38" t="str">
        <x:v>破垒鹰链＋古树祷链</x:v>
      </x:c>
      <x:c r="K38" s="38" t="str">
        <x:v>古树祷链</x:v>
      </x:c>
      <x:c r="L38" s="38" t="str">
        <x:v>待经济反算</x:v>
      </x:c>
      <x:c r="M38" s="38" t="str">
        <x:v>待经济反算</x:v>
      </x:c>
      <x:c r="N38" s="38" t="str">
        <x:v>是</x:v>
      </x:c>
      <x:c r="O38" s="38" t="str">
        <x:v>否</x:v>
      </x:c>
      <x:c r="P38" s="38" t="str">
        <x:v>否</x:v>
      </x:c>
      <x:c r="Q38" s="38" t="str">
        <x:v>是</x:v>
      </x:c>
      <x:c r="R38" s="38" t="str">
        <x:v>是</x:v>
      </x:c>
      <x:c r="S38" s="38" t="str">
        <x:v>可交易（沿用原物品规则）</x:v>
      </x:c>
      <x:c r="T38" s="38" t="str">
        <x:v>沿用原物品；若为合成成品则禁止回收</x:v>
      </x:c>
      <x:c r="U38" s="38" t="str">
        <x:v>沿用配方交易/绑定列</x:v>
      </x:c>
      <x:c r="V38" s="38" t="str">
        <x:v>结构已确认；数量待经济反算</x:v>
      </x:c>
      <x:c r="W38" s="39" t="str"/>
    </x:row>
    <x:row r="39" ht="42" customHeight="1">
      <x:c r="A39" s="37" t="str">
        <x:v>CON-C02-SYN-EQ-01-0035</x:v>
      </x:c>
      <x:c r="B39" s="38" t="str">
        <x:v>配方输入</x:v>
      </x:c>
      <x:c r="C39" s="38" t="str">
        <x:v>C02-SYN-EQ-01</x:v>
      </x:c>
      <x:c r="D39" s="38" t="str">
        <x:v>C02</x:v>
      </x:c>
      <x:c r="E39" s="38" t="str">
        <x:v>EL-MAT-C02-COM</x:v>
      </x:c>
      <x:c r="F39" s="38" t="str">
        <x:v>风暴石片</x:v>
      </x:c>
      <x:c r="G39" s="38" t="str"/>
      <x:c r="H39" s="38" t="str">
        <x:v>高产通用材料</x:v>
      </x:c>
      <x:c r="I39" s="38" t="str">
        <x:v>高产通用材料</x:v>
      </x:c>
      <x:c r="J39" s="38" t="str">
        <x:v>风暴石片</x:v>
      </x:c>
      <x:c r="K39" s="38" t="str">
        <x:v>风暴石片</x:v>
      </x:c>
      <x:c r="L39" s="38" t="str">
        <x:v>待经济反算</x:v>
      </x:c>
      <x:c r="M39" s="38" t="str">
        <x:v>待经济反算</x:v>
      </x:c>
      <x:c r="N39" s="38" t="str">
        <x:v>是</x:v>
      </x:c>
      <x:c r="O39" s="38" t="str">
        <x:v>否</x:v>
      </x:c>
      <x:c r="P39" s="38" t="str">
        <x:v>否</x:v>
      </x:c>
      <x:c r="Q39" s="38" t="str">
        <x:v>是</x:v>
      </x:c>
      <x:c r="R39" s="38" t="str">
        <x:v>是</x:v>
      </x:c>
      <x:c r="S39" s="38" t="str">
        <x:v>可交易</x:v>
      </x:c>
      <x:c r="T39" s="38" t="str">
        <x:v>R2档金币／元宝主回收口</x:v>
      </x:c>
      <x:c r="U39" s="38" t="str">
        <x:v>产出实物默认不绑定，按现行材料脚本</x:v>
      </x:c>
      <x:c r="V39" s="38" t="str">
        <x:v>结构已确认；数量待经济反算</x:v>
      </x:c>
      <x:c r="W39" s="39" t="str"/>
    </x:row>
    <x:row r="40" ht="42" customHeight="1">
      <x:c r="A40" s="37" t="str">
        <x:v>CON-C02-SYN-EQ-01-0036</x:v>
      </x:c>
      <x:c r="B40" s="38" t="str">
        <x:v>配方输入</x:v>
      </x:c>
      <x:c r="C40" s="38" t="str">
        <x:v>C02-SYN-EQ-01</x:v>
      </x:c>
      <x:c r="D40" s="38" t="str">
        <x:v>C02</x:v>
      </x:c>
      <x:c r="E40" s="38" t="str">
        <x:v>EL-MAT-C02-RARE</x:v>
      </x:c>
      <x:c r="F40" s="38" t="str">
        <x:v>黄金树芽</x:v>
      </x:c>
      <x:c r="G40" s="38" t="str"/>
      <x:c r="H40" s="38" t="str">
        <x:v>稀有/证物材料</x:v>
      </x:c>
      <x:c r="I40" s="38" t="str">
        <x:v>稀有/证物材料</x:v>
      </x:c>
      <x:c r="J40" s="38" t="str">
        <x:v>黄金树芽＋接肢王印</x:v>
      </x:c>
      <x:c r="K40" s="38" t="str">
        <x:v>黄金树芽</x:v>
      </x:c>
      <x:c r="L40" s="38" t="str">
        <x:v>待经济反算</x:v>
      </x:c>
      <x:c r="M40" s="38" t="str">
        <x:v>待经济反算</x:v>
      </x:c>
      <x:c r="N40" s="38" t="str">
        <x:v>是</x:v>
      </x:c>
      <x:c r="O40" s="38" t="str">
        <x:v>否</x:v>
      </x:c>
      <x:c r="P40" s="38" t="str">
        <x:v>否</x:v>
      </x:c>
      <x:c r="Q40" s="38" t="str">
        <x:v>是</x:v>
      </x:c>
      <x:c r="R40" s="38" t="str">
        <x:v>是</x:v>
      </x:c>
      <x:c r="S40" s="38" t="str">
        <x:v>可交易</x:v>
      </x:c>
      <x:c r="T40" s="38" t="str">
        <x:v>不作为自动回收主材</x:v>
      </x:c>
      <x:c r="U40" s="38" t="str">
        <x:v>产出实物默认不绑定，按现行材料脚本</x:v>
      </x:c>
      <x:c r="V40" s="38" t="str">
        <x:v>结构已确认；数量待经济反算</x:v>
      </x:c>
      <x:c r="W40" s="39" t="str"/>
    </x:row>
    <x:row r="41" ht="42" customHeight="1">
      <x:c r="A41" s="37" t="str">
        <x:v>CON-C02-SYN-EQ-01-0037</x:v>
      </x:c>
      <x:c r="B41" s="38" t="str">
        <x:v>配方输入</x:v>
      </x:c>
      <x:c r="C41" s="38" t="str">
        <x:v>C02-SYN-EQ-01</x:v>
      </x:c>
      <x:c r="D41" s="38" t="str">
        <x:v>C02</x:v>
      </x:c>
      <x:c r="E41" s="38" t="str">
        <x:v>EL-MAT-C02-MARK</x:v>
      </x:c>
      <x:c r="F41" s="38" t="str">
        <x:v>接肢王印</x:v>
      </x:c>
      <x:c r="G41" s="38" t="str"/>
      <x:c r="H41" s="38" t="str">
        <x:v>稀有/证物材料</x:v>
      </x:c>
      <x:c r="I41" s="38" t="str">
        <x:v>稀有/证物材料</x:v>
      </x:c>
      <x:c r="J41" s="38" t="str">
        <x:v>黄金树芽＋接肢王印</x:v>
      </x:c>
      <x:c r="K41" s="38" t="str">
        <x:v>接肢王印</x:v>
      </x:c>
      <x:c r="L41" s="38" t="str">
        <x:v>待经济反算</x:v>
      </x:c>
      <x:c r="M41" s="38" t="str">
        <x:v>待经济反算</x:v>
      </x:c>
      <x:c r="N41" s="38" t="str">
        <x:v>是</x:v>
      </x:c>
      <x:c r="O41" s="38" t="str">
        <x:v>否</x:v>
      </x:c>
      <x:c r="P41" s="38" t="str">
        <x:v>否</x:v>
      </x:c>
      <x:c r="Q41" s="38" t="str">
        <x:v>是</x:v>
      </x:c>
      <x:c r="R41" s="38" t="str">
        <x:v>是</x:v>
      </x:c>
      <x:c r="S41" s="38" t="str">
        <x:v>可交易</x:v>
      </x:c>
      <x:c r="T41" s="38" t="str">
        <x:v>不作为自动回收主材</x:v>
      </x:c>
      <x:c r="U41" s="38" t="str">
        <x:v>产出实物默认不绑定，按现行材料脚本</x:v>
      </x:c>
      <x:c r="V41" s="38" t="str">
        <x:v>结构已确认；数量待经济反算</x:v>
      </x:c>
      <x:c r="W41" s="39" t="str"/>
    </x:row>
    <x:row r="42" ht="42" customHeight="1">
      <x:c r="A42" s="37" t="str">
        <x:v>CON-C02-SYN-EQ-01-0038</x:v>
      </x:c>
      <x:c r="B42" s="38" t="str">
        <x:v>配方输入</x:v>
      </x:c>
      <x:c r="C42" s="38" t="str">
        <x:v>C02-SYN-EQ-01</x:v>
      </x:c>
      <x:c r="D42" s="38" t="str">
        <x:v>C02</x:v>
      </x:c>
      <x:c r="E42" s="38" t="str">
        <x:v>EL-MAT-GLOBAL-SOMBER</x:v>
      </x:c>
      <x:c r="F42" s="38" t="str">
        <x:v>失色锻造石</x:v>
      </x:c>
      <x:c r="G42" s="38" t="str"/>
      <x:c r="H42" s="38" t="str">
        <x:v>全局材料</x:v>
      </x:c>
      <x:c r="I42" s="38" t="str">
        <x:v>全局材料</x:v>
      </x:c>
      <x:c r="J42" s="38" t="str">
        <x:v>失色锻造石</x:v>
      </x:c>
      <x:c r="K42" s="38" t="str">
        <x:v>失色锻造石</x:v>
      </x:c>
      <x:c r="L42" s="38" t="str">
        <x:v>待经济反算</x:v>
      </x:c>
      <x:c r="M42" s="38" t="str">
        <x:v>待经济反算</x:v>
      </x:c>
      <x:c r="N42" s="38" t="str">
        <x:v>是</x:v>
      </x:c>
      <x:c r="O42" s="38" t="str">
        <x:v>否</x:v>
      </x:c>
      <x:c r="P42" s="38" t="str">
        <x:v>否</x:v>
      </x:c>
      <x:c r="Q42" s="38" t="str">
        <x:v>是</x:v>
      </x:c>
      <x:c r="R42" s="38" t="str">
        <x:v>是</x:v>
      </x:c>
      <x:c r="S42" s="38" t="str">
        <x:v>可交易</x:v>
      </x:c>
      <x:c r="T42" s="38" t="str">
        <x:v>不作为自动回收主材</x:v>
      </x:c>
      <x:c r="U42" s="38" t="str">
        <x:v>产出实物默认不绑定，按现行材料脚本</x:v>
      </x:c>
      <x:c r="V42" s="38" t="str">
        <x:v>结构已确认；数量待经济反算</x:v>
      </x:c>
      <x:c r="W42" s="39" t="str"/>
    </x:row>
    <x:row r="43" ht="42" customHeight="1">
      <x:c r="A43" s="37" t="str">
        <x:v>CON-C02-SYN-EQ-01-0039</x:v>
      </x:c>
      <x:c r="B43" s="38" t="str">
        <x:v>配方输入</x:v>
      </x:c>
      <x:c r="C43" s="38" t="str">
        <x:v>C02-SYN-EQ-01</x:v>
      </x:c>
      <x:c r="D43" s="38" t="str">
        <x:v>C02</x:v>
      </x:c>
      <x:c r="E43" s="38" t="str">
        <x:v>CUR-YUANBAO</x:v>
      </x:c>
      <x:c r="F43" s="38" t="str">
        <x:v>元宝</x:v>
      </x:c>
      <x:c r="G43" s="38" t="str"/>
      <x:c r="H43" s="38" t="str">
        <x:v>金币/元宝/灵符</x:v>
      </x:c>
      <x:c r="I43" s="38" t="str">
        <x:v>货币</x:v>
      </x:c>
      <x:c r="J43" s="38" t="str">
        <x:v>元宝</x:v>
      </x:c>
      <x:c r="K43" s="38" t="str">
        <x:v>元宝</x:v>
      </x:c>
      <x:c r="L43" s="38" t="str">
        <x:v>待经济反算</x:v>
      </x:c>
      <x:c r="M43" s="38" t="str">
        <x:v>待经济反算</x:v>
      </x:c>
      <x:c r="N43" s="38" t="str">
        <x:v>是</x:v>
      </x:c>
      <x:c r="O43" s="38" t="str">
        <x:v>否</x:v>
      </x:c>
      <x:c r="P43" s="38" t="str">
        <x:v>否</x:v>
      </x:c>
      <x:c r="Q43" s="38" t="str">
        <x:v>是</x:v>
      </x:c>
      <x:c r="R43" s="38" t="str">
        <x:v>是</x:v>
      </x:c>
      <x:c r="S43" s="38" t="str">
        <x:v>不进入玩家摆摊；通过交易物间接流通</x:v>
      </x:c>
      <x:c r="T43" s="38" t="str">
        <x:v>货币本身不可回收</x:v>
      </x:c>
      <x:c r="U43" s="38" t="str">
        <x:v>沿用现行货币账户</x:v>
      </x:c>
      <x:c r="V43" s="38" t="str">
        <x:v>结构已确认；数量待经济反算</x:v>
      </x:c>
      <x:c r="W43" s="39" t="str"/>
    </x:row>
    <x:row r="44" ht="42" customHeight="1">
      <x:c r="A44" s="37" t="str">
        <x:v>CON-C02-SYN-EQ-02-0040</x:v>
      </x:c>
      <x:c r="B44" s="38" t="str">
        <x:v>配方输入</x:v>
      </x:c>
      <x:c r="C44" s="38" t="str">
        <x:v>C02-SYN-EQ-02</x:v>
      </x:c>
      <x:c r="D44" s="38" t="str">
        <x:v>C02</x:v>
      </x:c>
      <x:c r="E44" s="38" t="str">
        <x:v>ITEM-8F457C02455F</x:v>
      </x:c>
      <x:c r="F44" s="38" t="str">
        <x:v>流放腕铠</x:v>
      </x:c>
      <x:c r="G44" s="38" t="str"/>
      <x:c r="H44" s="38" t="str">
        <x:v>基础件/前置</x:v>
      </x:c>
      <x:c r="I44" s="38" t="str">
        <x:v>基础件/前置</x:v>
      </x:c>
      <x:c r="J44" s="38" t="str">
        <x:v>流放腕铠＋百指腕甲</x:v>
      </x:c>
      <x:c r="K44" s="38" t="str">
        <x:v>流放腕铠</x:v>
      </x:c>
      <x:c r="L44" s="38" t="str">
        <x:v>待经济反算</x:v>
      </x:c>
      <x:c r="M44" s="38" t="str">
        <x:v>待经济反算</x:v>
      </x:c>
      <x:c r="N44" s="38" t="str">
        <x:v>是</x:v>
      </x:c>
      <x:c r="O44" s="38" t="str">
        <x:v>否</x:v>
      </x:c>
      <x:c r="P44" s="38" t="str">
        <x:v>否</x:v>
      </x:c>
      <x:c r="Q44" s="38" t="str">
        <x:v>是</x:v>
      </x:c>
      <x:c r="R44" s="38" t="str">
        <x:v>是</x:v>
      </x:c>
      <x:c r="S44" s="38" t="str">
        <x:v>可交易（沿用原物品规则）</x:v>
      </x:c>
      <x:c r="T44" s="38" t="str">
        <x:v>沿用原物品；若为合成成品则禁止回收</x:v>
      </x:c>
      <x:c r="U44" s="38" t="str">
        <x:v>沿用配方交易/绑定列</x:v>
      </x:c>
      <x:c r="V44" s="38" t="str">
        <x:v>结构已确认；数量待经济反算</x:v>
      </x:c>
      <x:c r="W44" s="39" t="str"/>
    </x:row>
    <x:row r="45" ht="42" customHeight="1">
      <x:c r="A45" s="37" t="str">
        <x:v>CON-C02-SYN-EQ-02-0041</x:v>
      </x:c>
      <x:c r="B45" s="38" t="str">
        <x:v>配方输入</x:v>
      </x:c>
      <x:c r="C45" s="38" t="str">
        <x:v>C02-SYN-EQ-02</x:v>
      </x:c>
      <x:c r="D45" s="38" t="str">
        <x:v>C02</x:v>
      </x:c>
      <x:c r="E45" s="38" t="str">
        <x:v>ITEM-6745B5054C9A</x:v>
      </x:c>
      <x:c r="F45" s="38" t="str">
        <x:v>百指腕甲</x:v>
      </x:c>
      <x:c r="G45" s="38" t="str"/>
      <x:c r="H45" s="38" t="str">
        <x:v>基础件/前置</x:v>
      </x:c>
      <x:c r="I45" s="38" t="str">
        <x:v>基础件/前置</x:v>
      </x:c>
      <x:c r="J45" s="38" t="str">
        <x:v>流放腕铠＋百指腕甲</x:v>
      </x:c>
      <x:c r="K45" s="38" t="str">
        <x:v>百指腕甲</x:v>
      </x:c>
      <x:c r="L45" s="38" t="str">
        <x:v>待经济反算</x:v>
      </x:c>
      <x:c r="M45" s="38" t="str">
        <x:v>待经济反算</x:v>
      </x:c>
      <x:c r="N45" s="38" t="str">
        <x:v>是</x:v>
      </x:c>
      <x:c r="O45" s="38" t="str">
        <x:v>否</x:v>
      </x:c>
      <x:c r="P45" s="38" t="str">
        <x:v>否</x:v>
      </x:c>
      <x:c r="Q45" s="38" t="str">
        <x:v>是</x:v>
      </x:c>
      <x:c r="R45" s="38" t="str">
        <x:v>是</x:v>
      </x:c>
      <x:c r="S45" s="38" t="str">
        <x:v>可交易（沿用原物品规则）</x:v>
      </x:c>
      <x:c r="T45" s="38" t="str">
        <x:v>沿用原物品；若为合成成品则禁止回收</x:v>
      </x:c>
      <x:c r="U45" s="38" t="str">
        <x:v>沿用配方交易/绑定列</x:v>
      </x:c>
      <x:c r="V45" s="38" t="str">
        <x:v>结构已确认；数量待经济反算</x:v>
      </x:c>
      <x:c r="W45" s="39" t="str"/>
    </x:row>
    <x:row r="46" ht="42" customHeight="1">
      <x:c r="A46" s="37" t="str">
        <x:v>CON-C02-SYN-EQ-02-0042</x:v>
      </x:c>
      <x:c r="B46" s="38" t="str">
        <x:v>配方输入</x:v>
      </x:c>
      <x:c r="C46" s="38" t="str">
        <x:v>C02-SYN-EQ-02</x:v>
      </x:c>
      <x:c r="D46" s="38" t="str">
        <x:v>C02</x:v>
      </x:c>
      <x:c r="E46" s="38" t="str">
        <x:v>EL-MAT-C02-COM</x:v>
      </x:c>
      <x:c r="F46" s="38" t="str">
        <x:v>风暴石片</x:v>
      </x:c>
      <x:c r="G46" s="38" t="str"/>
      <x:c r="H46" s="38" t="str">
        <x:v>高产通用材料</x:v>
      </x:c>
      <x:c r="I46" s="38" t="str">
        <x:v>高产通用材料</x:v>
      </x:c>
      <x:c r="J46" s="38" t="str">
        <x:v>风暴石片</x:v>
      </x:c>
      <x:c r="K46" s="38" t="str">
        <x:v>风暴石片</x:v>
      </x:c>
      <x:c r="L46" s="38" t="str">
        <x:v>待经济反算</x:v>
      </x:c>
      <x:c r="M46" s="38" t="str">
        <x:v>待经济反算</x:v>
      </x:c>
      <x:c r="N46" s="38" t="str">
        <x:v>是</x:v>
      </x:c>
      <x:c r="O46" s="38" t="str">
        <x:v>否</x:v>
      </x:c>
      <x:c r="P46" s="38" t="str">
        <x:v>否</x:v>
      </x:c>
      <x:c r="Q46" s="38" t="str">
        <x:v>是</x:v>
      </x:c>
      <x:c r="R46" s="38" t="str">
        <x:v>是</x:v>
      </x:c>
      <x:c r="S46" s="38" t="str">
        <x:v>可交易</x:v>
      </x:c>
      <x:c r="T46" s="38" t="str">
        <x:v>R2档金币／元宝主回收口</x:v>
      </x:c>
      <x:c r="U46" s="38" t="str">
        <x:v>产出实物默认不绑定，按现行材料脚本</x:v>
      </x:c>
      <x:c r="V46" s="38" t="str">
        <x:v>结构已确认；数量待经济反算</x:v>
      </x:c>
      <x:c r="W46" s="39" t="str"/>
    </x:row>
    <x:row r="47" ht="42" customHeight="1">
      <x:c r="A47" s="37" t="str">
        <x:v>CON-C02-SYN-EQ-02-0043</x:v>
      </x:c>
      <x:c r="B47" s="38" t="str">
        <x:v>配方输入</x:v>
      </x:c>
      <x:c r="C47" s="38" t="str">
        <x:v>C02-SYN-EQ-02</x:v>
      </x:c>
      <x:c r="D47" s="38" t="str">
        <x:v>C02</x:v>
      </x:c>
      <x:c r="E47" s="38" t="str">
        <x:v>EL-MAT-C02-RARE</x:v>
      </x:c>
      <x:c r="F47" s="38" t="str">
        <x:v>黄金树芽</x:v>
      </x:c>
      <x:c r="G47" s="38" t="str"/>
      <x:c r="H47" s="38" t="str">
        <x:v>稀有/证物材料</x:v>
      </x:c>
      <x:c r="I47" s="38" t="str">
        <x:v>稀有/证物材料</x:v>
      </x:c>
      <x:c r="J47" s="38" t="str">
        <x:v>黄金树芽＋接肢王印</x:v>
      </x:c>
      <x:c r="K47" s="38" t="str">
        <x:v>黄金树芽</x:v>
      </x:c>
      <x:c r="L47" s="38" t="str">
        <x:v>待经济反算</x:v>
      </x:c>
      <x:c r="M47" s="38" t="str">
        <x:v>待经济反算</x:v>
      </x:c>
      <x:c r="N47" s="38" t="str">
        <x:v>是</x:v>
      </x:c>
      <x:c r="O47" s="38" t="str">
        <x:v>否</x:v>
      </x:c>
      <x:c r="P47" s="38" t="str">
        <x:v>否</x:v>
      </x:c>
      <x:c r="Q47" s="38" t="str">
        <x:v>是</x:v>
      </x:c>
      <x:c r="R47" s="38" t="str">
        <x:v>是</x:v>
      </x:c>
      <x:c r="S47" s="38" t="str">
        <x:v>可交易</x:v>
      </x:c>
      <x:c r="T47" s="38" t="str">
        <x:v>不作为自动回收主材</x:v>
      </x:c>
      <x:c r="U47" s="38" t="str">
        <x:v>产出实物默认不绑定，按现行材料脚本</x:v>
      </x:c>
      <x:c r="V47" s="38" t="str">
        <x:v>结构已确认；数量待经济反算</x:v>
      </x:c>
      <x:c r="W47" s="39" t="str"/>
    </x:row>
    <x:row r="48" ht="42" customHeight="1">
      <x:c r="A48" s="37" t="str">
        <x:v>CON-C02-SYN-EQ-02-0044</x:v>
      </x:c>
      <x:c r="B48" s="38" t="str">
        <x:v>配方输入</x:v>
      </x:c>
      <x:c r="C48" s="38" t="str">
        <x:v>C02-SYN-EQ-02</x:v>
      </x:c>
      <x:c r="D48" s="38" t="str">
        <x:v>C02</x:v>
      </x:c>
      <x:c r="E48" s="38" t="str">
        <x:v>EL-MAT-C02-MARK</x:v>
      </x:c>
      <x:c r="F48" s="38" t="str">
        <x:v>接肢王印</x:v>
      </x:c>
      <x:c r="G48" s="38" t="str"/>
      <x:c r="H48" s="38" t="str">
        <x:v>稀有/证物材料</x:v>
      </x:c>
      <x:c r="I48" s="38" t="str">
        <x:v>稀有/证物材料</x:v>
      </x:c>
      <x:c r="J48" s="38" t="str">
        <x:v>黄金树芽＋接肢王印</x:v>
      </x:c>
      <x:c r="K48" s="38" t="str">
        <x:v>接肢王印</x:v>
      </x:c>
      <x:c r="L48" s="38" t="str">
        <x:v>待经济反算</x:v>
      </x:c>
      <x:c r="M48" s="38" t="str">
        <x:v>待经济反算</x:v>
      </x:c>
      <x:c r="N48" s="38" t="str">
        <x:v>是</x:v>
      </x:c>
      <x:c r="O48" s="38" t="str">
        <x:v>否</x:v>
      </x:c>
      <x:c r="P48" s="38" t="str">
        <x:v>否</x:v>
      </x:c>
      <x:c r="Q48" s="38" t="str">
        <x:v>是</x:v>
      </x:c>
      <x:c r="R48" s="38" t="str">
        <x:v>是</x:v>
      </x:c>
      <x:c r="S48" s="38" t="str">
        <x:v>可交易</x:v>
      </x:c>
      <x:c r="T48" s="38" t="str">
        <x:v>不作为自动回收主材</x:v>
      </x:c>
      <x:c r="U48" s="38" t="str">
        <x:v>产出实物默认不绑定，按现行材料脚本</x:v>
      </x:c>
      <x:c r="V48" s="38" t="str">
        <x:v>结构已确认；数量待经济反算</x:v>
      </x:c>
      <x:c r="W48" s="39" t="str"/>
    </x:row>
    <x:row r="49" ht="42" customHeight="1">
      <x:c r="A49" s="37" t="str">
        <x:v>CON-C02-SYN-EQ-02-0045</x:v>
      </x:c>
      <x:c r="B49" s="38" t="str">
        <x:v>配方输入</x:v>
      </x:c>
      <x:c r="C49" s="38" t="str">
        <x:v>C02-SYN-EQ-02</x:v>
      </x:c>
      <x:c r="D49" s="38" t="str">
        <x:v>C02</x:v>
      </x:c>
      <x:c r="E49" s="38" t="str">
        <x:v>EL-MAT-GLOBAL-SOMBER</x:v>
      </x:c>
      <x:c r="F49" s="38" t="str">
        <x:v>失色锻造石</x:v>
      </x:c>
      <x:c r="G49" s="38" t="str"/>
      <x:c r="H49" s="38" t="str">
        <x:v>全局材料</x:v>
      </x:c>
      <x:c r="I49" s="38" t="str">
        <x:v>全局材料</x:v>
      </x:c>
      <x:c r="J49" s="38" t="str">
        <x:v>失色锻造石</x:v>
      </x:c>
      <x:c r="K49" s="38" t="str">
        <x:v>失色锻造石</x:v>
      </x:c>
      <x:c r="L49" s="38" t="str">
        <x:v>待经济反算</x:v>
      </x:c>
      <x:c r="M49" s="38" t="str">
        <x:v>待经济反算</x:v>
      </x:c>
      <x:c r="N49" s="38" t="str">
        <x:v>是</x:v>
      </x:c>
      <x:c r="O49" s="38" t="str">
        <x:v>否</x:v>
      </x:c>
      <x:c r="P49" s="38" t="str">
        <x:v>否</x:v>
      </x:c>
      <x:c r="Q49" s="38" t="str">
        <x:v>是</x:v>
      </x:c>
      <x:c r="R49" s="38" t="str">
        <x:v>是</x:v>
      </x:c>
      <x:c r="S49" s="38" t="str">
        <x:v>可交易</x:v>
      </x:c>
      <x:c r="T49" s="38" t="str">
        <x:v>不作为自动回收主材</x:v>
      </x:c>
      <x:c r="U49" s="38" t="str">
        <x:v>产出实物默认不绑定，按现行材料脚本</x:v>
      </x:c>
      <x:c r="V49" s="38" t="str">
        <x:v>结构已确认；数量待经济反算</x:v>
      </x:c>
      <x:c r="W49" s="39" t="str"/>
    </x:row>
    <x:row r="50" ht="42" customHeight="1">
      <x:c r="A50" s="37" t="str">
        <x:v>CON-C02-SYN-EQ-02-0046</x:v>
      </x:c>
      <x:c r="B50" s="38" t="str">
        <x:v>配方输入</x:v>
      </x:c>
      <x:c r="C50" s="38" t="str">
        <x:v>C02-SYN-EQ-02</x:v>
      </x:c>
      <x:c r="D50" s="38" t="str">
        <x:v>C02</x:v>
      </x:c>
      <x:c r="E50" s="38" t="str">
        <x:v>CUR-GOLD</x:v>
      </x:c>
      <x:c r="F50" s="38" t="str">
        <x:v>金币</x:v>
      </x:c>
      <x:c r="G50" s="38" t="str"/>
      <x:c r="H50" s="38" t="str">
        <x:v>金币/元宝/灵符</x:v>
      </x:c>
      <x:c r="I50" s="38" t="str">
        <x:v>货币</x:v>
      </x:c>
      <x:c r="J50" s="38" t="str">
        <x:v>金币＋元宝</x:v>
      </x:c>
      <x:c r="K50" s="38" t="str">
        <x:v>金币</x:v>
      </x:c>
      <x:c r="L50" s="38" t="str">
        <x:v>待经济反算</x:v>
      </x:c>
      <x:c r="M50" s="38" t="str">
        <x:v>待经济反算</x:v>
      </x:c>
      <x:c r="N50" s="38" t="str">
        <x:v>是</x:v>
      </x:c>
      <x:c r="O50" s="38" t="str">
        <x:v>否</x:v>
      </x:c>
      <x:c r="P50" s="38" t="str">
        <x:v>否</x:v>
      </x:c>
      <x:c r="Q50" s="38" t="str">
        <x:v>是</x:v>
      </x:c>
      <x:c r="R50" s="38" t="str">
        <x:v>是</x:v>
      </x:c>
      <x:c r="S50" s="38" t="str">
        <x:v>不进入玩家摆摊；通过交易物间接流通</x:v>
      </x:c>
      <x:c r="T50" s="38" t="str">
        <x:v>货币本身不可回收</x:v>
      </x:c>
      <x:c r="U50" s="38" t="str">
        <x:v>沿用现行货币账户</x:v>
      </x:c>
      <x:c r="V50" s="38" t="str">
        <x:v>结构已确认；数量待经济反算</x:v>
      </x:c>
      <x:c r="W50" s="39" t="str"/>
    </x:row>
    <x:row r="51" ht="42" customHeight="1">
      <x:c r="A51" s="37" t="str">
        <x:v>CON-C02-SYN-EQ-02-0047</x:v>
      </x:c>
      <x:c r="B51" s="38" t="str">
        <x:v>配方输入</x:v>
      </x:c>
      <x:c r="C51" s="38" t="str">
        <x:v>C02-SYN-EQ-02</x:v>
      </x:c>
      <x:c r="D51" s="38" t="str">
        <x:v>C02</x:v>
      </x:c>
      <x:c r="E51" s="38" t="str">
        <x:v>CUR-YUANBAO</x:v>
      </x:c>
      <x:c r="F51" s="38" t="str">
        <x:v>元宝</x:v>
      </x:c>
      <x:c r="G51" s="38" t="str"/>
      <x:c r="H51" s="38" t="str">
        <x:v>金币/元宝/灵符</x:v>
      </x:c>
      <x:c r="I51" s="38" t="str">
        <x:v>货币</x:v>
      </x:c>
      <x:c r="J51" s="38" t="str">
        <x:v>金币＋元宝</x:v>
      </x:c>
      <x:c r="K51" s="38" t="str">
        <x:v>元宝</x:v>
      </x:c>
      <x:c r="L51" s="38" t="str">
        <x:v>待经济反算</x:v>
      </x:c>
      <x:c r="M51" s="38" t="str">
        <x:v>待经济反算</x:v>
      </x:c>
      <x:c r="N51" s="38" t="str">
        <x:v>是</x:v>
      </x:c>
      <x:c r="O51" s="38" t="str">
        <x:v>否</x:v>
      </x:c>
      <x:c r="P51" s="38" t="str">
        <x:v>否</x:v>
      </x:c>
      <x:c r="Q51" s="38" t="str">
        <x:v>是</x:v>
      </x:c>
      <x:c r="R51" s="38" t="str">
        <x:v>是</x:v>
      </x:c>
      <x:c r="S51" s="38" t="str">
        <x:v>不进入玩家摆摊；通过交易物间接流通</x:v>
      </x:c>
      <x:c r="T51" s="38" t="str">
        <x:v>货币本身不可回收</x:v>
      </x:c>
      <x:c r="U51" s="38" t="str">
        <x:v>沿用现行货币账户</x:v>
      </x:c>
      <x:c r="V51" s="38" t="str">
        <x:v>结构已确认；数量待经济反算</x:v>
      </x:c>
      <x:c r="W51" s="39" t="str"/>
    </x:row>
    <x:row r="52" ht="42" customHeight="1">
      <x:c r="A52" s="37" t="str">
        <x:v>CON-C03-SYN-EQ-01-0048</x:v>
      </x:c>
      <x:c r="B52" s="38" t="str">
        <x:v>配方输入</x:v>
      </x:c>
      <x:c r="C52" s="38" t="str">
        <x:v>C03-SYN-EQ-01</x:v>
      </x:c>
      <x:c r="D52" s="38" t="str">
        <x:v>C03</x:v>
      </x:c>
      <x:c r="E52" s="38" t="str">
        <x:v>ITEM-70ED0B9BF8CD</x:v>
      </x:c>
      <x:c r="F52" s="38" t="str">
        <x:v>西境军盔</x:v>
      </x:c>
      <x:c r="G52" s="38" t="str"/>
      <x:c r="H52" s="38" t="str">
        <x:v>基础件/前置</x:v>
      </x:c>
      <x:c r="I52" s="38" t="str">
        <x:v>基础件/前置</x:v>
      </x:c>
      <x:c r="J52" s="38" t="str">
        <x:v>西境军盔＋西境征服冠</x:v>
      </x:c>
      <x:c r="K52" s="38" t="str">
        <x:v>西境军盔</x:v>
      </x:c>
      <x:c r="L52" s="38" t="str">
        <x:v>待经济反算</x:v>
      </x:c>
      <x:c r="M52" s="38" t="str">
        <x:v>待经济反算</x:v>
      </x:c>
      <x:c r="N52" s="38" t="str">
        <x:v>是</x:v>
      </x:c>
      <x:c r="O52" s="38" t="str">
        <x:v>否</x:v>
      </x:c>
      <x:c r="P52" s="38" t="str">
        <x:v>否</x:v>
      </x:c>
      <x:c r="Q52" s="38" t="str">
        <x:v>是</x:v>
      </x:c>
      <x:c r="R52" s="38" t="str">
        <x:v>是</x:v>
      </x:c>
      <x:c r="S52" s="38" t="str">
        <x:v>可交易（沿用原物品规则）</x:v>
      </x:c>
      <x:c r="T52" s="38" t="str">
        <x:v>沿用原物品；若为合成成品则禁止回收</x:v>
      </x:c>
      <x:c r="U52" s="38" t="str">
        <x:v>沿用配方交易/绑定列</x:v>
      </x:c>
      <x:c r="V52" s="38" t="str">
        <x:v>结构已确认；数量待经济反算</x:v>
      </x:c>
      <x:c r="W52" s="39" t="str"/>
    </x:row>
    <x:row r="53" ht="42" customHeight="1">
      <x:c r="A53" s="37" t="str">
        <x:v>CON-C03-SYN-EQ-01-0049</x:v>
      </x:c>
      <x:c r="B53" s="38" t="str">
        <x:v>配方输入</x:v>
      </x:c>
      <x:c r="C53" s="38" t="str">
        <x:v>C03-SYN-EQ-01</x:v>
      </x:c>
      <x:c r="D53" s="38" t="str">
        <x:v>C03</x:v>
      </x:c>
      <x:c r="E53" s="38" t="str">
        <x:v>ITEM-9EA4EB0997DC</x:v>
      </x:c>
      <x:c r="F53" s="38" t="str">
        <x:v>西境征服冠</x:v>
      </x:c>
      <x:c r="G53" s="38" t="str"/>
      <x:c r="H53" s="38" t="str">
        <x:v>基础件/前置</x:v>
      </x:c>
      <x:c r="I53" s="38" t="str">
        <x:v>基础件/前置</x:v>
      </x:c>
      <x:c r="J53" s="38" t="str">
        <x:v>西境军盔＋西境征服冠</x:v>
      </x:c>
      <x:c r="K53" s="38" t="str">
        <x:v>西境征服冠</x:v>
      </x:c>
      <x:c r="L53" s="38" t="str">
        <x:v>待经济反算</x:v>
      </x:c>
      <x:c r="M53" s="38" t="str">
        <x:v>待经济反算</x:v>
      </x:c>
      <x:c r="N53" s="38" t="str">
        <x:v>是</x:v>
      </x:c>
      <x:c r="O53" s="38" t="str">
        <x:v>否</x:v>
      </x:c>
      <x:c r="P53" s="38" t="str">
        <x:v>否</x:v>
      </x:c>
      <x:c r="Q53" s="38" t="str">
        <x:v>是</x:v>
      </x:c>
      <x:c r="R53" s="38" t="str">
        <x:v>是</x:v>
      </x:c>
      <x:c r="S53" s="38" t="str">
        <x:v>可交易（沿用原物品规则）</x:v>
      </x:c>
      <x:c r="T53" s="38" t="str">
        <x:v>沿用原物品；若为合成成品则禁止回收</x:v>
      </x:c>
      <x:c r="U53" s="38" t="str">
        <x:v>沿用配方交易/绑定列</x:v>
      </x:c>
      <x:c r="V53" s="38" t="str">
        <x:v>结构已确认；数量待经济反算</x:v>
      </x:c>
      <x:c r="W53" s="39" t="str"/>
    </x:row>
    <x:row r="54" ht="42" customHeight="1">
      <x:c r="A54" s="37" t="str">
        <x:v>CON-C03-SYN-EQ-01-0050</x:v>
      </x:c>
      <x:c r="B54" s="38" t="str">
        <x:v>配方输入</x:v>
      </x:c>
      <x:c r="C54" s="38" t="str">
        <x:v>C03-SYN-EQ-01</x:v>
      </x:c>
      <x:c r="D54" s="38" t="str">
        <x:v>C03</x:v>
      </x:c>
      <x:c r="E54" s="38" t="str">
        <x:v>EL-MAT-C03-COM</x:v>
      </x:c>
      <x:c r="F54" s="38" t="str">
        <x:v>风蚀铁片</x:v>
      </x:c>
      <x:c r="G54" s="38" t="str"/>
      <x:c r="H54" s="38" t="str">
        <x:v>高产通用材料</x:v>
      </x:c>
      <x:c r="I54" s="38" t="str">
        <x:v>高产通用材料</x:v>
      </x:c>
      <x:c r="J54" s="38" t="str">
        <x:v>风蚀铁片</x:v>
      </x:c>
      <x:c r="K54" s="38" t="str">
        <x:v>风蚀铁片</x:v>
      </x:c>
      <x:c r="L54" s="38" t="str">
        <x:v>待经济反算</x:v>
      </x:c>
      <x:c r="M54" s="38" t="str">
        <x:v>待经济反算</x:v>
      </x:c>
      <x:c r="N54" s="38" t="str">
        <x:v>是</x:v>
      </x:c>
      <x:c r="O54" s="38" t="str">
        <x:v>否</x:v>
      </x:c>
      <x:c r="P54" s="38" t="str">
        <x:v>否</x:v>
      </x:c>
      <x:c r="Q54" s="38" t="str">
        <x:v>是</x:v>
      </x:c>
      <x:c r="R54" s="38" t="str">
        <x:v>是</x:v>
      </x:c>
      <x:c r="S54" s="38" t="str">
        <x:v>可交易</x:v>
      </x:c>
      <x:c r="T54" s="38" t="str">
        <x:v>R3档金币／元宝主回收口</x:v>
      </x:c>
      <x:c r="U54" s="38" t="str">
        <x:v>产出实物默认不绑定，按现行材料脚本</x:v>
      </x:c>
      <x:c r="V54" s="38" t="str">
        <x:v>结构已确认；数量待经济反算</x:v>
      </x:c>
      <x:c r="W54" s="39" t="str"/>
    </x:row>
    <x:row r="55" ht="42" customHeight="1">
      <x:c r="A55" s="37" t="str">
        <x:v>CON-C03-SYN-EQ-01-0051</x:v>
      </x:c>
      <x:c r="B55" s="38" t="str">
        <x:v>配方输入</x:v>
      </x:c>
      <x:c r="C55" s="38" t="str">
        <x:v>C03-SYN-EQ-01</x:v>
      </x:c>
      <x:c r="D55" s="38" t="str">
        <x:v>C03</x:v>
      </x:c>
      <x:c r="E55" s="38" t="str">
        <x:v>EL-MAT-C03-MARK</x:v>
      </x:c>
      <x:c r="F55" s="38" t="str">
        <x:v>西境战旗印</x:v>
      </x:c>
      <x:c r="G55" s="38" t="str"/>
      <x:c r="H55" s="38" t="str">
        <x:v>稀有/证物材料</x:v>
      </x:c>
      <x:c r="I55" s="38" t="str">
        <x:v>稀有/证物材料</x:v>
      </x:c>
      <x:c r="J55" s="38" t="str">
        <x:v>西境战旗印＋守垒铜钥</x:v>
      </x:c>
      <x:c r="K55" s="38" t="str">
        <x:v>西境战旗印</x:v>
      </x:c>
      <x:c r="L55" s="38" t="str">
        <x:v>待经济反算</x:v>
      </x:c>
      <x:c r="M55" s="38" t="str">
        <x:v>待经济反算</x:v>
      </x:c>
      <x:c r="N55" s="38" t="str">
        <x:v>是</x:v>
      </x:c>
      <x:c r="O55" s="38" t="str">
        <x:v>否</x:v>
      </x:c>
      <x:c r="P55" s="38" t="str">
        <x:v>否</x:v>
      </x:c>
      <x:c r="Q55" s="38" t="str">
        <x:v>是</x:v>
      </x:c>
      <x:c r="R55" s="38" t="str">
        <x:v>是</x:v>
      </x:c>
      <x:c r="S55" s="38" t="str">
        <x:v>可交易</x:v>
      </x:c>
      <x:c r="T55" s="38" t="str">
        <x:v>不作为自动回收主材</x:v>
      </x:c>
      <x:c r="U55" s="38" t="str">
        <x:v>产出实物默认不绑定，按现行材料脚本</x:v>
      </x:c>
      <x:c r="V55" s="38" t="str">
        <x:v>结构已确认；数量待经济反算</x:v>
      </x:c>
      <x:c r="W55" s="39" t="str"/>
    </x:row>
    <x:row r="56" ht="42" customHeight="1">
      <x:c r="A56" s="37" t="str">
        <x:v>CON-C03-SYN-EQ-01-0052</x:v>
      </x:c>
      <x:c r="B56" s="38" t="str">
        <x:v>配方输入</x:v>
      </x:c>
      <x:c r="C56" s="38" t="str">
        <x:v>C03-SYN-EQ-01</x:v>
      </x:c>
      <x:c r="D56" s="38" t="str">
        <x:v>C03</x:v>
      </x:c>
      <x:c r="E56" s="38" t="str">
        <x:v>EL-MAT-C03-Q03</x:v>
      </x:c>
      <x:c r="F56" s="38" t="str">
        <x:v>守垒铜钥</x:v>
      </x:c>
      <x:c r="G56" s="38" t="str"/>
      <x:c r="H56" s="38" t="str">
        <x:v>稀有/证物材料</x:v>
      </x:c>
      <x:c r="I56" s="38" t="str">
        <x:v>稀有/证物材料</x:v>
      </x:c>
      <x:c r="J56" s="38" t="str">
        <x:v>西境战旗印＋守垒铜钥</x:v>
      </x:c>
      <x:c r="K56" s="38" t="str">
        <x:v>守垒铜钥</x:v>
      </x:c>
      <x:c r="L56" s="38" t="str">
        <x:v>待经济反算</x:v>
      </x:c>
      <x:c r="M56" s="38" t="str">
        <x:v>待经济反算</x:v>
      </x:c>
      <x:c r="N56" s="38" t="str">
        <x:v>是</x:v>
      </x:c>
      <x:c r="O56" s="38" t="str">
        <x:v>否</x:v>
      </x:c>
      <x:c r="P56" s="38" t="str">
        <x:v>否</x:v>
      </x:c>
      <x:c r="Q56" s="38" t="str">
        <x:v>是</x:v>
      </x:c>
      <x:c r="R56" s="38" t="str">
        <x:v>是</x:v>
      </x:c>
      <x:c r="S56" s="38" t="str">
        <x:v>可交易</x:v>
      </x:c>
      <x:c r="T56" s="38" t="str">
        <x:v>不作为自动回收主材</x:v>
      </x:c>
      <x:c r="U56" s="38" t="str">
        <x:v>产出实物默认不绑定，按现行材料脚本</x:v>
      </x:c>
      <x:c r="V56" s="38" t="str">
        <x:v>结构已确认；数量待经济反算</x:v>
      </x:c>
      <x:c r="W56" s="39" t="str"/>
    </x:row>
    <x:row r="57" ht="42" customHeight="1">
      <x:c r="A57" s="37" t="str">
        <x:v>CON-C03-SYN-EQ-01-0053</x:v>
      </x:c>
      <x:c r="B57" s="38" t="str">
        <x:v>配方输入</x:v>
      </x:c>
      <x:c r="C57" s="38" t="str">
        <x:v>C03-SYN-EQ-01</x:v>
      </x:c>
      <x:c r="D57" s="38" t="str">
        <x:v>C03</x:v>
      </x:c>
      <x:c r="E57" s="38" t="str">
        <x:v>EL-MAT-GLOBAL-SOMBER</x:v>
      </x:c>
      <x:c r="F57" s="38" t="str">
        <x:v>失色锻造石</x:v>
      </x:c>
      <x:c r="G57" s="38" t="str"/>
      <x:c r="H57" s="38" t="str">
        <x:v>全局材料</x:v>
      </x:c>
      <x:c r="I57" s="38" t="str">
        <x:v>全局材料</x:v>
      </x:c>
      <x:c r="J57" s="38" t="str">
        <x:v>失色锻造石</x:v>
      </x:c>
      <x:c r="K57" s="38" t="str">
        <x:v>失色锻造石</x:v>
      </x:c>
      <x:c r="L57" s="38" t="str">
        <x:v>待经济反算</x:v>
      </x:c>
      <x:c r="M57" s="38" t="str">
        <x:v>待经济反算</x:v>
      </x:c>
      <x:c r="N57" s="38" t="str">
        <x:v>是</x:v>
      </x:c>
      <x:c r="O57" s="38" t="str">
        <x:v>否</x:v>
      </x:c>
      <x:c r="P57" s="38" t="str">
        <x:v>否</x:v>
      </x:c>
      <x:c r="Q57" s="38" t="str">
        <x:v>是</x:v>
      </x:c>
      <x:c r="R57" s="38" t="str">
        <x:v>是</x:v>
      </x:c>
      <x:c r="S57" s="38" t="str">
        <x:v>可交易</x:v>
      </x:c>
      <x:c r="T57" s="38" t="str">
        <x:v>不作为自动回收主材</x:v>
      </x:c>
      <x:c r="U57" s="38" t="str">
        <x:v>产出实物默认不绑定，按现行材料脚本</x:v>
      </x:c>
      <x:c r="V57" s="38" t="str">
        <x:v>结构已确认；数量待经济反算</x:v>
      </x:c>
      <x:c r="W57" s="39" t="str"/>
    </x:row>
    <x:row r="58" ht="42" customHeight="1">
      <x:c r="A58" s="37" t="str">
        <x:v>CON-C03-SYN-EQ-01-0054</x:v>
      </x:c>
      <x:c r="B58" s="38" t="str">
        <x:v>配方输入</x:v>
      </x:c>
      <x:c r="C58" s="38" t="str">
        <x:v>C03-SYN-EQ-01</x:v>
      </x:c>
      <x:c r="D58" s="38" t="str">
        <x:v>C03</x:v>
      </x:c>
      <x:c r="E58" s="38" t="str">
        <x:v>CUR-GOLD</x:v>
      </x:c>
      <x:c r="F58" s="38" t="str">
        <x:v>金币</x:v>
      </x:c>
      <x:c r="G58" s="38" t="str"/>
      <x:c r="H58" s="38" t="str">
        <x:v>金币/元宝/灵符</x:v>
      </x:c>
      <x:c r="I58" s="38" t="str">
        <x:v>货币</x:v>
      </x:c>
      <x:c r="J58" s="38" t="str">
        <x:v>金币</x:v>
      </x:c>
      <x:c r="K58" s="38" t="str">
        <x:v>金币</x:v>
      </x:c>
      <x:c r="L58" s="38" t="str">
        <x:v>待经济反算</x:v>
      </x:c>
      <x:c r="M58" s="38" t="str">
        <x:v>待经济反算</x:v>
      </x:c>
      <x:c r="N58" s="38" t="str">
        <x:v>是</x:v>
      </x:c>
      <x:c r="O58" s="38" t="str">
        <x:v>否</x:v>
      </x:c>
      <x:c r="P58" s="38" t="str">
        <x:v>否</x:v>
      </x:c>
      <x:c r="Q58" s="38" t="str">
        <x:v>是</x:v>
      </x:c>
      <x:c r="R58" s="38" t="str">
        <x:v>是</x:v>
      </x:c>
      <x:c r="S58" s="38" t="str">
        <x:v>不进入玩家摆摊；通过交易物间接流通</x:v>
      </x:c>
      <x:c r="T58" s="38" t="str">
        <x:v>货币本身不可回收</x:v>
      </x:c>
      <x:c r="U58" s="38" t="str">
        <x:v>沿用现行货币账户</x:v>
      </x:c>
      <x:c r="V58" s="38" t="str">
        <x:v>结构已确认；数量待经济反算</x:v>
      </x:c>
      <x:c r="W58" s="39" t="str"/>
    </x:row>
    <x:row r="59" ht="42" customHeight="1">
      <x:c r="A59" s="37" t="str">
        <x:v>CON-C03-SYN-EQ-02-0055</x:v>
      </x:c>
      <x:c r="B59" s="38" t="str">
        <x:v>配方输入</x:v>
      </x:c>
      <x:c r="C59" s="38" t="str">
        <x:v>C03-SYN-EQ-02</x:v>
      </x:c>
      <x:c r="D59" s="38" t="str">
        <x:v>C03</x:v>
      </x:c>
      <x:c r="E59" s="38" t="str">
        <x:v>ITEM-2212B810087E</x:v>
      </x:c>
      <x:c r="F59" s="38" t="str">
        <x:v>百夫战靴</x:v>
      </x:c>
      <x:c r="G59" s="38" t="str"/>
      <x:c r="H59" s="38" t="str">
        <x:v>基础件/前置</x:v>
      </x:c>
      <x:c r="I59" s="38" t="str">
        <x:v>基础件/前置</x:v>
      </x:c>
      <x:c r="J59" s="38" t="str">
        <x:v>百夫战靴＋赐福战靴</x:v>
      </x:c>
      <x:c r="K59" s="38" t="str">
        <x:v>百夫战靴</x:v>
      </x:c>
      <x:c r="L59" s="38" t="str">
        <x:v>待经济反算</x:v>
      </x:c>
      <x:c r="M59" s="38" t="str">
        <x:v>待经济反算</x:v>
      </x:c>
      <x:c r="N59" s="38" t="str">
        <x:v>是</x:v>
      </x:c>
      <x:c r="O59" s="38" t="str">
        <x:v>否</x:v>
      </x:c>
      <x:c r="P59" s="38" t="str">
        <x:v>否</x:v>
      </x:c>
      <x:c r="Q59" s="38" t="str">
        <x:v>是</x:v>
      </x:c>
      <x:c r="R59" s="38" t="str">
        <x:v>是</x:v>
      </x:c>
      <x:c r="S59" s="38" t="str">
        <x:v>可交易（沿用原物品规则）</x:v>
      </x:c>
      <x:c r="T59" s="38" t="str">
        <x:v>沿用原物品；若为合成成品则禁止回收</x:v>
      </x:c>
      <x:c r="U59" s="38" t="str">
        <x:v>沿用配方交易/绑定列</x:v>
      </x:c>
      <x:c r="V59" s="38" t="str">
        <x:v>结构已确认；数量待经济反算</x:v>
      </x:c>
      <x:c r="W59" s="39" t="str"/>
    </x:row>
    <x:row r="60" ht="42" customHeight="1">
      <x:c r="A60" s="37" t="str">
        <x:v>CON-C03-SYN-EQ-02-0056</x:v>
      </x:c>
      <x:c r="B60" s="38" t="str">
        <x:v>配方输入</x:v>
      </x:c>
      <x:c r="C60" s="38" t="str">
        <x:v>C03-SYN-EQ-02</x:v>
      </x:c>
      <x:c r="D60" s="38" t="str">
        <x:v>C03</x:v>
      </x:c>
      <x:c r="E60" s="38" t="str">
        <x:v>ITEM-B91A3656CC06</x:v>
      </x:c>
      <x:c r="F60" s="38" t="str">
        <x:v>赐福战靴</x:v>
      </x:c>
      <x:c r="G60" s="38" t="str"/>
      <x:c r="H60" s="38" t="str">
        <x:v>基础件/前置</x:v>
      </x:c>
      <x:c r="I60" s="38" t="str">
        <x:v>基础件/前置</x:v>
      </x:c>
      <x:c r="J60" s="38" t="str">
        <x:v>百夫战靴＋赐福战靴</x:v>
      </x:c>
      <x:c r="K60" s="38" t="str">
        <x:v>赐福战靴</x:v>
      </x:c>
      <x:c r="L60" s="38" t="str">
        <x:v>待经济反算</x:v>
      </x:c>
      <x:c r="M60" s="38" t="str">
        <x:v>待经济反算</x:v>
      </x:c>
      <x:c r="N60" s="38" t="str">
        <x:v>是</x:v>
      </x:c>
      <x:c r="O60" s="38" t="str">
        <x:v>否</x:v>
      </x:c>
      <x:c r="P60" s="38" t="str">
        <x:v>否</x:v>
      </x:c>
      <x:c r="Q60" s="38" t="str">
        <x:v>是</x:v>
      </x:c>
      <x:c r="R60" s="38" t="str">
        <x:v>是</x:v>
      </x:c>
      <x:c r="S60" s="38" t="str">
        <x:v>可交易（沿用原物品规则）</x:v>
      </x:c>
      <x:c r="T60" s="38" t="str">
        <x:v>沿用原物品；若为合成成品则禁止回收</x:v>
      </x:c>
      <x:c r="U60" s="38" t="str">
        <x:v>沿用配方交易/绑定列</x:v>
      </x:c>
      <x:c r="V60" s="38" t="str">
        <x:v>结构已确认；数量待经济反算</x:v>
      </x:c>
      <x:c r="W60" s="39" t="str"/>
    </x:row>
    <x:row r="61" ht="42" customHeight="1">
      <x:c r="A61" s="37" t="str">
        <x:v>CON-C03-SYN-EQ-02-0057</x:v>
      </x:c>
      <x:c r="B61" s="38" t="str">
        <x:v>配方输入</x:v>
      </x:c>
      <x:c r="C61" s="38" t="str">
        <x:v>C03-SYN-EQ-02</x:v>
      </x:c>
      <x:c r="D61" s="38" t="str">
        <x:v>C03</x:v>
      </x:c>
      <x:c r="E61" s="38" t="str">
        <x:v>EL-MAT-C03-COM</x:v>
      </x:c>
      <x:c r="F61" s="38" t="str">
        <x:v>风蚀铁片</x:v>
      </x:c>
      <x:c r="G61" s="38" t="str"/>
      <x:c r="H61" s="38" t="str">
        <x:v>高产通用材料</x:v>
      </x:c>
      <x:c r="I61" s="38" t="str">
        <x:v>高产通用材料</x:v>
      </x:c>
      <x:c r="J61" s="38" t="str">
        <x:v>风蚀铁片</x:v>
      </x:c>
      <x:c r="K61" s="38" t="str">
        <x:v>风蚀铁片</x:v>
      </x:c>
      <x:c r="L61" s="38" t="str">
        <x:v>待经济反算</x:v>
      </x:c>
      <x:c r="M61" s="38" t="str">
        <x:v>待经济反算</x:v>
      </x:c>
      <x:c r="N61" s="38" t="str">
        <x:v>是</x:v>
      </x:c>
      <x:c r="O61" s="38" t="str">
        <x:v>否</x:v>
      </x:c>
      <x:c r="P61" s="38" t="str">
        <x:v>否</x:v>
      </x:c>
      <x:c r="Q61" s="38" t="str">
        <x:v>是</x:v>
      </x:c>
      <x:c r="R61" s="38" t="str">
        <x:v>是</x:v>
      </x:c>
      <x:c r="S61" s="38" t="str">
        <x:v>可交易</x:v>
      </x:c>
      <x:c r="T61" s="38" t="str">
        <x:v>R3档金币／元宝主回收口</x:v>
      </x:c>
      <x:c r="U61" s="38" t="str">
        <x:v>产出实物默认不绑定，按现行材料脚本</x:v>
      </x:c>
      <x:c r="V61" s="38" t="str">
        <x:v>结构已确认；数量待经济反算</x:v>
      </x:c>
      <x:c r="W61" s="39" t="str"/>
    </x:row>
    <x:row r="62" ht="42" customHeight="1">
      <x:c r="A62" s="37" t="str">
        <x:v>CON-C03-SYN-EQ-02-0058</x:v>
      </x:c>
      <x:c r="B62" s="38" t="str">
        <x:v>配方输入</x:v>
      </x:c>
      <x:c r="C62" s="38" t="str">
        <x:v>C03-SYN-EQ-02</x:v>
      </x:c>
      <x:c r="D62" s="38" t="str">
        <x:v>C03</x:v>
      </x:c>
      <x:c r="E62" s="38" t="str">
        <x:v>EL-MAT-C03-Q01</x:v>
      </x:c>
      <x:c r="F62" s="38" t="str">
        <x:v>裂风崖羽</x:v>
      </x:c>
      <x:c r="G62" s="38" t="str"/>
      <x:c r="H62" s="38" t="str">
        <x:v>稀有/证物材料</x:v>
      </x:c>
      <x:c r="I62" s="38" t="str">
        <x:v>稀有/证物材料</x:v>
      </x:c>
      <x:c r="J62" s="38" t="str">
        <x:v>裂风崖羽＋哨垒旗冠</x:v>
      </x:c>
      <x:c r="K62" s="38" t="str">
        <x:v>裂风崖羽</x:v>
      </x:c>
      <x:c r="L62" s="38" t="str">
        <x:v>待经济反算</x:v>
      </x:c>
      <x:c r="M62" s="38" t="str">
        <x:v>待经济反算</x:v>
      </x:c>
      <x:c r="N62" s="38" t="str">
        <x:v>是</x:v>
      </x:c>
      <x:c r="O62" s="38" t="str">
        <x:v>否</x:v>
      </x:c>
      <x:c r="P62" s="38" t="str">
        <x:v>否</x:v>
      </x:c>
      <x:c r="Q62" s="38" t="str">
        <x:v>是</x:v>
      </x:c>
      <x:c r="R62" s="38" t="str">
        <x:v>是</x:v>
      </x:c>
      <x:c r="S62" s="38" t="str">
        <x:v>可交易</x:v>
      </x:c>
      <x:c r="T62" s="38" t="str">
        <x:v>不作为自动回收主材</x:v>
      </x:c>
      <x:c r="U62" s="38" t="str">
        <x:v>产出实物默认不绑定，按现行材料脚本</x:v>
      </x:c>
      <x:c r="V62" s="38" t="str">
        <x:v>结构已确认；数量待经济反算</x:v>
      </x:c>
      <x:c r="W62" s="39" t="str"/>
    </x:row>
    <x:row r="63" ht="42" customHeight="1">
      <x:c r="A63" s="37" t="str">
        <x:v>CON-C03-SYN-EQ-02-0059</x:v>
      </x:c>
      <x:c r="B63" s="38" t="str">
        <x:v>配方输入</x:v>
      </x:c>
      <x:c r="C63" s="38" t="str">
        <x:v>C03-SYN-EQ-02</x:v>
      </x:c>
      <x:c r="D63" s="38" t="str">
        <x:v>C03</x:v>
      </x:c>
      <x:c r="E63" s="38" t="str">
        <x:v>EL-MAT-C03-Q04</x:v>
      </x:c>
      <x:c r="F63" s="38" t="str">
        <x:v>哨垒旗冠</x:v>
      </x:c>
      <x:c r="G63" s="38" t="str"/>
      <x:c r="H63" s="38" t="str">
        <x:v>稀有/证物材料</x:v>
      </x:c>
      <x:c r="I63" s="38" t="str">
        <x:v>稀有/证物材料</x:v>
      </x:c>
      <x:c r="J63" s="38" t="str">
        <x:v>裂风崖羽＋哨垒旗冠</x:v>
      </x:c>
      <x:c r="K63" s="38" t="str">
        <x:v>哨垒旗冠</x:v>
      </x:c>
      <x:c r="L63" s="38" t="str">
        <x:v>待经济反算</x:v>
      </x:c>
      <x:c r="M63" s="38" t="str">
        <x:v>待经济反算</x:v>
      </x:c>
      <x:c r="N63" s="38" t="str">
        <x:v>是</x:v>
      </x:c>
      <x:c r="O63" s="38" t="str">
        <x:v>否</x:v>
      </x:c>
      <x:c r="P63" s="38" t="str">
        <x:v>否</x:v>
      </x:c>
      <x:c r="Q63" s="38" t="str">
        <x:v>是</x:v>
      </x:c>
      <x:c r="R63" s="38" t="str">
        <x:v>是</x:v>
      </x:c>
      <x:c r="S63" s="38" t="str">
        <x:v>可交易</x:v>
      </x:c>
      <x:c r="T63" s="38" t="str">
        <x:v>不作为自动回收主材</x:v>
      </x:c>
      <x:c r="U63" s="38" t="str">
        <x:v>产出实物默认不绑定，按现行材料脚本</x:v>
      </x:c>
      <x:c r="V63" s="38" t="str">
        <x:v>结构已确认；数量待经济反算</x:v>
      </x:c>
      <x:c r="W63" s="39" t="str"/>
    </x:row>
    <x:row r="64" ht="42" customHeight="1">
      <x:c r="A64" s="37" t="str">
        <x:v>CON-C03-SYN-EQ-02-0060</x:v>
      </x:c>
      <x:c r="B64" s="38" t="str">
        <x:v>配方输入</x:v>
      </x:c>
      <x:c r="C64" s="38" t="str">
        <x:v>C03-SYN-EQ-02</x:v>
      </x:c>
      <x:c r="D64" s="38" t="str">
        <x:v>C03</x:v>
      </x:c>
      <x:c r="E64" s="38" t="str">
        <x:v>EL-MAT-GLOBAL-SOMBER</x:v>
      </x:c>
      <x:c r="F64" s="38" t="str">
        <x:v>失色锻造石</x:v>
      </x:c>
      <x:c r="G64" s="38" t="str"/>
      <x:c r="H64" s="38" t="str">
        <x:v>全局材料</x:v>
      </x:c>
      <x:c r="I64" s="38" t="str">
        <x:v>全局材料</x:v>
      </x:c>
      <x:c r="J64" s="38" t="str">
        <x:v>失色锻造石</x:v>
      </x:c>
      <x:c r="K64" s="38" t="str">
        <x:v>失色锻造石</x:v>
      </x:c>
      <x:c r="L64" s="38" t="str">
        <x:v>待经济反算</x:v>
      </x:c>
      <x:c r="M64" s="38" t="str">
        <x:v>待经济反算</x:v>
      </x:c>
      <x:c r="N64" s="38" t="str">
        <x:v>是</x:v>
      </x:c>
      <x:c r="O64" s="38" t="str">
        <x:v>否</x:v>
      </x:c>
      <x:c r="P64" s="38" t="str">
        <x:v>否</x:v>
      </x:c>
      <x:c r="Q64" s="38" t="str">
        <x:v>是</x:v>
      </x:c>
      <x:c r="R64" s="38" t="str">
        <x:v>是</x:v>
      </x:c>
      <x:c r="S64" s="38" t="str">
        <x:v>可交易</x:v>
      </x:c>
      <x:c r="T64" s="38" t="str">
        <x:v>不作为自动回收主材</x:v>
      </x:c>
      <x:c r="U64" s="38" t="str">
        <x:v>产出实物默认不绑定，按现行材料脚本</x:v>
      </x:c>
      <x:c r="V64" s="38" t="str">
        <x:v>结构已确认；数量待经济反算</x:v>
      </x:c>
      <x:c r="W64" s="39" t="str"/>
    </x:row>
    <x:row r="65" ht="42" customHeight="1">
      <x:c r="A65" s="37" t="str">
        <x:v>CON-C03-SYN-EQ-02-0061</x:v>
      </x:c>
      <x:c r="B65" s="38" t="str">
        <x:v>配方输入</x:v>
      </x:c>
      <x:c r="C65" s="38" t="str">
        <x:v>C03-SYN-EQ-02</x:v>
      </x:c>
      <x:c r="D65" s="38" t="str">
        <x:v>C03</x:v>
      </x:c>
      <x:c r="E65" s="38" t="str">
        <x:v>CUR-GOLD</x:v>
      </x:c>
      <x:c r="F65" s="38" t="str">
        <x:v>金币</x:v>
      </x:c>
      <x:c r="G65" s="38" t="str"/>
      <x:c r="H65" s="38" t="str">
        <x:v>金币/元宝/灵符</x:v>
      </x:c>
      <x:c r="I65" s="38" t="str">
        <x:v>货币</x:v>
      </x:c>
      <x:c r="J65" s="38" t="str">
        <x:v>金币</x:v>
      </x:c>
      <x:c r="K65" s="38" t="str">
        <x:v>金币</x:v>
      </x:c>
      <x:c r="L65" s="38" t="str">
        <x:v>待经济反算</x:v>
      </x:c>
      <x:c r="M65" s="38" t="str">
        <x:v>待经济反算</x:v>
      </x:c>
      <x:c r="N65" s="38" t="str">
        <x:v>是</x:v>
      </x:c>
      <x:c r="O65" s="38" t="str">
        <x:v>否</x:v>
      </x:c>
      <x:c r="P65" s="38" t="str">
        <x:v>否</x:v>
      </x:c>
      <x:c r="Q65" s="38" t="str">
        <x:v>是</x:v>
      </x:c>
      <x:c r="R65" s="38" t="str">
        <x:v>是</x:v>
      </x:c>
      <x:c r="S65" s="38" t="str">
        <x:v>不进入玩家摆摊；通过交易物间接流通</x:v>
      </x:c>
      <x:c r="T65" s="38" t="str">
        <x:v>货币本身不可回收</x:v>
      </x:c>
      <x:c r="U65" s="38" t="str">
        <x:v>沿用现行货币账户</x:v>
      </x:c>
      <x:c r="V65" s="38" t="str">
        <x:v>结构已确认；数量待经济反算</x:v>
      </x:c>
      <x:c r="W65" s="39" t="str"/>
    </x:row>
    <x:row r="66" ht="42" customHeight="1">
      <x:c r="A66" s="37" t="str">
        <x:v>CON-C04-SYN-EQ-01-0062</x:v>
      </x:c>
      <x:c r="B66" s="38" t="str">
        <x:v>配方输入</x:v>
      </x:c>
      <x:c r="C66" s="38" t="str">
        <x:v>C04-SYN-EQ-01</x:v>
      </x:c>
      <x:c r="D66" s="38" t="str">
        <x:v>C04</x:v>
      </x:c>
      <x:c r="E66" s="38" t="str">
        <x:v>ITEM-E6EE0BFC1EDB</x:v>
      </x:c>
      <x:c r="F66" s="38" t="str">
        <x:v>孢母菌带</x:v>
      </x:c>
      <x:c r="G66" s="38" t="str"/>
      <x:c r="H66" s="38" t="str">
        <x:v>基础件/前置</x:v>
      </x:c>
      <x:c r="I66" s="38" t="str">
        <x:v>基础件/前置</x:v>
      </x:c>
      <x:c r="J66" s="38" t="str">
        <x:v>孢母菌带＋缝舱腰箍</x:v>
      </x:c>
      <x:c r="K66" s="38" t="str">
        <x:v>孢母菌带</x:v>
      </x:c>
      <x:c r="L66" s="38" t="str">
        <x:v>待经济反算</x:v>
      </x:c>
      <x:c r="M66" s="38" t="str">
        <x:v>待经济反算</x:v>
      </x:c>
      <x:c r="N66" s="38" t="str">
        <x:v>是</x:v>
      </x:c>
      <x:c r="O66" s="38" t="str">
        <x:v>否</x:v>
      </x:c>
      <x:c r="P66" s="38" t="str">
        <x:v>否</x:v>
      </x:c>
      <x:c r="Q66" s="38" t="str">
        <x:v>是</x:v>
      </x:c>
      <x:c r="R66" s="38" t="str">
        <x:v>是</x:v>
      </x:c>
      <x:c r="S66" s="38" t="str">
        <x:v>可交易（沿用原物品规则）</x:v>
      </x:c>
      <x:c r="T66" s="38" t="str">
        <x:v>沿用原物品；若为合成成品则禁止回收</x:v>
      </x:c>
      <x:c r="U66" s="38" t="str">
        <x:v>沿用配方交易/绑定列</x:v>
      </x:c>
      <x:c r="V66" s="38" t="str">
        <x:v>结构已确认；数量待经济反算</x:v>
      </x:c>
      <x:c r="W66" s="39" t="str"/>
    </x:row>
    <x:row r="67" ht="42" customHeight="1">
      <x:c r="A67" s="37" t="str">
        <x:v>CON-C04-SYN-EQ-01-0063</x:v>
      </x:c>
      <x:c r="B67" s="38" t="str">
        <x:v>配方输入</x:v>
      </x:c>
      <x:c r="C67" s="38" t="str">
        <x:v>C04-SYN-EQ-01</x:v>
      </x:c>
      <x:c r="D67" s="38" t="str">
        <x:v>C04</x:v>
      </x:c>
      <x:c r="E67" s="38" t="str">
        <x:v>ITEM-4811860B004A</x:v>
      </x:c>
      <x:c r="F67" s="38" t="str">
        <x:v>缝舱腰箍</x:v>
      </x:c>
      <x:c r="G67" s="38" t="str"/>
      <x:c r="H67" s="38" t="str">
        <x:v>基础件/前置</x:v>
      </x:c>
      <x:c r="I67" s="38" t="str">
        <x:v>基础件/前置</x:v>
      </x:c>
      <x:c r="J67" s="38" t="str">
        <x:v>孢母菌带＋缝舱腰箍</x:v>
      </x:c>
      <x:c r="K67" s="38" t="str">
        <x:v>缝舱腰箍</x:v>
      </x:c>
      <x:c r="L67" s="38" t="str">
        <x:v>待经济反算</x:v>
      </x:c>
      <x:c r="M67" s="38" t="str">
        <x:v>待经济反算</x:v>
      </x:c>
      <x:c r="N67" s="38" t="str">
        <x:v>是</x:v>
      </x:c>
      <x:c r="O67" s="38" t="str">
        <x:v>否</x:v>
      </x:c>
      <x:c r="P67" s="38" t="str">
        <x:v>否</x:v>
      </x:c>
      <x:c r="Q67" s="38" t="str">
        <x:v>是</x:v>
      </x:c>
      <x:c r="R67" s="38" t="str">
        <x:v>是</x:v>
      </x:c>
      <x:c r="S67" s="38" t="str">
        <x:v>可交易（沿用原物品规则）</x:v>
      </x:c>
      <x:c r="T67" s="38" t="str">
        <x:v>沿用原物品；若为合成成品则禁止回收</x:v>
      </x:c>
      <x:c r="U67" s="38" t="str">
        <x:v>沿用配方交易/绑定列</x:v>
      </x:c>
      <x:c r="V67" s="38" t="str">
        <x:v>结构已确认；数量待经济反算</x:v>
      </x:c>
      <x:c r="W67" s="39" t="str"/>
    </x:row>
    <x:row r="68" ht="42" customHeight="1">
      <x:c r="A68" s="37" t="str">
        <x:v>CON-C04-SYN-EQ-01-0064</x:v>
      </x:c>
      <x:c r="B68" s="38" t="str">
        <x:v>配方输入</x:v>
      </x:c>
      <x:c r="C68" s="38" t="str">
        <x:v>C04-SYN-EQ-01</x:v>
      </x:c>
      <x:c r="D68" s="38" t="str">
        <x:v>C04</x:v>
      </x:c>
      <x:c r="E68" s="38" t="str">
        <x:v>EL-MAT-C04-COM</x:v>
      </x:c>
      <x:c r="F68" s="38" t="str">
        <x:v>湖盐结晶</x:v>
      </x:c>
      <x:c r="G68" s="38" t="str"/>
      <x:c r="H68" s="38" t="str">
        <x:v>高产通用材料</x:v>
      </x:c>
      <x:c r="I68" s="38" t="str">
        <x:v>高产通用材料</x:v>
      </x:c>
      <x:c r="J68" s="38" t="str">
        <x:v>湖盐结晶</x:v>
      </x:c>
      <x:c r="K68" s="38" t="str">
        <x:v>湖盐结晶</x:v>
      </x:c>
      <x:c r="L68" s="38" t="str">
        <x:v>待经济反算</x:v>
      </x:c>
      <x:c r="M68" s="38" t="str">
        <x:v>待经济反算</x:v>
      </x:c>
      <x:c r="N68" s="38" t="str">
        <x:v>是</x:v>
      </x:c>
      <x:c r="O68" s="38" t="str">
        <x:v>否</x:v>
      </x:c>
      <x:c r="P68" s="38" t="str">
        <x:v>否</x:v>
      </x:c>
      <x:c r="Q68" s="38" t="str">
        <x:v>是</x:v>
      </x:c>
      <x:c r="R68" s="38" t="str">
        <x:v>是</x:v>
      </x:c>
      <x:c r="S68" s="38" t="str">
        <x:v>可交易</x:v>
      </x:c>
      <x:c r="T68" s="38" t="str">
        <x:v>R4档金币／元宝主回收口</x:v>
      </x:c>
      <x:c r="U68" s="38" t="str">
        <x:v>产出实物默认不绑定，按现行材料脚本</x:v>
      </x:c>
      <x:c r="V68" s="38" t="str">
        <x:v>结构已确认；数量待经济反算</x:v>
      </x:c>
      <x:c r="W68" s="39" t="str"/>
    </x:row>
    <x:row r="69" ht="42" customHeight="1">
      <x:c r="A69" s="37" t="str">
        <x:v>CON-C04-SYN-EQ-01-0065</x:v>
      </x:c>
      <x:c r="B69" s="38" t="str">
        <x:v>配方输入</x:v>
      </x:c>
      <x:c r="C69" s="38" t="str">
        <x:v>C04-SYN-EQ-01</x:v>
      </x:c>
      <x:c r="D69" s="38" t="str">
        <x:v>C04</x:v>
      </x:c>
      <x:c r="E69" s="38" t="str">
        <x:v>EL-MAT-C04-Q02</x:v>
      </x:c>
      <x:c r="F69" s="38" t="str">
        <x:v>沉船缆扣</x:v>
      </x:c>
      <x:c r="G69" s="38" t="str"/>
      <x:c r="H69" s="38" t="str">
        <x:v>稀有/证物材料</x:v>
      </x:c>
      <x:c r="I69" s="38" t="str">
        <x:v>稀有/证物材料</x:v>
      </x:c>
      <x:c r="J69" s="38" t="str">
        <x:v>沉船缆扣＋沉湖王印</x:v>
      </x:c>
      <x:c r="K69" s="38" t="str">
        <x:v>沉船缆扣</x:v>
      </x:c>
      <x:c r="L69" s="38" t="str">
        <x:v>待经济反算</x:v>
      </x:c>
      <x:c r="M69" s="38" t="str">
        <x:v>待经济反算</x:v>
      </x:c>
      <x:c r="N69" s="38" t="str">
        <x:v>是</x:v>
      </x:c>
      <x:c r="O69" s="38" t="str">
        <x:v>否</x:v>
      </x:c>
      <x:c r="P69" s="38" t="str">
        <x:v>否</x:v>
      </x:c>
      <x:c r="Q69" s="38" t="str">
        <x:v>是</x:v>
      </x:c>
      <x:c r="R69" s="38" t="str">
        <x:v>是</x:v>
      </x:c>
      <x:c r="S69" s="38" t="str">
        <x:v>可交易</x:v>
      </x:c>
      <x:c r="T69" s="38" t="str">
        <x:v>不作为自动回收主材</x:v>
      </x:c>
      <x:c r="U69" s="38" t="str">
        <x:v>产出实物默认不绑定，按现行材料脚本</x:v>
      </x:c>
      <x:c r="V69" s="38" t="str">
        <x:v>结构已确认；数量待经济反算</x:v>
      </x:c>
      <x:c r="W69" s="39" t="str"/>
    </x:row>
    <x:row r="70" ht="42" customHeight="1">
      <x:c r="A70" s="37" t="str">
        <x:v>CON-C04-SYN-EQ-01-0066</x:v>
      </x:c>
      <x:c r="B70" s="38" t="str">
        <x:v>配方输入</x:v>
      </x:c>
      <x:c r="C70" s="38" t="str">
        <x:v>C04-SYN-EQ-01</x:v>
      </x:c>
      <x:c r="D70" s="38" t="str">
        <x:v>C04</x:v>
      </x:c>
      <x:c r="E70" s="38" t="str">
        <x:v>EL-MAT-C04-MARK</x:v>
      </x:c>
      <x:c r="F70" s="38" t="str">
        <x:v>沉湖王印</x:v>
      </x:c>
      <x:c r="G70" s="38" t="str"/>
      <x:c r="H70" s="38" t="str">
        <x:v>稀有/证物材料</x:v>
      </x:c>
      <x:c r="I70" s="38" t="str">
        <x:v>稀有/证物材料</x:v>
      </x:c>
      <x:c r="J70" s="38" t="str">
        <x:v>沉船缆扣＋沉湖王印</x:v>
      </x:c>
      <x:c r="K70" s="38" t="str">
        <x:v>沉湖王印</x:v>
      </x:c>
      <x:c r="L70" s="38" t="str">
        <x:v>待经济反算</x:v>
      </x:c>
      <x:c r="M70" s="38" t="str">
        <x:v>待经济反算</x:v>
      </x:c>
      <x:c r="N70" s="38" t="str">
        <x:v>是</x:v>
      </x:c>
      <x:c r="O70" s="38" t="str">
        <x:v>否</x:v>
      </x:c>
      <x:c r="P70" s="38" t="str">
        <x:v>否</x:v>
      </x:c>
      <x:c r="Q70" s="38" t="str">
        <x:v>是</x:v>
      </x:c>
      <x:c r="R70" s="38" t="str">
        <x:v>是</x:v>
      </x:c>
      <x:c r="S70" s="38" t="str">
        <x:v>可交易</x:v>
      </x:c>
      <x:c r="T70" s="38" t="str">
        <x:v>不作为自动回收主材</x:v>
      </x:c>
      <x:c r="U70" s="38" t="str">
        <x:v>产出实物默认不绑定，按现行材料脚本</x:v>
      </x:c>
      <x:c r="V70" s="38" t="str">
        <x:v>结构已确认；数量待经济反算</x:v>
      </x:c>
      <x:c r="W70" s="39" t="str"/>
    </x:row>
    <x:row r="71" ht="42" customHeight="1">
      <x:c r="A71" s="37" t="str">
        <x:v>CON-C04-SYN-EQ-01-0067</x:v>
      </x:c>
      <x:c r="B71" s="38" t="str">
        <x:v>配方输入</x:v>
      </x:c>
      <x:c r="C71" s="38" t="str">
        <x:v>C04-SYN-EQ-01</x:v>
      </x:c>
      <x:c r="D71" s="38" t="str">
        <x:v>C04</x:v>
      </x:c>
      <x:c r="E71" s="38" t="str">
        <x:v>EL-MAT-GLOBAL-SOMBER</x:v>
      </x:c>
      <x:c r="F71" s="38" t="str">
        <x:v>失色锻造石</x:v>
      </x:c>
      <x:c r="G71" s="38" t="str"/>
      <x:c r="H71" s="38" t="str">
        <x:v>全局材料</x:v>
      </x:c>
      <x:c r="I71" s="38" t="str">
        <x:v>全局材料</x:v>
      </x:c>
      <x:c r="J71" s="38" t="str">
        <x:v>失色锻造石</x:v>
      </x:c>
      <x:c r="K71" s="38" t="str">
        <x:v>失色锻造石</x:v>
      </x:c>
      <x:c r="L71" s="38" t="str">
        <x:v>待经济反算</x:v>
      </x:c>
      <x:c r="M71" s="38" t="str">
        <x:v>待经济反算</x:v>
      </x:c>
      <x:c r="N71" s="38" t="str">
        <x:v>是</x:v>
      </x:c>
      <x:c r="O71" s="38" t="str">
        <x:v>否</x:v>
      </x:c>
      <x:c r="P71" s="38" t="str">
        <x:v>否</x:v>
      </x:c>
      <x:c r="Q71" s="38" t="str">
        <x:v>是</x:v>
      </x:c>
      <x:c r="R71" s="38" t="str">
        <x:v>是</x:v>
      </x:c>
      <x:c r="S71" s="38" t="str">
        <x:v>可交易</x:v>
      </x:c>
      <x:c r="T71" s="38" t="str">
        <x:v>不作为自动回收主材</x:v>
      </x:c>
      <x:c r="U71" s="38" t="str">
        <x:v>产出实物默认不绑定，按现行材料脚本</x:v>
      </x:c>
      <x:c r="V71" s="38" t="str">
        <x:v>结构已确认；数量待经济反算</x:v>
      </x:c>
      <x:c r="W71" s="39" t="str"/>
    </x:row>
    <x:row r="72" ht="42" customHeight="1">
      <x:c r="A72" s="37" t="str">
        <x:v>CON-C04-SYN-EQ-01-0068</x:v>
      </x:c>
      <x:c r="B72" s="38" t="str">
        <x:v>配方输入</x:v>
      </x:c>
      <x:c r="C72" s="38" t="str">
        <x:v>C04-SYN-EQ-01</x:v>
      </x:c>
      <x:c r="D72" s="38" t="str">
        <x:v>C04</x:v>
      </x:c>
      <x:c r="E72" s="38" t="str">
        <x:v>CUR-GOLD</x:v>
      </x:c>
      <x:c r="F72" s="38" t="str">
        <x:v>金币</x:v>
      </x:c>
      <x:c r="G72" s="38" t="str"/>
      <x:c r="H72" s="38" t="str">
        <x:v>金币/元宝/灵符</x:v>
      </x:c>
      <x:c r="I72" s="38" t="str">
        <x:v>货币</x:v>
      </x:c>
      <x:c r="J72" s="38" t="str">
        <x:v>金币＋元宝</x:v>
      </x:c>
      <x:c r="K72" s="38" t="str">
        <x:v>金币</x:v>
      </x:c>
      <x:c r="L72" s="38" t="str">
        <x:v>待经济反算</x:v>
      </x:c>
      <x:c r="M72" s="38" t="str">
        <x:v>待经济反算</x:v>
      </x:c>
      <x:c r="N72" s="38" t="str">
        <x:v>是</x:v>
      </x:c>
      <x:c r="O72" s="38" t="str">
        <x:v>否</x:v>
      </x:c>
      <x:c r="P72" s="38" t="str">
        <x:v>否</x:v>
      </x:c>
      <x:c r="Q72" s="38" t="str">
        <x:v>是</x:v>
      </x:c>
      <x:c r="R72" s="38" t="str">
        <x:v>是</x:v>
      </x:c>
      <x:c r="S72" s="38" t="str">
        <x:v>不进入玩家摆摊；通过交易物间接流通</x:v>
      </x:c>
      <x:c r="T72" s="38" t="str">
        <x:v>货币本身不可回收</x:v>
      </x:c>
      <x:c r="U72" s="38" t="str">
        <x:v>沿用现行货币账户</x:v>
      </x:c>
      <x:c r="V72" s="38" t="str">
        <x:v>结构已确认；数量待经济反算</x:v>
      </x:c>
      <x:c r="W72" s="39" t="str"/>
    </x:row>
    <x:row r="73" ht="42" customHeight="1">
      <x:c r="A73" s="37" t="str">
        <x:v>CON-C04-SYN-EQ-01-0069</x:v>
      </x:c>
      <x:c r="B73" s="38" t="str">
        <x:v>配方输入</x:v>
      </x:c>
      <x:c r="C73" s="38" t="str">
        <x:v>C04-SYN-EQ-01</x:v>
      </x:c>
      <x:c r="D73" s="38" t="str">
        <x:v>C04</x:v>
      </x:c>
      <x:c r="E73" s="38" t="str">
        <x:v>CUR-YUANBAO</x:v>
      </x:c>
      <x:c r="F73" s="38" t="str">
        <x:v>元宝</x:v>
      </x:c>
      <x:c r="G73" s="38" t="str"/>
      <x:c r="H73" s="38" t="str">
        <x:v>金币/元宝/灵符</x:v>
      </x:c>
      <x:c r="I73" s="38" t="str">
        <x:v>货币</x:v>
      </x:c>
      <x:c r="J73" s="38" t="str">
        <x:v>金币＋元宝</x:v>
      </x:c>
      <x:c r="K73" s="38" t="str">
        <x:v>元宝</x:v>
      </x:c>
      <x:c r="L73" s="38" t="str">
        <x:v>待经济反算</x:v>
      </x:c>
      <x:c r="M73" s="38" t="str">
        <x:v>待经济反算</x:v>
      </x:c>
      <x:c r="N73" s="38" t="str">
        <x:v>是</x:v>
      </x:c>
      <x:c r="O73" s="38" t="str">
        <x:v>否</x:v>
      </x:c>
      <x:c r="P73" s="38" t="str">
        <x:v>否</x:v>
      </x:c>
      <x:c r="Q73" s="38" t="str">
        <x:v>是</x:v>
      </x:c>
      <x:c r="R73" s="38" t="str">
        <x:v>是</x:v>
      </x:c>
      <x:c r="S73" s="38" t="str">
        <x:v>不进入玩家摆摊；通过交易物间接流通</x:v>
      </x:c>
      <x:c r="T73" s="38" t="str">
        <x:v>货币本身不可回收</x:v>
      </x:c>
      <x:c r="U73" s="38" t="str">
        <x:v>沿用现行货币账户</x:v>
      </x:c>
      <x:c r="V73" s="38" t="str">
        <x:v>结构已确认；数量待经济反算</x:v>
      </x:c>
      <x:c r="W73" s="39" t="str"/>
    </x:row>
    <x:row r="74" ht="42" customHeight="1">
      <x:c r="A74" s="37" t="str">
        <x:v>CON-C04-SYN-EQ-02-0070</x:v>
      </x:c>
      <x:c r="B74" s="38" t="str">
        <x:v>配方输入</x:v>
      </x:c>
      <x:c r="C74" s="38" t="str">
        <x:v>C04-SYN-EQ-02</x:v>
      </x:c>
      <x:c r="D74" s="38" t="str">
        <x:v>C04</x:v>
      </x:c>
      <x:c r="E74" s="38" t="str">
        <x:v>ITEM-D50092E6C716</x:v>
      </x:c>
      <x:c r="F74" s="38" t="str">
        <x:v>蓝焰祷戒</x:v>
      </x:c>
      <x:c r="G74" s="38" t="str"/>
      <x:c r="H74" s="38" t="str">
        <x:v>基础件/前置</x:v>
      </x:c>
      <x:c r="I74" s="38" t="str">
        <x:v>基础件/前置</x:v>
      </x:c>
      <x:c r="J74" s="38" t="str">
        <x:v>蓝焰祷戒＋湖尸钥戒</x:v>
      </x:c>
      <x:c r="K74" s="38" t="str">
        <x:v>蓝焰祷戒</x:v>
      </x:c>
      <x:c r="L74" s="38" t="str">
        <x:v>待经济反算</x:v>
      </x:c>
      <x:c r="M74" s="38" t="str">
        <x:v>待经济反算</x:v>
      </x:c>
      <x:c r="N74" s="38" t="str">
        <x:v>是</x:v>
      </x:c>
      <x:c r="O74" s="38" t="str">
        <x:v>否</x:v>
      </x:c>
      <x:c r="P74" s="38" t="str">
        <x:v>否</x:v>
      </x:c>
      <x:c r="Q74" s="38" t="str">
        <x:v>是</x:v>
      </x:c>
      <x:c r="R74" s="38" t="str">
        <x:v>是</x:v>
      </x:c>
      <x:c r="S74" s="38" t="str">
        <x:v>可交易（沿用原物品规则）</x:v>
      </x:c>
      <x:c r="T74" s="38" t="str">
        <x:v>沿用原物品；若为合成成品则禁止回收</x:v>
      </x:c>
      <x:c r="U74" s="38" t="str">
        <x:v>沿用配方交易/绑定列</x:v>
      </x:c>
      <x:c r="V74" s="38" t="str">
        <x:v>结构已确认；数量待经济反算</x:v>
      </x:c>
      <x:c r="W74" s="39" t="str"/>
    </x:row>
    <x:row r="75" ht="42" customHeight="1">
      <x:c r="A75" s="37" t="str">
        <x:v>CON-C04-SYN-EQ-02-0071</x:v>
      </x:c>
      <x:c r="B75" s="38" t="str">
        <x:v>配方输入</x:v>
      </x:c>
      <x:c r="C75" s="38" t="str">
        <x:v>C04-SYN-EQ-02</x:v>
      </x:c>
      <x:c r="D75" s="38" t="str">
        <x:v>C04</x:v>
      </x:c>
      <x:c r="E75" s="38" t="str">
        <x:v>ITEM-6D52D7379831</x:v>
      </x:c>
      <x:c r="F75" s="38" t="str">
        <x:v>湖尸钥戒</x:v>
      </x:c>
      <x:c r="G75" s="38" t="str"/>
      <x:c r="H75" s="38" t="str">
        <x:v>基础件/前置</x:v>
      </x:c>
      <x:c r="I75" s="38" t="str">
        <x:v>基础件/前置</x:v>
      </x:c>
      <x:c r="J75" s="38" t="str">
        <x:v>蓝焰祷戒＋湖尸钥戒</x:v>
      </x:c>
      <x:c r="K75" s="38" t="str">
        <x:v>湖尸钥戒</x:v>
      </x:c>
      <x:c r="L75" s="38" t="str">
        <x:v>待经济反算</x:v>
      </x:c>
      <x:c r="M75" s="38" t="str">
        <x:v>待经济反算</x:v>
      </x:c>
      <x:c r="N75" s="38" t="str">
        <x:v>是</x:v>
      </x:c>
      <x:c r="O75" s="38" t="str">
        <x:v>否</x:v>
      </x:c>
      <x:c r="P75" s="38" t="str">
        <x:v>否</x:v>
      </x:c>
      <x:c r="Q75" s="38" t="str">
        <x:v>是</x:v>
      </x:c>
      <x:c r="R75" s="38" t="str">
        <x:v>是</x:v>
      </x:c>
      <x:c r="S75" s="38" t="str">
        <x:v>可交易（沿用原物品规则）</x:v>
      </x:c>
      <x:c r="T75" s="38" t="str">
        <x:v>沿用原物品；若为合成成品则禁止回收</x:v>
      </x:c>
      <x:c r="U75" s="38" t="str">
        <x:v>沿用配方交易/绑定列</x:v>
      </x:c>
      <x:c r="V75" s="38" t="str">
        <x:v>结构已确认；数量待经济反算</x:v>
      </x:c>
      <x:c r="W75" s="39" t="str"/>
    </x:row>
    <x:row r="76" ht="42" customHeight="1">
      <x:c r="A76" s="37" t="str">
        <x:v>CON-C04-SYN-EQ-02-0072</x:v>
      </x:c>
      <x:c r="B76" s="38" t="str">
        <x:v>配方输入</x:v>
      </x:c>
      <x:c r="C76" s="38" t="str">
        <x:v>C04-SYN-EQ-02</x:v>
      </x:c>
      <x:c r="D76" s="38" t="str">
        <x:v>C04</x:v>
      </x:c>
      <x:c r="E76" s="38" t="str">
        <x:v>EL-MAT-C04-COM</x:v>
      </x:c>
      <x:c r="F76" s="38" t="str">
        <x:v>湖盐结晶</x:v>
      </x:c>
      <x:c r="G76" s="38" t="str"/>
      <x:c r="H76" s="38" t="str">
        <x:v>高产通用材料</x:v>
      </x:c>
      <x:c r="I76" s="38" t="str">
        <x:v>高产通用材料</x:v>
      </x:c>
      <x:c r="J76" s="38" t="str">
        <x:v>湖盐结晶</x:v>
      </x:c>
      <x:c r="K76" s="38" t="str">
        <x:v>湖盐结晶</x:v>
      </x:c>
      <x:c r="L76" s="38" t="str">
        <x:v>待经济反算</x:v>
      </x:c>
      <x:c r="M76" s="38" t="str">
        <x:v>待经济反算</x:v>
      </x:c>
      <x:c r="N76" s="38" t="str">
        <x:v>是</x:v>
      </x:c>
      <x:c r="O76" s="38" t="str">
        <x:v>否</x:v>
      </x:c>
      <x:c r="P76" s="38" t="str">
        <x:v>否</x:v>
      </x:c>
      <x:c r="Q76" s="38" t="str">
        <x:v>是</x:v>
      </x:c>
      <x:c r="R76" s="38" t="str">
        <x:v>是</x:v>
      </x:c>
      <x:c r="S76" s="38" t="str">
        <x:v>可交易</x:v>
      </x:c>
      <x:c r="T76" s="38" t="str">
        <x:v>R4档金币／元宝主回收口</x:v>
      </x:c>
      <x:c r="U76" s="38" t="str">
        <x:v>产出实物默认不绑定，按现行材料脚本</x:v>
      </x:c>
      <x:c r="V76" s="38" t="str">
        <x:v>结构已确认；数量待经济反算</x:v>
      </x:c>
      <x:c r="W76" s="39" t="str"/>
    </x:row>
    <x:row r="77" ht="42" customHeight="1">
      <x:c r="A77" s="37" t="str">
        <x:v>CON-C04-SYN-EQ-02-0073</x:v>
      </x:c>
      <x:c r="B77" s="38" t="str">
        <x:v>配方输入</x:v>
      </x:c>
      <x:c r="C77" s="38" t="str">
        <x:v>C04-SYN-EQ-02</x:v>
      </x:c>
      <x:c r="D77" s="38" t="str">
        <x:v>C04</x:v>
      </x:c>
      <x:c r="E77" s="38" t="str">
        <x:v>EL-MAT-C04-Q01</x:v>
      </x:c>
      <x:c r="F77" s="38" t="str">
        <x:v>雾潮银鳞</x:v>
      </x:c>
      <x:c r="G77" s="38" t="str"/>
      <x:c r="H77" s="38" t="str">
        <x:v>稀有/证物材料</x:v>
      </x:c>
      <x:c r="I77" s="38" t="str">
        <x:v>稀有/证物材料</x:v>
      </x:c>
      <x:c r="J77" s="38" t="str">
        <x:v>雾潮银鳞＋湖底封门珠</x:v>
      </x:c>
      <x:c r="K77" s="38" t="str">
        <x:v>雾潮银鳞</x:v>
      </x:c>
      <x:c r="L77" s="38" t="str">
        <x:v>待经济反算</x:v>
      </x:c>
      <x:c r="M77" s="38" t="str">
        <x:v>待经济反算</x:v>
      </x:c>
      <x:c r="N77" s="38" t="str">
        <x:v>是</x:v>
      </x:c>
      <x:c r="O77" s="38" t="str">
        <x:v>否</x:v>
      </x:c>
      <x:c r="P77" s="38" t="str">
        <x:v>否</x:v>
      </x:c>
      <x:c r="Q77" s="38" t="str">
        <x:v>是</x:v>
      </x:c>
      <x:c r="R77" s="38" t="str">
        <x:v>是</x:v>
      </x:c>
      <x:c r="S77" s="38" t="str">
        <x:v>可交易</x:v>
      </x:c>
      <x:c r="T77" s="38" t="str">
        <x:v>不作为自动回收主材</x:v>
      </x:c>
      <x:c r="U77" s="38" t="str">
        <x:v>产出实物默认不绑定，按现行材料脚本</x:v>
      </x:c>
      <x:c r="V77" s="38" t="str">
        <x:v>结构已确认；数量待经济反算</x:v>
      </x:c>
      <x:c r="W77" s="39" t="str"/>
    </x:row>
    <x:row r="78" ht="42" customHeight="1">
      <x:c r="A78" s="37" t="str">
        <x:v>CON-C04-SYN-EQ-02-0074</x:v>
      </x:c>
      <x:c r="B78" s="38" t="str">
        <x:v>配方输入</x:v>
      </x:c>
      <x:c r="C78" s="38" t="str">
        <x:v>C04-SYN-EQ-02</x:v>
      </x:c>
      <x:c r="D78" s="38" t="str">
        <x:v>C04</x:v>
      </x:c>
      <x:c r="E78" s="38" t="str">
        <x:v>EL-MAT-C04-Q04</x:v>
      </x:c>
      <x:c r="F78" s="38" t="str">
        <x:v>湖底封门珠</x:v>
      </x:c>
      <x:c r="G78" s="38" t="str"/>
      <x:c r="H78" s="38" t="str">
        <x:v>稀有/证物材料</x:v>
      </x:c>
      <x:c r="I78" s="38" t="str">
        <x:v>稀有/证物材料</x:v>
      </x:c>
      <x:c r="J78" s="38" t="str">
        <x:v>雾潮银鳞＋湖底封门珠</x:v>
      </x:c>
      <x:c r="K78" s="38" t="str">
        <x:v>湖底封门珠</x:v>
      </x:c>
      <x:c r="L78" s="38" t="str">
        <x:v>待经济反算</x:v>
      </x:c>
      <x:c r="M78" s="38" t="str">
        <x:v>待经济反算</x:v>
      </x:c>
      <x:c r="N78" s="38" t="str">
        <x:v>是</x:v>
      </x:c>
      <x:c r="O78" s="38" t="str">
        <x:v>否</x:v>
      </x:c>
      <x:c r="P78" s="38" t="str">
        <x:v>否</x:v>
      </x:c>
      <x:c r="Q78" s="38" t="str">
        <x:v>是</x:v>
      </x:c>
      <x:c r="R78" s="38" t="str">
        <x:v>是</x:v>
      </x:c>
      <x:c r="S78" s="38" t="str">
        <x:v>可交易</x:v>
      </x:c>
      <x:c r="T78" s="38" t="str">
        <x:v>不作为自动回收主材</x:v>
      </x:c>
      <x:c r="U78" s="38" t="str">
        <x:v>产出实物默认不绑定，按现行材料脚本</x:v>
      </x:c>
      <x:c r="V78" s="38" t="str">
        <x:v>结构已确认；数量待经济反算</x:v>
      </x:c>
      <x:c r="W78" s="39" t="str"/>
    </x:row>
    <x:row r="79" ht="42" customHeight="1">
      <x:c r="A79" s="37" t="str">
        <x:v>CON-C04-SYN-EQ-02-0075</x:v>
      </x:c>
      <x:c r="B79" s="38" t="str">
        <x:v>配方输入</x:v>
      </x:c>
      <x:c r="C79" s="38" t="str">
        <x:v>C04-SYN-EQ-02</x:v>
      </x:c>
      <x:c r="D79" s="38" t="str">
        <x:v>C04</x:v>
      </x:c>
      <x:c r="E79" s="38" t="str">
        <x:v>EL-MAT-GLOBAL-SOMBER</x:v>
      </x:c>
      <x:c r="F79" s="38" t="str">
        <x:v>失色锻造石</x:v>
      </x:c>
      <x:c r="G79" s="38" t="str"/>
      <x:c r="H79" s="38" t="str">
        <x:v>全局材料</x:v>
      </x:c>
      <x:c r="I79" s="38" t="str">
        <x:v>全局材料</x:v>
      </x:c>
      <x:c r="J79" s="38" t="str">
        <x:v>失色锻造石</x:v>
      </x:c>
      <x:c r="K79" s="38" t="str">
        <x:v>失色锻造石</x:v>
      </x:c>
      <x:c r="L79" s="38" t="str">
        <x:v>待经济反算</x:v>
      </x:c>
      <x:c r="M79" s="38" t="str">
        <x:v>待经济反算</x:v>
      </x:c>
      <x:c r="N79" s="38" t="str">
        <x:v>是</x:v>
      </x:c>
      <x:c r="O79" s="38" t="str">
        <x:v>否</x:v>
      </x:c>
      <x:c r="P79" s="38" t="str">
        <x:v>否</x:v>
      </x:c>
      <x:c r="Q79" s="38" t="str">
        <x:v>是</x:v>
      </x:c>
      <x:c r="R79" s="38" t="str">
        <x:v>是</x:v>
      </x:c>
      <x:c r="S79" s="38" t="str">
        <x:v>可交易</x:v>
      </x:c>
      <x:c r="T79" s="38" t="str">
        <x:v>不作为自动回收主材</x:v>
      </x:c>
      <x:c r="U79" s="38" t="str">
        <x:v>产出实物默认不绑定，按现行材料脚本</x:v>
      </x:c>
      <x:c r="V79" s="38" t="str">
        <x:v>结构已确认；数量待经济反算</x:v>
      </x:c>
      <x:c r="W79" s="39" t="str"/>
    </x:row>
    <x:row r="80" ht="42" customHeight="1">
      <x:c r="A80" s="37" t="str">
        <x:v>CON-C04-SYN-EQ-02-0076</x:v>
      </x:c>
      <x:c r="B80" s="38" t="str">
        <x:v>配方输入</x:v>
      </x:c>
      <x:c r="C80" s="38" t="str">
        <x:v>C04-SYN-EQ-02</x:v>
      </x:c>
      <x:c r="D80" s="38" t="str">
        <x:v>C04</x:v>
      </x:c>
      <x:c r="E80" s="38" t="str">
        <x:v>CUR-GOLD</x:v>
      </x:c>
      <x:c r="F80" s="38" t="str">
        <x:v>金币</x:v>
      </x:c>
      <x:c r="G80" s="38" t="str"/>
      <x:c r="H80" s="38" t="str">
        <x:v>金币/元宝/灵符</x:v>
      </x:c>
      <x:c r="I80" s="38" t="str">
        <x:v>货币</x:v>
      </x:c>
      <x:c r="J80" s="38" t="str">
        <x:v>金币＋元宝</x:v>
      </x:c>
      <x:c r="K80" s="38" t="str">
        <x:v>金币</x:v>
      </x:c>
      <x:c r="L80" s="38" t="str">
        <x:v>待经济反算</x:v>
      </x:c>
      <x:c r="M80" s="38" t="str">
        <x:v>待经济反算</x:v>
      </x:c>
      <x:c r="N80" s="38" t="str">
        <x:v>是</x:v>
      </x:c>
      <x:c r="O80" s="38" t="str">
        <x:v>否</x:v>
      </x:c>
      <x:c r="P80" s="38" t="str">
        <x:v>否</x:v>
      </x:c>
      <x:c r="Q80" s="38" t="str">
        <x:v>是</x:v>
      </x:c>
      <x:c r="R80" s="38" t="str">
        <x:v>是</x:v>
      </x:c>
      <x:c r="S80" s="38" t="str">
        <x:v>不进入玩家摆摊；通过交易物间接流通</x:v>
      </x:c>
      <x:c r="T80" s="38" t="str">
        <x:v>货币本身不可回收</x:v>
      </x:c>
      <x:c r="U80" s="38" t="str">
        <x:v>沿用现行货币账户</x:v>
      </x:c>
      <x:c r="V80" s="38" t="str">
        <x:v>结构已确认；数量待经济反算</x:v>
      </x:c>
      <x:c r="W80" s="39" t="str"/>
    </x:row>
    <x:row r="81" ht="42" customHeight="1">
      <x:c r="A81" s="37" t="str">
        <x:v>CON-C04-SYN-EQ-02-0077</x:v>
      </x:c>
      <x:c r="B81" s="38" t="str">
        <x:v>配方输入</x:v>
      </x:c>
      <x:c r="C81" s="38" t="str">
        <x:v>C04-SYN-EQ-02</x:v>
      </x:c>
      <x:c r="D81" s="38" t="str">
        <x:v>C04</x:v>
      </x:c>
      <x:c r="E81" s="38" t="str">
        <x:v>CUR-YUANBAO</x:v>
      </x:c>
      <x:c r="F81" s="38" t="str">
        <x:v>元宝</x:v>
      </x:c>
      <x:c r="G81" s="38" t="str"/>
      <x:c r="H81" s="38" t="str">
        <x:v>金币/元宝/灵符</x:v>
      </x:c>
      <x:c r="I81" s="38" t="str">
        <x:v>货币</x:v>
      </x:c>
      <x:c r="J81" s="38" t="str">
        <x:v>金币＋元宝</x:v>
      </x:c>
      <x:c r="K81" s="38" t="str">
        <x:v>元宝</x:v>
      </x:c>
      <x:c r="L81" s="38" t="str">
        <x:v>待经济反算</x:v>
      </x:c>
      <x:c r="M81" s="38" t="str">
        <x:v>待经济反算</x:v>
      </x:c>
      <x:c r="N81" s="38" t="str">
        <x:v>是</x:v>
      </x:c>
      <x:c r="O81" s="38" t="str">
        <x:v>否</x:v>
      </x:c>
      <x:c r="P81" s="38" t="str">
        <x:v>否</x:v>
      </x:c>
      <x:c r="Q81" s="38" t="str">
        <x:v>是</x:v>
      </x:c>
      <x:c r="R81" s="38" t="str">
        <x:v>是</x:v>
      </x:c>
      <x:c r="S81" s="38" t="str">
        <x:v>不进入玩家摆摊；通过交易物间接流通</x:v>
      </x:c>
      <x:c r="T81" s="38" t="str">
        <x:v>货币本身不可回收</x:v>
      </x:c>
      <x:c r="U81" s="38" t="str">
        <x:v>沿用现行货币账户</x:v>
      </x:c>
      <x:c r="V81" s="38" t="str">
        <x:v>结构已确认；数量待经济反算</x:v>
      </x:c>
      <x:c r="W81" s="39" t="str"/>
    </x:row>
    <x:row r="82" ht="42" customHeight="1">
      <x:c r="A82" s="37" t="str">
        <x:v>CON-C04-SYN-EQ-03-0078</x:v>
      </x:c>
      <x:c r="B82" s="38" t="str">
        <x:v>配方输入</x:v>
      </x:c>
      <x:c r="C82" s="38" t="str">
        <x:v>C04-SYN-EQ-03</x:v>
      </x:c>
      <x:c r="D82" s="38" t="str">
        <x:v>C04</x:v>
      </x:c>
      <x:c r="E82" s="38" t="str">
        <x:v>ITEM-FACB32E312D2</x:v>
      </x:c>
      <x:c r="F82" s="38" t="str">
        <x:v>塞芙拉无声衣</x:v>
      </x:c>
      <x:c r="G82" s="38" t="str"/>
      <x:c r="H82" s="38" t="str">
        <x:v>基础件/前置</x:v>
      </x:c>
      <x:c r="I82" s="38" t="str">
        <x:v>基础件/前置</x:v>
      </x:c>
      <x:c r="J82" s="38" t="str">
        <x:v>塞芙拉无声衣＋莱弥恩的封湖巨剑</x:v>
      </x:c>
      <x:c r="K82" s="38" t="str">
        <x:v>塞芙拉无声衣</x:v>
      </x:c>
      <x:c r="L82" s="38" t="str">
        <x:v>待经济反算</x:v>
      </x:c>
      <x:c r="M82" s="38" t="str">
        <x:v>待经济反算</x:v>
      </x:c>
      <x:c r="N82" s="38" t="str">
        <x:v>是</x:v>
      </x:c>
      <x:c r="O82" s="38" t="str">
        <x:v>否</x:v>
      </x:c>
      <x:c r="P82" s="38" t="str">
        <x:v>否</x:v>
      </x:c>
      <x:c r="Q82" s="38" t="str">
        <x:v>是</x:v>
      </x:c>
      <x:c r="R82" s="38" t="str">
        <x:v>是</x:v>
      </x:c>
      <x:c r="S82" s="38" t="str">
        <x:v>可交易（沿用原物品规则）</x:v>
      </x:c>
      <x:c r="T82" s="38" t="str">
        <x:v>沿用原物品；若为合成成品则禁止回收</x:v>
      </x:c>
      <x:c r="U82" s="38" t="str">
        <x:v>沿用配方交易/绑定列</x:v>
      </x:c>
      <x:c r="V82" s="38" t="str">
        <x:v>结构已确认；数量待经济反算</x:v>
      </x:c>
      <x:c r="W82" s="39" t="str"/>
    </x:row>
    <x:row r="83" ht="42" customHeight="1">
      <x:c r="A83" s="37" t="str">
        <x:v>CON-C04-SYN-EQ-03-0079</x:v>
      </x:c>
      <x:c r="B83" s="38" t="str">
        <x:v>配方输入</x:v>
      </x:c>
      <x:c r="C83" s="38" t="str">
        <x:v>C04-SYN-EQ-03</x:v>
      </x:c>
      <x:c r="D83" s="38" t="str">
        <x:v>C04</x:v>
      </x:c>
      <x:c r="E83" s="38" t="str">
        <x:v>ITEM-ACF38C9E3615</x:v>
      </x:c>
      <x:c r="F83" s="38" t="str">
        <x:v>莱弥恩的封湖巨剑</x:v>
      </x:c>
      <x:c r="G83" s="38" t="str"/>
      <x:c r="H83" s="38" t="str">
        <x:v>基础件/前置</x:v>
      </x:c>
      <x:c r="I83" s="38" t="str">
        <x:v>基础件/前置</x:v>
      </x:c>
      <x:c r="J83" s="38" t="str">
        <x:v>塞芙拉无声衣＋莱弥恩的封湖巨剑</x:v>
      </x:c>
      <x:c r="K83" s="38" t="str">
        <x:v>莱弥恩的封湖巨剑</x:v>
      </x:c>
      <x:c r="L83" s="38" t="str">
        <x:v>待经济反算</x:v>
      </x:c>
      <x:c r="M83" s="38" t="str">
        <x:v>待经济反算</x:v>
      </x:c>
      <x:c r="N83" s="38" t="str">
        <x:v>是</x:v>
      </x:c>
      <x:c r="O83" s="38" t="str">
        <x:v>否</x:v>
      </x:c>
      <x:c r="P83" s="38" t="str">
        <x:v>否</x:v>
      </x:c>
      <x:c r="Q83" s="38" t="str">
        <x:v>是</x:v>
      </x:c>
      <x:c r="R83" s="38" t="str">
        <x:v>是</x:v>
      </x:c>
      <x:c r="S83" s="38" t="str">
        <x:v>可交易（沿用原物品规则）</x:v>
      </x:c>
      <x:c r="T83" s="38" t="str">
        <x:v>沿用原物品；若为合成成品则禁止回收</x:v>
      </x:c>
      <x:c r="U83" s="38" t="str">
        <x:v>沿用配方交易/绑定列</x:v>
      </x:c>
      <x:c r="V83" s="38" t="str">
        <x:v>结构已确认；数量待经济反算</x:v>
      </x:c>
      <x:c r="W83" s="39" t="str"/>
    </x:row>
    <x:row r="84" ht="42" customHeight="1">
      <x:c r="A84" s="37" t="str">
        <x:v>CON-C04-SYN-EQ-03-0080</x:v>
      </x:c>
      <x:c r="B84" s="38" t="str">
        <x:v>配方输入</x:v>
      </x:c>
      <x:c r="C84" s="38" t="str">
        <x:v>C04-SYN-EQ-03</x:v>
      </x:c>
      <x:c r="D84" s="38" t="str">
        <x:v>C04</x:v>
      </x:c>
      <x:c r="E84" s="38" t="str">
        <x:v>EL-MAT-C04-COM</x:v>
      </x:c>
      <x:c r="F84" s="38" t="str">
        <x:v>湖盐结晶</x:v>
      </x:c>
      <x:c r="G84" s="38" t="str"/>
      <x:c r="H84" s="38" t="str">
        <x:v>高产通用材料</x:v>
      </x:c>
      <x:c r="I84" s="38" t="str">
        <x:v>高产通用材料</x:v>
      </x:c>
      <x:c r="J84" s="38" t="str">
        <x:v>湖盐结晶</x:v>
      </x:c>
      <x:c r="K84" s="38" t="str">
        <x:v>湖盐结晶</x:v>
      </x:c>
      <x:c r="L84" s="38" t="str">
        <x:v>待经济反算</x:v>
      </x:c>
      <x:c r="M84" s="38" t="str">
        <x:v>待经济反算</x:v>
      </x:c>
      <x:c r="N84" s="38" t="str">
        <x:v>是</x:v>
      </x:c>
      <x:c r="O84" s="38" t="str">
        <x:v>否</x:v>
      </x:c>
      <x:c r="P84" s="38" t="str">
        <x:v>否</x:v>
      </x:c>
      <x:c r="Q84" s="38" t="str">
        <x:v>是</x:v>
      </x:c>
      <x:c r="R84" s="38" t="str">
        <x:v>是</x:v>
      </x:c>
      <x:c r="S84" s="38" t="str">
        <x:v>可交易</x:v>
      </x:c>
      <x:c r="T84" s="38" t="str">
        <x:v>R4档金币／元宝主回收口</x:v>
      </x:c>
      <x:c r="U84" s="38" t="str">
        <x:v>产出实物默认不绑定，按现行材料脚本</x:v>
      </x:c>
      <x:c r="V84" s="38" t="str">
        <x:v>结构已确认；数量待经济反算</x:v>
      </x:c>
      <x:c r="W84" s="39" t="str"/>
    </x:row>
    <x:row r="85" ht="42" customHeight="1">
      <x:c r="A85" s="37" t="str">
        <x:v>CON-C04-SYN-EQ-03-0081</x:v>
      </x:c>
      <x:c r="B85" s="38" t="str">
        <x:v>配方输入</x:v>
      </x:c>
      <x:c r="C85" s="38" t="str">
        <x:v>C04-SYN-EQ-03</x:v>
      </x:c>
      <x:c r="D85" s="38" t="str">
        <x:v>C04</x:v>
      </x:c>
      <x:c r="E85" s="38" t="str">
        <x:v>EL-MAT-C04-Q03</x:v>
      </x:c>
      <x:c r="F85" s="38" t="str">
        <x:v>深湖压舱印</x:v>
      </x:c>
      <x:c r="G85" s="38" t="str"/>
      <x:c r="H85" s="38" t="str">
        <x:v>稀有/证物材料</x:v>
      </x:c>
      <x:c r="I85" s="38" t="str">
        <x:v>稀有/证物材料</x:v>
      </x:c>
      <x:c r="J85" s="38" t="str">
        <x:v>深湖压舱印＋沉湖王印</x:v>
      </x:c>
      <x:c r="K85" s="38" t="str">
        <x:v>深湖压舱印</x:v>
      </x:c>
      <x:c r="L85" s="38" t="str">
        <x:v>待经济反算</x:v>
      </x:c>
      <x:c r="M85" s="38" t="str">
        <x:v>待经济反算</x:v>
      </x:c>
      <x:c r="N85" s="38" t="str">
        <x:v>是</x:v>
      </x:c>
      <x:c r="O85" s="38" t="str">
        <x:v>否</x:v>
      </x:c>
      <x:c r="P85" s="38" t="str">
        <x:v>否</x:v>
      </x:c>
      <x:c r="Q85" s="38" t="str">
        <x:v>是</x:v>
      </x:c>
      <x:c r="R85" s="38" t="str">
        <x:v>是</x:v>
      </x:c>
      <x:c r="S85" s="38" t="str">
        <x:v>可交易</x:v>
      </x:c>
      <x:c r="T85" s="38" t="str">
        <x:v>不作为自动回收主材</x:v>
      </x:c>
      <x:c r="U85" s="38" t="str">
        <x:v>产出实物默认不绑定，按现行材料脚本</x:v>
      </x:c>
      <x:c r="V85" s="38" t="str">
        <x:v>结构已确认；数量待经济反算</x:v>
      </x:c>
      <x:c r="W85" s="39" t="str"/>
    </x:row>
    <x:row r="86" ht="42" customHeight="1">
      <x:c r="A86" s="37" t="str">
        <x:v>CON-C04-SYN-EQ-03-0082</x:v>
      </x:c>
      <x:c r="B86" s="38" t="str">
        <x:v>配方输入</x:v>
      </x:c>
      <x:c r="C86" s="38" t="str">
        <x:v>C04-SYN-EQ-03</x:v>
      </x:c>
      <x:c r="D86" s="38" t="str">
        <x:v>C04</x:v>
      </x:c>
      <x:c r="E86" s="38" t="str">
        <x:v>EL-MAT-C04-MARK</x:v>
      </x:c>
      <x:c r="F86" s="38" t="str">
        <x:v>沉湖王印</x:v>
      </x:c>
      <x:c r="G86" s="38" t="str"/>
      <x:c r="H86" s="38" t="str">
        <x:v>稀有/证物材料</x:v>
      </x:c>
      <x:c r="I86" s="38" t="str">
        <x:v>稀有/证物材料</x:v>
      </x:c>
      <x:c r="J86" s="38" t="str">
        <x:v>深湖压舱印＋沉湖王印</x:v>
      </x:c>
      <x:c r="K86" s="38" t="str">
        <x:v>沉湖王印</x:v>
      </x:c>
      <x:c r="L86" s="38" t="str">
        <x:v>待经济反算</x:v>
      </x:c>
      <x:c r="M86" s="38" t="str">
        <x:v>待经济反算</x:v>
      </x:c>
      <x:c r="N86" s="38" t="str">
        <x:v>是</x:v>
      </x:c>
      <x:c r="O86" s="38" t="str">
        <x:v>否</x:v>
      </x:c>
      <x:c r="P86" s="38" t="str">
        <x:v>否</x:v>
      </x:c>
      <x:c r="Q86" s="38" t="str">
        <x:v>是</x:v>
      </x:c>
      <x:c r="R86" s="38" t="str">
        <x:v>是</x:v>
      </x:c>
      <x:c r="S86" s="38" t="str">
        <x:v>可交易</x:v>
      </x:c>
      <x:c r="T86" s="38" t="str">
        <x:v>不作为自动回收主材</x:v>
      </x:c>
      <x:c r="U86" s="38" t="str">
        <x:v>产出实物默认不绑定，按现行材料脚本</x:v>
      </x:c>
      <x:c r="V86" s="38" t="str">
        <x:v>结构已确认；数量待经济反算</x:v>
      </x:c>
      <x:c r="W86" s="39" t="str"/>
    </x:row>
    <x:row r="87" ht="42" customHeight="1">
      <x:c r="A87" s="37" t="str">
        <x:v>CON-C04-SYN-EQ-03-0083</x:v>
      </x:c>
      <x:c r="B87" s="38" t="str">
        <x:v>配方输入</x:v>
      </x:c>
      <x:c r="C87" s="38" t="str">
        <x:v>C04-SYN-EQ-03</x:v>
      </x:c>
      <x:c r="D87" s="38" t="str">
        <x:v>C04</x:v>
      </x:c>
      <x:c r="E87" s="38" t="str">
        <x:v>EL-MAT-GLOBAL-SOMBER</x:v>
      </x:c>
      <x:c r="F87" s="38" t="str">
        <x:v>失色锻造石</x:v>
      </x:c>
      <x:c r="G87" s="38" t="str"/>
      <x:c r="H87" s="38" t="str">
        <x:v>全局材料</x:v>
      </x:c>
      <x:c r="I87" s="38" t="str">
        <x:v>全局材料</x:v>
      </x:c>
      <x:c r="J87" s="38" t="str">
        <x:v>失色锻造石</x:v>
      </x:c>
      <x:c r="K87" s="38" t="str">
        <x:v>失色锻造石</x:v>
      </x:c>
      <x:c r="L87" s="38" t="str">
        <x:v>待经济反算</x:v>
      </x:c>
      <x:c r="M87" s="38" t="str">
        <x:v>待经济反算</x:v>
      </x:c>
      <x:c r="N87" s="38" t="str">
        <x:v>是</x:v>
      </x:c>
      <x:c r="O87" s="38" t="str">
        <x:v>否</x:v>
      </x:c>
      <x:c r="P87" s="38" t="str">
        <x:v>否</x:v>
      </x:c>
      <x:c r="Q87" s="38" t="str">
        <x:v>是</x:v>
      </x:c>
      <x:c r="R87" s="38" t="str">
        <x:v>是</x:v>
      </x:c>
      <x:c r="S87" s="38" t="str">
        <x:v>可交易</x:v>
      </x:c>
      <x:c r="T87" s="38" t="str">
        <x:v>不作为自动回收主材</x:v>
      </x:c>
      <x:c r="U87" s="38" t="str">
        <x:v>产出实物默认不绑定，按现行材料脚本</x:v>
      </x:c>
      <x:c r="V87" s="38" t="str">
        <x:v>结构已确认；数量待经济反算</x:v>
      </x:c>
      <x:c r="W87" s="39" t="str"/>
    </x:row>
    <x:row r="88" ht="42" customHeight="1">
      <x:c r="A88" s="37" t="str">
        <x:v>CON-C04-SYN-EQ-03-0084</x:v>
      </x:c>
      <x:c r="B88" s="38" t="str">
        <x:v>配方输入</x:v>
      </x:c>
      <x:c r="C88" s="38" t="str">
        <x:v>C04-SYN-EQ-03</x:v>
      </x:c>
      <x:c r="D88" s="38" t="str">
        <x:v>C04</x:v>
      </x:c>
      <x:c r="E88" s="38" t="str">
        <x:v>CUR-YUANBAO</x:v>
      </x:c>
      <x:c r="F88" s="38" t="str">
        <x:v>元宝</x:v>
      </x:c>
      <x:c r="G88" s="38" t="str"/>
      <x:c r="H88" s="38" t="str">
        <x:v>金币/元宝/灵符</x:v>
      </x:c>
      <x:c r="I88" s="38" t="str">
        <x:v>货币</x:v>
      </x:c>
      <x:c r="J88" s="38" t="str">
        <x:v>元宝</x:v>
      </x:c>
      <x:c r="K88" s="38" t="str">
        <x:v>元宝</x:v>
      </x:c>
      <x:c r="L88" s="38" t="str">
        <x:v>待经济反算</x:v>
      </x:c>
      <x:c r="M88" s="38" t="str">
        <x:v>待经济反算</x:v>
      </x:c>
      <x:c r="N88" s="38" t="str">
        <x:v>是</x:v>
      </x:c>
      <x:c r="O88" s="38" t="str">
        <x:v>否</x:v>
      </x:c>
      <x:c r="P88" s="38" t="str">
        <x:v>否</x:v>
      </x:c>
      <x:c r="Q88" s="38" t="str">
        <x:v>是</x:v>
      </x:c>
      <x:c r="R88" s="38" t="str">
        <x:v>是</x:v>
      </x:c>
      <x:c r="S88" s="38" t="str">
        <x:v>不进入玩家摆摊；通过交易物间接流通</x:v>
      </x:c>
      <x:c r="T88" s="38" t="str">
        <x:v>货币本身不可回收</x:v>
      </x:c>
      <x:c r="U88" s="38" t="str">
        <x:v>沿用现行货币账户</x:v>
      </x:c>
      <x:c r="V88" s="38" t="str">
        <x:v>结构已确认；数量待经济反算</x:v>
      </x:c>
      <x:c r="W88" s="39" t="str"/>
    </x:row>
    <x:row r="89" ht="42" customHeight="1">
      <x:c r="A89" s="37" t="str">
        <x:v>CON-C05-SYN-EQ-01-0085</x:v>
      </x:c>
      <x:c r="B89" s="38" t="str">
        <x:v>配方输入</x:v>
      </x:c>
      <x:c r="C89" s="38" t="str">
        <x:v>C05-SYN-EQ-01</x:v>
      </x:c>
      <x:c r="D89" s="38" t="str">
        <x:v>C05</x:v>
      </x:c>
      <x:c r="E89" s="38" t="str">
        <x:v>ITEM-5DF121B5AF1F</x:v>
      </x:c>
      <x:c r="F89" s="38" t="str">
        <x:v>深潮王女权杖</x:v>
      </x:c>
      <x:c r="G89" s="38" t="str"/>
      <x:c r="H89" s="38" t="str">
        <x:v>基础件/前置</x:v>
      </x:c>
      <x:c r="I89" s="38" t="str">
        <x:v>基础件/前置</x:v>
      </x:c>
      <x:c r="J89" s="38" t="str">
        <x:v>深潮王女权杖＋终誓月裁剑</x:v>
      </x:c>
      <x:c r="K89" s="38" t="str">
        <x:v>深潮王女权杖</x:v>
      </x:c>
      <x:c r="L89" s="38" t="str">
        <x:v>待经济反算</x:v>
      </x:c>
      <x:c r="M89" s="38" t="str">
        <x:v>待经济反算</x:v>
      </x:c>
      <x:c r="N89" s="38" t="str">
        <x:v>是</x:v>
      </x:c>
      <x:c r="O89" s="38" t="str">
        <x:v>否</x:v>
      </x:c>
      <x:c r="P89" s="38" t="str">
        <x:v>否</x:v>
      </x:c>
      <x:c r="Q89" s="38" t="str">
        <x:v>是</x:v>
      </x:c>
      <x:c r="R89" s="38" t="str">
        <x:v>是</x:v>
      </x:c>
      <x:c r="S89" s="38" t="str">
        <x:v>可交易（沿用原物品规则）</x:v>
      </x:c>
      <x:c r="T89" s="38" t="str">
        <x:v>沿用原物品；若为合成成品则禁止回收</x:v>
      </x:c>
      <x:c r="U89" s="38" t="str">
        <x:v>沿用配方交易/绑定列</x:v>
      </x:c>
      <x:c r="V89" s="38" t="str">
        <x:v>结构已确认；数量待经济反算</x:v>
      </x:c>
      <x:c r="W89" s="39" t="str"/>
    </x:row>
    <x:row r="90" ht="42" customHeight="1">
      <x:c r="A90" s="37" t="str">
        <x:v>CON-C05-SYN-EQ-01-0086</x:v>
      </x:c>
      <x:c r="B90" s="38" t="str">
        <x:v>配方输入</x:v>
      </x:c>
      <x:c r="C90" s="38" t="str">
        <x:v>C05-SYN-EQ-01</x:v>
      </x:c>
      <x:c r="D90" s="38" t="str">
        <x:v>C05</x:v>
      </x:c>
      <x:c r="E90" s="38" t="str">
        <x:v>ITEM-57F56D85D50C</x:v>
      </x:c>
      <x:c r="F90" s="38" t="str">
        <x:v>终誓月裁剑</x:v>
      </x:c>
      <x:c r="G90" s="38" t="str"/>
      <x:c r="H90" s="38" t="str">
        <x:v>基础件/前置</x:v>
      </x:c>
      <x:c r="I90" s="38" t="str">
        <x:v>基础件/前置</x:v>
      </x:c>
      <x:c r="J90" s="38" t="str">
        <x:v>深潮王女权杖＋终誓月裁剑</x:v>
      </x:c>
      <x:c r="K90" s="38" t="str">
        <x:v>终誓月裁剑</x:v>
      </x:c>
      <x:c r="L90" s="38" t="str">
        <x:v>待经济反算</x:v>
      </x:c>
      <x:c r="M90" s="38" t="str">
        <x:v>待经济反算</x:v>
      </x:c>
      <x:c r="N90" s="38" t="str">
        <x:v>是</x:v>
      </x:c>
      <x:c r="O90" s="38" t="str">
        <x:v>否</x:v>
      </x:c>
      <x:c r="P90" s="38" t="str">
        <x:v>否</x:v>
      </x:c>
      <x:c r="Q90" s="38" t="str">
        <x:v>是</x:v>
      </x:c>
      <x:c r="R90" s="38" t="str">
        <x:v>是</x:v>
      </x:c>
      <x:c r="S90" s="38" t="str">
        <x:v>可交易（沿用原物品规则）</x:v>
      </x:c>
      <x:c r="T90" s="38" t="str">
        <x:v>沿用原物品；若为合成成品则禁止回收</x:v>
      </x:c>
      <x:c r="U90" s="38" t="str">
        <x:v>沿用配方交易/绑定列</x:v>
      </x:c>
      <x:c r="V90" s="38" t="str">
        <x:v>结构已确认；数量待经济反算</x:v>
      </x:c>
      <x:c r="W90" s="39" t="str"/>
    </x:row>
    <x:row r="91" ht="42" customHeight="1">
      <x:c r="A91" s="37" t="str">
        <x:v>CON-C05-SYN-EQ-01-0087</x:v>
      </x:c>
      <x:c r="B91" s="38" t="str">
        <x:v>配方输入</x:v>
      </x:c>
      <x:c r="C91" s="38" t="str">
        <x:v>C05-SYN-EQ-01</x:v>
      </x:c>
      <x:c r="D91" s="38" t="str">
        <x:v>C05</x:v>
      </x:c>
      <x:c r="E91" s="38" t="str">
        <x:v>EL-MAT-C05-COM</x:v>
      </x:c>
      <x:c r="F91" s="38" t="str">
        <x:v>辉石碎晶</x:v>
      </x:c>
      <x:c r="G91" s="38" t="str"/>
      <x:c r="H91" s="38" t="str">
        <x:v>高产通用材料</x:v>
      </x:c>
      <x:c r="I91" s="38" t="str">
        <x:v>高产通用材料</x:v>
      </x:c>
      <x:c r="J91" s="38" t="str">
        <x:v>辉石碎晶</x:v>
      </x:c>
      <x:c r="K91" s="38" t="str">
        <x:v>辉石碎晶</x:v>
      </x:c>
      <x:c r="L91" s="38" t="str">
        <x:v>待经济反算</x:v>
      </x:c>
      <x:c r="M91" s="38" t="str">
        <x:v>待经济反算</x:v>
      </x:c>
      <x:c r="N91" s="38" t="str">
        <x:v>是</x:v>
      </x:c>
      <x:c r="O91" s="38" t="str">
        <x:v>否</x:v>
      </x:c>
      <x:c r="P91" s="38" t="str">
        <x:v>否</x:v>
      </x:c>
      <x:c r="Q91" s="38" t="str">
        <x:v>是</x:v>
      </x:c>
      <x:c r="R91" s="38" t="str">
        <x:v>是</x:v>
      </x:c>
      <x:c r="S91" s="38" t="str">
        <x:v>可交易</x:v>
      </x:c>
      <x:c r="T91" s="38" t="str">
        <x:v>R5档金币／元宝主回收口</x:v>
      </x:c>
      <x:c r="U91" s="38" t="str">
        <x:v>产出实物默认不绑定，按现行材料脚本</x:v>
      </x:c>
      <x:c r="V91" s="38" t="str">
        <x:v>结构已确认；数量待经济反算</x:v>
      </x:c>
      <x:c r="W91" s="39" t="str"/>
    </x:row>
    <x:row r="92" ht="42" customHeight="1">
      <x:c r="A92" s="37" t="str">
        <x:v>CON-C05-SYN-EQ-01-0088</x:v>
      </x:c>
      <x:c r="B92" s="38" t="str">
        <x:v>配方输入</x:v>
      </x:c>
      <x:c r="C92" s="38" t="str">
        <x:v>C05-SYN-EQ-01</x:v>
      </x:c>
      <x:c r="D92" s="38" t="str">
        <x:v>C05</x:v>
      </x:c>
      <x:c r="E92" s="38" t="str">
        <x:v>EL-MAT-C05-Q03</x:v>
      </x:c>
      <x:c r="F92" s="38" t="str">
        <x:v>月蚀镜片</x:v>
      </x:c>
      <x:c r="G92" s="38" t="str"/>
      <x:c r="H92" s="38" t="str">
        <x:v>稀有/证物材料</x:v>
      </x:c>
      <x:c r="I92" s="38" t="str">
        <x:v>稀有/证物材料</x:v>
      </x:c>
      <x:c r="J92" s="38" t="str">
        <x:v>月蚀镜片＋满月王室印</x:v>
      </x:c>
      <x:c r="K92" s="38" t="str">
        <x:v>月蚀镜片</x:v>
      </x:c>
      <x:c r="L92" s="38" t="str">
        <x:v>待经济反算</x:v>
      </x:c>
      <x:c r="M92" s="38" t="str">
        <x:v>待经济反算</x:v>
      </x:c>
      <x:c r="N92" s="38" t="str">
        <x:v>是</x:v>
      </x:c>
      <x:c r="O92" s="38" t="str">
        <x:v>否</x:v>
      </x:c>
      <x:c r="P92" s="38" t="str">
        <x:v>否</x:v>
      </x:c>
      <x:c r="Q92" s="38" t="str">
        <x:v>是</x:v>
      </x:c>
      <x:c r="R92" s="38" t="str">
        <x:v>是</x:v>
      </x:c>
      <x:c r="S92" s="38" t="str">
        <x:v>可交易</x:v>
      </x:c>
      <x:c r="T92" s="38" t="str">
        <x:v>不作为自动回收主材</x:v>
      </x:c>
      <x:c r="U92" s="38" t="str">
        <x:v>产出实物默认不绑定，按现行材料脚本</x:v>
      </x:c>
      <x:c r="V92" s="38" t="str">
        <x:v>结构已确认；数量待经济反算</x:v>
      </x:c>
      <x:c r="W92" s="39" t="str"/>
    </x:row>
    <x:row r="93" ht="42" customHeight="1">
      <x:c r="A93" s="37" t="str">
        <x:v>CON-C05-SYN-EQ-01-0089</x:v>
      </x:c>
      <x:c r="B93" s="38" t="str">
        <x:v>配方输入</x:v>
      </x:c>
      <x:c r="C93" s="38" t="str">
        <x:v>C05-SYN-EQ-01</x:v>
      </x:c>
      <x:c r="D93" s="38" t="str">
        <x:v>C05</x:v>
      </x:c>
      <x:c r="E93" s="38" t="str">
        <x:v>EL-MAT-C05-MARK</x:v>
      </x:c>
      <x:c r="F93" s="38" t="str">
        <x:v>满月王室印</x:v>
      </x:c>
      <x:c r="G93" s="38" t="str"/>
      <x:c r="H93" s="38" t="str">
        <x:v>稀有/证物材料</x:v>
      </x:c>
      <x:c r="I93" s="38" t="str">
        <x:v>稀有/证物材料</x:v>
      </x:c>
      <x:c r="J93" s="38" t="str">
        <x:v>月蚀镜片＋满月王室印</x:v>
      </x:c>
      <x:c r="K93" s="38" t="str">
        <x:v>满月王室印</x:v>
      </x:c>
      <x:c r="L93" s="38" t="str">
        <x:v>待经济反算</x:v>
      </x:c>
      <x:c r="M93" s="38" t="str">
        <x:v>待经济反算</x:v>
      </x:c>
      <x:c r="N93" s="38" t="str">
        <x:v>是</x:v>
      </x:c>
      <x:c r="O93" s="38" t="str">
        <x:v>否</x:v>
      </x:c>
      <x:c r="P93" s="38" t="str">
        <x:v>否</x:v>
      </x:c>
      <x:c r="Q93" s="38" t="str">
        <x:v>是</x:v>
      </x:c>
      <x:c r="R93" s="38" t="str">
        <x:v>是</x:v>
      </x:c>
      <x:c r="S93" s="38" t="str">
        <x:v>可交易</x:v>
      </x:c>
      <x:c r="T93" s="38" t="str">
        <x:v>不作为自动回收主材</x:v>
      </x:c>
      <x:c r="U93" s="38" t="str">
        <x:v>产出实物默认不绑定，按现行材料脚本</x:v>
      </x:c>
      <x:c r="V93" s="38" t="str">
        <x:v>结构已确认；数量待经济反算</x:v>
      </x:c>
      <x:c r="W93" s="39" t="str"/>
    </x:row>
    <x:row r="94" ht="42" customHeight="1">
      <x:c r="A94" s="37" t="str">
        <x:v>CON-C05-SYN-EQ-01-0090</x:v>
      </x:c>
      <x:c r="B94" s="38" t="str">
        <x:v>配方输入</x:v>
      </x:c>
      <x:c r="C94" s="38" t="str">
        <x:v>C05-SYN-EQ-01</x:v>
      </x:c>
      <x:c r="D94" s="38" t="str">
        <x:v>C05</x:v>
      </x:c>
      <x:c r="E94" s="38" t="str">
        <x:v>EL-MAT-GLOBAL-SOMBER</x:v>
      </x:c>
      <x:c r="F94" s="38" t="str">
        <x:v>失色锻造石</x:v>
      </x:c>
      <x:c r="G94" s="38" t="str"/>
      <x:c r="H94" s="38" t="str">
        <x:v>全局材料</x:v>
      </x:c>
      <x:c r="I94" s="38" t="str">
        <x:v>全局材料</x:v>
      </x:c>
      <x:c r="J94" s="38" t="str">
        <x:v>失色锻造石</x:v>
      </x:c>
      <x:c r="K94" s="38" t="str">
        <x:v>失色锻造石</x:v>
      </x:c>
      <x:c r="L94" s="38" t="str">
        <x:v>待经济反算</x:v>
      </x:c>
      <x:c r="M94" s="38" t="str">
        <x:v>待经济反算</x:v>
      </x:c>
      <x:c r="N94" s="38" t="str">
        <x:v>是</x:v>
      </x:c>
      <x:c r="O94" s="38" t="str">
        <x:v>否</x:v>
      </x:c>
      <x:c r="P94" s="38" t="str">
        <x:v>否</x:v>
      </x:c>
      <x:c r="Q94" s="38" t="str">
        <x:v>是</x:v>
      </x:c>
      <x:c r="R94" s="38" t="str">
        <x:v>是</x:v>
      </x:c>
      <x:c r="S94" s="38" t="str">
        <x:v>可交易</x:v>
      </x:c>
      <x:c r="T94" s="38" t="str">
        <x:v>不作为自动回收主材</x:v>
      </x:c>
      <x:c r="U94" s="38" t="str">
        <x:v>产出实物默认不绑定，按现行材料脚本</x:v>
      </x:c>
      <x:c r="V94" s="38" t="str">
        <x:v>结构已确认；数量待经济反算</x:v>
      </x:c>
      <x:c r="W94" s="39" t="str"/>
    </x:row>
    <x:row r="95" ht="42" customHeight="1">
      <x:c r="A95" s="37" t="str">
        <x:v>CON-C05-SYN-EQ-01-0091</x:v>
      </x:c>
      <x:c r="B95" s="38" t="str">
        <x:v>配方输入</x:v>
      </x:c>
      <x:c r="C95" s="38" t="str">
        <x:v>C05-SYN-EQ-01</x:v>
      </x:c>
      <x:c r="D95" s="38" t="str">
        <x:v>C05</x:v>
      </x:c>
      <x:c r="E95" s="38" t="str">
        <x:v>CUR-YUANBAO</x:v>
      </x:c>
      <x:c r="F95" s="38" t="str">
        <x:v>元宝</x:v>
      </x:c>
      <x:c r="G95" s="38" t="str"/>
      <x:c r="H95" s="38" t="str">
        <x:v>金币/元宝/灵符</x:v>
      </x:c>
      <x:c r="I95" s="38" t="str">
        <x:v>货币</x:v>
      </x:c>
      <x:c r="J95" s="38" t="str">
        <x:v>元宝</x:v>
      </x:c>
      <x:c r="K95" s="38" t="str">
        <x:v>元宝</x:v>
      </x:c>
      <x:c r="L95" s="38" t="str">
        <x:v>待经济反算</x:v>
      </x:c>
      <x:c r="M95" s="38" t="str">
        <x:v>待经济反算</x:v>
      </x:c>
      <x:c r="N95" s="38" t="str">
        <x:v>是</x:v>
      </x:c>
      <x:c r="O95" s="38" t="str">
        <x:v>否</x:v>
      </x:c>
      <x:c r="P95" s="38" t="str">
        <x:v>否</x:v>
      </x:c>
      <x:c r="Q95" s="38" t="str">
        <x:v>是</x:v>
      </x:c>
      <x:c r="R95" s="38" t="str">
        <x:v>是</x:v>
      </x:c>
      <x:c r="S95" s="38" t="str">
        <x:v>不进入玩家摆摊；通过交易物间接流通</x:v>
      </x:c>
      <x:c r="T95" s="38" t="str">
        <x:v>货币本身不可回收</x:v>
      </x:c>
      <x:c r="U95" s="38" t="str">
        <x:v>沿用现行货币账户</x:v>
      </x:c>
      <x:c r="V95" s="38" t="str">
        <x:v>结构已确认；数量待经济反算</x:v>
      </x:c>
      <x:c r="W95" s="39" t="str"/>
    </x:row>
    <x:row r="96" ht="42" customHeight="1">
      <x:c r="A96" s="37" t="str">
        <x:v>CON-C05-SYN-EQ-02-0092</x:v>
      </x:c>
      <x:c r="B96" s="38" t="str">
        <x:v>配方输入</x:v>
      </x:c>
      <x:c r="C96" s="38" t="str">
        <x:v>C05-SYN-EQ-02</x:v>
      </x:c>
      <x:c r="D96" s="38" t="str">
        <x:v>C05</x:v>
      </x:c>
      <x:c r="E96" s="38" t="str">
        <x:v>ITEM-2ADA894342CC</x:v>
      </x:c>
      <x:c r="F96" s="38" t="str">
        <x:v>黄金树戒</x:v>
      </x:c>
      <x:c r="G96" s="38" t="str"/>
      <x:c r="H96" s="38" t="str">
        <x:v>基础件/前置</x:v>
      </x:c>
      <x:c r="I96" s="38" t="str">
        <x:v>基础件/前置</x:v>
      </x:c>
      <x:c r="J96" s="38" t="str">
        <x:v>黄金树戒＋青曜噬光戒</x:v>
      </x:c>
      <x:c r="K96" s="38" t="str">
        <x:v>黄金树戒</x:v>
      </x:c>
      <x:c r="L96" s="38" t="str">
        <x:v>待经济反算</x:v>
      </x:c>
      <x:c r="M96" s="38" t="str">
        <x:v>待经济反算</x:v>
      </x:c>
      <x:c r="N96" s="38" t="str">
        <x:v>是</x:v>
      </x:c>
      <x:c r="O96" s="38" t="str">
        <x:v>否</x:v>
      </x:c>
      <x:c r="P96" s="38" t="str">
        <x:v>否</x:v>
      </x:c>
      <x:c r="Q96" s="38" t="str">
        <x:v>是</x:v>
      </x:c>
      <x:c r="R96" s="38" t="str">
        <x:v>是</x:v>
      </x:c>
      <x:c r="S96" s="38" t="str">
        <x:v>可交易（沿用原物品规则）</x:v>
      </x:c>
      <x:c r="T96" s="38" t="str">
        <x:v>沿用原物品；若为合成成品则禁止回收</x:v>
      </x:c>
      <x:c r="U96" s="38" t="str">
        <x:v>沿用配方交易/绑定列</x:v>
      </x:c>
      <x:c r="V96" s="38" t="str">
        <x:v>结构已确认；数量待经济反算</x:v>
      </x:c>
      <x:c r="W96" s="39" t="str"/>
    </x:row>
    <x:row r="97" ht="42" customHeight="1">
      <x:c r="A97" s="37" t="str">
        <x:v>CON-C05-SYN-EQ-02-0093</x:v>
      </x:c>
      <x:c r="B97" s="38" t="str">
        <x:v>配方输入</x:v>
      </x:c>
      <x:c r="C97" s="38" t="str">
        <x:v>C05-SYN-EQ-02</x:v>
      </x:c>
      <x:c r="D97" s="38" t="str">
        <x:v>C05</x:v>
      </x:c>
      <x:c r="E97" s="38" t="str">
        <x:v>ITEM-7847CCC17296</x:v>
      </x:c>
      <x:c r="F97" s="38" t="str">
        <x:v>青曜噬光戒</x:v>
      </x:c>
      <x:c r="G97" s="38" t="str"/>
      <x:c r="H97" s="38" t="str">
        <x:v>基础件/前置</x:v>
      </x:c>
      <x:c r="I97" s="38" t="str">
        <x:v>基础件/前置</x:v>
      </x:c>
      <x:c r="J97" s="38" t="str">
        <x:v>黄金树戒＋青曜噬光戒</x:v>
      </x:c>
      <x:c r="K97" s="38" t="str">
        <x:v>青曜噬光戒</x:v>
      </x:c>
      <x:c r="L97" s="38" t="str">
        <x:v>待经济反算</x:v>
      </x:c>
      <x:c r="M97" s="38" t="str">
        <x:v>待经济反算</x:v>
      </x:c>
      <x:c r="N97" s="38" t="str">
        <x:v>是</x:v>
      </x:c>
      <x:c r="O97" s="38" t="str">
        <x:v>否</x:v>
      </x:c>
      <x:c r="P97" s="38" t="str">
        <x:v>否</x:v>
      </x:c>
      <x:c r="Q97" s="38" t="str">
        <x:v>是</x:v>
      </x:c>
      <x:c r="R97" s="38" t="str">
        <x:v>是</x:v>
      </x:c>
      <x:c r="S97" s="38" t="str">
        <x:v>可交易（沿用原物品规则）</x:v>
      </x:c>
      <x:c r="T97" s="38" t="str">
        <x:v>沿用原物品；若为合成成品则禁止回收</x:v>
      </x:c>
      <x:c r="U97" s="38" t="str">
        <x:v>沿用配方交易/绑定列</x:v>
      </x:c>
      <x:c r="V97" s="38" t="str">
        <x:v>结构已确认；数量待经济反算</x:v>
      </x:c>
      <x:c r="W97" s="39" t="str"/>
    </x:row>
    <x:row r="98" ht="42" customHeight="1">
      <x:c r="A98" s="37" t="str">
        <x:v>CON-C05-SYN-EQ-02-0094</x:v>
      </x:c>
      <x:c r="B98" s="38" t="str">
        <x:v>配方输入</x:v>
      </x:c>
      <x:c r="C98" s="38" t="str">
        <x:v>C05-SYN-EQ-02</x:v>
      </x:c>
      <x:c r="D98" s="38" t="str">
        <x:v>C05</x:v>
      </x:c>
      <x:c r="E98" s="38" t="str">
        <x:v>EL-MAT-C05-COM</x:v>
      </x:c>
      <x:c r="F98" s="38" t="str">
        <x:v>辉石碎晶</x:v>
      </x:c>
      <x:c r="G98" s="38" t="str"/>
      <x:c r="H98" s="38" t="str">
        <x:v>高产通用材料</x:v>
      </x:c>
      <x:c r="I98" s="38" t="str">
        <x:v>高产通用材料</x:v>
      </x:c>
      <x:c r="J98" s="38" t="str">
        <x:v>辉石碎晶</x:v>
      </x:c>
      <x:c r="K98" s="38" t="str">
        <x:v>辉石碎晶</x:v>
      </x:c>
      <x:c r="L98" s="38" t="str">
        <x:v>待经济反算</x:v>
      </x:c>
      <x:c r="M98" s="38" t="str">
        <x:v>待经济反算</x:v>
      </x:c>
      <x:c r="N98" s="38" t="str">
        <x:v>是</x:v>
      </x:c>
      <x:c r="O98" s="38" t="str">
        <x:v>否</x:v>
      </x:c>
      <x:c r="P98" s="38" t="str">
        <x:v>否</x:v>
      </x:c>
      <x:c r="Q98" s="38" t="str">
        <x:v>是</x:v>
      </x:c>
      <x:c r="R98" s="38" t="str">
        <x:v>是</x:v>
      </x:c>
      <x:c r="S98" s="38" t="str">
        <x:v>可交易</x:v>
      </x:c>
      <x:c r="T98" s="38" t="str">
        <x:v>R5档金币／元宝主回收口</x:v>
      </x:c>
      <x:c r="U98" s="38" t="str">
        <x:v>产出实物默认不绑定，按现行材料脚本</x:v>
      </x:c>
      <x:c r="V98" s="38" t="str">
        <x:v>结构已确认；数量待经济反算</x:v>
      </x:c>
      <x:c r="W98" s="39" t="str"/>
    </x:row>
    <x:row r="99" ht="42" customHeight="1">
      <x:c r="A99" s="37" t="str">
        <x:v>CON-C05-SYN-EQ-02-0095</x:v>
      </x:c>
      <x:c r="B99" s="38" t="str">
        <x:v>配方输入</x:v>
      </x:c>
      <x:c r="C99" s="38" t="str">
        <x:v>C05-SYN-EQ-02</x:v>
      </x:c>
      <x:c r="D99" s="38" t="str">
        <x:v>C05</x:v>
      </x:c>
      <x:c r="E99" s="38" t="str">
        <x:v>EL-MAT-C05-Q01</x:v>
      </x:c>
      <x:c r="F99" s="38" t="str">
        <x:v>雾月星砂</x:v>
      </x:c>
      <x:c r="G99" s="38" t="str"/>
      <x:c r="H99" s="38" t="str">
        <x:v>稀有/证物材料</x:v>
      </x:c>
      <x:c r="I99" s="38" t="str">
        <x:v>稀有/证物材料</x:v>
      </x:c>
      <x:c r="J99" s="38" t="str">
        <x:v>雾月星砂＋禁域星钥</x:v>
      </x:c>
      <x:c r="K99" s="38" t="str">
        <x:v>雾月星砂</x:v>
      </x:c>
      <x:c r="L99" s="38" t="str">
        <x:v>待经济反算</x:v>
      </x:c>
      <x:c r="M99" s="38" t="str">
        <x:v>待经济反算</x:v>
      </x:c>
      <x:c r="N99" s="38" t="str">
        <x:v>是</x:v>
      </x:c>
      <x:c r="O99" s="38" t="str">
        <x:v>否</x:v>
      </x:c>
      <x:c r="P99" s="38" t="str">
        <x:v>否</x:v>
      </x:c>
      <x:c r="Q99" s="38" t="str">
        <x:v>是</x:v>
      </x:c>
      <x:c r="R99" s="38" t="str">
        <x:v>是</x:v>
      </x:c>
      <x:c r="S99" s="38" t="str">
        <x:v>可交易</x:v>
      </x:c>
      <x:c r="T99" s="38" t="str">
        <x:v>不作为自动回收主材</x:v>
      </x:c>
      <x:c r="U99" s="38" t="str">
        <x:v>产出实物默认不绑定，按现行材料脚本</x:v>
      </x:c>
      <x:c r="V99" s="38" t="str">
        <x:v>结构已确认；数量待经济反算</x:v>
      </x:c>
      <x:c r="W99" s="39" t="str"/>
    </x:row>
    <x:row r="100" ht="42" customHeight="1">
      <x:c r="A100" s="37" t="str">
        <x:v>CON-C05-SYN-EQ-02-0096</x:v>
      </x:c>
      <x:c r="B100" s="38" t="str">
        <x:v>配方输入</x:v>
      </x:c>
      <x:c r="C100" s="38" t="str">
        <x:v>C05-SYN-EQ-02</x:v>
      </x:c>
      <x:c r="D100" s="38" t="str">
        <x:v>C05</x:v>
      </x:c>
      <x:c r="E100" s="38" t="str">
        <x:v>EL-MAT-C05-Q04</x:v>
      </x:c>
      <x:c r="F100" s="38" t="str">
        <x:v>禁域星钥</x:v>
      </x:c>
      <x:c r="G100" s="38" t="str"/>
      <x:c r="H100" s="38" t="str">
        <x:v>稀有/证物材料</x:v>
      </x:c>
      <x:c r="I100" s="38" t="str">
        <x:v>稀有/证物材料</x:v>
      </x:c>
      <x:c r="J100" s="38" t="str">
        <x:v>雾月星砂＋禁域星钥</x:v>
      </x:c>
      <x:c r="K100" s="38" t="str">
        <x:v>禁域星钥</x:v>
      </x:c>
      <x:c r="L100" s="38" t="str">
        <x:v>待经济反算</x:v>
      </x:c>
      <x:c r="M100" s="38" t="str">
        <x:v>待经济反算</x:v>
      </x:c>
      <x:c r="N100" s="38" t="str">
        <x:v>是</x:v>
      </x:c>
      <x:c r="O100" s="38" t="str">
        <x:v>否</x:v>
      </x:c>
      <x:c r="P100" s="38" t="str">
        <x:v>否</x:v>
      </x:c>
      <x:c r="Q100" s="38" t="str">
        <x:v>是</x:v>
      </x:c>
      <x:c r="R100" s="38" t="str">
        <x:v>是</x:v>
      </x:c>
      <x:c r="S100" s="38" t="str">
        <x:v>可交易</x:v>
      </x:c>
      <x:c r="T100" s="38" t="str">
        <x:v>不作为自动回收主材</x:v>
      </x:c>
      <x:c r="U100" s="38" t="str">
        <x:v>产出实物默认不绑定，按现行材料脚本</x:v>
      </x:c>
      <x:c r="V100" s="38" t="str">
        <x:v>结构已确认；数量待经济反算</x:v>
      </x:c>
      <x:c r="W100" s="39" t="str"/>
    </x:row>
    <x:row r="101" ht="42" customHeight="1">
      <x:c r="A101" s="37" t="str">
        <x:v>CON-C05-SYN-EQ-02-0097</x:v>
      </x:c>
      <x:c r="B101" s="38" t="str">
        <x:v>配方输入</x:v>
      </x:c>
      <x:c r="C101" s="38" t="str">
        <x:v>C05-SYN-EQ-02</x:v>
      </x:c>
      <x:c r="D101" s="38" t="str">
        <x:v>C05</x:v>
      </x:c>
      <x:c r="E101" s="38" t="str">
        <x:v>EL-MAT-GLOBAL-SOMBER</x:v>
      </x:c>
      <x:c r="F101" s="38" t="str">
        <x:v>失色锻造石</x:v>
      </x:c>
      <x:c r="G101" s="38" t="str"/>
      <x:c r="H101" s="38" t="str">
        <x:v>全局材料</x:v>
      </x:c>
      <x:c r="I101" s="38" t="str">
        <x:v>全局材料</x:v>
      </x:c>
      <x:c r="J101" s="38" t="str">
        <x:v>失色锻造石</x:v>
      </x:c>
      <x:c r="K101" s="38" t="str">
        <x:v>失色锻造石</x:v>
      </x:c>
      <x:c r="L101" s="38" t="str">
        <x:v>待经济反算</x:v>
      </x:c>
      <x:c r="M101" s="38" t="str">
        <x:v>待经济反算</x:v>
      </x:c>
      <x:c r="N101" s="38" t="str">
        <x:v>是</x:v>
      </x:c>
      <x:c r="O101" s="38" t="str">
        <x:v>否</x:v>
      </x:c>
      <x:c r="P101" s="38" t="str">
        <x:v>否</x:v>
      </x:c>
      <x:c r="Q101" s="38" t="str">
        <x:v>是</x:v>
      </x:c>
      <x:c r="R101" s="38" t="str">
        <x:v>是</x:v>
      </x:c>
      <x:c r="S101" s="38" t="str">
        <x:v>可交易</x:v>
      </x:c>
      <x:c r="T101" s="38" t="str">
        <x:v>不作为自动回收主材</x:v>
      </x:c>
      <x:c r="U101" s="38" t="str">
        <x:v>产出实物默认不绑定，按现行材料脚本</x:v>
      </x:c>
      <x:c r="V101" s="38" t="str">
        <x:v>结构已确认；数量待经济反算</x:v>
      </x:c>
      <x:c r="W101" s="39" t="str"/>
    </x:row>
    <x:row r="102" ht="42" customHeight="1">
      <x:c r="A102" s="37" t="str">
        <x:v>CON-C05-SYN-EQ-02-0098</x:v>
      </x:c>
      <x:c r="B102" s="38" t="str">
        <x:v>配方输入</x:v>
      </x:c>
      <x:c r="C102" s="38" t="str">
        <x:v>C05-SYN-EQ-02</x:v>
      </x:c>
      <x:c r="D102" s="38" t="str">
        <x:v>C05</x:v>
      </x:c>
      <x:c r="E102" s="38" t="str">
        <x:v>CUR-YUANBAO</x:v>
      </x:c>
      <x:c r="F102" s="38" t="str">
        <x:v>元宝</x:v>
      </x:c>
      <x:c r="G102" s="38" t="str"/>
      <x:c r="H102" s="38" t="str">
        <x:v>金币/元宝/灵符</x:v>
      </x:c>
      <x:c r="I102" s="38" t="str">
        <x:v>货币</x:v>
      </x:c>
      <x:c r="J102" s="38" t="str">
        <x:v>元宝</x:v>
      </x:c>
      <x:c r="K102" s="38" t="str">
        <x:v>元宝</x:v>
      </x:c>
      <x:c r="L102" s="38" t="str">
        <x:v>待经济反算</x:v>
      </x:c>
      <x:c r="M102" s="38" t="str">
        <x:v>待经济反算</x:v>
      </x:c>
      <x:c r="N102" s="38" t="str">
        <x:v>是</x:v>
      </x:c>
      <x:c r="O102" s="38" t="str">
        <x:v>否</x:v>
      </x:c>
      <x:c r="P102" s="38" t="str">
        <x:v>否</x:v>
      </x:c>
      <x:c r="Q102" s="38" t="str">
        <x:v>是</x:v>
      </x:c>
      <x:c r="R102" s="38" t="str">
        <x:v>是</x:v>
      </x:c>
      <x:c r="S102" s="38" t="str">
        <x:v>不进入玩家摆摊；通过交易物间接流通</x:v>
      </x:c>
      <x:c r="T102" s="38" t="str">
        <x:v>货币本身不可回收</x:v>
      </x:c>
      <x:c r="U102" s="38" t="str">
        <x:v>沿用现行货币账户</x:v>
      </x:c>
      <x:c r="V102" s="38" t="str">
        <x:v>结构已确认；数量待经济反算</x:v>
      </x:c>
      <x:c r="W102" s="39" t="str"/>
    </x:row>
    <x:row r="103" ht="42" customHeight="1">
      <x:c r="A103" s="37" t="str">
        <x:v>CON-C06-SYN-EQ-01-0099</x:v>
      </x:c>
      <x:c r="B103" s="38" t="str">
        <x:v>配方输入</x:v>
      </x:c>
      <x:c r="C103" s="38" t="str">
        <x:v>C06-SYN-EQ-01</x:v>
      </x:c>
      <x:c r="D103" s="38" t="str">
        <x:v>C06</x:v>
      </x:c>
      <x:c r="E103" s="38" t="str">
        <x:v>ITEM-A5CF8BA59827</x:v>
      </x:c>
      <x:c r="F103" s="38" t="str">
        <x:v>雷奥尼斯狮铠</x:v>
      </x:c>
      <x:c r="G103" s="38" t="str"/>
      <x:c r="H103" s="38" t="str">
        <x:v>基础件/前置</x:v>
      </x:c>
      <x:c r="I103" s="38" t="str">
        <x:v>基础件/前置</x:v>
      </x:c>
      <x:c r="J103" s="38" t="str">
        <x:v>雷奥尼斯狮铠＋瑟芮血衣</x:v>
      </x:c>
      <x:c r="K103" s="38" t="str">
        <x:v>雷奥尼斯狮铠</x:v>
      </x:c>
      <x:c r="L103" s="38" t="str">
        <x:v>待经济反算</x:v>
      </x:c>
      <x:c r="M103" s="38" t="str">
        <x:v>待经济反算</x:v>
      </x:c>
      <x:c r="N103" s="38" t="str">
        <x:v>是</x:v>
      </x:c>
      <x:c r="O103" s="38" t="str">
        <x:v>否</x:v>
      </x:c>
      <x:c r="P103" s="38" t="str">
        <x:v>否</x:v>
      </x:c>
      <x:c r="Q103" s="38" t="str">
        <x:v>是</x:v>
      </x:c>
      <x:c r="R103" s="38" t="str">
        <x:v>是</x:v>
      </x:c>
      <x:c r="S103" s="38" t="str">
        <x:v>可交易（沿用原物品规则）</x:v>
      </x:c>
      <x:c r="T103" s="38" t="str">
        <x:v>沿用原物品；若为合成成品则禁止回收</x:v>
      </x:c>
      <x:c r="U103" s="38" t="str">
        <x:v>沿用配方交易/绑定列</x:v>
      </x:c>
      <x:c r="V103" s="38" t="str">
        <x:v>结构已确认；数量待经济反算</x:v>
      </x:c>
      <x:c r="W103" s="39" t="str"/>
    </x:row>
    <x:row r="104" ht="42" customHeight="1">
      <x:c r="A104" s="37" t="str">
        <x:v>CON-C06-SYN-EQ-01-0100</x:v>
      </x:c>
      <x:c r="B104" s="38" t="str">
        <x:v>配方输入</x:v>
      </x:c>
      <x:c r="C104" s="38" t="str">
        <x:v>C06-SYN-EQ-01</x:v>
      </x:c>
      <x:c r="D104" s="38" t="str">
        <x:v>C06</x:v>
      </x:c>
      <x:c r="E104" s="38" t="str">
        <x:v>ITEM-716BB73EBA94</x:v>
      </x:c>
      <x:c r="F104" s="38" t="str">
        <x:v>瑟芮血衣</x:v>
      </x:c>
      <x:c r="G104" s="38" t="str"/>
      <x:c r="H104" s="38" t="str">
        <x:v>基础件/前置</x:v>
      </x:c>
      <x:c r="I104" s="38" t="str">
        <x:v>基础件/前置</x:v>
      </x:c>
      <x:c r="J104" s="38" t="str">
        <x:v>雷奥尼斯狮铠＋瑟芮血衣</x:v>
      </x:c>
      <x:c r="K104" s="38" t="str">
        <x:v>瑟芮血衣</x:v>
      </x:c>
      <x:c r="L104" s="38" t="str">
        <x:v>待经济反算</x:v>
      </x:c>
      <x:c r="M104" s="38" t="str">
        <x:v>待经济反算</x:v>
      </x:c>
      <x:c r="N104" s="38" t="str">
        <x:v>是</x:v>
      </x:c>
      <x:c r="O104" s="38" t="str">
        <x:v>否</x:v>
      </x:c>
      <x:c r="P104" s="38" t="str">
        <x:v>否</x:v>
      </x:c>
      <x:c r="Q104" s="38" t="str">
        <x:v>是</x:v>
      </x:c>
      <x:c r="R104" s="38" t="str">
        <x:v>是</x:v>
      </x:c>
      <x:c r="S104" s="38" t="str">
        <x:v>可交易（沿用原物品规则）</x:v>
      </x:c>
      <x:c r="T104" s="38" t="str">
        <x:v>沿用原物品；若为合成成品则禁止回收</x:v>
      </x:c>
      <x:c r="U104" s="38" t="str">
        <x:v>沿用配方交易/绑定列</x:v>
      </x:c>
      <x:c r="V104" s="38" t="str">
        <x:v>结构已确认；数量待经济反算</x:v>
      </x:c>
      <x:c r="W104" s="39" t="str"/>
    </x:row>
    <x:row r="105" ht="42" customHeight="1">
      <x:c r="A105" s="37" t="str">
        <x:v>CON-C06-SYN-EQ-01-0101</x:v>
      </x:c>
      <x:c r="B105" s="38" t="str">
        <x:v>配方输入</x:v>
      </x:c>
      <x:c r="C105" s="38" t="str">
        <x:v>C06-SYN-EQ-01</x:v>
      </x:c>
      <x:c r="D105" s="38" t="str">
        <x:v>C06</x:v>
      </x:c>
      <x:c r="E105" s="38" t="str">
        <x:v>EL-MAT-C06-COM</x:v>
      </x:c>
      <x:c r="F105" s="38" t="str">
        <x:v>猩红矿渣</x:v>
      </x:c>
      <x:c r="G105" s="38" t="str"/>
      <x:c r="H105" s="38" t="str">
        <x:v>高产通用材料</x:v>
      </x:c>
      <x:c r="I105" s="38" t="str">
        <x:v>高产通用材料</x:v>
      </x:c>
      <x:c r="J105" s="38" t="str">
        <x:v>猩红矿渣</x:v>
      </x:c>
      <x:c r="K105" s="38" t="str">
        <x:v>猩红矿渣</x:v>
      </x:c>
      <x:c r="L105" s="38" t="str">
        <x:v>待经济反算</x:v>
      </x:c>
      <x:c r="M105" s="38" t="str">
        <x:v>待经济反算</x:v>
      </x:c>
      <x:c r="N105" s="38" t="str">
        <x:v>是</x:v>
      </x:c>
      <x:c r="O105" s="38" t="str">
        <x:v>否</x:v>
      </x:c>
      <x:c r="P105" s="38" t="str">
        <x:v>否</x:v>
      </x:c>
      <x:c r="Q105" s="38" t="str">
        <x:v>是</x:v>
      </x:c>
      <x:c r="R105" s="38" t="str">
        <x:v>是</x:v>
      </x:c>
      <x:c r="S105" s="38" t="str">
        <x:v>可交易</x:v>
      </x:c>
      <x:c r="T105" s="38" t="str">
        <x:v>R6档金币／元宝主回收口</x:v>
      </x:c>
      <x:c r="U105" s="38" t="str">
        <x:v>产出实物默认不绑定，按现行材料脚本</x:v>
      </x:c>
      <x:c r="V105" s="38" t="str">
        <x:v>结构已确认；数量待经济反算</x:v>
      </x:c>
      <x:c r="W105" s="39" t="str"/>
    </x:row>
    <x:row r="106" ht="42" customHeight="1">
      <x:c r="A106" s="37" t="str">
        <x:v>CON-C06-SYN-EQ-01-0102</x:v>
      </x:c>
      <x:c r="B106" s="38" t="str">
        <x:v>配方输入</x:v>
      </x:c>
      <x:c r="C106" s="38" t="str">
        <x:v>C06-SYN-EQ-01</x:v>
      </x:c>
      <x:c r="D106" s="38" t="str">
        <x:v>C06</x:v>
      </x:c>
      <x:c r="E106" s="38" t="str">
        <x:v>EL-MAT-C06-Q01</x:v>
      </x:c>
      <x:c r="F106" s="38" t="str">
        <x:v>红狮断箭</x:v>
      </x:c>
      <x:c r="G106" s="38" t="str"/>
      <x:c r="H106" s="38" t="str">
        <x:v>稀有/证物材料</x:v>
      </x:c>
      <x:c r="I106" s="38" t="str">
        <x:v>稀有/证物材料</x:v>
      </x:c>
      <x:c r="J106" s="38" t="str">
        <x:v>红狮断箭＋红狮战印</x:v>
      </x:c>
      <x:c r="K106" s="38" t="str">
        <x:v>红狮断箭</x:v>
      </x:c>
      <x:c r="L106" s="38" t="str">
        <x:v>待经济反算</x:v>
      </x:c>
      <x:c r="M106" s="38" t="str">
        <x:v>待经济反算</x:v>
      </x:c>
      <x:c r="N106" s="38" t="str">
        <x:v>是</x:v>
      </x:c>
      <x:c r="O106" s="38" t="str">
        <x:v>否</x:v>
      </x:c>
      <x:c r="P106" s="38" t="str">
        <x:v>否</x:v>
      </x:c>
      <x:c r="Q106" s="38" t="str">
        <x:v>是</x:v>
      </x:c>
      <x:c r="R106" s="38" t="str">
        <x:v>是</x:v>
      </x:c>
      <x:c r="S106" s="38" t="str">
        <x:v>可交易</x:v>
      </x:c>
      <x:c r="T106" s="38" t="str">
        <x:v>不作为自动回收主材</x:v>
      </x:c>
      <x:c r="U106" s="38" t="str">
        <x:v>产出实物默认不绑定，按现行材料脚本</x:v>
      </x:c>
      <x:c r="V106" s="38" t="str">
        <x:v>结构已确认；数量待经济反算</x:v>
      </x:c>
      <x:c r="W106" s="39" t="str"/>
    </x:row>
    <x:row r="107" ht="42" customHeight="1">
      <x:c r="A107" s="37" t="str">
        <x:v>CON-C06-SYN-EQ-01-0103</x:v>
      </x:c>
      <x:c r="B107" s="38" t="str">
        <x:v>配方输入</x:v>
      </x:c>
      <x:c r="C107" s="38" t="str">
        <x:v>C06-SYN-EQ-01</x:v>
      </x:c>
      <x:c r="D107" s="38" t="str">
        <x:v>C06</x:v>
      </x:c>
      <x:c r="E107" s="38" t="str">
        <x:v>EL-MAT-C06-MARK</x:v>
      </x:c>
      <x:c r="F107" s="38" t="str">
        <x:v>红狮战印</x:v>
      </x:c>
      <x:c r="G107" s="38" t="str"/>
      <x:c r="H107" s="38" t="str">
        <x:v>稀有/证物材料</x:v>
      </x:c>
      <x:c r="I107" s="38" t="str">
        <x:v>稀有/证物材料</x:v>
      </x:c>
      <x:c r="J107" s="38" t="str">
        <x:v>红狮断箭＋红狮战印</x:v>
      </x:c>
      <x:c r="K107" s="38" t="str">
        <x:v>红狮战印</x:v>
      </x:c>
      <x:c r="L107" s="38" t="str">
        <x:v>待经济反算</x:v>
      </x:c>
      <x:c r="M107" s="38" t="str">
        <x:v>待经济反算</x:v>
      </x:c>
      <x:c r="N107" s="38" t="str">
        <x:v>是</x:v>
      </x:c>
      <x:c r="O107" s="38" t="str">
        <x:v>否</x:v>
      </x:c>
      <x:c r="P107" s="38" t="str">
        <x:v>否</x:v>
      </x:c>
      <x:c r="Q107" s="38" t="str">
        <x:v>是</x:v>
      </x:c>
      <x:c r="R107" s="38" t="str">
        <x:v>是</x:v>
      </x:c>
      <x:c r="S107" s="38" t="str">
        <x:v>可交易</x:v>
      </x:c>
      <x:c r="T107" s="38" t="str">
        <x:v>不作为自动回收主材</x:v>
      </x:c>
      <x:c r="U107" s="38" t="str">
        <x:v>产出实物默认不绑定，按现行材料脚本</x:v>
      </x:c>
      <x:c r="V107" s="38" t="str">
        <x:v>结构已确认；数量待经济反算</x:v>
      </x:c>
      <x:c r="W107" s="39" t="str"/>
    </x:row>
    <x:row r="108" ht="42" customHeight="1">
      <x:c r="A108" s="37" t="str">
        <x:v>CON-C06-SYN-EQ-01-0104</x:v>
      </x:c>
      <x:c r="B108" s="38" t="str">
        <x:v>配方输入</x:v>
      </x:c>
      <x:c r="C108" s="38" t="str">
        <x:v>C06-SYN-EQ-01</x:v>
      </x:c>
      <x:c r="D108" s="38" t="str">
        <x:v>C06</x:v>
      </x:c>
      <x:c r="E108" s="38" t="str">
        <x:v>EL-MAT-GLOBAL-SOMBER</x:v>
      </x:c>
      <x:c r="F108" s="38" t="str">
        <x:v>失色锻造石</x:v>
      </x:c>
      <x:c r="G108" s="38" t="str"/>
      <x:c r="H108" s="38" t="str">
        <x:v>全局材料</x:v>
      </x:c>
      <x:c r="I108" s="38" t="str">
        <x:v>全局材料</x:v>
      </x:c>
      <x:c r="J108" s="38" t="str">
        <x:v>失色锻造石</x:v>
      </x:c>
      <x:c r="K108" s="38" t="str">
        <x:v>失色锻造石</x:v>
      </x:c>
      <x:c r="L108" s="38" t="str">
        <x:v>待经济反算</x:v>
      </x:c>
      <x:c r="M108" s="38" t="str">
        <x:v>待经济反算</x:v>
      </x:c>
      <x:c r="N108" s="38" t="str">
        <x:v>是</x:v>
      </x:c>
      <x:c r="O108" s="38" t="str">
        <x:v>否</x:v>
      </x:c>
      <x:c r="P108" s="38" t="str">
        <x:v>否</x:v>
      </x:c>
      <x:c r="Q108" s="38" t="str">
        <x:v>是</x:v>
      </x:c>
      <x:c r="R108" s="38" t="str">
        <x:v>是</x:v>
      </x:c>
      <x:c r="S108" s="38" t="str">
        <x:v>可交易</x:v>
      </x:c>
      <x:c r="T108" s="38" t="str">
        <x:v>不作为自动回收主材</x:v>
      </x:c>
      <x:c r="U108" s="38" t="str">
        <x:v>产出实物默认不绑定，按现行材料脚本</x:v>
      </x:c>
      <x:c r="V108" s="38" t="str">
        <x:v>结构已确认；数量待经济反算</x:v>
      </x:c>
      <x:c r="W108" s="39" t="str"/>
    </x:row>
    <x:row r="109" ht="42" customHeight="1">
      <x:c r="A109" s="37" t="str">
        <x:v>CON-C06-SYN-EQ-01-0105</x:v>
      </x:c>
      <x:c r="B109" s="38" t="str">
        <x:v>配方输入</x:v>
      </x:c>
      <x:c r="C109" s="38" t="str">
        <x:v>C06-SYN-EQ-01</x:v>
      </x:c>
      <x:c r="D109" s="38" t="str">
        <x:v>C06</x:v>
      </x:c>
      <x:c r="E109" s="38" t="str">
        <x:v>CUR-GOLD</x:v>
      </x:c>
      <x:c r="F109" s="38" t="str">
        <x:v>金币</x:v>
      </x:c>
      <x:c r="G109" s="38" t="str"/>
      <x:c r="H109" s="38" t="str">
        <x:v>金币/元宝/灵符</x:v>
      </x:c>
      <x:c r="I109" s="38" t="str">
        <x:v>货币</x:v>
      </x:c>
      <x:c r="J109" s="38" t="str">
        <x:v>金币</x:v>
      </x:c>
      <x:c r="K109" s="38" t="str">
        <x:v>金币</x:v>
      </x:c>
      <x:c r="L109" s="38" t="str">
        <x:v>待经济反算</x:v>
      </x:c>
      <x:c r="M109" s="38" t="str">
        <x:v>待经济反算</x:v>
      </x:c>
      <x:c r="N109" s="38" t="str">
        <x:v>是</x:v>
      </x:c>
      <x:c r="O109" s="38" t="str">
        <x:v>否</x:v>
      </x:c>
      <x:c r="P109" s="38" t="str">
        <x:v>否</x:v>
      </x:c>
      <x:c r="Q109" s="38" t="str">
        <x:v>是</x:v>
      </x:c>
      <x:c r="R109" s="38" t="str">
        <x:v>是</x:v>
      </x:c>
      <x:c r="S109" s="38" t="str">
        <x:v>不进入玩家摆摊；通过交易物间接流通</x:v>
      </x:c>
      <x:c r="T109" s="38" t="str">
        <x:v>货币本身不可回收</x:v>
      </x:c>
      <x:c r="U109" s="38" t="str">
        <x:v>沿用现行货币账户</x:v>
      </x:c>
      <x:c r="V109" s="38" t="str">
        <x:v>结构已确认；数量待经济反算</x:v>
      </x:c>
      <x:c r="W109" s="39" t="str"/>
    </x:row>
    <x:row r="110" ht="42" customHeight="1">
      <x:c r="A110" s="37" t="str">
        <x:v>CON-C06-SYN-EQ-02-0106</x:v>
      </x:c>
      <x:c r="B110" s="38" t="str">
        <x:v>配方输入</x:v>
      </x:c>
      <x:c r="C110" s="38" t="str">
        <x:v>C06-SYN-EQ-02</x:v>
      </x:c>
      <x:c r="D110" s="38" t="str">
        <x:v>C06</x:v>
      </x:c>
      <x:c r="E110" s="38" t="str">
        <x:v>ITEM-4E6601EF8783</x:v>
      </x:c>
      <x:c r="F110" s="38" t="str">
        <x:v>烬鳞护腕</x:v>
      </x:c>
      <x:c r="G110" s="38" t="str"/>
      <x:c r="H110" s="38" t="str">
        <x:v>基础件/前置</x:v>
      </x:c>
      <x:c r="I110" s="38" t="str">
        <x:v>基础件/前置</x:v>
      </x:c>
      <x:c r="J110" s="38" t="str">
        <x:v>烬鳞护腕＋血菌腕轮</x:v>
      </x:c>
      <x:c r="K110" s="38" t="str">
        <x:v>烬鳞护腕</x:v>
      </x:c>
      <x:c r="L110" s="38" t="str">
        <x:v>待经济反算</x:v>
      </x:c>
      <x:c r="M110" s="38" t="str">
        <x:v>待经济反算</x:v>
      </x:c>
      <x:c r="N110" s="38" t="str">
        <x:v>是</x:v>
      </x:c>
      <x:c r="O110" s="38" t="str">
        <x:v>否</x:v>
      </x:c>
      <x:c r="P110" s="38" t="str">
        <x:v>否</x:v>
      </x:c>
      <x:c r="Q110" s="38" t="str">
        <x:v>是</x:v>
      </x:c>
      <x:c r="R110" s="38" t="str">
        <x:v>是</x:v>
      </x:c>
      <x:c r="S110" s="38" t="str">
        <x:v>可交易（沿用原物品规则）</x:v>
      </x:c>
      <x:c r="T110" s="38" t="str">
        <x:v>沿用原物品；若为合成成品则禁止回收</x:v>
      </x:c>
      <x:c r="U110" s="38" t="str">
        <x:v>沿用配方交易/绑定列</x:v>
      </x:c>
      <x:c r="V110" s="38" t="str">
        <x:v>结构已确认；数量待经济反算</x:v>
      </x:c>
      <x:c r="W110" s="39" t="str"/>
    </x:row>
    <x:row r="111" ht="42" customHeight="1">
      <x:c r="A111" s="37" t="str">
        <x:v>CON-C06-SYN-EQ-02-0107</x:v>
      </x:c>
      <x:c r="B111" s="38" t="str">
        <x:v>配方输入</x:v>
      </x:c>
      <x:c r="C111" s="38" t="str">
        <x:v>C06-SYN-EQ-02</x:v>
      </x:c>
      <x:c r="D111" s="38" t="str">
        <x:v>C06</x:v>
      </x:c>
      <x:c r="E111" s="38" t="str">
        <x:v>ITEM-A33D076209BF</x:v>
      </x:c>
      <x:c r="F111" s="38" t="str">
        <x:v>血菌腕轮</x:v>
      </x:c>
      <x:c r="G111" s="38" t="str"/>
      <x:c r="H111" s="38" t="str">
        <x:v>基础件/前置</x:v>
      </x:c>
      <x:c r="I111" s="38" t="str">
        <x:v>基础件/前置</x:v>
      </x:c>
      <x:c r="J111" s="38" t="str">
        <x:v>烬鳞护腕＋血菌腕轮</x:v>
      </x:c>
      <x:c r="K111" s="38" t="str">
        <x:v>血菌腕轮</x:v>
      </x:c>
      <x:c r="L111" s="38" t="str">
        <x:v>待经济反算</x:v>
      </x:c>
      <x:c r="M111" s="38" t="str">
        <x:v>待经济反算</x:v>
      </x:c>
      <x:c r="N111" s="38" t="str">
        <x:v>是</x:v>
      </x:c>
      <x:c r="O111" s="38" t="str">
        <x:v>否</x:v>
      </x:c>
      <x:c r="P111" s="38" t="str">
        <x:v>否</x:v>
      </x:c>
      <x:c r="Q111" s="38" t="str">
        <x:v>是</x:v>
      </x:c>
      <x:c r="R111" s="38" t="str">
        <x:v>是</x:v>
      </x:c>
      <x:c r="S111" s="38" t="str">
        <x:v>可交易（沿用原物品规则）</x:v>
      </x:c>
      <x:c r="T111" s="38" t="str">
        <x:v>沿用原物品；若为合成成品则禁止回收</x:v>
      </x:c>
      <x:c r="U111" s="38" t="str">
        <x:v>沿用配方交易/绑定列</x:v>
      </x:c>
      <x:c r="V111" s="38" t="str">
        <x:v>结构已确认；数量待经济反算</x:v>
      </x:c>
      <x:c r="W111" s="39" t="str"/>
    </x:row>
    <x:row r="112" ht="42" customHeight="1">
      <x:c r="A112" s="37" t="str">
        <x:v>CON-C06-SYN-EQ-02-0108</x:v>
      </x:c>
      <x:c r="B112" s="38" t="str">
        <x:v>配方输入</x:v>
      </x:c>
      <x:c r="C112" s="38" t="str">
        <x:v>C06-SYN-EQ-02</x:v>
      </x:c>
      <x:c r="D112" s="38" t="str">
        <x:v>C06</x:v>
      </x:c>
      <x:c r="E112" s="38" t="str">
        <x:v>EL-MAT-C06-COM</x:v>
      </x:c>
      <x:c r="F112" s="38" t="str">
        <x:v>猩红矿渣</x:v>
      </x:c>
      <x:c r="G112" s="38" t="str"/>
      <x:c r="H112" s="38" t="str">
        <x:v>高产通用材料</x:v>
      </x:c>
      <x:c r="I112" s="38" t="str">
        <x:v>高产通用材料</x:v>
      </x:c>
      <x:c r="J112" s="38" t="str">
        <x:v>猩红矿渣</x:v>
      </x:c>
      <x:c r="K112" s="38" t="str">
        <x:v>猩红矿渣</x:v>
      </x:c>
      <x:c r="L112" s="38" t="str">
        <x:v>待经济反算</x:v>
      </x:c>
      <x:c r="M112" s="38" t="str">
        <x:v>待经济反算</x:v>
      </x:c>
      <x:c r="N112" s="38" t="str">
        <x:v>是</x:v>
      </x:c>
      <x:c r="O112" s="38" t="str">
        <x:v>否</x:v>
      </x:c>
      <x:c r="P112" s="38" t="str">
        <x:v>否</x:v>
      </x:c>
      <x:c r="Q112" s="38" t="str">
        <x:v>是</x:v>
      </x:c>
      <x:c r="R112" s="38" t="str">
        <x:v>是</x:v>
      </x:c>
      <x:c r="S112" s="38" t="str">
        <x:v>可交易</x:v>
      </x:c>
      <x:c r="T112" s="38" t="str">
        <x:v>R6档金币／元宝主回收口</x:v>
      </x:c>
      <x:c r="U112" s="38" t="str">
        <x:v>产出实物默认不绑定，按现行材料脚本</x:v>
      </x:c>
      <x:c r="V112" s="38" t="str">
        <x:v>结构已确认；数量待经济反算</x:v>
      </x:c>
      <x:c r="W112" s="39" t="str"/>
    </x:row>
    <x:row r="113" ht="42" customHeight="1">
      <x:c r="A113" s="37" t="str">
        <x:v>CON-C06-SYN-EQ-02-0109</x:v>
      </x:c>
      <x:c r="B113" s="38" t="str">
        <x:v>配方输入</x:v>
      </x:c>
      <x:c r="C113" s="38" t="str">
        <x:v>C06-SYN-EQ-02</x:v>
      </x:c>
      <x:c r="D113" s="38" t="str">
        <x:v>C06</x:v>
      </x:c>
      <x:c r="E113" s="38" t="str">
        <x:v>EL-MAT-C06-Q02</x:v>
      </x:c>
      <x:c r="F113" s="38" t="str">
        <x:v>净火腺囊</x:v>
      </x:c>
      <x:c r="G113" s="38" t="str"/>
      <x:c r="H113" s="38" t="str">
        <x:v>稀有/证物材料</x:v>
      </x:c>
      <x:c r="I113" s="38" t="str">
        <x:v>稀有/证物材料</x:v>
      </x:c>
      <x:c r="J113" s="38" t="str">
        <x:v>净火腺囊＋龙窟熔牙</x:v>
      </x:c>
      <x:c r="K113" s="38" t="str">
        <x:v>净火腺囊</x:v>
      </x:c>
      <x:c r="L113" s="38" t="str">
        <x:v>待经济反算</x:v>
      </x:c>
      <x:c r="M113" s="38" t="str">
        <x:v>待经济反算</x:v>
      </x:c>
      <x:c r="N113" s="38" t="str">
        <x:v>是</x:v>
      </x:c>
      <x:c r="O113" s="38" t="str">
        <x:v>否</x:v>
      </x:c>
      <x:c r="P113" s="38" t="str">
        <x:v>否</x:v>
      </x:c>
      <x:c r="Q113" s="38" t="str">
        <x:v>是</x:v>
      </x:c>
      <x:c r="R113" s="38" t="str">
        <x:v>是</x:v>
      </x:c>
      <x:c r="S113" s="38" t="str">
        <x:v>可交易</x:v>
      </x:c>
      <x:c r="T113" s="38" t="str">
        <x:v>不作为自动回收主材</x:v>
      </x:c>
      <x:c r="U113" s="38" t="str">
        <x:v>产出实物默认不绑定，按现行材料脚本</x:v>
      </x:c>
      <x:c r="V113" s="38" t="str">
        <x:v>结构已确认；数量待经济反算</x:v>
      </x:c>
      <x:c r="W113" s="39" t="str"/>
    </x:row>
    <x:row r="114" ht="42" customHeight="1">
      <x:c r="A114" s="37" t="str">
        <x:v>CON-C06-SYN-EQ-02-0110</x:v>
      </x:c>
      <x:c r="B114" s="38" t="str">
        <x:v>配方输入</x:v>
      </x:c>
      <x:c r="C114" s="38" t="str">
        <x:v>C06-SYN-EQ-02</x:v>
      </x:c>
      <x:c r="D114" s="38" t="str">
        <x:v>C06</x:v>
      </x:c>
      <x:c r="E114" s="38" t="str">
        <x:v>EL-MAT-C06-Q03</x:v>
      </x:c>
      <x:c r="F114" s="38" t="str">
        <x:v>龙窟熔牙</x:v>
      </x:c>
      <x:c r="G114" s="38" t="str"/>
      <x:c r="H114" s="38" t="str">
        <x:v>稀有/证物材料</x:v>
      </x:c>
      <x:c r="I114" s="38" t="str">
        <x:v>稀有/证物材料</x:v>
      </x:c>
      <x:c r="J114" s="38" t="str">
        <x:v>净火腺囊＋龙窟熔牙</x:v>
      </x:c>
      <x:c r="K114" s="38" t="str">
        <x:v>龙窟熔牙</x:v>
      </x:c>
      <x:c r="L114" s="38" t="str">
        <x:v>待经济反算</x:v>
      </x:c>
      <x:c r="M114" s="38" t="str">
        <x:v>待经济反算</x:v>
      </x:c>
      <x:c r="N114" s="38" t="str">
        <x:v>是</x:v>
      </x:c>
      <x:c r="O114" s="38" t="str">
        <x:v>否</x:v>
      </x:c>
      <x:c r="P114" s="38" t="str">
        <x:v>否</x:v>
      </x:c>
      <x:c r="Q114" s="38" t="str">
        <x:v>是</x:v>
      </x:c>
      <x:c r="R114" s="38" t="str">
        <x:v>是</x:v>
      </x:c>
      <x:c r="S114" s="38" t="str">
        <x:v>可交易</x:v>
      </x:c>
      <x:c r="T114" s="38" t="str">
        <x:v>不作为自动回收主材</x:v>
      </x:c>
      <x:c r="U114" s="38" t="str">
        <x:v>产出实物默认不绑定，按现行材料脚本</x:v>
      </x:c>
      <x:c r="V114" s="38" t="str">
        <x:v>结构已确认；数量待经济反算</x:v>
      </x:c>
      <x:c r="W114" s="39" t="str"/>
    </x:row>
    <x:row r="115" ht="42" customHeight="1">
      <x:c r="A115" s="37" t="str">
        <x:v>CON-C06-SYN-EQ-02-0111</x:v>
      </x:c>
      <x:c r="B115" s="38" t="str">
        <x:v>配方输入</x:v>
      </x:c>
      <x:c r="C115" s="38" t="str">
        <x:v>C06-SYN-EQ-02</x:v>
      </x:c>
      <x:c r="D115" s="38" t="str">
        <x:v>C06</x:v>
      </x:c>
      <x:c r="E115" s="38" t="str">
        <x:v>EL-MAT-GLOBAL-SOMBER</x:v>
      </x:c>
      <x:c r="F115" s="38" t="str">
        <x:v>失色锻造石</x:v>
      </x:c>
      <x:c r="G115" s="38" t="str"/>
      <x:c r="H115" s="38" t="str">
        <x:v>全局材料</x:v>
      </x:c>
      <x:c r="I115" s="38" t="str">
        <x:v>全局材料</x:v>
      </x:c>
      <x:c r="J115" s="38" t="str">
        <x:v>失色锻造石</x:v>
      </x:c>
      <x:c r="K115" s="38" t="str">
        <x:v>失色锻造石</x:v>
      </x:c>
      <x:c r="L115" s="38" t="str">
        <x:v>待经济反算</x:v>
      </x:c>
      <x:c r="M115" s="38" t="str">
        <x:v>待经济反算</x:v>
      </x:c>
      <x:c r="N115" s="38" t="str">
        <x:v>是</x:v>
      </x:c>
      <x:c r="O115" s="38" t="str">
        <x:v>否</x:v>
      </x:c>
      <x:c r="P115" s="38" t="str">
        <x:v>否</x:v>
      </x:c>
      <x:c r="Q115" s="38" t="str">
        <x:v>是</x:v>
      </x:c>
      <x:c r="R115" s="38" t="str">
        <x:v>是</x:v>
      </x:c>
      <x:c r="S115" s="38" t="str">
        <x:v>可交易</x:v>
      </x:c>
      <x:c r="T115" s="38" t="str">
        <x:v>不作为自动回收主材</x:v>
      </x:c>
      <x:c r="U115" s="38" t="str">
        <x:v>产出实物默认不绑定，按现行材料脚本</x:v>
      </x:c>
      <x:c r="V115" s="38" t="str">
        <x:v>结构已确认；数量待经济反算</x:v>
      </x:c>
      <x:c r="W115" s="39" t="str"/>
    </x:row>
    <x:row r="116" ht="42" customHeight="1">
      <x:c r="A116" s="37" t="str">
        <x:v>CON-C06-SYN-EQ-02-0112</x:v>
      </x:c>
      <x:c r="B116" s="38" t="str">
        <x:v>配方输入</x:v>
      </x:c>
      <x:c r="C116" s="38" t="str">
        <x:v>C06-SYN-EQ-02</x:v>
      </x:c>
      <x:c r="D116" s="38" t="str">
        <x:v>C06</x:v>
      </x:c>
      <x:c r="E116" s="38" t="str">
        <x:v>CUR-GOLD</x:v>
      </x:c>
      <x:c r="F116" s="38" t="str">
        <x:v>金币</x:v>
      </x:c>
      <x:c r="G116" s="38" t="str"/>
      <x:c r="H116" s="38" t="str">
        <x:v>金币/元宝/灵符</x:v>
      </x:c>
      <x:c r="I116" s="38" t="str">
        <x:v>货币</x:v>
      </x:c>
      <x:c r="J116" s="38" t="str">
        <x:v>金币</x:v>
      </x:c>
      <x:c r="K116" s="38" t="str">
        <x:v>金币</x:v>
      </x:c>
      <x:c r="L116" s="38" t="str">
        <x:v>待经济反算</x:v>
      </x:c>
      <x:c r="M116" s="38" t="str">
        <x:v>待经济反算</x:v>
      </x:c>
      <x:c r="N116" s="38" t="str">
        <x:v>是</x:v>
      </x:c>
      <x:c r="O116" s="38" t="str">
        <x:v>否</x:v>
      </x:c>
      <x:c r="P116" s="38" t="str">
        <x:v>否</x:v>
      </x:c>
      <x:c r="Q116" s="38" t="str">
        <x:v>是</x:v>
      </x:c>
      <x:c r="R116" s="38" t="str">
        <x:v>是</x:v>
      </x:c>
      <x:c r="S116" s="38" t="str">
        <x:v>不进入玩家摆摊；通过交易物间接流通</x:v>
      </x:c>
      <x:c r="T116" s="38" t="str">
        <x:v>货币本身不可回收</x:v>
      </x:c>
      <x:c r="U116" s="38" t="str">
        <x:v>沿用现行货币账户</x:v>
      </x:c>
      <x:c r="V116" s="38" t="str">
        <x:v>结构已确认；数量待经济反算</x:v>
      </x:c>
      <x:c r="W116" s="39" t="str"/>
    </x:row>
    <x:row r="117" ht="42" customHeight="1">
      <x:c r="A117" s="37" t="str">
        <x:v>CON-C06-SYN-EQ-03-0113</x:v>
      </x:c>
      <x:c r="B117" s="38" t="str">
        <x:v>配方输入</x:v>
      </x:c>
      <x:c r="C117" s="38" t="str">
        <x:v>C06-SYN-EQ-03</x:v>
      </x:c>
      <x:c r="D117" s="38" t="str">
        <x:v>C06</x:v>
      </x:c>
      <x:c r="E117" s="38" t="str">
        <x:v>ITEM-9C1F1B68F874</x:v>
      </x:c>
      <x:c r="F117" s="38" t="str">
        <x:v>塞维拉狱衣</x:v>
      </x:c>
      <x:c r="G117" s="38" t="str"/>
      <x:c r="H117" s="38" t="str">
        <x:v>基础件/前置</x:v>
      </x:c>
      <x:c r="I117" s="38" t="str">
        <x:v>基础件/前置</x:v>
      </x:c>
      <x:c r="J117" s="38" t="str">
        <x:v>塞维拉狱衣＋拉塔恩碎星巨刃</x:v>
      </x:c>
      <x:c r="K117" s="38" t="str">
        <x:v>塞维拉狱衣</x:v>
      </x:c>
      <x:c r="L117" s="38" t="str">
        <x:v>待经济反算</x:v>
      </x:c>
      <x:c r="M117" s="38" t="str">
        <x:v>待经济反算</x:v>
      </x:c>
      <x:c r="N117" s="38" t="str">
        <x:v>是</x:v>
      </x:c>
      <x:c r="O117" s="38" t="str">
        <x:v>否</x:v>
      </x:c>
      <x:c r="P117" s="38" t="str">
        <x:v>否</x:v>
      </x:c>
      <x:c r="Q117" s="38" t="str">
        <x:v>是</x:v>
      </x:c>
      <x:c r="R117" s="38" t="str">
        <x:v>是</x:v>
      </x:c>
      <x:c r="S117" s="38" t="str">
        <x:v>可交易（沿用原物品规则）</x:v>
      </x:c>
      <x:c r="T117" s="38" t="str">
        <x:v>沿用原物品；若为合成成品则禁止回收</x:v>
      </x:c>
      <x:c r="U117" s="38" t="str">
        <x:v>沿用配方交易/绑定列</x:v>
      </x:c>
      <x:c r="V117" s="38" t="str">
        <x:v>结构已确认；数量待经济反算</x:v>
      </x:c>
      <x:c r="W117" s="39" t="str"/>
    </x:row>
    <x:row r="118" ht="42" customHeight="1">
      <x:c r="A118" s="37" t="str">
        <x:v>CON-C06-SYN-EQ-03-0114</x:v>
      </x:c>
      <x:c r="B118" s="38" t="str">
        <x:v>配方输入</x:v>
      </x:c>
      <x:c r="C118" s="38" t="str">
        <x:v>C06-SYN-EQ-03</x:v>
      </x:c>
      <x:c r="D118" s="38" t="str">
        <x:v>C06</x:v>
      </x:c>
      <x:c r="E118" s="38" t="str">
        <x:v>ITEM-7FA8F5A1350F</x:v>
      </x:c>
      <x:c r="F118" s="38" t="str">
        <x:v>拉塔恩碎星巨刃</x:v>
      </x:c>
      <x:c r="G118" s="38" t="str"/>
      <x:c r="H118" s="38" t="str">
        <x:v>基础件/前置</x:v>
      </x:c>
      <x:c r="I118" s="38" t="str">
        <x:v>基础件/前置</x:v>
      </x:c>
      <x:c r="J118" s="38" t="str">
        <x:v>塞维拉狱衣＋拉塔恩碎星巨刃</x:v>
      </x:c>
      <x:c r="K118" s="38" t="str">
        <x:v>拉塔恩碎星巨刃</x:v>
      </x:c>
      <x:c r="L118" s="38" t="str">
        <x:v>待经济反算</x:v>
      </x:c>
      <x:c r="M118" s="38" t="str">
        <x:v>待经济反算</x:v>
      </x:c>
      <x:c r="N118" s="38" t="str">
        <x:v>是</x:v>
      </x:c>
      <x:c r="O118" s="38" t="str">
        <x:v>否</x:v>
      </x:c>
      <x:c r="P118" s="38" t="str">
        <x:v>否</x:v>
      </x:c>
      <x:c r="Q118" s="38" t="str">
        <x:v>是</x:v>
      </x:c>
      <x:c r="R118" s="38" t="str">
        <x:v>是</x:v>
      </x:c>
      <x:c r="S118" s="38" t="str">
        <x:v>可交易（沿用原物品规则）</x:v>
      </x:c>
      <x:c r="T118" s="38" t="str">
        <x:v>沿用原物品；若为合成成品则禁止回收</x:v>
      </x:c>
      <x:c r="U118" s="38" t="str">
        <x:v>沿用配方交易/绑定列</x:v>
      </x:c>
      <x:c r="V118" s="38" t="str">
        <x:v>结构已确认；数量待经济反算</x:v>
      </x:c>
      <x:c r="W118" s="39" t="str"/>
    </x:row>
    <x:row r="119" ht="42" customHeight="1">
      <x:c r="A119" s="37" t="str">
        <x:v>CON-C06-SYN-EQ-03-0115</x:v>
      </x:c>
      <x:c r="B119" s="38" t="str">
        <x:v>配方输入</x:v>
      </x:c>
      <x:c r="C119" s="38" t="str">
        <x:v>C06-SYN-EQ-03</x:v>
      </x:c>
      <x:c r="D119" s="38" t="str">
        <x:v>C06</x:v>
      </x:c>
      <x:c r="E119" s="38" t="str">
        <x:v>EL-MAT-C06-COM</x:v>
      </x:c>
      <x:c r="F119" s="38" t="str">
        <x:v>猩红矿渣</x:v>
      </x:c>
      <x:c r="G119" s="38" t="str"/>
      <x:c r="H119" s="38" t="str">
        <x:v>高产通用材料</x:v>
      </x:c>
      <x:c r="I119" s="38" t="str">
        <x:v>高产通用材料</x:v>
      </x:c>
      <x:c r="J119" s="38" t="str">
        <x:v>猩红矿渣</x:v>
      </x:c>
      <x:c r="K119" s="38" t="str">
        <x:v>猩红矿渣</x:v>
      </x:c>
      <x:c r="L119" s="38" t="str">
        <x:v>待经济反算</x:v>
      </x:c>
      <x:c r="M119" s="38" t="str">
        <x:v>待经济反算</x:v>
      </x:c>
      <x:c r="N119" s="38" t="str">
        <x:v>是</x:v>
      </x:c>
      <x:c r="O119" s="38" t="str">
        <x:v>否</x:v>
      </x:c>
      <x:c r="P119" s="38" t="str">
        <x:v>否</x:v>
      </x:c>
      <x:c r="Q119" s="38" t="str">
        <x:v>是</x:v>
      </x:c>
      <x:c r="R119" s="38" t="str">
        <x:v>是</x:v>
      </x:c>
      <x:c r="S119" s="38" t="str">
        <x:v>可交易</x:v>
      </x:c>
      <x:c r="T119" s="38" t="str">
        <x:v>R6档金币／元宝主回收口</x:v>
      </x:c>
      <x:c r="U119" s="38" t="str">
        <x:v>产出实物默认不绑定，按现行材料脚本</x:v>
      </x:c>
      <x:c r="V119" s="38" t="str">
        <x:v>结构已确认；数量待经济反算</x:v>
      </x:c>
      <x:c r="W119" s="39" t="str"/>
    </x:row>
    <x:row r="120" ht="42" customHeight="1">
      <x:c r="A120" s="37" t="str">
        <x:v>CON-C06-SYN-EQ-03-0116</x:v>
      </x:c>
      <x:c r="B120" s="38" t="str">
        <x:v>配方输入</x:v>
      </x:c>
      <x:c r="C120" s="38" t="str">
        <x:v>C06-SYN-EQ-03</x:v>
      </x:c>
      <x:c r="D120" s="38" t="str">
        <x:v>C06</x:v>
      </x:c>
      <x:c r="E120" s="38" t="str">
        <x:v>EL-MAT-C06-Q04</x:v>
      </x:c>
      <x:c r="F120" s="38" t="str">
        <x:v>碎星仪仗钉</x:v>
      </x:c>
      <x:c r="G120" s="38" t="str"/>
      <x:c r="H120" s="38" t="str">
        <x:v>稀有/证物材料</x:v>
      </x:c>
      <x:c r="I120" s="38" t="str">
        <x:v>稀有/证物材料</x:v>
      </x:c>
      <x:c r="J120" s="38" t="str">
        <x:v>碎星仪仗钉＋红狮战印</x:v>
      </x:c>
      <x:c r="K120" s="38" t="str">
        <x:v>碎星仪仗钉</x:v>
      </x:c>
      <x:c r="L120" s="38" t="str">
        <x:v>待经济反算</x:v>
      </x:c>
      <x:c r="M120" s="38" t="str">
        <x:v>待经济反算</x:v>
      </x:c>
      <x:c r="N120" s="38" t="str">
        <x:v>是</x:v>
      </x:c>
      <x:c r="O120" s="38" t="str">
        <x:v>否</x:v>
      </x:c>
      <x:c r="P120" s="38" t="str">
        <x:v>否</x:v>
      </x:c>
      <x:c r="Q120" s="38" t="str">
        <x:v>是</x:v>
      </x:c>
      <x:c r="R120" s="38" t="str">
        <x:v>是</x:v>
      </x:c>
      <x:c r="S120" s="38" t="str">
        <x:v>可交易</x:v>
      </x:c>
      <x:c r="T120" s="38" t="str">
        <x:v>不作为自动回收主材</x:v>
      </x:c>
      <x:c r="U120" s="38" t="str">
        <x:v>产出实物默认不绑定，按现行材料脚本</x:v>
      </x:c>
      <x:c r="V120" s="38" t="str">
        <x:v>结构已确认；数量待经济反算</x:v>
      </x:c>
      <x:c r="W120" s="39" t="str"/>
    </x:row>
    <x:row r="121" ht="42" customHeight="1">
      <x:c r="A121" s="37" t="str">
        <x:v>CON-C06-SYN-EQ-03-0117</x:v>
      </x:c>
      <x:c r="B121" s="38" t="str">
        <x:v>配方输入</x:v>
      </x:c>
      <x:c r="C121" s="38" t="str">
        <x:v>C06-SYN-EQ-03</x:v>
      </x:c>
      <x:c r="D121" s="38" t="str">
        <x:v>C06</x:v>
      </x:c>
      <x:c r="E121" s="38" t="str">
        <x:v>EL-MAT-C06-MARK</x:v>
      </x:c>
      <x:c r="F121" s="38" t="str">
        <x:v>红狮战印</x:v>
      </x:c>
      <x:c r="G121" s="38" t="str"/>
      <x:c r="H121" s="38" t="str">
        <x:v>稀有/证物材料</x:v>
      </x:c>
      <x:c r="I121" s="38" t="str">
        <x:v>稀有/证物材料</x:v>
      </x:c>
      <x:c r="J121" s="38" t="str">
        <x:v>碎星仪仗钉＋红狮战印</x:v>
      </x:c>
      <x:c r="K121" s="38" t="str">
        <x:v>红狮战印</x:v>
      </x:c>
      <x:c r="L121" s="38" t="str">
        <x:v>待经济反算</x:v>
      </x:c>
      <x:c r="M121" s="38" t="str">
        <x:v>待经济反算</x:v>
      </x:c>
      <x:c r="N121" s="38" t="str">
        <x:v>是</x:v>
      </x:c>
      <x:c r="O121" s="38" t="str">
        <x:v>否</x:v>
      </x:c>
      <x:c r="P121" s="38" t="str">
        <x:v>否</x:v>
      </x:c>
      <x:c r="Q121" s="38" t="str">
        <x:v>是</x:v>
      </x:c>
      <x:c r="R121" s="38" t="str">
        <x:v>是</x:v>
      </x:c>
      <x:c r="S121" s="38" t="str">
        <x:v>可交易</x:v>
      </x:c>
      <x:c r="T121" s="38" t="str">
        <x:v>不作为自动回收主材</x:v>
      </x:c>
      <x:c r="U121" s="38" t="str">
        <x:v>产出实物默认不绑定，按现行材料脚本</x:v>
      </x:c>
      <x:c r="V121" s="38" t="str">
        <x:v>结构已确认；数量待经济反算</x:v>
      </x:c>
      <x:c r="W121" s="39" t="str"/>
    </x:row>
    <x:row r="122" ht="42" customHeight="1">
      <x:c r="A122" s="37" t="str">
        <x:v>CON-C06-SYN-EQ-03-0118</x:v>
      </x:c>
      <x:c r="B122" s="38" t="str">
        <x:v>配方输入</x:v>
      </x:c>
      <x:c r="C122" s="38" t="str">
        <x:v>C06-SYN-EQ-03</x:v>
      </x:c>
      <x:c r="D122" s="38" t="str">
        <x:v>C06</x:v>
      </x:c>
      <x:c r="E122" s="38" t="str">
        <x:v>EL-MAT-GLOBAL-SOMBER</x:v>
      </x:c>
      <x:c r="F122" s="38" t="str">
        <x:v>失色锻造石</x:v>
      </x:c>
      <x:c r="G122" s="38" t="str"/>
      <x:c r="H122" s="38" t="str">
        <x:v>全局材料</x:v>
      </x:c>
      <x:c r="I122" s="38" t="str">
        <x:v>全局材料</x:v>
      </x:c>
      <x:c r="J122" s="38" t="str">
        <x:v>失色锻造石</x:v>
      </x:c>
      <x:c r="K122" s="38" t="str">
        <x:v>失色锻造石</x:v>
      </x:c>
      <x:c r="L122" s="38" t="str">
        <x:v>待经济反算</x:v>
      </x:c>
      <x:c r="M122" s="38" t="str">
        <x:v>待经济反算</x:v>
      </x:c>
      <x:c r="N122" s="38" t="str">
        <x:v>是</x:v>
      </x:c>
      <x:c r="O122" s="38" t="str">
        <x:v>否</x:v>
      </x:c>
      <x:c r="P122" s="38" t="str">
        <x:v>否</x:v>
      </x:c>
      <x:c r="Q122" s="38" t="str">
        <x:v>是</x:v>
      </x:c>
      <x:c r="R122" s="38" t="str">
        <x:v>是</x:v>
      </x:c>
      <x:c r="S122" s="38" t="str">
        <x:v>可交易</x:v>
      </x:c>
      <x:c r="T122" s="38" t="str">
        <x:v>不作为自动回收主材</x:v>
      </x:c>
      <x:c r="U122" s="38" t="str">
        <x:v>产出实物默认不绑定，按现行材料脚本</x:v>
      </x:c>
      <x:c r="V122" s="38" t="str">
        <x:v>结构已确认；数量待经济反算</x:v>
      </x:c>
      <x:c r="W122" s="39" t="str"/>
    </x:row>
    <x:row r="123" ht="42" customHeight="1">
      <x:c r="A123" s="37" t="str">
        <x:v>CON-C06-SYN-EQ-03-0119</x:v>
      </x:c>
      <x:c r="B123" s="38" t="str">
        <x:v>配方输入</x:v>
      </x:c>
      <x:c r="C123" s="38" t="str">
        <x:v>C06-SYN-EQ-03</x:v>
      </x:c>
      <x:c r="D123" s="38" t="str">
        <x:v>C06</x:v>
      </x:c>
      <x:c r="E123" s="38" t="str">
        <x:v>CUR-GOLD</x:v>
      </x:c>
      <x:c r="F123" s="38" t="str">
        <x:v>金币</x:v>
      </x:c>
      <x:c r="G123" s="38" t="str"/>
      <x:c r="H123" s="38" t="str">
        <x:v>金币/元宝/灵符</x:v>
      </x:c>
      <x:c r="I123" s="38" t="str">
        <x:v>货币</x:v>
      </x:c>
      <x:c r="J123" s="38" t="str">
        <x:v>金币＋元宝</x:v>
      </x:c>
      <x:c r="K123" s="38" t="str">
        <x:v>金币</x:v>
      </x:c>
      <x:c r="L123" s="38" t="str">
        <x:v>待经济反算</x:v>
      </x:c>
      <x:c r="M123" s="38" t="str">
        <x:v>待经济反算</x:v>
      </x:c>
      <x:c r="N123" s="38" t="str">
        <x:v>是</x:v>
      </x:c>
      <x:c r="O123" s="38" t="str">
        <x:v>否</x:v>
      </x:c>
      <x:c r="P123" s="38" t="str">
        <x:v>否</x:v>
      </x:c>
      <x:c r="Q123" s="38" t="str">
        <x:v>是</x:v>
      </x:c>
      <x:c r="R123" s="38" t="str">
        <x:v>是</x:v>
      </x:c>
      <x:c r="S123" s="38" t="str">
        <x:v>不进入玩家摆摊；通过交易物间接流通</x:v>
      </x:c>
      <x:c r="T123" s="38" t="str">
        <x:v>货币本身不可回收</x:v>
      </x:c>
      <x:c r="U123" s="38" t="str">
        <x:v>沿用现行货币账户</x:v>
      </x:c>
      <x:c r="V123" s="38" t="str">
        <x:v>结构已确认；数量待经济反算</x:v>
      </x:c>
      <x:c r="W123" s="39" t="str"/>
    </x:row>
    <x:row r="124" ht="42" customHeight="1">
      <x:c r="A124" s="37" t="str">
        <x:v>CON-C06-SYN-EQ-03-0120</x:v>
      </x:c>
      <x:c r="B124" s="38" t="str">
        <x:v>配方输入</x:v>
      </x:c>
      <x:c r="C124" s="38" t="str">
        <x:v>C06-SYN-EQ-03</x:v>
      </x:c>
      <x:c r="D124" s="38" t="str">
        <x:v>C06</x:v>
      </x:c>
      <x:c r="E124" s="38" t="str">
        <x:v>CUR-YUANBAO</x:v>
      </x:c>
      <x:c r="F124" s="38" t="str">
        <x:v>元宝</x:v>
      </x:c>
      <x:c r="G124" s="38" t="str"/>
      <x:c r="H124" s="38" t="str">
        <x:v>金币/元宝/灵符</x:v>
      </x:c>
      <x:c r="I124" s="38" t="str">
        <x:v>货币</x:v>
      </x:c>
      <x:c r="J124" s="38" t="str">
        <x:v>金币＋元宝</x:v>
      </x:c>
      <x:c r="K124" s="38" t="str">
        <x:v>元宝</x:v>
      </x:c>
      <x:c r="L124" s="38" t="str">
        <x:v>待经济反算</x:v>
      </x:c>
      <x:c r="M124" s="38" t="str">
        <x:v>待经济反算</x:v>
      </x:c>
      <x:c r="N124" s="38" t="str">
        <x:v>是</x:v>
      </x:c>
      <x:c r="O124" s="38" t="str">
        <x:v>否</x:v>
      </x:c>
      <x:c r="P124" s="38" t="str">
        <x:v>否</x:v>
      </x:c>
      <x:c r="Q124" s="38" t="str">
        <x:v>是</x:v>
      </x:c>
      <x:c r="R124" s="38" t="str">
        <x:v>是</x:v>
      </x:c>
      <x:c r="S124" s="38" t="str">
        <x:v>不进入玩家摆摊；通过交易物间接流通</x:v>
      </x:c>
      <x:c r="T124" s="38" t="str">
        <x:v>货币本身不可回收</x:v>
      </x:c>
      <x:c r="U124" s="38" t="str">
        <x:v>沿用现行货币账户</x:v>
      </x:c>
      <x:c r="V124" s="38" t="str">
        <x:v>结构已确认；数量待经济反算</x:v>
      </x:c>
      <x:c r="W124" s="39" t="str"/>
    </x:row>
    <x:row r="125" ht="42" customHeight="1">
      <x:c r="A125" s="37" t="str">
        <x:v>CON-C07-SYN-EQ-01-0121</x:v>
      </x:c>
      <x:c r="B125" s="38" t="str">
        <x:v>配方输入</x:v>
      </x:c>
      <x:c r="C125" s="38" t="str">
        <x:v>C07-SYN-EQ-01</x:v>
      </x:c>
      <x:c r="D125" s="38" t="str">
        <x:v>C07</x:v>
      </x:c>
      <x:c r="E125" s="38" t="str">
        <x:v>ITEM-841990ED0CAB</x:v>
      </x:c>
      <x:c r="F125" s="38" t="str">
        <x:v>诺薇霜镰</x:v>
      </x:c>
      <x:c r="G125" s="38" t="str"/>
      <x:c r="H125" s="38" t="str">
        <x:v>基础件/前置</x:v>
      </x:c>
      <x:c r="I125" s="38" t="str">
        <x:v>基础件/前置</x:v>
      </x:c>
      <x:c r="J125" s="38" t="str">
        <x:v>诺薇霜镰＋赫洛冻拳</x:v>
      </x:c>
      <x:c r="K125" s="38" t="str">
        <x:v>诺薇霜镰</x:v>
      </x:c>
      <x:c r="L125" s="38" t="str">
        <x:v>待经济反算</x:v>
      </x:c>
      <x:c r="M125" s="38" t="str">
        <x:v>待经济反算</x:v>
      </x:c>
      <x:c r="N125" s="38" t="str">
        <x:v>是</x:v>
      </x:c>
      <x:c r="O125" s="38" t="str">
        <x:v>否</x:v>
      </x:c>
      <x:c r="P125" s="38" t="str">
        <x:v>否</x:v>
      </x:c>
      <x:c r="Q125" s="38" t="str">
        <x:v>是</x:v>
      </x:c>
      <x:c r="R125" s="38" t="str">
        <x:v>是</x:v>
      </x:c>
      <x:c r="S125" s="38" t="str">
        <x:v>可交易（沿用原物品规则）</x:v>
      </x:c>
      <x:c r="T125" s="38" t="str">
        <x:v>沿用原物品；若为合成成品则禁止回收</x:v>
      </x:c>
      <x:c r="U125" s="38" t="str">
        <x:v>沿用配方交易/绑定列</x:v>
      </x:c>
      <x:c r="V125" s="38" t="str">
        <x:v>结构已确认；数量待经济反算</x:v>
      </x:c>
      <x:c r="W125" s="39" t="str"/>
    </x:row>
    <x:row r="126" ht="42" customHeight="1">
      <x:c r="A126" s="37" t="str">
        <x:v>CON-C07-SYN-EQ-01-0122</x:v>
      </x:c>
      <x:c r="B126" s="38" t="str">
        <x:v>配方输入</x:v>
      </x:c>
      <x:c r="C126" s="38" t="str">
        <x:v>C07-SYN-EQ-01</x:v>
      </x:c>
      <x:c r="D126" s="38" t="str">
        <x:v>C07</x:v>
      </x:c>
      <x:c r="E126" s="38" t="str">
        <x:v>ITEM-0895556BC753</x:v>
      </x:c>
      <x:c r="F126" s="38" t="str">
        <x:v>赫洛冻拳</x:v>
      </x:c>
      <x:c r="G126" s="38" t="str"/>
      <x:c r="H126" s="38" t="str">
        <x:v>基础件/前置</x:v>
      </x:c>
      <x:c r="I126" s="38" t="str">
        <x:v>基础件/前置</x:v>
      </x:c>
      <x:c r="J126" s="38" t="str">
        <x:v>诺薇霜镰＋赫洛冻拳</x:v>
      </x:c>
      <x:c r="K126" s="38" t="str">
        <x:v>赫洛冻拳</x:v>
      </x:c>
      <x:c r="L126" s="38" t="str">
        <x:v>待经济反算</x:v>
      </x:c>
      <x:c r="M126" s="38" t="str">
        <x:v>待经济反算</x:v>
      </x:c>
      <x:c r="N126" s="38" t="str">
        <x:v>是</x:v>
      </x:c>
      <x:c r="O126" s="38" t="str">
        <x:v>否</x:v>
      </x:c>
      <x:c r="P126" s="38" t="str">
        <x:v>否</x:v>
      </x:c>
      <x:c r="Q126" s="38" t="str">
        <x:v>是</x:v>
      </x:c>
      <x:c r="R126" s="38" t="str">
        <x:v>是</x:v>
      </x:c>
      <x:c r="S126" s="38" t="str">
        <x:v>可交易（沿用原物品规则）</x:v>
      </x:c>
      <x:c r="T126" s="38" t="str">
        <x:v>沿用原物品；若为合成成品则禁止回收</x:v>
      </x:c>
      <x:c r="U126" s="38" t="str">
        <x:v>沿用配方交易/绑定列</x:v>
      </x:c>
      <x:c r="V126" s="38" t="str">
        <x:v>结构已确认；数量待经济反算</x:v>
      </x:c>
      <x:c r="W126" s="39" t="str"/>
    </x:row>
    <x:row r="127" ht="42" customHeight="1">
      <x:c r="A127" s="37" t="str">
        <x:v>CON-C07-SYN-EQ-01-0123</x:v>
      </x:c>
      <x:c r="B127" s="38" t="str">
        <x:v>配方输入</x:v>
      </x:c>
      <x:c r="C127" s="38" t="str">
        <x:v>C07-SYN-EQ-01</x:v>
      </x:c>
      <x:c r="D127" s="38" t="str">
        <x:v>C07</x:v>
      </x:c>
      <x:c r="E127" s="38" t="str">
        <x:v>EL-MAT-C07-COM</x:v>
      </x:c>
      <x:c r="F127" s="38" t="str">
        <x:v>冻晶尘</x:v>
      </x:c>
      <x:c r="G127" s="38" t="str"/>
      <x:c r="H127" s="38" t="str">
        <x:v>高产通用材料</x:v>
      </x:c>
      <x:c r="I127" s="38" t="str">
        <x:v>高产通用材料</x:v>
      </x:c>
      <x:c r="J127" s="38" t="str">
        <x:v>冻晶尘</x:v>
      </x:c>
      <x:c r="K127" s="38" t="str">
        <x:v>冻晶尘</x:v>
      </x:c>
      <x:c r="L127" s="38" t="str">
        <x:v>待经济反算</x:v>
      </x:c>
      <x:c r="M127" s="38" t="str">
        <x:v>待经济反算</x:v>
      </x:c>
      <x:c r="N127" s="38" t="str">
        <x:v>是</x:v>
      </x:c>
      <x:c r="O127" s="38" t="str">
        <x:v>否</x:v>
      </x:c>
      <x:c r="P127" s="38" t="str">
        <x:v>否</x:v>
      </x:c>
      <x:c r="Q127" s="38" t="str">
        <x:v>是</x:v>
      </x:c>
      <x:c r="R127" s="38" t="str">
        <x:v>是</x:v>
      </x:c>
      <x:c r="S127" s="38" t="str">
        <x:v>可交易</x:v>
      </x:c>
      <x:c r="T127" s="38" t="str">
        <x:v>R7档金币／元宝主回收口</x:v>
      </x:c>
      <x:c r="U127" s="38" t="str">
        <x:v>产出实物默认不绑定，按现行材料脚本</x:v>
      </x:c>
      <x:c r="V127" s="38" t="str">
        <x:v>结构已确认；数量待经济反算</x:v>
      </x:c>
      <x:c r="W127" s="39" t="str"/>
    </x:row>
    <x:row r="128" ht="42" customHeight="1">
      <x:c r="A128" s="37" t="str">
        <x:v>CON-C07-SYN-EQ-01-0124</x:v>
      </x:c>
      <x:c r="B128" s="38" t="str">
        <x:v>配方输入</x:v>
      </x:c>
      <x:c r="C128" s="38" t="str">
        <x:v>C07-SYN-EQ-01</x:v>
      </x:c>
      <x:c r="D128" s="38" t="str">
        <x:v>C07</x:v>
      </x:c>
      <x:c r="E128" s="38" t="str">
        <x:v>EL-MAT-C07-Q01</x:v>
      </x:c>
      <x:c r="F128" s="38" t="str">
        <x:v>白金路标片</x:v>
      </x:c>
      <x:c r="G128" s="38" t="str"/>
      <x:c r="H128" s="38" t="str">
        <x:v>稀有/证物材料</x:v>
      </x:c>
      <x:c r="I128" s="38" t="str">
        <x:v>稀有/证物材料</x:v>
      </x:c>
      <x:c r="J128" s="38" t="str">
        <x:v>白金路标片＋圣雪誓印</x:v>
      </x:c>
      <x:c r="K128" s="38" t="str">
        <x:v>白金路标片</x:v>
      </x:c>
      <x:c r="L128" s="38" t="str">
        <x:v>待经济反算</x:v>
      </x:c>
      <x:c r="M128" s="38" t="str">
        <x:v>待经济反算</x:v>
      </x:c>
      <x:c r="N128" s="38" t="str">
        <x:v>是</x:v>
      </x:c>
      <x:c r="O128" s="38" t="str">
        <x:v>否</x:v>
      </x:c>
      <x:c r="P128" s="38" t="str">
        <x:v>否</x:v>
      </x:c>
      <x:c r="Q128" s="38" t="str">
        <x:v>是</x:v>
      </x:c>
      <x:c r="R128" s="38" t="str">
        <x:v>是</x:v>
      </x:c>
      <x:c r="S128" s="38" t="str">
        <x:v>可交易</x:v>
      </x:c>
      <x:c r="T128" s="38" t="str">
        <x:v>不作为自动回收主材</x:v>
      </x:c>
      <x:c r="U128" s="38" t="str">
        <x:v>产出实物默认不绑定，按现行材料脚本</x:v>
      </x:c>
      <x:c r="V128" s="38" t="str">
        <x:v>结构已确认；数量待经济反算</x:v>
      </x:c>
      <x:c r="W128" s="39" t="str"/>
    </x:row>
    <x:row r="129" ht="42" customHeight="1">
      <x:c r="A129" s="37" t="str">
        <x:v>CON-C07-SYN-EQ-01-0125</x:v>
      </x:c>
      <x:c r="B129" s="38" t="str">
        <x:v>配方输入</x:v>
      </x:c>
      <x:c r="C129" s="38" t="str">
        <x:v>C07-SYN-EQ-01</x:v>
      </x:c>
      <x:c r="D129" s="38" t="str">
        <x:v>C07</x:v>
      </x:c>
      <x:c r="E129" s="38" t="str">
        <x:v>EL-MAT-C07-MARK</x:v>
      </x:c>
      <x:c r="F129" s="38" t="str">
        <x:v>圣雪誓印</x:v>
      </x:c>
      <x:c r="G129" s="38" t="str"/>
      <x:c r="H129" s="38" t="str">
        <x:v>稀有/证物材料</x:v>
      </x:c>
      <x:c r="I129" s="38" t="str">
        <x:v>稀有/证物材料</x:v>
      </x:c>
      <x:c r="J129" s="38" t="str">
        <x:v>白金路标片＋圣雪誓印</x:v>
      </x:c>
      <x:c r="K129" s="38" t="str">
        <x:v>圣雪誓印</x:v>
      </x:c>
      <x:c r="L129" s="38" t="str">
        <x:v>待经济反算</x:v>
      </x:c>
      <x:c r="M129" s="38" t="str">
        <x:v>待经济反算</x:v>
      </x:c>
      <x:c r="N129" s="38" t="str">
        <x:v>是</x:v>
      </x:c>
      <x:c r="O129" s="38" t="str">
        <x:v>否</x:v>
      </x:c>
      <x:c r="P129" s="38" t="str">
        <x:v>否</x:v>
      </x:c>
      <x:c r="Q129" s="38" t="str">
        <x:v>是</x:v>
      </x:c>
      <x:c r="R129" s="38" t="str">
        <x:v>是</x:v>
      </x:c>
      <x:c r="S129" s="38" t="str">
        <x:v>可交易</x:v>
      </x:c>
      <x:c r="T129" s="38" t="str">
        <x:v>不作为自动回收主材</x:v>
      </x:c>
      <x:c r="U129" s="38" t="str">
        <x:v>产出实物默认不绑定，按现行材料脚本</x:v>
      </x:c>
      <x:c r="V129" s="38" t="str">
        <x:v>结构已确认；数量待经济反算</x:v>
      </x:c>
      <x:c r="W129" s="39" t="str"/>
    </x:row>
    <x:row r="130" ht="42" customHeight="1">
      <x:c r="A130" s="37" t="str">
        <x:v>CON-C07-SYN-EQ-01-0126</x:v>
      </x:c>
      <x:c r="B130" s="38" t="str">
        <x:v>配方输入</x:v>
      </x:c>
      <x:c r="C130" s="38" t="str">
        <x:v>C07-SYN-EQ-01</x:v>
      </x:c>
      <x:c r="D130" s="38" t="str">
        <x:v>C07</x:v>
      </x:c>
      <x:c r="E130" s="38" t="str">
        <x:v>EL-MAT-GLOBAL-SOMBER</x:v>
      </x:c>
      <x:c r="F130" s="38" t="str">
        <x:v>失色锻造石</x:v>
      </x:c>
      <x:c r="G130" s="38" t="str"/>
      <x:c r="H130" s="38" t="str">
        <x:v>全局材料</x:v>
      </x:c>
      <x:c r="I130" s="38" t="str">
        <x:v>全局材料</x:v>
      </x:c>
      <x:c r="J130" s="38" t="str">
        <x:v>失色锻造石</x:v>
      </x:c>
      <x:c r="K130" s="38" t="str">
        <x:v>失色锻造石</x:v>
      </x:c>
      <x:c r="L130" s="38" t="str">
        <x:v>待经济反算</x:v>
      </x:c>
      <x:c r="M130" s="38" t="str">
        <x:v>待经济反算</x:v>
      </x:c>
      <x:c r="N130" s="38" t="str">
        <x:v>是</x:v>
      </x:c>
      <x:c r="O130" s="38" t="str">
        <x:v>否</x:v>
      </x:c>
      <x:c r="P130" s="38" t="str">
        <x:v>否</x:v>
      </x:c>
      <x:c r="Q130" s="38" t="str">
        <x:v>是</x:v>
      </x:c>
      <x:c r="R130" s="38" t="str">
        <x:v>是</x:v>
      </x:c>
      <x:c r="S130" s="38" t="str">
        <x:v>可交易</x:v>
      </x:c>
      <x:c r="T130" s="38" t="str">
        <x:v>不作为自动回收主材</x:v>
      </x:c>
      <x:c r="U130" s="38" t="str">
        <x:v>产出实物默认不绑定，按现行材料脚本</x:v>
      </x:c>
      <x:c r="V130" s="38" t="str">
        <x:v>结构已确认；数量待经济反算</x:v>
      </x:c>
      <x:c r="W130" s="39" t="str"/>
    </x:row>
    <x:row r="131" ht="42" customHeight="1">
      <x:c r="A131" s="37" t="str">
        <x:v>CON-C07-SYN-EQ-01-0127</x:v>
      </x:c>
      <x:c r="B131" s="38" t="str">
        <x:v>配方输入</x:v>
      </x:c>
      <x:c r="C131" s="38" t="str">
        <x:v>C07-SYN-EQ-01</x:v>
      </x:c>
      <x:c r="D131" s="38" t="str">
        <x:v>C07</x:v>
      </x:c>
      <x:c r="E131" s="38" t="str">
        <x:v>CUR-GOLD</x:v>
      </x:c>
      <x:c r="F131" s="38" t="str">
        <x:v>金币</x:v>
      </x:c>
      <x:c r="G131" s="38" t="str"/>
      <x:c r="H131" s="38" t="str">
        <x:v>金币/元宝/灵符</x:v>
      </x:c>
      <x:c r="I131" s="38" t="str">
        <x:v>货币</x:v>
      </x:c>
      <x:c r="J131" s="38" t="str">
        <x:v>金币＋元宝</x:v>
      </x:c>
      <x:c r="K131" s="38" t="str">
        <x:v>金币</x:v>
      </x:c>
      <x:c r="L131" s="38" t="str">
        <x:v>待经济反算</x:v>
      </x:c>
      <x:c r="M131" s="38" t="str">
        <x:v>待经济反算</x:v>
      </x:c>
      <x:c r="N131" s="38" t="str">
        <x:v>是</x:v>
      </x:c>
      <x:c r="O131" s="38" t="str">
        <x:v>否</x:v>
      </x:c>
      <x:c r="P131" s="38" t="str">
        <x:v>否</x:v>
      </x:c>
      <x:c r="Q131" s="38" t="str">
        <x:v>是</x:v>
      </x:c>
      <x:c r="R131" s="38" t="str">
        <x:v>是</x:v>
      </x:c>
      <x:c r="S131" s="38" t="str">
        <x:v>不进入玩家摆摊；通过交易物间接流通</x:v>
      </x:c>
      <x:c r="T131" s="38" t="str">
        <x:v>货币本身不可回收</x:v>
      </x:c>
      <x:c r="U131" s="38" t="str">
        <x:v>沿用现行货币账户</x:v>
      </x:c>
      <x:c r="V131" s="38" t="str">
        <x:v>结构已确认；数量待经济反算</x:v>
      </x:c>
      <x:c r="W131" s="39" t="str"/>
    </x:row>
    <x:row r="132" ht="42" customHeight="1">
      <x:c r="A132" s="37" t="str">
        <x:v>CON-C07-SYN-EQ-01-0128</x:v>
      </x:c>
      <x:c r="B132" s="38" t="str">
        <x:v>配方输入</x:v>
      </x:c>
      <x:c r="C132" s="38" t="str">
        <x:v>C07-SYN-EQ-01</x:v>
      </x:c>
      <x:c r="D132" s="38" t="str">
        <x:v>C07</x:v>
      </x:c>
      <x:c r="E132" s="38" t="str">
        <x:v>CUR-YUANBAO</x:v>
      </x:c>
      <x:c r="F132" s="38" t="str">
        <x:v>元宝</x:v>
      </x:c>
      <x:c r="G132" s="38" t="str"/>
      <x:c r="H132" s="38" t="str">
        <x:v>金币/元宝/灵符</x:v>
      </x:c>
      <x:c r="I132" s="38" t="str">
        <x:v>货币</x:v>
      </x:c>
      <x:c r="J132" s="38" t="str">
        <x:v>金币＋元宝</x:v>
      </x:c>
      <x:c r="K132" s="38" t="str">
        <x:v>元宝</x:v>
      </x:c>
      <x:c r="L132" s="38" t="str">
        <x:v>待经济反算</x:v>
      </x:c>
      <x:c r="M132" s="38" t="str">
        <x:v>待经济反算</x:v>
      </x:c>
      <x:c r="N132" s="38" t="str">
        <x:v>是</x:v>
      </x:c>
      <x:c r="O132" s="38" t="str">
        <x:v>否</x:v>
      </x:c>
      <x:c r="P132" s="38" t="str">
        <x:v>否</x:v>
      </x:c>
      <x:c r="Q132" s="38" t="str">
        <x:v>是</x:v>
      </x:c>
      <x:c r="R132" s="38" t="str">
        <x:v>是</x:v>
      </x:c>
      <x:c r="S132" s="38" t="str">
        <x:v>不进入玩家摆摊；通过交易物间接流通</x:v>
      </x:c>
      <x:c r="T132" s="38" t="str">
        <x:v>货币本身不可回收</x:v>
      </x:c>
      <x:c r="U132" s="38" t="str">
        <x:v>沿用现行货币账户</x:v>
      </x:c>
      <x:c r="V132" s="38" t="str">
        <x:v>结构已确认；数量待经济反算</x:v>
      </x:c>
      <x:c r="W132" s="39" t="str"/>
    </x:row>
    <x:row r="133" ht="42" customHeight="1">
      <x:c r="A133" s="37" t="str">
        <x:v>CON-C07-SYN-EQ-02-0129</x:v>
      </x:c>
      <x:c r="B133" s="38" t="str">
        <x:v>配方输入</x:v>
      </x:c>
      <x:c r="C133" s="38" t="str">
        <x:v>C07-SYN-EQ-02</x:v>
      </x:c>
      <x:c r="D133" s="38" t="str">
        <x:v>C07</x:v>
      </x:c>
      <x:c r="E133" s="38" t="str">
        <x:v>ITEM-7AA7376F22A4</x:v>
      </x:c>
      <x:c r="F133" s="38" t="str">
        <x:v>乌尔寒铠</x:v>
      </x:c>
      <x:c r="G133" s="38" t="str"/>
      <x:c r="H133" s="38" t="str">
        <x:v>基础件/前置</x:v>
      </x:c>
      <x:c r="I133" s="38" t="str">
        <x:v>基础件/前置</x:v>
      </x:c>
      <x:c r="J133" s="38" t="str">
        <x:v>乌尔寒铠＋埃琉斯永霜铠</x:v>
      </x:c>
      <x:c r="K133" s="38" t="str">
        <x:v>乌尔寒铠</x:v>
      </x:c>
      <x:c r="L133" s="38" t="str">
        <x:v>待经济反算</x:v>
      </x:c>
      <x:c r="M133" s="38" t="str">
        <x:v>待经济反算</x:v>
      </x:c>
      <x:c r="N133" s="38" t="str">
        <x:v>是</x:v>
      </x:c>
      <x:c r="O133" s="38" t="str">
        <x:v>否</x:v>
      </x:c>
      <x:c r="P133" s="38" t="str">
        <x:v>否</x:v>
      </x:c>
      <x:c r="Q133" s="38" t="str">
        <x:v>是</x:v>
      </x:c>
      <x:c r="R133" s="38" t="str">
        <x:v>是</x:v>
      </x:c>
      <x:c r="S133" s="38" t="str">
        <x:v>可交易（沿用原物品规则）</x:v>
      </x:c>
      <x:c r="T133" s="38" t="str">
        <x:v>沿用原物品；若为合成成品则禁止回收</x:v>
      </x:c>
      <x:c r="U133" s="38" t="str">
        <x:v>沿用配方交易/绑定列</x:v>
      </x:c>
      <x:c r="V133" s="38" t="str">
        <x:v>结构已确认；数量待经济反算</x:v>
      </x:c>
      <x:c r="W133" s="39" t="str"/>
    </x:row>
    <x:row r="134" ht="42" customHeight="1">
      <x:c r="A134" s="37" t="str">
        <x:v>CON-C07-SYN-EQ-02-0130</x:v>
      </x:c>
      <x:c r="B134" s="38" t="str">
        <x:v>配方输入</x:v>
      </x:c>
      <x:c r="C134" s="38" t="str">
        <x:v>C07-SYN-EQ-02</x:v>
      </x:c>
      <x:c r="D134" s="38" t="str">
        <x:v>C07</x:v>
      </x:c>
      <x:c r="E134" s="38" t="str">
        <x:v>ITEM-0DA88E0337A6</x:v>
      </x:c>
      <x:c r="F134" s="38" t="str">
        <x:v>埃琉斯永霜铠</x:v>
      </x:c>
      <x:c r="G134" s="38" t="str"/>
      <x:c r="H134" s="38" t="str">
        <x:v>基础件/前置</x:v>
      </x:c>
      <x:c r="I134" s="38" t="str">
        <x:v>基础件/前置</x:v>
      </x:c>
      <x:c r="J134" s="38" t="str">
        <x:v>乌尔寒铠＋埃琉斯永霜铠</x:v>
      </x:c>
      <x:c r="K134" s="38" t="str">
        <x:v>埃琉斯永霜铠</x:v>
      </x:c>
      <x:c r="L134" s="38" t="str">
        <x:v>待经济反算</x:v>
      </x:c>
      <x:c r="M134" s="38" t="str">
        <x:v>待经济反算</x:v>
      </x:c>
      <x:c r="N134" s="38" t="str">
        <x:v>是</x:v>
      </x:c>
      <x:c r="O134" s="38" t="str">
        <x:v>否</x:v>
      </x:c>
      <x:c r="P134" s="38" t="str">
        <x:v>否</x:v>
      </x:c>
      <x:c r="Q134" s="38" t="str">
        <x:v>是</x:v>
      </x:c>
      <x:c r="R134" s="38" t="str">
        <x:v>是</x:v>
      </x:c>
      <x:c r="S134" s="38" t="str">
        <x:v>可交易（沿用原物品规则）</x:v>
      </x:c>
      <x:c r="T134" s="38" t="str">
        <x:v>沿用原物品；若为合成成品则禁止回收</x:v>
      </x:c>
      <x:c r="U134" s="38" t="str">
        <x:v>沿用配方交易/绑定列</x:v>
      </x:c>
      <x:c r="V134" s="38" t="str">
        <x:v>结构已确认；数量待经济反算</x:v>
      </x:c>
      <x:c r="W134" s="39" t="str"/>
    </x:row>
    <x:row r="135" ht="42" customHeight="1">
      <x:c r="A135" s="37" t="str">
        <x:v>CON-C07-SYN-EQ-02-0131</x:v>
      </x:c>
      <x:c r="B135" s="38" t="str">
        <x:v>配方输入</x:v>
      </x:c>
      <x:c r="C135" s="38" t="str">
        <x:v>C07-SYN-EQ-02</x:v>
      </x:c>
      <x:c r="D135" s="38" t="str">
        <x:v>C07</x:v>
      </x:c>
      <x:c r="E135" s="38" t="str">
        <x:v>EL-MAT-C07-COM</x:v>
      </x:c>
      <x:c r="F135" s="38" t="str">
        <x:v>冻晶尘</x:v>
      </x:c>
      <x:c r="G135" s="38" t="str"/>
      <x:c r="H135" s="38" t="str">
        <x:v>高产通用材料</x:v>
      </x:c>
      <x:c r="I135" s="38" t="str">
        <x:v>高产通用材料</x:v>
      </x:c>
      <x:c r="J135" s="38" t="str">
        <x:v>冻晶尘</x:v>
      </x:c>
      <x:c r="K135" s="38" t="str">
        <x:v>冻晶尘</x:v>
      </x:c>
      <x:c r="L135" s="38" t="str">
        <x:v>待经济反算</x:v>
      </x:c>
      <x:c r="M135" s="38" t="str">
        <x:v>待经济反算</x:v>
      </x:c>
      <x:c r="N135" s="38" t="str">
        <x:v>是</x:v>
      </x:c>
      <x:c r="O135" s="38" t="str">
        <x:v>否</x:v>
      </x:c>
      <x:c r="P135" s="38" t="str">
        <x:v>否</x:v>
      </x:c>
      <x:c r="Q135" s="38" t="str">
        <x:v>是</x:v>
      </x:c>
      <x:c r="R135" s="38" t="str">
        <x:v>是</x:v>
      </x:c>
      <x:c r="S135" s="38" t="str">
        <x:v>可交易</x:v>
      </x:c>
      <x:c r="T135" s="38" t="str">
        <x:v>R7档金币／元宝主回收口</x:v>
      </x:c>
      <x:c r="U135" s="38" t="str">
        <x:v>产出实物默认不绑定，按现行材料脚本</x:v>
      </x:c>
      <x:c r="V135" s="38" t="str">
        <x:v>结构已确认；数量待经济反算</x:v>
      </x:c>
      <x:c r="W135" s="39" t="str"/>
    </x:row>
    <x:row r="136" ht="42" customHeight="1">
      <x:c r="A136" s="37" t="str">
        <x:v>CON-C07-SYN-EQ-02-0132</x:v>
      </x:c>
      <x:c r="B136" s="38" t="str">
        <x:v>配方输入</x:v>
      </x:c>
      <x:c r="C136" s="38" t="str">
        <x:v>C07-SYN-EQ-02</x:v>
      </x:c>
      <x:c r="D136" s="38" t="str">
        <x:v>C07</x:v>
      </x:c>
      <x:c r="E136" s="38" t="str">
        <x:v>EL-MAT-C07-Q03</x:v>
      </x:c>
      <x:c r="F136" s="38" t="str">
        <x:v>秘树霜芽</x:v>
      </x:c>
      <x:c r="G136" s="38" t="str"/>
      <x:c r="H136" s="38" t="str">
        <x:v>稀有/证物材料</x:v>
      </x:c>
      <x:c r="I136" s="38" t="str">
        <x:v>稀有/证物材料</x:v>
      </x:c>
      <x:c r="J136" s="38" t="str">
        <x:v>秘树霜芽＋圣雪门楔</x:v>
      </x:c>
      <x:c r="K136" s="38" t="str">
        <x:v>秘树霜芽</x:v>
      </x:c>
      <x:c r="L136" s="38" t="str">
        <x:v>待经济反算</x:v>
      </x:c>
      <x:c r="M136" s="38" t="str">
        <x:v>待经济反算</x:v>
      </x:c>
      <x:c r="N136" s="38" t="str">
        <x:v>是</x:v>
      </x:c>
      <x:c r="O136" s="38" t="str">
        <x:v>否</x:v>
      </x:c>
      <x:c r="P136" s="38" t="str">
        <x:v>否</x:v>
      </x:c>
      <x:c r="Q136" s="38" t="str">
        <x:v>是</x:v>
      </x:c>
      <x:c r="R136" s="38" t="str">
        <x:v>是</x:v>
      </x:c>
      <x:c r="S136" s="38" t="str">
        <x:v>可交易</x:v>
      </x:c>
      <x:c r="T136" s="38" t="str">
        <x:v>不作为自动回收主材</x:v>
      </x:c>
      <x:c r="U136" s="38" t="str">
        <x:v>产出实物默认不绑定，按现行材料脚本</x:v>
      </x:c>
      <x:c r="V136" s="38" t="str">
        <x:v>结构已确认；数量待经济反算</x:v>
      </x:c>
      <x:c r="W136" s="39" t="str"/>
    </x:row>
    <x:row r="137" ht="42" customHeight="1">
      <x:c r="A137" s="37" t="str">
        <x:v>CON-C07-SYN-EQ-02-0133</x:v>
      </x:c>
      <x:c r="B137" s="38" t="str">
        <x:v>配方输入</x:v>
      </x:c>
      <x:c r="C137" s="38" t="str">
        <x:v>C07-SYN-EQ-02</x:v>
      </x:c>
      <x:c r="D137" s="38" t="str">
        <x:v>C07</x:v>
      </x:c>
      <x:c r="E137" s="38" t="str">
        <x:v>EL-MAT-C07-Q04</x:v>
      </x:c>
      <x:c r="F137" s="38" t="str">
        <x:v>圣雪门楔</x:v>
      </x:c>
      <x:c r="G137" s="38" t="str"/>
      <x:c r="H137" s="38" t="str">
        <x:v>稀有/证物材料</x:v>
      </x:c>
      <x:c r="I137" s="38" t="str">
        <x:v>稀有/证物材料</x:v>
      </x:c>
      <x:c r="J137" s="38" t="str">
        <x:v>秘树霜芽＋圣雪门楔</x:v>
      </x:c>
      <x:c r="K137" s="38" t="str">
        <x:v>圣雪门楔</x:v>
      </x:c>
      <x:c r="L137" s="38" t="str">
        <x:v>待经济反算</x:v>
      </x:c>
      <x:c r="M137" s="38" t="str">
        <x:v>待经济反算</x:v>
      </x:c>
      <x:c r="N137" s="38" t="str">
        <x:v>是</x:v>
      </x:c>
      <x:c r="O137" s="38" t="str">
        <x:v>否</x:v>
      </x:c>
      <x:c r="P137" s="38" t="str">
        <x:v>否</x:v>
      </x:c>
      <x:c r="Q137" s="38" t="str">
        <x:v>是</x:v>
      </x:c>
      <x:c r="R137" s="38" t="str">
        <x:v>是</x:v>
      </x:c>
      <x:c r="S137" s="38" t="str">
        <x:v>可交易</x:v>
      </x:c>
      <x:c r="T137" s="38" t="str">
        <x:v>不作为自动回收主材</x:v>
      </x:c>
      <x:c r="U137" s="38" t="str">
        <x:v>产出实物默认不绑定，按现行材料脚本</x:v>
      </x:c>
      <x:c r="V137" s="38" t="str">
        <x:v>结构已确认；数量待经济反算</x:v>
      </x:c>
      <x:c r="W137" s="39" t="str"/>
    </x:row>
    <x:row r="138" ht="42" customHeight="1">
      <x:c r="A138" s="37" t="str">
        <x:v>CON-C07-SYN-EQ-02-0134</x:v>
      </x:c>
      <x:c r="B138" s="38" t="str">
        <x:v>配方输入</x:v>
      </x:c>
      <x:c r="C138" s="38" t="str">
        <x:v>C07-SYN-EQ-02</x:v>
      </x:c>
      <x:c r="D138" s="38" t="str">
        <x:v>C07</x:v>
      </x:c>
      <x:c r="E138" s="38" t="str">
        <x:v>EL-MAT-GLOBAL-SOMBER</x:v>
      </x:c>
      <x:c r="F138" s="38" t="str">
        <x:v>失色锻造石</x:v>
      </x:c>
      <x:c r="G138" s="38" t="str"/>
      <x:c r="H138" s="38" t="str">
        <x:v>全局材料</x:v>
      </x:c>
      <x:c r="I138" s="38" t="str">
        <x:v>全局材料</x:v>
      </x:c>
      <x:c r="J138" s="38" t="str">
        <x:v>失色锻造石</x:v>
      </x:c>
      <x:c r="K138" s="38" t="str">
        <x:v>失色锻造石</x:v>
      </x:c>
      <x:c r="L138" s="38" t="str">
        <x:v>待经济反算</x:v>
      </x:c>
      <x:c r="M138" s="38" t="str">
        <x:v>待经济反算</x:v>
      </x:c>
      <x:c r="N138" s="38" t="str">
        <x:v>是</x:v>
      </x:c>
      <x:c r="O138" s="38" t="str">
        <x:v>否</x:v>
      </x:c>
      <x:c r="P138" s="38" t="str">
        <x:v>否</x:v>
      </x:c>
      <x:c r="Q138" s="38" t="str">
        <x:v>是</x:v>
      </x:c>
      <x:c r="R138" s="38" t="str">
        <x:v>是</x:v>
      </x:c>
      <x:c r="S138" s="38" t="str">
        <x:v>可交易</x:v>
      </x:c>
      <x:c r="T138" s="38" t="str">
        <x:v>不作为自动回收主材</x:v>
      </x:c>
      <x:c r="U138" s="38" t="str">
        <x:v>产出实物默认不绑定，按现行材料脚本</x:v>
      </x:c>
      <x:c r="V138" s="38" t="str">
        <x:v>结构已确认；数量待经济反算</x:v>
      </x:c>
      <x:c r="W138" s="39" t="str"/>
    </x:row>
    <x:row r="139" ht="42" customHeight="1">
      <x:c r="A139" s="37" t="str">
        <x:v>CON-C07-SYN-EQ-02-0135</x:v>
      </x:c>
      <x:c r="B139" s="38" t="str">
        <x:v>配方输入</x:v>
      </x:c>
      <x:c r="C139" s="38" t="str">
        <x:v>C07-SYN-EQ-02</x:v>
      </x:c>
      <x:c r="D139" s="38" t="str">
        <x:v>C07</x:v>
      </x:c>
      <x:c r="E139" s="38" t="str">
        <x:v>CUR-GOLD</x:v>
      </x:c>
      <x:c r="F139" s="38" t="str">
        <x:v>金币</x:v>
      </x:c>
      <x:c r="G139" s="38" t="str"/>
      <x:c r="H139" s="38" t="str">
        <x:v>金币/元宝/灵符</x:v>
      </x:c>
      <x:c r="I139" s="38" t="str">
        <x:v>货币</x:v>
      </x:c>
      <x:c r="J139" s="38" t="str">
        <x:v>金币＋元宝</x:v>
      </x:c>
      <x:c r="K139" s="38" t="str">
        <x:v>金币</x:v>
      </x:c>
      <x:c r="L139" s="38" t="str">
        <x:v>待经济反算</x:v>
      </x:c>
      <x:c r="M139" s="38" t="str">
        <x:v>待经济反算</x:v>
      </x:c>
      <x:c r="N139" s="38" t="str">
        <x:v>是</x:v>
      </x:c>
      <x:c r="O139" s="38" t="str">
        <x:v>否</x:v>
      </x:c>
      <x:c r="P139" s="38" t="str">
        <x:v>否</x:v>
      </x:c>
      <x:c r="Q139" s="38" t="str">
        <x:v>是</x:v>
      </x:c>
      <x:c r="R139" s="38" t="str">
        <x:v>是</x:v>
      </x:c>
      <x:c r="S139" s="38" t="str">
        <x:v>不进入玩家摆摊；通过交易物间接流通</x:v>
      </x:c>
      <x:c r="T139" s="38" t="str">
        <x:v>货币本身不可回收</x:v>
      </x:c>
      <x:c r="U139" s="38" t="str">
        <x:v>沿用现行货币账户</x:v>
      </x:c>
      <x:c r="V139" s="38" t="str">
        <x:v>结构已确认；数量待经济反算</x:v>
      </x:c>
      <x:c r="W139" s="39" t="str"/>
    </x:row>
    <x:row r="140" ht="42" customHeight="1">
      <x:c r="A140" s="37" t="str">
        <x:v>CON-C07-SYN-EQ-02-0136</x:v>
      </x:c>
      <x:c r="B140" s="38" t="str">
        <x:v>配方输入</x:v>
      </x:c>
      <x:c r="C140" s="38" t="str">
        <x:v>C07-SYN-EQ-02</x:v>
      </x:c>
      <x:c r="D140" s="38" t="str">
        <x:v>C07</x:v>
      </x:c>
      <x:c r="E140" s="38" t="str">
        <x:v>CUR-YUANBAO</x:v>
      </x:c>
      <x:c r="F140" s="38" t="str">
        <x:v>元宝</x:v>
      </x:c>
      <x:c r="G140" s="38" t="str"/>
      <x:c r="H140" s="38" t="str">
        <x:v>金币/元宝/灵符</x:v>
      </x:c>
      <x:c r="I140" s="38" t="str">
        <x:v>货币</x:v>
      </x:c>
      <x:c r="J140" s="38" t="str">
        <x:v>金币＋元宝</x:v>
      </x:c>
      <x:c r="K140" s="38" t="str">
        <x:v>元宝</x:v>
      </x:c>
      <x:c r="L140" s="38" t="str">
        <x:v>待经济反算</x:v>
      </x:c>
      <x:c r="M140" s="38" t="str">
        <x:v>待经济反算</x:v>
      </x:c>
      <x:c r="N140" s="38" t="str">
        <x:v>是</x:v>
      </x:c>
      <x:c r="O140" s="38" t="str">
        <x:v>否</x:v>
      </x:c>
      <x:c r="P140" s="38" t="str">
        <x:v>否</x:v>
      </x:c>
      <x:c r="Q140" s="38" t="str">
        <x:v>是</x:v>
      </x:c>
      <x:c r="R140" s="38" t="str">
        <x:v>是</x:v>
      </x:c>
      <x:c r="S140" s="38" t="str">
        <x:v>不进入玩家摆摊；通过交易物间接流通</x:v>
      </x:c>
      <x:c r="T140" s="38" t="str">
        <x:v>货币本身不可回收</x:v>
      </x:c>
      <x:c r="U140" s="38" t="str">
        <x:v>沿用现行货币账户</x:v>
      </x:c>
      <x:c r="V140" s="38" t="str">
        <x:v>结构已确认；数量待经济反算</x:v>
      </x:c>
      <x:c r="W140" s="39" t="str"/>
    </x:row>
    <x:row r="141" ht="42" customHeight="1">
      <x:c r="A141" s="37" t="str">
        <x:v>CON-C08-SYN-EQ-01-0137</x:v>
      </x:c>
      <x:c r="B141" s="38" t="str">
        <x:v>配方输入</x:v>
      </x:c>
      <x:c r="C141" s="38" t="str">
        <x:v>C08-SYN-EQ-01</x:v>
      </x:c>
      <x:c r="D141" s="38" t="str">
        <x:v>C08</x:v>
      </x:c>
      <x:c r="E141" s="38" t="str">
        <x:v>ITEM-EF7688FC6090</x:v>
      </x:c>
      <x:c r="F141" s="38" t="str">
        <x:v>雪鸦冰喙坠</x:v>
      </x:c>
      <x:c r="G141" s="38" t="str"/>
      <x:c r="H141" s="38" t="str">
        <x:v>基础件/前置</x:v>
      </x:c>
      <x:c r="I141" s="38" t="str">
        <x:v>基础件/前置</x:v>
      </x:c>
      <x:c r="J141" s="38" t="str">
        <x:v>雪鸦冰喙坠＋寒翼听风坠</x:v>
      </x:c>
      <x:c r="K141" s="38" t="str">
        <x:v>雪鸦冰喙坠</x:v>
      </x:c>
      <x:c r="L141" s="38" t="str">
        <x:v>待经济反算</x:v>
      </x:c>
      <x:c r="M141" s="38" t="str">
        <x:v>待经济反算</x:v>
      </x:c>
      <x:c r="N141" s="38" t="str">
        <x:v>是</x:v>
      </x:c>
      <x:c r="O141" s="38" t="str">
        <x:v>否</x:v>
      </x:c>
      <x:c r="P141" s="38" t="str">
        <x:v>否</x:v>
      </x:c>
      <x:c r="Q141" s="38" t="str">
        <x:v>是</x:v>
      </x:c>
      <x:c r="R141" s="38" t="str">
        <x:v>是</x:v>
      </x:c>
      <x:c r="S141" s="38" t="str">
        <x:v>可交易（沿用原物品规则）</x:v>
      </x:c>
      <x:c r="T141" s="38" t="str">
        <x:v>沿用原物品；若为合成成品则禁止回收</x:v>
      </x:c>
      <x:c r="U141" s="38" t="str">
        <x:v>沿用配方交易/绑定列</x:v>
      </x:c>
      <x:c r="V141" s="38" t="str">
        <x:v>结构已确认；数量待经济反算</x:v>
      </x:c>
      <x:c r="W141" s="39" t="str"/>
    </x:row>
    <x:row r="142" ht="42" customHeight="1">
      <x:c r="A142" s="37" t="str">
        <x:v>CON-C08-SYN-EQ-01-0138</x:v>
      </x:c>
      <x:c r="B142" s="38" t="str">
        <x:v>配方输入</x:v>
      </x:c>
      <x:c r="C142" s="38" t="str">
        <x:v>C08-SYN-EQ-01</x:v>
      </x:c>
      <x:c r="D142" s="38" t="str">
        <x:v>C08</x:v>
      </x:c>
      <x:c r="E142" s="38" t="str">
        <x:v>ITEM-CE5D5784AD0C</x:v>
      </x:c>
      <x:c r="F142" s="38" t="str">
        <x:v>寒翼听风坠</x:v>
      </x:c>
      <x:c r="G142" s="38" t="str"/>
      <x:c r="H142" s="38" t="str">
        <x:v>基础件/前置</x:v>
      </x:c>
      <x:c r="I142" s="38" t="str">
        <x:v>基础件/前置</x:v>
      </x:c>
      <x:c r="J142" s="38" t="str">
        <x:v>雪鸦冰喙坠＋寒翼听风坠</x:v>
      </x:c>
      <x:c r="K142" s="38" t="str">
        <x:v>寒翼听风坠</x:v>
      </x:c>
      <x:c r="L142" s="38" t="str">
        <x:v>待经济反算</x:v>
      </x:c>
      <x:c r="M142" s="38" t="str">
        <x:v>待经济反算</x:v>
      </x:c>
      <x:c r="N142" s="38" t="str">
        <x:v>是</x:v>
      </x:c>
      <x:c r="O142" s="38" t="str">
        <x:v>否</x:v>
      </x:c>
      <x:c r="P142" s="38" t="str">
        <x:v>否</x:v>
      </x:c>
      <x:c r="Q142" s="38" t="str">
        <x:v>是</x:v>
      </x:c>
      <x:c r="R142" s="38" t="str">
        <x:v>是</x:v>
      </x:c>
      <x:c r="S142" s="38" t="str">
        <x:v>可交易（沿用原物品规则）</x:v>
      </x:c>
      <x:c r="T142" s="38" t="str">
        <x:v>沿用原物品；若为合成成品则禁止回收</x:v>
      </x:c>
      <x:c r="U142" s="38" t="str">
        <x:v>沿用配方交易/绑定列</x:v>
      </x:c>
      <x:c r="V142" s="38" t="str">
        <x:v>结构已确认；数量待经济反算</x:v>
      </x:c>
      <x:c r="W142" s="39" t="str"/>
    </x:row>
    <x:row r="143" ht="42" customHeight="1">
      <x:c r="A143" s="37" t="str">
        <x:v>CON-C08-SYN-EQ-01-0139</x:v>
      </x:c>
      <x:c r="B143" s="38" t="str">
        <x:v>配方输入</x:v>
      </x:c>
      <x:c r="C143" s="38" t="str">
        <x:v>C08-SYN-EQ-01</x:v>
      </x:c>
      <x:c r="D143" s="38" t="str">
        <x:v>C08</x:v>
      </x:c>
      <x:c r="E143" s="38" t="str">
        <x:v>EL-MAT-C08-COM</x:v>
      </x:c>
      <x:c r="F143" s="38" t="str">
        <x:v>霜脊铁</x:v>
      </x:c>
      <x:c r="G143" s="38" t="str"/>
      <x:c r="H143" s="38" t="str">
        <x:v>高产通用材料</x:v>
      </x:c>
      <x:c r="I143" s="38" t="str">
        <x:v>高产通用材料</x:v>
      </x:c>
      <x:c r="J143" s="38" t="str">
        <x:v>霜脊铁</x:v>
      </x:c>
      <x:c r="K143" s="38" t="str">
        <x:v>霜脊铁</x:v>
      </x:c>
      <x:c r="L143" s="38" t="str">
        <x:v>待经济反算</x:v>
      </x:c>
      <x:c r="M143" s="38" t="str">
        <x:v>待经济反算</x:v>
      </x:c>
      <x:c r="N143" s="38" t="str">
        <x:v>是</x:v>
      </x:c>
      <x:c r="O143" s="38" t="str">
        <x:v>否</x:v>
      </x:c>
      <x:c r="P143" s="38" t="str">
        <x:v>否</x:v>
      </x:c>
      <x:c r="Q143" s="38" t="str">
        <x:v>是</x:v>
      </x:c>
      <x:c r="R143" s="38" t="str">
        <x:v>是</x:v>
      </x:c>
      <x:c r="S143" s="38" t="str">
        <x:v>可交易</x:v>
      </x:c>
      <x:c r="T143" s="38" t="str">
        <x:v>R8档金币／元宝主回收口</x:v>
      </x:c>
      <x:c r="U143" s="38" t="str">
        <x:v>产出实物默认不绑定，按现行材料脚本</x:v>
      </x:c>
      <x:c r="V143" s="38" t="str">
        <x:v>结构已确认；数量待经济反算</x:v>
      </x:c>
      <x:c r="W143" s="39" t="str"/>
    </x:row>
    <x:row r="144" ht="42" customHeight="1">
      <x:c r="A144" s="37" t="str">
        <x:v>CON-C08-SYN-EQ-01-0140</x:v>
      </x:c>
      <x:c r="B144" s="38" t="str">
        <x:v>配方输入</x:v>
      </x:c>
      <x:c r="C144" s="38" t="str">
        <x:v>C08-SYN-EQ-01</x:v>
      </x:c>
      <x:c r="D144" s="38" t="str">
        <x:v>C08</x:v>
      </x:c>
      <x:c r="E144" s="38" t="str">
        <x:v>EL-MAT-C08-Q01</x:v>
      </x:c>
      <x:c r="F144" s="38" t="str">
        <x:v>登山铁楔</x:v>
      </x:c>
      <x:c r="G144" s="38" t="str"/>
      <x:c r="H144" s="38" t="str">
        <x:v>稀有/证物材料</x:v>
      </x:c>
      <x:c r="I144" s="38" t="str">
        <x:v>稀有/证物材料</x:v>
      </x:c>
      <x:c r="J144" s="38" t="str">
        <x:v>登山铁楔＋巨人火印</x:v>
      </x:c>
      <x:c r="K144" s="38" t="str">
        <x:v>登山铁楔</x:v>
      </x:c>
      <x:c r="L144" s="38" t="str">
        <x:v>待经济反算</x:v>
      </x:c>
      <x:c r="M144" s="38" t="str">
        <x:v>待经济反算</x:v>
      </x:c>
      <x:c r="N144" s="38" t="str">
        <x:v>是</x:v>
      </x:c>
      <x:c r="O144" s="38" t="str">
        <x:v>否</x:v>
      </x:c>
      <x:c r="P144" s="38" t="str">
        <x:v>否</x:v>
      </x:c>
      <x:c r="Q144" s="38" t="str">
        <x:v>是</x:v>
      </x:c>
      <x:c r="R144" s="38" t="str">
        <x:v>是</x:v>
      </x:c>
      <x:c r="S144" s="38" t="str">
        <x:v>可交易</x:v>
      </x:c>
      <x:c r="T144" s="38" t="str">
        <x:v>不作为自动回收主材</x:v>
      </x:c>
      <x:c r="U144" s="38" t="str">
        <x:v>产出实物默认不绑定，按现行材料脚本</x:v>
      </x:c>
      <x:c r="V144" s="38" t="str">
        <x:v>结构已确认；数量待经济反算</x:v>
      </x:c>
      <x:c r="W144" s="39" t="str"/>
    </x:row>
    <x:row r="145" ht="42" customHeight="1">
      <x:c r="A145" s="37" t="str">
        <x:v>CON-C08-SYN-EQ-01-0141</x:v>
      </x:c>
      <x:c r="B145" s="38" t="str">
        <x:v>配方输入</x:v>
      </x:c>
      <x:c r="C145" s="38" t="str">
        <x:v>C08-SYN-EQ-01</x:v>
      </x:c>
      <x:c r="D145" s="38" t="str">
        <x:v>C08</x:v>
      </x:c>
      <x:c r="E145" s="38" t="str">
        <x:v>EL-MAT-C08-MARK</x:v>
      </x:c>
      <x:c r="F145" s="38" t="str">
        <x:v>巨人火印</x:v>
      </x:c>
      <x:c r="G145" s="38" t="str"/>
      <x:c r="H145" s="38" t="str">
        <x:v>稀有/证物材料</x:v>
      </x:c>
      <x:c r="I145" s="38" t="str">
        <x:v>稀有/证物材料</x:v>
      </x:c>
      <x:c r="J145" s="38" t="str">
        <x:v>登山铁楔＋巨人火印</x:v>
      </x:c>
      <x:c r="K145" s="38" t="str">
        <x:v>巨人火印</x:v>
      </x:c>
      <x:c r="L145" s="38" t="str">
        <x:v>待经济反算</x:v>
      </x:c>
      <x:c r="M145" s="38" t="str">
        <x:v>待经济反算</x:v>
      </x:c>
      <x:c r="N145" s="38" t="str">
        <x:v>是</x:v>
      </x:c>
      <x:c r="O145" s="38" t="str">
        <x:v>否</x:v>
      </x:c>
      <x:c r="P145" s="38" t="str">
        <x:v>否</x:v>
      </x:c>
      <x:c r="Q145" s="38" t="str">
        <x:v>是</x:v>
      </x:c>
      <x:c r="R145" s="38" t="str">
        <x:v>是</x:v>
      </x:c>
      <x:c r="S145" s="38" t="str">
        <x:v>可交易</x:v>
      </x:c>
      <x:c r="T145" s="38" t="str">
        <x:v>不作为自动回收主材</x:v>
      </x:c>
      <x:c r="U145" s="38" t="str">
        <x:v>产出实物默认不绑定，按现行材料脚本</x:v>
      </x:c>
      <x:c r="V145" s="38" t="str">
        <x:v>结构已确认；数量待经济反算</x:v>
      </x:c>
      <x:c r="W145" s="39" t="str"/>
    </x:row>
    <x:row r="146" ht="42" customHeight="1">
      <x:c r="A146" s="37" t="str">
        <x:v>CON-C08-SYN-EQ-01-0142</x:v>
      </x:c>
      <x:c r="B146" s="38" t="str">
        <x:v>配方输入</x:v>
      </x:c>
      <x:c r="C146" s="38" t="str">
        <x:v>C08-SYN-EQ-01</x:v>
      </x:c>
      <x:c r="D146" s="38" t="str">
        <x:v>C08</x:v>
      </x:c>
      <x:c r="E146" s="38" t="str">
        <x:v>EL-MAT-GLOBAL-SOMBER</x:v>
      </x:c>
      <x:c r="F146" s="38" t="str">
        <x:v>失色锻造石</x:v>
      </x:c>
      <x:c r="G146" s="38" t="str"/>
      <x:c r="H146" s="38" t="str">
        <x:v>全局材料</x:v>
      </x:c>
      <x:c r="I146" s="38" t="str">
        <x:v>全局材料</x:v>
      </x:c>
      <x:c r="J146" s="38" t="str">
        <x:v>失色锻造石</x:v>
      </x:c>
      <x:c r="K146" s="38" t="str">
        <x:v>失色锻造石</x:v>
      </x:c>
      <x:c r="L146" s="38" t="str">
        <x:v>待经济反算</x:v>
      </x:c>
      <x:c r="M146" s="38" t="str">
        <x:v>待经济反算</x:v>
      </x:c>
      <x:c r="N146" s="38" t="str">
        <x:v>是</x:v>
      </x:c>
      <x:c r="O146" s="38" t="str">
        <x:v>否</x:v>
      </x:c>
      <x:c r="P146" s="38" t="str">
        <x:v>否</x:v>
      </x:c>
      <x:c r="Q146" s="38" t="str">
        <x:v>是</x:v>
      </x:c>
      <x:c r="R146" s="38" t="str">
        <x:v>是</x:v>
      </x:c>
      <x:c r="S146" s="38" t="str">
        <x:v>可交易</x:v>
      </x:c>
      <x:c r="T146" s="38" t="str">
        <x:v>不作为自动回收主材</x:v>
      </x:c>
      <x:c r="U146" s="38" t="str">
        <x:v>产出实物默认不绑定，按现行材料脚本</x:v>
      </x:c>
      <x:c r="V146" s="38" t="str">
        <x:v>结构已确认；数量待经济反算</x:v>
      </x:c>
      <x:c r="W146" s="39" t="str"/>
    </x:row>
    <x:row r="147" ht="42" customHeight="1">
      <x:c r="A147" s="37" t="str">
        <x:v>CON-C08-SYN-EQ-01-0143</x:v>
      </x:c>
      <x:c r="B147" s="38" t="str">
        <x:v>配方输入</x:v>
      </x:c>
      <x:c r="C147" s="38" t="str">
        <x:v>C08-SYN-EQ-01</x:v>
      </x:c>
      <x:c r="D147" s="38" t="str">
        <x:v>C08</x:v>
      </x:c>
      <x:c r="E147" s="38" t="str">
        <x:v>CUR-GOLD</x:v>
      </x:c>
      <x:c r="F147" s="38" t="str">
        <x:v>金币</x:v>
      </x:c>
      <x:c r="G147" s="38" t="str"/>
      <x:c r="H147" s="38" t="str">
        <x:v>金币/元宝/灵符</x:v>
      </x:c>
      <x:c r="I147" s="38" t="str">
        <x:v>货币</x:v>
      </x:c>
      <x:c r="J147" s="38" t="str">
        <x:v>金币</x:v>
      </x:c>
      <x:c r="K147" s="38" t="str">
        <x:v>金币</x:v>
      </x:c>
      <x:c r="L147" s="38" t="str">
        <x:v>待经济反算</x:v>
      </x:c>
      <x:c r="M147" s="38" t="str">
        <x:v>待经济反算</x:v>
      </x:c>
      <x:c r="N147" s="38" t="str">
        <x:v>是</x:v>
      </x:c>
      <x:c r="O147" s="38" t="str">
        <x:v>否</x:v>
      </x:c>
      <x:c r="P147" s="38" t="str">
        <x:v>否</x:v>
      </x:c>
      <x:c r="Q147" s="38" t="str">
        <x:v>是</x:v>
      </x:c>
      <x:c r="R147" s="38" t="str">
        <x:v>是</x:v>
      </x:c>
      <x:c r="S147" s="38" t="str">
        <x:v>不进入玩家摆摊；通过交易物间接流通</x:v>
      </x:c>
      <x:c r="T147" s="38" t="str">
        <x:v>货币本身不可回收</x:v>
      </x:c>
      <x:c r="U147" s="38" t="str">
        <x:v>沿用现行货币账户</x:v>
      </x:c>
      <x:c r="V147" s="38" t="str">
        <x:v>结构已确认；数量待经济反算</x:v>
      </x:c>
      <x:c r="W147" s="39" t="str"/>
    </x:row>
    <x:row r="148" ht="42" customHeight="1">
      <x:c r="A148" s="37" t="str">
        <x:v>CON-C08-SYN-EQ-02-0144</x:v>
      </x:c>
      <x:c r="B148" s="38" t="str">
        <x:v>配方输入</x:v>
      </x:c>
      <x:c r="C148" s="38" t="str">
        <x:v>C08-SYN-EQ-02</x:v>
      </x:c>
      <x:c r="D148" s="38" t="str">
        <x:v>C08</x:v>
      </x:c>
      <x:c r="E148" s="38" t="str">
        <x:v>ITEM-E017483DACCA</x:v>
      </x:c>
      <x:c r="F148" s="38" t="str">
        <x:v>负碑王座盾</x:v>
      </x:c>
      <x:c r="G148" s="38" t="str"/>
      <x:c r="H148" s="38" t="str">
        <x:v>基础件/前置</x:v>
      </x:c>
      <x:c r="I148" s="38" t="str">
        <x:v>基础件/前置</x:v>
      </x:c>
      <x:c r="J148" s="38" t="str">
        <x:v>负碑王座盾＋外廊纹冰盾</x:v>
      </x:c>
      <x:c r="K148" s="38" t="str">
        <x:v>负碑王座盾</x:v>
      </x:c>
      <x:c r="L148" s="38" t="str">
        <x:v>待经济反算</x:v>
      </x:c>
      <x:c r="M148" s="38" t="str">
        <x:v>待经济反算</x:v>
      </x:c>
      <x:c r="N148" s="38" t="str">
        <x:v>是</x:v>
      </x:c>
      <x:c r="O148" s="38" t="str">
        <x:v>否</x:v>
      </x:c>
      <x:c r="P148" s="38" t="str">
        <x:v>否</x:v>
      </x:c>
      <x:c r="Q148" s="38" t="str">
        <x:v>是</x:v>
      </x:c>
      <x:c r="R148" s="38" t="str">
        <x:v>是</x:v>
      </x:c>
      <x:c r="S148" s="38" t="str">
        <x:v>可交易（沿用原物品规则）</x:v>
      </x:c>
      <x:c r="T148" s="38" t="str">
        <x:v>沿用原物品；若为合成成品则禁止回收</x:v>
      </x:c>
      <x:c r="U148" s="38" t="str">
        <x:v>沿用配方交易/绑定列</x:v>
      </x:c>
      <x:c r="V148" s="38" t="str">
        <x:v>结构已确认；数量待经济反算</x:v>
      </x:c>
      <x:c r="W148" s="39" t="str"/>
    </x:row>
    <x:row r="149" ht="42" customHeight="1">
      <x:c r="A149" s="37" t="str">
        <x:v>CON-C08-SYN-EQ-02-0145</x:v>
      </x:c>
      <x:c r="B149" s="38" t="str">
        <x:v>配方输入</x:v>
      </x:c>
      <x:c r="C149" s="38" t="str">
        <x:v>C08-SYN-EQ-02</x:v>
      </x:c>
      <x:c r="D149" s="38" t="str">
        <x:v>C08</x:v>
      </x:c>
      <x:c r="E149" s="38" t="str">
        <x:v>ITEM-354728E5DEDF</x:v>
      </x:c>
      <x:c r="F149" s="38" t="str">
        <x:v>外廊纹冰盾</x:v>
      </x:c>
      <x:c r="G149" s="38" t="str"/>
      <x:c r="H149" s="38" t="str">
        <x:v>基础件/前置</x:v>
      </x:c>
      <x:c r="I149" s="38" t="str">
        <x:v>基础件/前置</x:v>
      </x:c>
      <x:c r="J149" s="38" t="str">
        <x:v>负碑王座盾＋外廊纹冰盾</x:v>
      </x:c>
      <x:c r="K149" s="38" t="str">
        <x:v>外廊纹冰盾</x:v>
      </x:c>
      <x:c r="L149" s="38" t="str">
        <x:v>待经济反算</x:v>
      </x:c>
      <x:c r="M149" s="38" t="str">
        <x:v>待经济反算</x:v>
      </x:c>
      <x:c r="N149" s="38" t="str">
        <x:v>是</x:v>
      </x:c>
      <x:c r="O149" s="38" t="str">
        <x:v>否</x:v>
      </x:c>
      <x:c r="P149" s="38" t="str">
        <x:v>否</x:v>
      </x:c>
      <x:c r="Q149" s="38" t="str">
        <x:v>是</x:v>
      </x:c>
      <x:c r="R149" s="38" t="str">
        <x:v>是</x:v>
      </x:c>
      <x:c r="S149" s="38" t="str">
        <x:v>可交易（沿用原物品规则）</x:v>
      </x:c>
      <x:c r="T149" s="38" t="str">
        <x:v>沿用原物品；若为合成成品则禁止回收</x:v>
      </x:c>
      <x:c r="U149" s="38" t="str">
        <x:v>沿用配方交易/绑定列</x:v>
      </x:c>
      <x:c r="V149" s="38" t="str">
        <x:v>结构已确认；数量待经济反算</x:v>
      </x:c>
      <x:c r="W149" s="39" t="str"/>
    </x:row>
    <x:row r="150" ht="42" customHeight="1">
      <x:c r="A150" s="37" t="str">
        <x:v>CON-C08-SYN-EQ-02-0146</x:v>
      </x:c>
      <x:c r="B150" s="38" t="str">
        <x:v>配方输入</x:v>
      </x:c>
      <x:c r="C150" s="38" t="str">
        <x:v>C08-SYN-EQ-02</x:v>
      </x:c>
      <x:c r="D150" s="38" t="str">
        <x:v>C08</x:v>
      </x:c>
      <x:c r="E150" s="38" t="str">
        <x:v>EL-MAT-C08-COM</x:v>
      </x:c>
      <x:c r="F150" s="38" t="str">
        <x:v>霜脊铁</x:v>
      </x:c>
      <x:c r="G150" s="38" t="str"/>
      <x:c r="H150" s="38" t="str">
        <x:v>高产通用材料</x:v>
      </x:c>
      <x:c r="I150" s="38" t="str">
        <x:v>高产通用材料</x:v>
      </x:c>
      <x:c r="J150" s="38" t="str">
        <x:v>霜脊铁</x:v>
      </x:c>
      <x:c r="K150" s="38" t="str">
        <x:v>霜脊铁</x:v>
      </x:c>
      <x:c r="L150" s="38" t="str">
        <x:v>待经济反算</x:v>
      </x:c>
      <x:c r="M150" s="38" t="str">
        <x:v>待经济反算</x:v>
      </x:c>
      <x:c r="N150" s="38" t="str">
        <x:v>是</x:v>
      </x:c>
      <x:c r="O150" s="38" t="str">
        <x:v>否</x:v>
      </x:c>
      <x:c r="P150" s="38" t="str">
        <x:v>否</x:v>
      </x:c>
      <x:c r="Q150" s="38" t="str">
        <x:v>是</x:v>
      </x:c>
      <x:c r="R150" s="38" t="str">
        <x:v>是</x:v>
      </x:c>
      <x:c r="S150" s="38" t="str">
        <x:v>可交易</x:v>
      </x:c>
      <x:c r="T150" s="38" t="str">
        <x:v>R8档金币／元宝主回收口</x:v>
      </x:c>
      <x:c r="U150" s="38" t="str">
        <x:v>产出实物默认不绑定，按现行材料脚本</x:v>
      </x:c>
      <x:c r="V150" s="38" t="str">
        <x:v>结构已确认；数量待经济反算</x:v>
      </x:c>
      <x:c r="W150" s="39" t="str"/>
    </x:row>
    <x:row r="151" ht="42" customHeight="1">
      <x:c r="A151" s="37" t="str">
        <x:v>CON-C08-SYN-EQ-02-0147</x:v>
      </x:c>
      <x:c r="B151" s="38" t="str">
        <x:v>配方输入</x:v>
      </x:c>
      <x:c r="C151" s="38" t="str">
        <x:v>C08-SYN-EQ-02</x:v>
      </x:c>
      <x:c r="D151" s="38" t="str">
        <x:v>C08</x:v>
      </x:c>
      <x:c r="E151" s="38" t="str">
        <x:v>EL-MAT-C08-Q02</x:v>
      </x:c>
      <x:c r="F151" s="38" t="str">
        <x:v>裂峰号角片</x:v>
      </x:c>
      <x:c r="G151" s="38" t="str"/>
      <x:c r="H151" s="38" t="str">
        <x:v>稀有/证物材料</x:v>
      </x:c>
      <x:c r="I151" s="38" t="str">
        <x:v>稀有/证物材料</x:v>
      </x:c>
      <x:c r="J151" s="38" t="str">
        <x:v>裂峰号角片＋冰宫守门铃</x:v>
      </x:c>
      <x:c r="K151" s="38" t="str">
        <x:v>裂峰号角片</x:v>
      </x:c>
      <x:c r="L151" s="38" t="str">
        <x:v>待经济反算</x:v>
      </x:c>
      <x:c r="M151" s="38" t="str">
        <x:v>待经济反算</x:v>
      </x:c>
      <x:c r="N151" s="38" t="str">
        <x:v>是</x:v>
      </x:c>
      <x:c r="O151" s="38" t="str">
        <x:v>否</x:v>
      </x:c>
      <x:c r="P151" s="38" t="str">
        <x:v>否</x:v>
      </x:c>
      <x:c r="Q151" s="38" t="str">
        <x:v>是</x:v>
      </x:c>
      <x:c r="R151" s="38" t="str">
        <x:v>是</x:v>
      </x:c>
      <x:c r="S151" s="38" t="str">
        <x:v>可交易</x:v>
      </x:c>
      <x:c r="T151" s="38" t="str">
        <x:v>不作为自动回收主材</x:v>
      </x:c>
      <x:c r="U151" s="38" t="str">
        <x:v>产出实物默认不绑定，按现行材料脚本</x:v>
      </x:c>
      <x:c r="V151" s="38" t="str">
        <x:v>结构已确认；数量待经济反算</x:v>
      </x:c>
      <x:c r="W151" s="39" t="str"/>
    </x:row>
    <x:row r="152" ht="42" customHeight="1">
      <x:c r="A152" s="37" t="str">
        <x:v>CON-C08-SYN-EQ-02-0148</x:v>
      </x:c>
      <x:c r="B152" s="38" t="str">
        <x:v>配方输入</x:v>
      </x:c>
      <x:c r="C152" s="38" t="str">
        <x:v>C08-SYN-EQ-02</x:v>
      </x:c>
      <x:c r="D152" s="38" t="str">
        <x:v>C08</x:v>
      </x:c>
      <x:c r="E152" s="38" t="str">
        <x:v>EL-MAT-C08-Q03</x:v>
      </x:c>
      <x:c r="F152" s="38" t="str">
        <x:v>冰宫守门铃</x:v>
      </x:c>
      <x:c r="G152" s="38" t="str"/>
      <x:c r="H152" s="38" t="str">
        <x:v>稀有/证物材料</x:v>
      </x:c>
      <x:c r="I152" s="38" t="str">
        <x:v>稀有/证物材料</x:v>
      </x:c>
      <x:c r="J152" s="38" t="str">
        <x:v>裂峰号角片＋冰宫守门铃</x:v>
      </x:c>
      <x:c r="K152" s="38" t="str">
        <x:v>冰宫守门铃</x:v>
      </x:c>
      <x:c r="L152" s="38" t="str">
        <x:v>待经济反算</x:v>
      </x:c>
      <x:c r="M152" s="38" t="str">
        <x:v>待经济反算</x:v>
      </x:c>
      <x:c r="N152" s="38" t="str">
        <x:v>是</x:v>
      </x:c>
      <x:c r="O152" s="38" t="str">
        <x:v>否</x:v>
      </x:c>
      <x:c r="P152" s="38" t="str">
        <x:v>否</x:v>
      </x:c>
      <x:c r="Q152" s="38" t="str">
        <x:v>是</x:v>
      </x:c>
      <x:c r="R152" s="38" t="str">
        <x:v>是</x:v>
      </x:c>
      <x:c r="S152" s="38" t="str">
        <x:v>可交易</x:v>
      </x:c>
      <x:c r="T152" s="38" t="str">
        <x:v>不作为自动回收主材</x:v>
      </x:c>
      <x:c r="U152" s="38" t="str">
        <x:v>产出实物默认不绑定，按现行材料脚本</x:v>
      </x:c>
      <x:c r="V152" s="38" t="str">
        <x:v>结构已确认；数量待经济反算</x:v>
      </x:c>
      <x:c r="W152" s="39" t="str"/>
    </x:row>
    <x:row r="153" ht="42" customHeight="1">
      <x:c r="A153" s="37" t="str">
        <x:v>CON-C08-SYN-EQ-02-0149</x:v>
      </x:c>
      <x:c r="B153" s="38" t="str">
        <x:v>配方输入</x:v>
      </x:c>
      <x:c r="C153" s="38" t="str">
        <x:v>C08-SYN-EQ-02</x:v>
      </x:c>
      <x:c r="D153" s="38" t="str">
        <x:v>C08</x:v>
      </x:c>
      <x:c r="E153" s="38" t="str">
        <x:v>EL-MAT-GLOBAL-SOMBER</x:v>
      </x:c>
      <x:c r="F153" s="38" t="str">
        <x:v>失色锻造石</x:v>
      </x:c>
      <x:c r="G153" s="38" t="str"/>
      <x:c r="H153" s="38" t="str">
        <x:v>全局材料</x:v>
      </x:c>
      <x:c r="I153" s="38" t="str">
        <x:v>全局材料</x:v>
      </x:c>
      <x:c r="J153" s="38" t="str">
        <x:v>失色锻造石</x:v>
      </x:c>
      <x:c r="K153" s="38" t="str">
        <x:v>失色锻造石</x:v>
      </x:c>
      <x:c r="L153" s="38" t="str">
        <x:v>待经济反算</x:v>
      </x:c>
      <x:c r="M153" s="38" t="str">
        <x:v>待经济反算</x:v>
      </x:c>
      <x:c r="N153" s="38" t="str">
        <x:v>是</x:v>
      </x:c>
      <x:c r="O153" s="38" t="str">
        <x:v>否</x:v>
      </x:c>
      <x:c r="P153" s="38" t="str">
        <x:v>否</x:v>
      </x:c>
      <x:c r="Q153" s="38" t="str">
        <x:v>是</x:v>
      </x:c>
      <x:c r="R153" s="38" t="str">
        <x:v>是</x:v>
      </x:c>
      <x:c r="S153" s="38" t="str">
        <x:v>可交易</x:v>
      </x:c>
      <x:c r="T153" s="38" t="str">
        <x:v>不作为自动回收主材</x:v>
      </x:c>
      <x:c r="U153" s="38" t="str">
        <x:v>产出实物默认不绑定，按现行材料脚本</x:v>
      </x:c>
      <x:c r="V153" s="38" t="str">
        <x:v>结构已确认；数量待经济反算</x:v>
      </x:c>
      <x:c r="W153" s="39" t="str"/>
    </x:row>
    <x:row r="154" ht="42" customHeight="1">
      <x:c r="A154" s="37" t="str">
        <x:v>CON-C08-SYN-EQ-02-0150</x:v>
      </x:c>
      <x:c r="B154" s="38" t="str">
        <x:v>配方输入</x:v>
      </x:c>
      <x:c r="C154" s="38" t="str">
        <x:v>C08-SYN-EQ-02</x:v>
      </x:c>
      <x:c r="D154" s="38" t="str">
        <x:v>C08</x:v>
      </x:c>
      <x:c r="E154" s="38" t="str">
        <x:v>CUR-GOLD</x:v>
      </x:c>
      <x:c r="F154" s="38" t="str">
        <x:v>金币</x:v>
      </x:c>
      <x:c r="G154" s="38" t="str"/>
      <x:c r="H154" s="38" t="str">
        <x:v>金币/元宝/灵符</x:v>
      </x:c>
      <x:c r="I154" s="38" t="str">
        <x:v>货币</x:v>
      </x:c>
      <x:c r="J154" s="38" t="str">
        <x:v>金币</x:v>
      </x:c>
      <x:c r="K154" s="38" t="str">
        <x:v>金币</x:v>
      </x:c>
      <x:c r="L154" s="38" t="str">
        <x:v>待经济反算</x:v>
      </x:c>
      <x:c r="M154" s="38" t="str">
        <x:v>待经济反算</x:v>
      </x:c>
      <x:c r="N154" s="38" t="str">
        <x:v>是</x:v>
      </x:c>
      <x:c r="O154" s="38" t="str">
        <x:v>否</x:v>
      </x:c>
      <x:c r="P154" s="38" t="str">
        <x:v>否</x:v>
      </x:c>
      <x:c r="Q154" s="38" t="str">
        <x:v>是</x:v>
      </x:c>
      <x:c r="R154" s="38" t="str">
        <x:v>是</x:v>
      </x:c>
      <x:c r="S154" s="38" t="str">
        <x:v>不进入玩家摆摊；通过交易物间接流通</x:v>
      </x:c>
      <x:c r="T154" s="38" t="str">
        <x:v>货币本身不可回收</x:v>
      </x:c>
      <x:c r="U154" s="38" t="str">
        <x:v>沿用现行货币账户</x:v>
      </x:c>
      <x:c r="V154" s="38" t="str">
        <x:v>结构已确认；数量待经济反算</x:v>
      </x:c>
      <x:c r="W154" s="39" t="str"/>
    </x:row>
    <x:row r="155" ht="42" customHeight="1">
      <x:c r="A155" s="37" t="str">
        <x:v>CON-C08-SYN-EQ-03-0151</x:v>
      </x:c>
      <x:c r="B155" s="38" t="str">
        <x:v>配方输入</x:v>
      </x:c>
      <x:c r="C155" s="38" t="str">
        <x:v>C08-SYN-EQ-03</x:v>
      </x:c>
      <x:c r="D155" s="38" t="str">
        <x:v>C08</x:v>
      </x:c>
      <x:c r="E155" s="38" t="str">
        <x:v>ITEM-0EBEA2C2AEF0</x:v>
      </x:c>
      <x:c r="F155" s="38" t="str">
        <x:v>赫芮迦穹霜王衣</x:v>
      </x:c>
      <x:c r="G155" s="38" t="str"/>
      <x:c r="H155" s="38" t="str">
        <x:v>基础件/前置</x:v>
      </x:c>
      <x:c r="I155" s="38" t="str">
        <x:v>基础件/前置</x:v>
      </x:c>
      <x:c r="J155" s="38" t="str">
        <x:v>赫芮迦穹霜王衣＋乌尔迈吞日巨剑</x:v>
      </x:c>
      <x:c r="K155" s="38" t="str">
        <x:v>赫芮迦穹霜王衣</x:v>
      </x:c>
      <x:c r="L155" s="38" t="str">
        <x:v>待经济反算</x:v>
      </x:c>
      <x:c r="M155" s="38" t="str">
        <x:v>待经济反算</x:v>
      </x:c>
      <x:c r="N155" s="38" t="str">
        <x:v>是</x:v>
      </x:c>
      <x:c r="O155" s="38" t="str">
        <x:v>否</x:v>
      </x:c>
      <x:c r="P155" s="38" t="str">
        <x:v>否</x:v>
      </x:c>
      <x:c r="Q155" s="38" t="str">
        <x:v>是</x:v>
      </x:c>
      <x:c r="R155" s="38" t="str">
        <x:v>是</x:v>
      </x:c>
      <x:c r="S155" s="38" t="str">
        <x:v>可交易（沿用原物品规则）</x:v>
      </x:c>
      <x:c r="T155" s="38" t="str">
        <x:v>沿用原物品；若为合成成品则禁止回收</x:v>
      </x:c>
      <x:c r="U155" s="38" t="str">
        <x:v>沿用配方交易/绑定列</x:v>
      </x:c>
      <x:c r="V155" s="38" t="str">
        <x:v>结构已确认；数量待经济反算</x:v>
      </x:c>
      <x:c r="W155" s="39" t="str"/>
    </x:row>
    <x:row r="156" ht="42" customHeight="1">
      <x:c r="A156" s="37" t="str">
        <x:v>CON-C08-SYN-EQ-03-0152</x:v>
      </x:c>
      <x:c r="B156" s="38" t="str">
        <x:v>配方输入</x:v>
      </x:c>
      <x:c r="C156" s="38" t="str">
        <x:v>C08-SYN-EQ-03</x:v>
      </x:c>
      <x:c r="D156" s="38" t="str">
        <x:v>C08</x:v>
      </x:c>
      <x:c r="E156" s="38" t="str">
        <x:v>ITEM-F5B2C5100D48</x:v>
      </x:c>
      <x:c r="F156" s="38" t="str">
        <x:v>乌尔迈吞日巨剑</x:v>
      </x:c>
      <x:c r="G156" s="38" t="str"/>
      <x:c r="H156" s="38" t="str">
        <x:v>基础件/前置</x:v>
      </x:c>
      <x:c r="I156" s="38" t="str">
        <x:v>基础件/前置</x:v>
      </x:c>
      <x:c r="J156" s="38" t="str">
        <x:v>赫芮迦穹霜王衣＋乌尔迈吞日巨剑</x:v>
      </x:c>
      <x:c r="K156" s="38" t="str">
        <x:v>乌尔迈吞日巨剑</x:v>
      </x:c>
      <x:c r="L156" s="38" t="str">
        <x:v>待经济反算</x:v>
      </x:c>
      <x:c r="M156" s="38" t="str">
        <x:v>待经济反算</x:v>
      </x:c>
      <x:c r="N156" s="38" t="str">
        <x:v>是</x:v>
      </x:c>
      <x:c r="O156" s="38" t="str">
        <x:v>否</x:v>
      </x:c>
      <x:c r="P156" s="38" t="str">
        <x:v>否</x:v>
      </x:c>
      <x:c r="Q156" s="38" t="str">
        <x:v>是</x:v>
      </x:c>
      <x:c r="R156" s="38" t="str">
        <x:v>是</x:v>
      </x:c>
      <x:c r="S156" s="38" t="str">
        <x:v>可交易（沿用原物品规则）</x:v>
      </x:c>
      <x:c r="T156" s="38" t="str">
        <x:v>沿用原物品；若为合成成品则禁止回收</x:v>
      </x:c>
      <x:c r="U156" s="38" t="str">
        <x:v>沿用配方交易/绑定列</x:v>
      </x:c>
      <x:c r="V156" s="38" t="str">
        <x:v>结构已确认；数量待经济反算</x:v>
      </x:c>
      <x:c r="W156" s="39" t="str"/>
    </x:row>
    <x:row r="157" ht="42" customHeight="1">
      <x:c r="A157" s="37" t="str">
        <x:v>CON-C08-SYN-EQ-03-0153</x:v>
      </x:c>
      <x:c r="B157" s="38" t="str">
        <x:v>配方输入</x:v>
      </x:c>
      <x:c r="C157" s="38" t="str">
        <x:v>C08-SYN-EQ-03</x:v>
      </x:c>
      <x:c r="D157" s="38" t="str">
        <x:v>C08</x:v>
      </x:c>
      <x:c r="E157" s="38" t="str">
        <x:v>EL-MAT-C08-COM</x:v>
      </x:c>
      <x:c r="F157" s="38" t="str">
        <x:v>霜脊铁</x:v>
      </x:c>
      <x:c r="G157" s="38" t="str"/>
      <x:c r="H157" s="38" t="str">
        <x:v>高产通用材料</x:v>
      </x:c>
      <x:c r="I157" s="38" t="str">
        <x:v>高产通用材料</x:v>
      </x:c>
      <x:c r="J157" s="38" t="str">
        <x:v>霜脊铁</x:v>
      </x:c>
      <x:c r="K157" s="38" t="str">
        <x:v>霜脊铁</x:v>
      </x:c>
      <x:c r="L157" s="38" t="str">
        <x:v>待经济反算</x:v>
      </x:c>
      <x:c r="M157" s="38" t="str">
        <x:v>待经济反算</x:v>
      </x:c>
      <x:c r="N157" s="38" t="str">
        <x:v>是</x:v>
      </x:c>
      <x:c r="O157" s="38" t="str">
        <x:v>否</x:v>
      </x:c>
      <x:c r="P157" s="38" t="str">
        <x:v>否</x:v>
      </x:c>
      <x:c r="Q157" s="38" t="str">
        <x:v>是</x:v>
      </x:c>
      <x:c r="R157" s="38" t="str">
        <x:v>是</x:v>
      </x:c>
      <x:c r="S157" s="38" t="str">
        <x:v>可交易</x:v>
      </x:c>
      <x:c r="T157" s="38" t="str">
        <x:v>R8档金币／元宝主回收口</x:v>
      </x:c>
      <x:c r="U157" s="38" t="str">
        <x:v>产出实物默认不绑定，按现行材料脚本</x:v>
      </x:c>
      <x:c r="V157" s="38" t="str">
        <x:v>结构已确认；数量待经济反算</x:v>
      </x:c>
      <x:c r="W157" s="39" t="str"/>
    </x:row>
    <x:row r="158" ht="42" customHeight="1">
      <x:c r="A158" s="37" t="str">
        <x:v>CON-C08-SYN-EQ-03-0154</x:v>
      </x:c>
      <x:c r="B158" s="38" t="str">
        <x:v>配方输入</x:v>
      </x:c>
      <x:c r="C158" s="38" t="str">
        <x:v>C08-SYN-EQ-03</x:v>
      </x:c>
      <x:c r="D158" s="38" t="str">
        <x:v>C08</x:v>
      </x:c>
      <x:c r="E158" s="38" t="str">
        <x:v>EL-MAT-C08-Q04</x:v>
      </x:c>
      <x:c r="F158" s="38" t="str">
        <x:v>王庭炉冠</x:v>
      </x:c>
      <x:c r="G158" s="38" t="str"/>
      <x:c r="H158" s="38" t="str">
        <x:v>稀有/证物材料</x:v>
      </x:c>
      <x:c r="I158" s="38" t="str">
        <x:v>稀有/证物材料</x:v>
      </x:c>
      <x:c r="J158" s="38" t="str">
        <x:v>王庭炉冠＋巨人火印</x:v>
      </x:c>
      <x:c r="K158" s="38" t="str">
        <x:v>王庭炉冠</x:v>
      </x:c>
      <x:c r="L158" s="38" t="str">
        <x:v>待经济反算</x:v>
      </x:c>
      <x:c r="M158" s="38" t="str">
        <x:v>待经济反算</x:v>
      </x:c>
      <x:c r="N158" s="38" t="str">
        <x:v>是</x:v>
      </x:c>
      <x:c r="O158" s="38" t="str">
        <x:v>否</x:v>
      </x:c>
      <x:c r="P158" s="38" t="str">
        <x:v>否</x:v>
      </x:c>
      <x:c r="Q158" s="38" t="str">
        <x:v>是</x:v>
      </x:c>
      <x:c r="R158" s="38" t="str">
        <x:v>是</x:v>
      </x:c>
      <x:c r="S158" s="38" t="str">
        <x:v>可交易</x:v>
      </x:c>
      <x:c r="T158" s="38" t="str">
        <x:v>不作为自动回收主材</x:v>
      </x:c>
      <x:c r="U158" s="38" t="str">
        <x:v>产出实物默认不绑定，按现行材料脚本</x:v>
      </x:c>
      <x:c r="V158" s="38" t="str">
        <x:v>结构已确认；数量待经济反算</x:v>
      </x:c>
      <x:c r="W158" s="39" t="str"/>
    </x:row>
    <x:row r="159" ht="42" customHeight="1">
      <x:c r="A159" s="37" t="str">
        <x:v>CON-C08-SYN-EQ-03-0155</x:v>
      </x:c>
      <x:c r="B159" s="38" t="str">
        <x:v>配方输入</x:v>
      </x:c>
      <x:c r="C159" s="38" t="str">
        <x:v>C08-SYN-EQ-03</x:v>
      </x:c>
      <x:c r="D159" s="38" t="str">
        <x:v>C08</x:v>
      </x:c>
      <x:c r="E159" s="38" t="str">
        <x:v>EL-MAT-C08-MARK</x:v>
      </x:c>
      <x:c r="F159" s="38" t="str">
        <x:v>巨人火印</x:v>
      </x:c>
      <x:c r="G159" s="38" t="str"/>
      <x:c r="H159" s="38" t="str">
        <x:v>稀有/证物材料</x:v>
      </x:c>
      <x:c r="I159" s="38" t="str">
        <x:v>稀有/证物材料</x:v>
      </x:c>
      <x:c r="J159" s="38" t="str">
        <x:v>王庭炉冠＋巨人火印</x:v>
      </x:c>
      <x:c r="K159" s="38" t="str">
        <x:v>巨人火印</x:v>
      </x:c>
      <x:c r="L159" s="38" t="str">
        <x:v>待经济反算</x:v>
      </x:c>
      <x:c r="M159" s="38" t="str">
        <x:v>待经济反算</x:v>
      </x:c>
      <x:c r="N159" s="38" t="str">
        <x:v>是</x:v>
      </x:c>
      <x:c r="O159" s="38" t="str">
        <x:v>否</x:v>
      </x:c>
      <x:c r="P159" s="38" t="str">
        <x:v>否</x:v>
      </x:c>
      <x:c r="Q159" s="38" t="str">
        <x:v>是</x:v>
      </x:c>
      <x:c r="R159" s="38" t="str">
        <x:v>是</x:v>
      </x:c>
      <x:c r="S159" s="38" t="str">
        <x:v>可交易</x:v>
      </x:c>
      <x:c r="T159" s="38" t="str">
        <x:v>不作为自动回收主材</x:v>
      </x:c>
      <x:c r="U159" s="38" t="str">
        <x:v>产出实物默认不绑定，按现行材料脚本</x:v>
      </x:c>
      <x:c r="V159" s="38" t="str">
        <x:v>结构已确认；数量待经济反算</x:v>
      </x:c>
      <x:c r="W159" s="39" t="str"/>
    </x:row>
    <x:row r="160" ht="42" customHeight="1">
      <x:c r="A160" s="37" t="str">
        <x:v>CON-C08-SYN-EQ-03-0156</x:v>
      </x:c>
      <x:c r="B160" s="38" t="str">
        <x:v>配方输入</x:v>
      </x:c>
      <x:c r="C160" s="38" t="str">
        <x:v>C08-SYN-EQ-03</x:v>
      </x:c>
      <x:c r="D160" s="38" t="str">
        <x:v>C08</x:v>
      </x:c>
      <x:c r="E160" s="38" t="str">
        <x:v>EL-MAT-GLOBAL-SOMBER</x:v>
      </x:c>
      <x:c r="F160" s="38" t="str">
        <x:v>失色锻造石</x:v>
      </x:c>
      <x:c r="G160" s="38" t="str"/>
      <x:c r="H160" s="38" t="str">
        <x:v>全局材料</x:v>
      </x:c>
      <x:c r="I160" s="38" t="str">
        <x:v>全局材料</x:v>
      </x:c>
      <x:c r="J160" s="38" t="str">
        <x:v>失色锻造石</x:v>
      </x:c>
      <x:c r="K160" s="38" t="str">
        <x:v>失色锻造石</x:v>
      </x:c>
      <x:c r="L160" s="38" t="str">
        <x:v>待经济反算</x:v>
      </x:c>
      <x:c r="M160" s="38" t="str">
        <x:v>待经济反算</x:v>
      </x:c>
      <x:c r="N160" s="38" t="str">
        <x:v>是</x:v>
      </x:c>
      <x:c r="O160" s="38" t="str">
        <x:v>否</x:v>
      </x:c>
      <x:c r="P160" s="38" t="str">
        <x:v>否</x:v>
      </x:c>
      <x:c r="Q160" s="38" t="str">
        <x:v>是</x:v>
      </x:c>
      <x:c r="R160" s="38" t="str">
        <x:v>是</x:v>
      </x:c>
      <x:c r="S160" s="38" t="str">
        <x:v>可交易</x:v>
      </x:c>
      <x:c r="T160" s="38" t="str">
        <x:v>不作为自动回收主材</x:v>
      </x:c>
      <x:c r="U160" s="38" t="str">
        <x:v>产出实物默认不绑定，按现行材料脚本</x:v>
      </x:c>
      <x:c r="V160" s="38" t="str">
        <x:v>结构已确认；数量待经济反算</x:v>
      </x:c>
      <x:c r="W160" s="39" t="str"/>
    </x:row>
    <x:row r="161" ht="42" customHeight="1">
      <x:c r="A161" s="37" t="str">
        <x:v>CON-C08-SYN-EQ-03-0157</x:v>
      </x:c>
      <x:c r="B161" s="38" t="str">
        <x:v>配方输入</x:v>
      </x:c>
      <x:c r="C161" s="38" t="str">
        <x:v>C08-SYN-EQ-03</x:v>
      </x:c>
      <x:c r="D161" s="38" t="str">
        <x:v>C08</x:v>
      </x:c>
      <x:c r="E161" s="38" t="str">
        <x:v>CUR-GOLD</x:v>
      </x:c>
      <x:c r="F161" s="38" t="str">
        <x:v>金币</x:v>
      </x:c>
      <x:c r="G161" s="38" t="str"/>
      <x:c r="H161" s="38" t="str">
        <x:v>金币/元宝/灵符</x:v>
      </x:c>
      <x:c r="I161" s="38" t="str">
        <x:v>货币</x:v>
      </x:c>
      <x:c r="J161" s="38" t="str">
        <x:v>金币＋元宝</x:v>
      </x:c>
      <x:c r="K161" s="38" t="str">
        <x:v>金币</x:v>
      </x:c>
      <x:c r="L161" s="38" t="str">
        <x:v>待经济反算</x:v>
      </x:c>
      <x:c r="M161" s="38" t="str">
        <x:v>待经济反算</x:v>
      </x:c>
      <x:c r="N161" s="38" t="str">
        <x:v>是</x:v>
      </x:c>
      <x:c r="O161" s="38" t="str">
        <x:v>否</x:v>
      </x:c>
      <x:c r="P161" s="38" t="str">
        <x:v>否</x:v>
      </x:c>
      <x:c r="Q161" s="38" t="str">
        <x:v>是</x:v>
      </x:c>
      <x:c r="R161" s="38" t="str">
        <x:v>是</x:v>
      </x:c>
      <x:c r="S161" s="38" t="str">
        <x:v>不进入玩家摆摊；通过交易物间接流通</x:v>
      </x:c>
      <x:c r="T161" s="38" t="str">
        <x:v>货币本身不可回收</x:v>
      </x:c>
      <x:c r="U161" s="38" t="str">
        <x:v>沿用现行货币账户</x:v>
      </x:c>
      <x:c r="V161" s="38" t="str">
        <x:v>结构已确认；数量待经济反算</x:v>
      </x:c>
      <x:c r="W161" s="39" t="str"/>
    </x:row>
    <x:row r="162" ht="42" customHeight="1">
      <x:c r="A162" s="37" t="str">
        <x:v>CON-C08-SYN-EQ-03-0158</x:v>
      </x:c>
      <x:c r="B162" s="38" t="str">
        <x:v>配方输入</x:v>
      </x:c>
      <x:c r="C162" s="38" t="str">
        <x:v>C08-SYN-EQ-03</x:v>
      </x:c>
      <x:c r="D162" s="38" t="str">
        <x:v>C08</x:v>
      </x:c>
      <x:c r="E162" s="38" t="str">
        <x:v>CUR-YUANBAO</x:v>
      </x:c>
      <x:c r="F162" s="38" t="str">
        <x:v>元宝</x:v>
      </x:c>
      <x:c r="G162" s="38" t="str"/>
      <x:c r="H162" s="38" t="str">
        <x:v>金币/元宝/灵符</x:v>
      </x:c>
      <x:c r="I162" s="38" t="str">
        <x:v>货币</x:v>
      </x:c>
      <x:c r="J162" s="38" t="str">
        <x:v>金币＋元宝</x:v>
      </x:c>
      <x:c r="K162" s="38" t="str">
        <x:v>元宝</x:v>
      </x:c>
      <x:c r="L162" s="38" t="str">
        <x:v>待经济反算</x:v>
      </x:c>
      <x:c r="M162" s="38" t="str">
        <x:v>待经济反算</x:v>
      </x:c>
      <x:c r="N162" s="38" t="str">
        <x:v>是</x:v>
      </x:c>
      <x:c r="O162" s="38" t="str">
        <x:v>否</x:v>
      </x:c>
      <x:c r="P162" s="38" t="str">
        <x:v>否</x:v>
      </x:c>
      <x:c r="Q162" s="38" t="str">
        <x:v>是</x:v>
      </x:c>
      <x:c r="R162" s="38" t="str">
        <x:v>是</x:v>
      </x:c>
      <x:c r="S162" s="38" t="str">
        <x:v>不进入玩家摆摊；通过交易物间接流通</x:v>
      </x:c>
      <x:c r="T162" s="38" t="str">
        <x:v>货币本身不可回收</x:v>
      </x:c>
      <x:c r="U162" s="38" t="str">
        <x:v>沿用现行货币账户</x:v>
      </x:c>
      <x:c r="V162" s="38" t="str">
        <x:v>结构已确认；数量待经济反算</x:v>
      </x:c>
      <x:c r="W162" s="39" t="str"/>
    </x:row>
    <x:row r="163" ht="42" customHeight="1">
      <x:c r="A163" s="37" t="str">
        <x:v>CON-C09-SYN-EQ-01-0159</x:v>
      </x:c>
      <x:c r="B163" s="38" t="str">
        <x:v>配方输入</x:v>
      </x:c>
      <x:c r="C163" s="38" t="str">
        <x:v>C09-SYN-EQ-01</x:v>
      </x:c>
      <x:c r="D163" s="38" t="str">
        <x:v>C09</x:v>
      </x:c>
      <x:c r="E163" s="38" t="str">
        <x:v>ITEM-565190B1477D</x:v>
      </x:c>
      <x:c r="F163" s="38" t="str">
        <x:v>罗梵迪壁垒长戟</x:v>
      </x:c>
      <x:c r="G163" s="38" t="str"/>
      <x:c r="H163" s="38" t="str">
        <x:v>基础件/前置</x:v>
      </x:c>
      <x:c r="I163" s="38" t="str">
        <x:v>基础件/前置</x:v>
      </x:c>
      <x:c r="J163" s="38" t="str">
        <x:v>罗梵迪壁垒长戟＋阿尔维萨蚀日王刃</x:v>
      </x:c>
      <x:c r="K163" s="38" t="str">
        <x:v>罗梵迪壁垒长戟</x:v>
      </x:c>
      <x:c r="L163" s="38" t="str">
        <x:v>待经济反算</x:v>
      </x:c>
      <x:c r="M163" s="38" t="str">
        <x:v>待经济反算</x:v>
      </x:c>
      <x:c r="N163" s="38" t="str">
        <x:v>是</x:v>
      </x:c>
      <x:c r="O163" s="38" t="str">
        <x:v>否</x:v>
      </x:c>
      <x:c r="P163" s="38" t="str">
        <x:v>否</x:v>
      </x:c>
      <x:c r="Q163" s="38" t="str">
        <x:v>是</x:v>
      </x:c>
      <x:c r="R163" s="38" t="str">
        <x:v>是</x:v>
      </x:c>
      <x:c r="S163" s="38" t="str">
        <x:v>可交易（沿用原物品规则）</x:v>
      </x:c>
      <x:c r="T163" s="38" t="str">
        <x:v>沿用原物品；若为合成成品则禁止回收</x:v>
      </x:c>
      <x:c r="U163" s="38" t="str">
        <x:v>沿用配方交易/绑定列</x:v>
      </x:c>
      <x:c r="V163" s="38" t="str">
        <x:v>结构已确认；数量待经济反算</x:v>
      </x:c>
      <x:c r="W163" s="39" t="str"/>
    </x:row>
    <x:row r="164" ht="42" customHeight="1">
      <x:c r="A164" s="37" t="str">
        <x:v>CON-C09-SYN-EQ-01-0160</x:v>
      </x:c>
      <x:c r="B164" s="38" t="str">
        <x:v>配方输入</x:v>
      </x:c>
      <x:c r="C164" s="38" t="str">
        <x:v>C09-SYN-EQ-01</x:v>
      </x:c>
      <x:c r="D164" s="38" t="str">
        <x:v>C09</x:v>
      </x:c>
      <x:c r="E164" s="38" t="str">
        <x:v>ITEM-E5BFA4694EFB</x:v>
      </x:c>
      <x:c r="F164" s="38" t="str">
        <x:v>阿尔维萨蚀日王刃</x:v>
      </x:c>
      <x:c r="G164" s="38" t="str"/>
      <x:c r="H164" s="38" t="str">
        <x:v>基础件/前置</x:v>
      </x:c>
      <x:c r="I164" s="38" t="str">
        <x:v>基础件/前置</x:v>
      </x:c>
      <x:c r="J164" s="38" t="str">
        <x:v>罗梵迪壁垒长戟＋阿尔维萨蚀日王刃</x:v>
      </x:c>
      <x:c r="K164" s="38" t="str">
        <x:v>阿尔维萨蚀日王刃</x:v>
      </x:c>
      <x:c r="L164" s="38" t="str">
        <x:v>待经济反算</x:v>
      </x:c>
      <x:c r="M164" s="38" t="str">
        <x:v>待经济反算</x:v>
      </x:c>
      <x:c r="N164" s="38" t="str">
        <x:v>是</x:v>
      </x:c>
      <x:c r="O164" s="38" t="str">
        <x:v>否</x:v>
      </x:c>
      <x:c r="P164" s="38" t="str">
        <x:v>否</x:v>
      </x:c>
      <x:c r="Q164" s="38" t="str">
        <x:v>是</x:v>
      </x:c>
      <x:c r="R164" s="38" t="str">
        <x:v>是</x:v>
      </x:c>
      <x:c r="S164" s="38" t="str">
        <x:v>可交易（沿用原物品规则）</x:v>
      </x:c>
      <x:c r="T164" s="38" t="str">
        <x:v>沿用原物品；若为合成成品则禁止回收</x:v>
      </x:c>
      <x:c r="U164" s="38" t="str">
        <x:v>沿用配方交易/绑定列</x:v>
      </x:c>
      <x:c r="V164" s="38" t="str">
        <x:v>结构已确认；数量待经济反算</x:v>
      </x:c>
      <x:c r="W164" s="39" t="str"/>
    </x:row>
    <x:row r="165" ht="42" customHeight="1">
      <x:c r="A165" s="37" t="str">
        <x:v>CON-C09-SYN-EQ-01-0161</x:v>
      </x:c>
      <x:c r="B165" s="38" t="str">
        <x:v>配方输入</x:v>
      </x:c>
      <x:c r="C165" s="38" t="str">
        <x:v>C09-SYN-EQ-01</x:v>
      </x:c>
      <x:c r="D165" s="38" t="str">
        <x:v>C09</x:v>
      </x:c>
      <x:c r="E165" s="38" t="str">
        <x:v>EL-MAT-C09-COM</x:v>
      </x:c>
      <x:c r="F165" s="38" t="str">
        <x:v>黄金叶脉</x:v>
      </x:c>
      <x:c r="G165" s="38" t="str"/>
      <x:c r="H165" s="38" t="str">
        <x:v>高产通用材料</x:v>
      </x:c>
      <x:c r="I165" s="38" t="str">
        <x:v>高产通用材料</x:v>
      </x:c>
      <x:c r="J165" s="38" t="str">
        <x:v>黄金叶脉</x:v>
      </x:c>
      <x:c r="K165" s="38" t="str">
        <x:v>黄金叶脉</x:v>
      </x:c>
      <x:c r="L165" s="38" t="str">
        <x:v>待经济反算</x:v>
      </x:c>
      <x:c r="M165" s="38" t="str">
        <x:v>待经济反算</x:v>
      </x:c>
      <x:c r="N165" s="38" t="str">
        <x:v>是</x:v>
      </x:c>
      <x:c r="O165" s="38" t="str">
        <x:v>否</x:v>
      </x:c>
      <x:c r="P165" s="38" t="str">
        <x:v>否</x:v>
      </x:c>
      <x:c r="Q165" s="38" t="str">
        <x:v>是</x:v>
      </x:c>
      <x:c r="R165" s="38" t="str">
        <x:v>是</x:v>
      </x:c>
      <x:c r="S165" s="38" t="str">
        <x:v>可交易</x:v>
      </x:c>
      <x:c r="T165" s="38" t="str">
        <x:v>R9档金币／元宝主回收口</x:v>
      </x:c>
      <x:c r="U165" s="38" t="str">
        <x:v>产出实物默认不绑定，按现行材料脚本</x:v>
      </x:c>
      <x:c r="V165" s="38" t="str">
        <x:v>结构已确认；数量待经济反算</x:v>
      </x:c>
      <x:c r="W165" s="39" t="str"/>
    </x:row>
    <x:row r="166" ht="42" customHeight="1">
      <x:c r="A166" s="37" t="str">
        <x:v>CON-C09-SYN-EQ-01-0162</x:v>
      </x:c>
      <x:c r="B166" s="38" t="str">
        <x:v>配方输入</x:v>
      </x:c>
      <x:c r="C166" s="38" t="str">
        <x:v>C09-SYN-EQ-01</x:v>
      </x:c>
      <x:c r="D166" s="38" t="str">
        <x:v>C09</x:v>
      </x:c>
      <x:c r="E166" s="38" t="str">
        <x:v>EL-MAT-C09-Q03</x:v>
      </x:c>
      <x:c r="F166" s="38" t="str">
        <x:v>裁文蜡封</x:v>
      </x:c>
      <x:c r="G166" s="38" t="str"/>
      <x:c r="H166" s="38" t="str">
        <x:v>稀有/证物材料</x:v>
      </x:c>
      <x:c r="I166" s="38" t="str">
        <x:v>稀有/证物材料</x:v>
      </x:c>
      <x:c r="J166" s="38" t="str">
        <x:v>裁文蜡封＋黄金律印</x:v>
      </x:c>
      <x:c r="K166" s="38" t="str">
        <x:v>裁文蜡封</x:v>
      </x:c>
      <x:c r="L166" s="38" t="str">
        <x:v>待经济反算</x:v>
      </x:c>
      <x:c r="M166" s="38" t="str">
        <x:v>待经济反算</x:v>
      </x:c>
      <x:c r="N166" s="38" t="str">
        <x:v>是</x:v>
      </x:c>
      <x:c r="O166" s="38" t="str">
        <x:v>否</x:v>
      </x:c>
      <x:c r="P166" s="38" t="str">
        <x:v>否</x:v>
      </x:c>
      <x:c r="Q166" s="38" t="str">
        <x:v>是</x:v>
      </x:c>
      <x:c r="R166" s="38" t="str">
        <x:v>是</x:v>
      </x:c>
      <x:c r="S166" s="38" t="str">
        <x:v>可交易</x:v>
      </x:c>
      <x:c r="T166" s="38" t="str">
        <x:v>不作为自动回收主材</x:v>
      </x:c>
      <x:c r="U166" s="38" t="str">
        <x:v>产出实物默认不绑定，按现行材料脚本</x:v>
      </x:c>
      <x:c r="V166" s="38" t="str">
        <x:v>结构已确认；数量待经济反算</x:v>
      </x:c>
      <x:c r="W166" s="39" t="str"/>
    </x:row>
    <x:row r="167" ht="42" customHeight="1">
      <x:c r="A167" s="37" t="str">
        <x:v>CON-C09-SYN-EQ-01-0163</x:v>
      </x:c>
      <x:c r="B167" s="38" t="str">
        <x:v>配方输入</x:v>
      </x:c>
      <x:c r="C167" s="38" t="str">
        <x:v>C09-SYN-EQ-01</x:v>
      </x:c>
      <x:c r="D167" s="38" t="str">
        <x:v>C09</x:v>
      </x:c>
      <x:c r="E167" s="38" t="str">
        <x:v>EL-MAT-C09-MARK</x:v>
      </x:c>
      <x:c r="F167" s="38" t="str">
        <x:v>黄金律印</x:v>
      </x:c>
      <x:c r="G167" s="38" t="str"/>
      <x:c r="H167" s="38" t="str">
        <x:v>稀有/证物材料</x:v>
      </x:c>
      <x:c r="I167" s="38" t="str">
        <x:v>稀有/证物材料</x:v>
      </x:c>
      <x:c r="J167" s="38" t="str">
        <x:v>裁文蜡封＋黄金律印</x:v>
      </x:c>
      <x:c r="K167" s="38" t="str">
        <x:v>黄金律印</x:v>
      </x:c>
      <x:c r="L167" s="38" t="str">
        <x:v>待经济反算</x:v>
      </x:c>
      <x:c r="M167" s="38" t="str">
        <x:v>待经济反算</x:v>
      </x:c>
      <x:c r="N167" s="38" t="str">
        <x:v>是</x:v>
      </x:c>
      <x:c r="O167" s="38" t="str">
        <x:v>否</x:v>
      </x:c>
      <x:c r="P167" s="38" t="str">
        <x:v>否</x:v>
      </x:c>
      <x:c r="Q167" s="38" t="str">
        <x:v>是</x:v>
      </x:c>
      <x:c r="R167" s="38" t="str">
        <x:v>是</x:v>
      </x:c>
      <x:c r="S167" s="38" t="str">
        <x:v>可交易</x:v>
      </x:c>
      <x:c r="T167" s="38" t="str">
        <x:v>不作为自动回收主材</x:v>
      </x:c>
      <x:c r="U167" s="38" t="str">
        <x:v>产出实物默认不绑定，按现行材料脚本</x:v>
      </x:c>
      <x:c r="V167" s="38" t="str">
        <x:v>结构已确认；数量待经济反算</x:v>
      </x:c>
      <x:c r="W167" s="39" t="str"/>
    </x:row>
    <x:row r="168" ht="42" customHeight="1">
      <x:c r="A168" s="37" t="str">
        <x:v>CON-C09-SYN-EQ-01-0164</x:v>
      </x:c>
      <x:c r="B168" s="38" t="str">
        <x:v>配方输入</x:v>
      </x:c>
      <x:c r="C168" s="38" t="str">
        <x:v>C09-SYN-EQ-01</x:v>
      </x:c>
      <x:c r="D168" s="38" t="str">
        <x:v>C09</x:v>
      </x:c>
      <x:c r="E168" s="38" t="str">
        <x:v>EL-MAT-GLOBAL-SOMBER</x:v>
      </x:c>
      <x:c r="F168" s="38" t="str">
        <x:v>失色锻造石</x:v>
      </x:c>
      <x:c r="G168" s="38" t="str"/>
      <x:c r="H168" s="38" t="str">
        <x:v>全局材料</x:v>
      </x:c>
      <x:c r="I168" s="38" t="str">
        <x:v>全局材料</x:v>
      </x:c>
      <x:c r="J168" s="38" t="str">
        <x:v>失色锻造石</x:v>
      </x:c>
      <x:c r="K168" s="38" t="str">
        <x:v>失色锻造石</x:v>
      </x:c>
      <x:c r="L168" s="38" t="str">
        <x:v>待经济反算</x:v>
      </x:c>
      <x:c r="M168" s="38" t="str">
        <x:v>待经济反算</x:v>
      </x:c>
      <x:c r="N168" s="38" t="str">
        <x:v>是</x:v>
      </x:c>
      <x:c r="O168" s="38" t="str">
        <x:v>否</x:v>
      </x:c>
      <x:c r="P168" s="38" t="str">
        <x:v>否</x:v>
      </x:c>
      <x:c r="Q168" s="38" t="str">
        <x:v>是</x:v>
      </x:c>
      <x:c r="R168" s="38" t="str">
        <x:v>是</x:v>
      </x:c>
      <x:c r="S168" s="38" t="str">
        <x:v>可交易</x:v>
      </x:c>
      <x:c r="T168" s="38" t="str">
        <x:v>不作为自动回收主材</x:v>
      </x:c>
      <x:c r="U168" s="38" t="str">
        <x:v>产出实物默认不绑定，按现行材料脚本</x:v>
      </x:c>
      <x:c r="V168" s="38" t="str">
        <x:v>结构已确认；数量待经济反算</x:v>
      </x:c>
      <x:c r="W168" s="39" t="str"/>
    </x:row>
    <x:row r="169" ht="42" customHeight="1">
      <x:c r="A169" s="37" t="str">
        <x:v>CON-C09-SYN-EQ-01-0165</x:v>
      </x:c>
      <x:c r="B169" s="38" t="str">
        <x:v>配方输入</x:v>
      </x:c>
      <x:c r="C169" s="38" t="str">
        <x:v>C09-SYN-EQ-01</x:v>
      </x:c>
      <x:c r="D169" s="38" t="str">
        <x:v>C09</x:v>
      </x:c>
      <x:c r="E169" s="38" t="str">
        <x:v>CUR-YUANBAO</x:v>
      </x:c>
      <x:c r="F169" s="38" t="str">
        <x:v>元宝</x:v>
      </x:c>
      <x:c r="G169" s="38" t="str"/>
      <x:c r="H169" s="38" t="str">
        <x:v>金币/元宝/灵符</x:v>
      </x:c>
      <x:c r="I169" s="38" t="str">
        <x:v>货币</x:v>
      </x:c>
      <x:c r="J169" s="38" t="str">
        <x:v>元宝</x:v>
      </x:c>
      <x:c r="K169" s="38" t="str">
        <x:v>元宝</x:v>
      </x:c>
      <x:c r="L169" s="38" t="str">
        <x:v>待经济反算</x:v>
      </x:c>
      <x:c r="M169" s="38" t="str">
        <x:v>待经济反算</x:v>
      </x:c>
      <x:c r="N169" s="38" t="str">
        <x:v>是</x:v>
      </x:c>
      <x:c r="O169" s="38" t="str">
        <x:v>否</x:v>
      </x:c>
      <x:c r="P169" s="38" t="str">
        <x:v>否</x:v>
      </x:c>
      <x:c r="Q169" s="38" t="str">
        <x:v>是</x:v>
      </x:c>
      <x:c r="R169" s="38" t="str">
        <x:v>是</x:v>
      </x:c>
      <x:c r="S169" s="38" t="str">
        <x:v>不进入玩家摆摊；通过交易物间接流通</x:v>
      </x:c>
      <x:c r="T169" s="38" t="str">
        <x:v>货币本身不可回收</x:v>
      </x:c>
      <x:c r="U169" s="38" t="str">
        <x:v>沿用现行货币账户</x:v>
      </x:c>
      <x:c r="V169" s="38" t="str">
        <x:v>结构已确认；数量待经济反算</x:v>
      </x:c>
      <x:c r="W169" s="39" t="str"/>
    </x:row>
    <x:row r="170" ht="42" customHeight="1">
      <x:c r="A170" s="37" t="str">
        <x:v>CON-C09-SYN-EQ-02-0166</x:v>
      </x:c>
      <x:c r="B170" s="38" t="str">
        <x:v>配方输入</x:v>
      </x:c>
      <x:c r="C170" s="38" t="str">
        <x:v>C09-SYN-EQ-02</x:v>
      </x:c>
      <x:c r="D170" s="38" t="str">
        <x:v>C09</x:v>
      </x:c>
      <x:c r="E170" s="38" t="str">
        <x:v>ITEM-77D0106647D4</x:v>
      </x:c>
      <x:c r="F170" s="38" t="str">
        <x:v>艾德莉雅鎏辉圣衣</x:v>
      </x:c>
      <x:c r="G170" s="38" t="str"/>
      <x:c r="H170" s="38" t="str">
        <x:v>基础件/前置</x:v>
      </x:c>
      <x:c r="I170" s="38" t="str">
        <x:v>基础件/前置</x:v>
      </x:c>
      <x:c r="J170" s="38" t="str">
        <x:v>艾德莉雅鎏辉圣衣＋赫桑达执宪战衣</x:v>
      </x:c>
      <x:c r="K170" s="38" t="str">
        <x:v>艾德莉雅鎏辉圣衣</x:v>
      </x:c>
      <x:c r="L170" s="38" t="str">
        <x:v>待经济反算</x:v>
      </x:c>
      <x:c r="M170" s="38" t="str">
        <x:v>待经济反算</x:v>
      </x:c>
      <x:c r="N170" s="38" t="str">
        <x:v>是</x:v>
      </x:c>
      <x:c r="O170" s="38" t="str">
        <x:v>否</x:v>
      </x:c>
      <x:c r="P170" s="38" t="str">
        <x:v>否</x:v>
      </x:c>
      <x:c r="Q170" s="38" t="str">
        <x:v>是</x:v>
      </x:c>
      <x:c r="R170" s="38" t="str">
        <x:v>是</x:v>
      </x:c>
      <x:c r="S170" s="38" t="str">
        <x:v>可交易（沿用原物品规则）</x:v>
      </x:c>
      <x:c r="T170" s="38" t="str">
        <x:v>沿用原物品；若为合成成品则禁止回收</x:v>
      </x:c>
      <x:c r="U170" s="38" t="str">
        <x:v>沿用配方交易/绑定列</x:v>
      </x:c>
      <x:c r="V170" s="38" t="str">
        <x:v>结构已确认；数量待经济反算</x:v>
      </x:c>
      <x:c r="W170" s="39" t="str"/>
    </x:row>
    <x:row r="171" ht="42" customHeight="1">
      <x:c r="A171" s="37" t="str">
        <x:v>CON-C09-SYN-EQ-02-0167</x:v>
      </x:c>
      <x:c r="B171" s="38" t="str">
        <x:v>配方输入</x:v>
      </x:c>
      <x:c r="C171" s="38" t="str">
        <x:v>C09-SYN-EQ-02</x:v>
      </x:c>
      <x:c r="D171" s="38" t="str">
        <x:v>C09</x:v>
      </x:c>
      <x:c r="E171" s="38" t="str">
        <x:v>ITEM-CB3579E9EEDD</x:v>
      </x:c>
      <x:c r="F171" s="38" t="str">
        <x:v>赫桑达执宪战衣</x:v>
      </x:c>
      <x:c r="G171" s="38" t="str"/>
      <x:c r="H171" s="38" t="str">
        <x:v>基础件/前置</x:v>
      </x:c>
      <x:c r="I171" s="38" t="str">
        <x:v>基础件/前置</x:v>
      </x:c>
      <x:c r="J171" s="38" t="str">
        <x:v>艾德莉雅鎏辉圣衣＋赫桑达执宪战衣</x:v>
      </x:c>
      <x:c r="K171" s="38" t="str">
        <x:v>赫桑达执宪战衣</x:v>
      </x:c>
      <x:c r="L171" s="38" t="str">
        <x:v>待经济反算</x:v>
      </x:c>
      <x:c r="M171" s="38" t="str">
        <x:v>待经济反算</x:v>
      </x:c>
      <x:c r="N171" s="38" t="str">
        <x:v>是</x:v>
      </x:c>
      <x:c r="O171" s="38" t="str">
        <x:v>否</x:v>
      </x:c>
      <x:c r="P171" s="38" t="str">
        <x:v>否</x:v>
      </x:c>
      <x:c r="Q171" s="38" t="str">
        <x:v>是</x:v>
      </x:c>
      <x:c r="R171" s="38" t="str">
        <x:v>是</x:v>
      </x:c>
      <x:c r="S171" s="38" t="str">
        <x:v>可交易（沿用原物品规则）</x:v>
      </x:c>
      <x:c r="T171" s="38" t="str">
        <x:v>沿用原物品；若为合成成品则禁止回收</x:v>
      </x:c>
      <x:c r="U171" s="38" t="str">
        <x:v>沿用配方交易/绑定列</x:v>
      </x:c>
      <x:c r="V171" s="38" t="str">
        <x:v>结构已确认；数量待经济反算</x:v>
      </x:c>
      <x:c r="W171" s="39" t="str"/>
    </x:row>
    <x:row r="172" ht="42" customHeight="1">
      <x:c r="A172" s="37" t="str">
        <x:v>CON-C09-SYN-EQ-02-0168</x:v>
      </x:c>
      <x:c r="B172" s="38" t="str">
        <x:v>配方输入</x:v>
      </x:c>
      <x:c r="C172" s="38" t="str">
        <x:v>C09-SYN-EQ-02</x:v>
      </x:c>
      <x:c r="D172" s="38" t="str">
        <x:v>C09</x:v>
      </x:c>
      <x:c r="E172" s="38" t="str">
        <x:v>EL-MAT-C09-COM</x:v>
      </x:c>
      <x:c r="F172" s="38" t="str">
        <x:v>黄金叶脉</x:v>
      </x:c>
      <x:c r="G172" s="38" t="str"/>
      <x:c r="H172" s="38" t="str">
        <x:v>高产通用材料</x:v>
      </x:c>
      <x:c r="I172" s="38" t="str">
        <x:v>高产通用材料</x:v>
      </x:c>
      <x:c r="J172" s="38" t="str">
        <x:v>黄金叶脉</x:v>
      </x:c>
      <x:c r="K172" s="38" t="str">
        <x:v>黄金叶脉</x:v>
      </x:c>
      <x:c r="L172" s="38" t="str">
        <x:v>待经济反算</x:v>
      </x:c>
      <x:c r="M172" s="38" t="str">
        <x:v>待经济反算</x:v>
      </x:c>
      <x:c r="N172" s="38" t="str">
        <x:v>是</x:v>
      </x:c>
      <x:c r="O172" s="38" t="str">
        <x:v>否</x:v>
      </x:c>
      <x:c r="P172" s="38" t="str">
        <x:v>否</x:v>
      </x:c>
      <x:c r="Q172" s="38" t="str">
        <x:v>是</x:v>
      </x:c>
      <x:c r="R172" s="38" t="str">
        <x:v>是</x:v>
      </x:c>
      <x:c r="S172" s="38" t="str">
        <x:v>可交易</x:v>
      </x:c>
      <x:c r="T172" s="38" t="str">
        <x:v>R9档金币／元宝主回收口</x:v>
      </x:c>
      <x:c r="U172" s="38" t="str">
        <x:v>产出实物默认不绑定，按现行材料脚本</x:v>
      </x:c>
      <x:c r="V172" s="38" t="str">
        <x:v>结构已确认；数量待经济反算</x:v>
      </x:c>
      <x:c r="W172" s="39" t="str"/>
    </x:row>
    <x:row r="173" ht="42" customHeight="1">
      <x:c r="A173" s="37" t="str">
        <x:v>CON-C09-SYN-EQ-02-0169</x:v>
      </x:c>
      <x:c r="B173" s="38" t="str">
        <x:v>配方输入</x:v>
      </x:c>
      <x:c r="C173" s="38" t="str">
        <x:v>C09-SYN-EQ-02</x:v>
      </x:c>
      <x:c r="D173" s="38" t="str">
        <x:v>C09</x:v>
      </x:c>
      <x:c r="E173" s="38" t="str">
        <x:v>EL-MAT-C09-Q04</x:v>
      </x:c>
      <x:c r="F173" s="38" t="str">
        <x:v>高原王诏金版</x:v>
      </x:c>
      <x:c r="G173" s="38" t="str"/>
      <x:c r="H173" s="38" t="str">
        <x:v>稀有/证物材料</x:v>
      </x:c>
      <x:c r="I173" s="38" t="str">
        <x:v>稀有/证物材料</x:v>
      </x:c>
      <x:c r="J173" s="38" t="str">
        <x:v>高原王诏金版＋黄金律印</x:v>
      </x:c>
      <x:c r="K173" s="38" t="str">
        <x:v>高原王诏金版</x:v>
      </x:c>
      <x:c r="L173" s="38" t="str">
        <x:v>待经济反算</x:v>
      </x:c>
      <x:c r="M173" s="38" t="str">
        <x:v>待经济反算</x:v>
      </x:c>
      <x:c r="N173" s="38" t="str">
        <x:v>是</x:v>
      </x:c>
      <x:c r="O173" s="38" t="str">
        <x:v>否</x:v>
      </x:c>
      <x:c r="P173" s="38" t="str">
        <x:v>否</x:v>
      </x:c>
      <x:c r="Q173" s="38" t="str">
        <x:v>是</x:v>
      </x:c>
      <x:c r="R173" s="38" t="str">
        <x:v>是</x:v>
      </x:c>
      <x:c r="S173" s="38" t="str">
        <x:v>可交易</x:v>
      </x:c>
      <x:c r="T173" s="38" t="str">
        <x:v>不作为自动回收主材</x:v>
      </x:c>
      <x:c r="U173" s="38" t="str">
        <x:v>产出实物默认不绑定，按现行材料脚本</x:v>
      </x:c>
      <x:c r="V173" s="38" t="str">
        <x:v>结构已确认；数量待经济反算</x:v>
      </x:c>
      <x:c r="W173" s="39" t="str"/>
    </x:row>
    <x:row r="174" ht="42" customHeight="1">
      <x:c r="A174" s="37" t="str">
        <x:v>CON-C09-SYN-EQ-02-0170</x:v>
      </x:c>
      <x:c r="B174" s="38" t="str">
        <x:v>配方输入</x:v>
      </x:c>
      <x:c r="C174" s="38" t="str">
        <x:v>C09-SYN-EQ-02</x:v>
      </x:c>
      <x:c r="D174" s="38" t="str">
        <x:v>C09</x:v>
      </x:c>
      <x:c r="E174" s="38" t="str">
        <x:v>EL-MAT-C09-MARK</x:v>
      </x:c>
      <x:c r="F174" s="38" t="str">
        <x:v>黄金律印</x:v>
      </x:c>
      <x:c r="G174" s="38" t="str"/>
      <x:c r="H174" s="38" t="str">
        <x:v>稀有/证物材料</x:v>
      </x:c>
      <x:c r="I174" s="38" t="str">
        <x:v>稀有/证物材料</x:v>
      </x:c>
      <x:c r="J174" s="38" t="str">
        <x:v>高原王诏金版＋黄金律印</x:v>
      </x:c>
      <x:c r="K174" s="38" t="str">
        <x:v>黄金律印</x:v>
      </x:c>
      <x:c r="L174" s="38" t="str">
        <x:v>待经济反算</x:v>
      </x:c>
      <x:c r="M174" s="38" t="str">
        <x:v>待经济反算</x:v>
      </x:c>
      <x:c r="N174" s="38" t="str">
        <x:v>是</x:v>
      </x:c>
      <x:c r="O174" s="38" t="str">
        <x:v>否</x:v>
      </x:c>
      <x:c r="P174" s="38" t="str">
        <x:v>否</x:v>
      </x:c>
      <x:c r="Q174" s="38" t="str">
        <x:v>是</x:v>
      </x:c>
      <x:c r="R174" s="38" t="str">
        <x:v>是</x:v>
      </x:c>
      <x:c r="S174" s="38" t="str">
        <x:v>可交易</x:v>
      </x:c>
      <x:c r="T174" s="38" t="str">
        <x:v>不作为自动回收主材</x:v>
      </x:c>
      <x:c r="U174" s="38" t="str">
        <x:v>产出实物默认不绑定，按现行材料脚本</x:v>
      </x:c>
      <x:c r="V174" s="38" t="str">
        <x:v>结构已确认；数量待经济反算</x:v>
      </x:c>
      <x:c r="W174" s="39" t="str"/>
    </x:row>
    <x:row r="175" ht="42" customHeight="1">
      <x:c r="A175" s="37" t="str">
        <x:v>CON-C09-SYN-EQ-02-0171</x:v>
      </x:c>
      <x:c r="B175" s="38" t="str">
        <x:v>配方输入</x:v>
      </x:c>
      <x:c r="C175" s="38" t="str">
        <x:v>C09-SYN-EQ-02</x:v>
      </x:c>
      <x:c r="D175" s="38" t="str">
        <x:v>C09</x:v>
      </x:c>
      <x:c r="E175" s="38" t="str">
        <x:v>EL-MAT-GLOBAL-SOMBER</x:v>
      </x:c>
      <x:c r="F175" s="38" t="str">
        <x:v>失色锻造石</x:v>
      </x:c>
      <x:c r="G175" s="38" t="str"/>
      <x:c r="H175" s="38" t="str">
        <x:v>全局材料</x:v>
      </x:c>
      <x:c r="I175" s="38" t="str">
        <x:v>全局材料</x:v>
      </x:c>
      <x:c r="J175" s="38" t="str">
        <x:v>失色锻造石</x:v>
      </x:c>
      <x:c r="K175" s="38" t="str">
        <x:v>失色锻造石</x:v>
      </x:c>
      <x:c r="L175" s="38" t="str">
        <x:v>待经济反算</x:v>
      </x:c>
      <x:c r="M175" s="38" t="str">
        <x:v>待经济反算</x:v>
      </x:c>
      <x:c r="N175" s="38" t="str">
        <x:v>是</x:v>
      </x:c>
      <x:c r="O175" s="38" t="str">
        <x:v>否</x:v>
      </x:c>
      <x:c r="P175" s="38" t="str">
        <x:v>否</x:v>
      </x:c>
      <x:c r="Q175" s="38" t="str">
        <x:v>是</x:v>
      </x:c>
      <x:c r="R175" s="38" t="str">
        <x:v>是</x:v>
      </x:c>
      <x:c r="S175" s="38" t="str">
        <x:v>可交易</x:v>
      </x:c>
      <x:c r="T175" s="38" t="str">
        <x:v>不作为自动回收主材</x:v>
      </x:c>
      <x:c r="U175" s="38" t="str">
        <x:v>产出实物默认不绑定，按现行材料脚本</x:v>
      </x:c>
      <x:c r="V175" s="38" t="str">
        <x:v>结构已确认；数量待经济反算</x:v>
      </x:c>
      <x:c r="W175" s="39" t="str"/>
    </x:row>
    <x:row r="176" ht="42" customHeight="1">
      <x:c r="A176" s="37" t="str">
        <x:v>CON-C09-SYN-EQ-02-0172</x:v>
      </x:c>
      <x:c r="B176" s="38" t="str">
        <x:v>配方输入</x:v>
      </x:c>
      <x:c r="C176" s="38" t="str">
        <x:v>C09-SYN-EQ-02</x:v>
      </x:c>
      <x:c r="D176" s="38" t="str">
        <x:v>C09</x:v>
      </x:c>
      <x:c r="E176" s="38" t="str">
        <x:v>CUR-YUANBAO</x:v>
      </x:c>
      <x:c r="F176" s="38" t="str">
        <x:v>元宝</x:v>
      </x:c>
      <x:c r="G176" s="38" t="str"/>
      <x:c r="H176" s="38" t="str">
        <x:v>金币/元宝/灵符</x:v>
      </x:c>
      <x:c r="I176" s="38" t="str">
        <x:v>货币</x:v>
      </x:c>
      <x:c r="J176" s="38" t="str">
        <x:v>元宝</x:v>
      </x:c>
      <x:c r="K176" s="38" t="str">
        <x:v>元宝</x:v>
      </x:c>
      <x:c r="L176" s="38" t="str">
        <x:v>待经济反算</x:v>
      </x:c>
      <x:c r="M176" s="38" t="str">
        <x:v>待经济反算</x:v>
      </x:c>
      <x:c r="N176" s="38" t="str">
        <x:v>是</x:v>
      </x:c>
      <x:c r="O176" s="38" t="str">
        <x:v>否</x:v>
      </x:c>
      <x:c r="P176" s="38" t="str">
        <x:v>否</x:v>
      </x:c>
      <x:c r="Q176" s="38" t="str">
        <x:v>是</x:v>
      </x:c>
      <x:c r="R176" s="38" t="str">
        <x:v>是</x:v>
      </x:c>
      <x:c r="S176" s="38" t="str">
        <x:v>不进入玩家摆摊；通过交易物间接流通</x:v>
      </x:c>
      <x:c r="T176" s="38" t="str">
        <x:v>货币本身不可回收</x:v>
      </x:c>
      <x:c r="U176" s="38" t="str">
        <x:v>沿用现行货币账户</x:v>
      </x:c>
      <x:c r="V176" s="38" t="str">
        <x:v>结构已确认；数量待经济反算</x:v>
      </x:c>
      <x:c r="W176" s="39" t="str"/>
    </x:row>
    <x:row r="177" ht="42" customHeight="1">
      <x:c r="A177" s="37" t="str">
        <x:v>CON-C10-SYN-EQ-01-0173</x:v>
      </x:c>
      <x:c r="B177" s="38" t="str">
        <x:v>配方输入</x:v>
      </x:c>
      <x:c r="C177" s="38" t="str">
        <x:v>C10-SYN-EQ-01</x:v>
      </x:c>
      <x:c r="D177" s="38" t="str">
        <x:v>C10</x:v>
      </x:c>
      <x:c r="E177" s="38" t="str">
        <x:v>ITEM-8237608C89AB</x:v>
      </x:c>
      <x:c r="F177" s="38" t="str">
        <x:v>千锁断流铡</x:v>
      </x:c>
      <x:c r="G177" s="38" t="str"/>
      <x:c r="H177" s="38" t="str">
        <x:v>基础件/前置</x:v>
      </x:c>
      <x:c r="I177" s="38" t="str">
        <x:v>基础件/前置</x:v>
      </x:c>
      <x:c r="J177" s="38" t="str">
        <x:v>千锁断流铡＋万冠终律圣刃</x:v>
      </x:c>
      <x:c r="K177" s="38" t="str">
        <x:v>千锁断流铡</x:v>
      </x:c>
      <x:c r="L177" s="38" t="str">
        <x:v>待经济反算</x:v>
      </x:c>
      <x:c r="M177" s="38" t="str">
        <x:v>待经济反算</x:v>
      </x:c>
      <x:c r="N177" s="38" t="str">
        <x:v>是</x:v>
      </x:c>
      <x:c r="O177" s="38" t="str">
        <x:v>否</x:v>
      </x:c>
      <x:c r="P177" s="38" t="str">
        <x:v>否</x:v>
      </x:c>
      <x:c r="Q177" s="38" t="str">
        <x:v>是</x:v>
      </x:c>
      <x:c r="R177" s="38" t="str">
        <x:v>是</x:v>
      </x:c>
      <x:c r="S177" s="38" t="str">
        <x:v>可交易（沿用原物品规则）</x:v>
      </x:c>
      <x:c r="T177" s="38" t="str">
        <x:v>沿用原物品；若为合成成品则禁止回收</x:v>
      </x:c>
      <x:c r="U177" s="38" t="str">
        <x:v>沿用配方交易/绑定列</x:v>
      </x:c>
      <x:c r="V177" s="38" t="str">
        <x:v>结构已确认；数量待经济反算</x:v>
      </x:c>
      <x:c r="W177" s="39" t="str"/>
    </x:row>
    <x:row r="178" ht="42" customHeight="1">
      <x:c r="A178" s="37" t="str">
        <x:v>CON-C10-SYN-EQ-01-0174</x:v>
      </x:c>
      <x:c r="B178" s="38" t="str">
        <x:v>配方输入</x:v>
      </x:c>
      <x:c r="C178" s="38" t="str">
        <x:v>C10-SYN-EQ-01</x:v>
      </x:c>
      <x:c r="D178" s="38" t="str">
        <x:v>C10</x:v>
      </x:c>
      <x:c r="E178" s="38" t="str">
        <x:v>ITEM-8B4E222FEA02</x:v>
      </x:c>
      <x:c r="F178" s="38" t="str">
        <x:v>万冠终律圣刃</x:v>
      </x:c>
      <x:c r="G178" s="38" t="str"/>
      <x:c r="H178" s="38" t="str">
        <x:v>基础件/前置</x:v>
      </x:c>
      <x:c r="I178" s="38" t="str">
        <x:v>基础件/前置</x:v>
      </x:c>
      <x:c r="J178" s="38" t="str">
        <x:v>千锁断流铡＋万冠终律圣刃</x:v>
      </x:c>
      <x:c r="K178" s="38" t="str">
        <x:v>万冠终律圣刃</x:v>
      </x:c>
      <x:c r="L178" s="38" t="str">
        <x:v>待经济反算</x:v>
      </x:c>
      <x:c r="M178" s="38" t="str">
        <x:v>待经济反算</x:v>
      </x:c>
      <x:c r="N178" s="38" t="str">
        <x:v>是</x:v>
      </x:c>
      <x:c r="O178" s="38" t="str">
        <x:v>否</x:v>
      </x:c>
      <x:c r="P178" s="38" t="str">
        <x:v>否</x:v>
      </x:c>
      <x:c r="Q178" s="38" t="str">
        <x:v>是</x:v>
      </x:c>
      <x:c r="R178" s="38" t="str">
        <x:v>是</x:v>
      </x:c>
      <x:c r="S178" s="38" t="str">
        <x:v>可交易（沿用原物品规则）</x:v>
      </x:c>
      <x:c r="T178" s="38" t="str">
        <x:v>沿用原物品；若为合成成品则禁止回收</x:v>
      </x:c>
      <x:c r="U178" s="38" t="str">
        <x:v>沿用配方交易/绑定列</x:v>
      </x:c>
      <x:c r="V178" s="38" t="str">
        <x:v>结构已确认；数量待经济反算</x:v>
      </x:c>
      <x:c r="W178" s="39" t="str"/>
    </x:row>
    <x:row r="179" ht="42" customHeight="1">
      <x:c r="A179" s="37" t="str">
        <x:v>CON-C10-SYN-EQ-01-0175</x:v>
      </x:c>
      <x:c r="B179" s="38" t="str">
        <x:v>配方输入</x:v>
      </x:c>
      <x:c r="C179" s="38" t="str">
        <x:v>C10-SYN-EQ-01</x:v>
      </x:c>
      <x:c r="D179" s="38" t="str">
        <x:v>C10</x:v>
      </x:c>
      <x:c r="E179" s="38" t="str">
        <x:v>EL-MAT-C10-COM</x:v>
      </x:c>
      <x:c r="F179" s="38" t="str">
        <x:v>王城金屑</x:v>
      </x:c>
      <x:c r="G179" s="38" t="str"/>
      <x:c r="H179" s="38" t="str">
        <x:v>高产通用材料</x:v>
      </x:c>
      <x:c r="I179" s="38" t="str">
        <x:v>高产通用材料</x:v>
      </x:c>
      <x:c r="J179" s="38" t="str">
        <x:v>王城金屑</x:v>
      </x:c>
      <x:c r="K179" s="38" t="str">
        <x:v>王城金屑</x:v>
      </x:c>
      <x:c r="L179" s="38" t="str">
        <x:v>待经济反算</x:v>
      </x:c>
      <x:c r="M179" s="38" t="str">
        <x:v>待经济反算</x:v>
      </x:c>
      <x:c r="N179" s="38" t="str">
        <x:v>是</x:v>
      </x:c>
      <x:c r="O179" s="38" t="str">
        <x:v>否</x:v>
      </x:c>
      <x:c r="P179" s="38" t="str">
        <x:v>否</x:v>
      </x:c>
      <x:c r="Q179" s="38" t="str">
        <x:v>是</x:v>
      </x:c>
      <x:c r="R179" s="38" t="str">
        <x:v>是</x:v>
      </x:c>
      <x:c r="S179" s="38" t="str">
        <x:v>可交易</x:v>
      </x:c>
      <x:c r="T179" s="38" t="str">
        <x:v>R10档金币／元宝主回收口</x:v>
      </x:c>
      <x:c r="U179" s="38" t="str">
        <x:v>产出实物默认不绑定，按现行材料脚本</x:v>
      </x:c>
      <x:c r="V179" s="38" t="str">
        <x:v>结构已确认；数量待经济反算</x:v>
      </x:c>
      <x:c r="W179" s="39" t="str"/>
    </x:row>
    <x:row r="180" ht="42" customHeight="1">
      <x:c r="A180" s="37" t="str">
        <x:v>CON-C10-SYN-EQ-01-0176</x:v>
      </x:c>
      <x:c r="B180" s="38" t="str">
        <x:v>配方输入</x:v>
      </x:c>
      <x:c r="C180" s="38" t="str">
        <x:v>C10-SYN-EQ-01</x:v>
      </x:c>
      <x:c r="D180" s="38" t="str">
        <x:v>C10</x:v>
      </x:c>
      <x:c r="E180" s="38" t="str">
        <x:v>EL-MAT-C10-Q04</x:v>
      </x:c>
      <x:c r="F180" s="38" t="str">
        <x:v>王宫断冠片</x:v>
      </x:c>
      <x:c r="G180" s="38" t="str"/>
      <x:c r="H180" s="38" t="str">
        <x:v>稀有/证物材料</x:v>
      </x:c>
      <x:c r="I180" s="38" t="str">
        <x:v>稀有/证物材料</x:v>
      </x:c>
      <x:c r="J180" s="38" t="str">
        <x:v>王宫断冠片＋艾尔登王印</x:v>
      </x:c>
      <x:c r="K180" s="38" t="str">
        <x:v>王宫断冠片</x:v>
      </x:c>
      <x:c r="L180" s="38" t="str">
        <x:v>待经济反算</x:v>
      </x:c>
      <x:c r="M180" s="38" t="str">
        <x:v>待经济反算</x:v>
      </x:c>
      <x:c r="N180" s="38" t="str">
        <x:v>是</x:v>
      </x:c>
      <x:c r="O180" s="38" t="str">
        <x:v>否</x:v>
      </x:c>
      <x:c r="P180" s="38" t="str">
        <x:v>否</x:v>
      </x:c>
      <x:c r="Q180" s="38" t="str">
        <x:v>是</x:v>
      </x:c>
      <x:c r="R180" s="38" t="str">
        <x:v>是</x:v>
      </x:c>
      <x:c r="S180" s="38" t="str">
        <x:v>可交易</x:v>
      </x:c>
      <x:c r="T180" s="38" t="str">
        <x:v>不作为自动回收主材</x:v>
      </x:c>
      <x:c r="U180" s="38" t="str">
        <x:v>产出实物默认不绑定，按现行材料脚本</x:v>
      </x:c>
      <x:c r="V180" s="38" t="str">
        <x:v>结构已确认；数量待经济反算</x:v>
      </x:c>
      <x:c r="W180" s="39" t="str"/>
    </x:row>
    <x:row r="181" ht="42" customHeight="1">
      <x:c r="A181" s="37" t="str">
        <x:v>CON-C10-SYN-EQ-01-0177</x:v>
      </x:c>
      <x:c r="B181" s="38" t="str">
        <x:v>配方输入</x:v>
      </x:c>
      <x:c r="C181" s="38" t="str">
        <x:v>C10-SYN-EQ-01</x:v>
      </x:c>
      <x:c r="D181" s="38" t="str">
        <x:v>C10</x:v>
      </x:c>
      <x:c r="E181" s="38" t="str">
        <x:v>EL-MAT-C10-MARK</x:v>
      </x:c>
      <x:c r="F181" s="38" t="str">
        <x:v>艾尔登王印</x:v>
      </x:c>
      <x:c r="G181" s="38" t="str"/>
      <x:c r="H181" s="38" t="str">
        <x:v>稀有/证物材料</x:v>
      </x:c>
      <x:c r="I181" s="38" t="str">
        <x:v>稀有/证物材料</x:v>
      </x:c>
      <x:c r="J181" s="38" t="str">
        <x:v>王宫断冠片＋艾尔登王印</x:v>
      </x:c>
      <x:c r="K181" s="38" t="str">
        <x:v>艾尔登王印</x:v>
      </x:c>
      <x:c r="L181" s="38" t="str">
        <x:v>待经济反算</x:v>
      </x:c>
      <x:c r="M181" s="38" t="str">
        <x:v>待经济反算</x:v>
      </x:c>
      <x:c r="N181" s="38" t="str">
        <x:v>是</x:v>
      </x:c>
      <x:c r="O181" s="38" t="str">
        <x:v>否</x:v>
      </x:c>
      <x:c r="P181" s="38" t="str">
        <x:v>否</x:v>
      </x:c>
      <x:c r="Q181" s="38" t="str">
        <x:v>是</x:v>
      </x:c>
      <x:c r="R181" s="38" t="str">
        <x:v>是</x:v>
      </x:c>
      <x:c r="S181" s="38" t="str">
        <x:v>可交易</x:v>
      </x:c>
      <x:c r="T181" s="38" t="str">
        <x:v>不作为自动回收主材</x:v>
      </x:c>
      <x:c r="U181" s="38" t="str">
        <x:v>产出实物默认不绑定，按现行材料脚本</x:v>
      </x:c>
      <x:c r="V181" s="38" t="str">
        <x:v>结构已确认；数量待经济反算</x:v>
      </x:c>
      <x:c r="W181" s="39" t="str"/>
    </x:row>
    <x:row r="182" ht="42" customHeight="1">
      <x:c r="A182" s="37" t="str">
        <x:v>CON-C10-SYN-EQ-01-0178</x:v>
      </x:c>
      <x:c r="B182" s="38" t="str">
        <x:v>配方输入</x:v>
      </x:c>
      <x:c r="C182" s="38" t="str">
        <x:v>C10-SYN-EQ-01</x:v>
      </x:c>
      <x:c r="D182" s="38" t="str">
        <x:v>C10</x:v>
      </x:c>
      <x:c r="E182" s="38" t="str">
        <x:v>EL-MAT-GLOBAL-SOMBER</x:v>
      </x:c>
      <x:c r="F182" s="38" t="str">
        <x:v>失色锻造石</x:v>
      </x:c>
      <x:c r="G182" s="38" t="str"/>
      <x:c r="H182" s="38" t="str">
        <x:v>全局材料</x:v>
      </x:c>
      <x:c r="I182" s="38" t="str">
        <x:v>全局材料</x:v>
      </x:c>
      <x:c r="J182" s="38" t="str">
        <x:v>失色锻造石</x:v>
      </x:c>
      <x:c r="K182" s="38" t="str">
        <x:v>失色锻造石</x:v>
      </x:c>
      <x:c r="L182" s="38" t="str">
        <x:v>待经济反算</x:v>
      </x:c>
      <x:c r="M182" s="38" t="str">
        <x:v>待经济反算</x:v>
      </x:c>
      <x:c r="N182" s="38" t="str">
        <x:v>是</x:v>
      </x:c>
      <x:c r="O182" s="38" t="str">
        <x:v>否</x:v>
      </x:c>
      <x:c r="P182" s="38" t="str">
        <x:v>否</x:v>
      </x:c>
      <x:c r="Q182" s="38" t="str">
        <x:v>是</x:v>
      </x:c>
      <x:c r="R182" s="38" t="str">
        <x:v>是</x:v>
      </x:c>
      <x:c r="S182" s="38" t="str">
        <x:v>可交易</x:v>
      </x:c>
      <x:c r="T182" s="38" t="str">
        <x:v>不作为自动回收主材</x:v>
      </x:c>
      <x:c r="U182" s="38" t="str">
        <x:v>产出实物默认不绑定，按现行材料脚本</x:v>
      </x:c>
      <x:c r="V182" s="38" t="str">
        <x:v>结构已确认；数量待经济反算</x:v>
      </x:c>
      <x:c r="W182" s="39" t="str"/>
    </x:row>
    <x:row r="183" ht="42" customHeight="1">
      <x:c r="A183" s="37" t="str">
        <x:v>CON-C10-SYN-EQ-01-0179</x:v>
      </x:c>
      <x:c r="B183" s="38" t="str">
        <x:v>配方输入</x:v>
      </x:c>
      <x:c r="C183" s="38" t="str">
        <x:v>C10-SYN-EQ-01</x:v>
      </x:c>
      <x:c r="D183" s="38" t="str">
        <x:v>C10</x:v>
      </x:c>
      <x:c r="E183" s="38" t="str">
        <x:v>CUR-GOLD</x:v>
      </x:c>
      <x:c r="F183" s="38" t="str">
        <x:v>金币</x:v>
      </x:c>
      <x:c r="G183" s="38" t="str"/>
      <x:c r="H183" s="38" t="str">
        <x:v>金币/元宝/灵符</x:v>
      </x:c>
      <x:c r="I183" s="38" t="str">
        <x:v>货币</x:v>
      </x:c>
      <x:c r="J183" s="38" t="str">
        <x:v>金币＋元宝</x:v>
      </x:c>
      <x:c r="K183" s="38" t="str">
        <x:v>金币</x:v>
      </x:c>
      <x:c r="L183" s="38" t="str">
        <x:v>待经济反算</x:v>
      </x:c>
      <x:c r="M183" s="38" t="str">
        <x:v>待经济反算</x:v>
      </x:c>
      <x:c r="N183" s="38" t="str">
        <x:v>是</x:v>
      </x:c>
      <x:c r="O183" s="38" t="str">
        <x:v>否</x:v>
      </x:c>
      <x:c r="P183" s="38" t="str">
        <x:v>否</x:v>
      </x:c>
      <x:c r="Q183" s="38" t="str">
        <x:v>是</x:v>
      </x:c>
      <x:c r="R183" s="38" t="str">
        <x:v>是</x:v>
      </x:c>
      <x:c r="S183" s="38" t="str">
        <x:v>不进入玩家摆摊；通过交易物间接流通</x:v>
      </x:c>
      <x:c r="T183" s="38" t="str">
        <x:v>货币本身不可回收</x:v>
      </x:c>
      <x:c r="U183" s="38" t="str">
        <x:v>沿用现行货币账户</x:v>
      </x:c>
      <x:c r="V183" s="38" t="str">
        <x:v>结构已确认；数量待经济反算</x:v>
      </x:c>
      <x:c r="W183" s="39" t="str"/>
    </x:row>
    <x:row r="184" ht="42" customHeight="1">
      <x:c r="A184" s="37" t="str">
        <x:v>CON-C10-SYN-EQ-01-0180</x:v>
      </x:c>
      <x:c r="B184" s="38" t="str">
        <x:v>配方输入</x:v>
      </x:c>
      <x:c r="C184" s="38" t="str">
        <x:v>C10-SYN-EQ-01</x:v>
      </x:c>
      <x:c r="D184" s="38" t="str">
        <x:v>C10</x:v>
      </x:c>
      <x:c r="E184" s="38" t="str">
        <x:v>CUR-YUANBAO</x:v>
      </x:c>
      <x:c r="F184" s="38" t="str">
        <x:v>元宝</x:v>
      </x:c>
      <x:c r="G184" s="38" t="str"/>
      <x:c r="H184" s="38" t="str">
        <x:v>金币/元宝/灵符</x:v>
      </x:c>
      <x:c r="I184" s="38" t="str">
        <x:v>货币</x:v>
      </x:c>
      <x:c r="J184" s="38" t="str">
        <x:v>金币＋元宝</x:v>
      </x:c>
      <x:c r="K184" s="38" t="str">
        <x:v>元宝</x:v>
      </x:c>
      <x:c r="L184" s="38" t="str">
        <x:v>待经济反算</x:v>
      </x:c>
      <x:c r="M184" s="38" t="str">
        <x:v>待经济反算</x:v>
      </x:c>
      <x:c r="N184" s="38" t="str">
        <x:v>是</x:v>
      </x:c>
      <x:c r="O184" s="38" t="str">
        <x:v>否</x:v>
      </x:c>
      <x:c r="P184" s="38" t="str">
        <x:v>否</x:v>
      </x:c>
      <x:c r="Q184" s="38" t="str">
        <x:v>是</x:v>
      </x:c>
      <x:c r="R184" s="38" t="str">
        <x:v>是</x:v>
      </x:c>
      <x:c r="S184" s="38" t="str">
        <x:v>不进入玩家摆摊；通过交易物间接流通</x:v>
      </x:c>
      <x:c r="T184" s="38" t="str">
        <x:v>货币本身不可回收</x:v>
      </x:c>
      <x:c r="U184" s="38" t="str">
        <x:v>沿用现行货币账户</x:v>
      </x:c>
      <x:c r="V184" s="38" t="str">
        <x:v>结构已确认；数量待经济反算</x:v>
      </x:c>
      <x:c r="W184" s="39" t="str"/>
    </x:row>
    <x:row r="185" ht="42" customHeight="1">
      <x:c r="A185" s="37" t="str">
        <x:v>CON-C10-SYN-EQ-02-0181</x:v>
      </x:c>
      <x:c r="B185" s="38" t="str">
        <x:v>配方输入</x:v>
      </x:c>
      <x:c r="C185" s="38" t="str">
        <x:v>C10-SYN-EQ-02</x:v>
      </x:c>
      <x:c r="D185" s="38" t="str">
        <x:v>C10</x:v>
      </x:c>
      <x:c r="E185" s="38" t="str">
        <x:v>ITEM-7383DBFC8088</x:v>
      </x:c>
      <x:c r="F185" s="38" t="str">
        <x:v>永辉空王礼服</x:v>
      </x:c>
      <x:c r="G185" s="38" t="str"/>
      <x:c r="H185" s="38" t="str">
        <x:v>基础件/前置</x:v>
      </x:c>
      <x:c r="I185" s="38" t="str">
        <x:v>基础件/前置</x:v>
      </x:c>
      <x:c r="J185" s="38" t="str">
        <x:v>永辉空王礼服＋吞碑枯寝大氅</x:v>
      </x:c>
      <x:c r="K185" s="38" t="str">
        <x:v>永辉空王礼服</x:v>
      </x:c>
      <x:c r="L185" s="38" t="str">
        <x:v>待经济反算</x:v>
      </x:c>
      <x:c r="M185" s="38" t="str">
        <x:v>待经济反算</x:v>
      </x:c>
      <x:c r="N185" s="38" t="str">
        <x:v>是</x:v>
      </x:c>
      <x:c r="O185" s="38" t="str">
        <x:v>否</x:v>
      </x:c>
      <x:c r="P185" s="38" t="str">
        <x:v>否</x:v>
      </x:c>
      <x:c r="Q185" s="38" t="str">
        <x:v>是</x:v>
      </x:c>
      <x:c r="R185" s="38" t="str">
        <x:v>是</x:v>
      </x:c>
      <x:c r="S185" s="38" t="str">
        <x:v>可交易（沿用原物品规则）</x:v>
      </x:c>
      <x:c r="T185" s="38" t="str">
        <x:v>沿用原物品；若为合成成品则禁止回收</x:v>
      </x:c>
      <x:c r="U185" s="38" t="str">
        <x:v>沿用配方交易/绑定列</x:v>
      </x:c>
      <x:c r="V185" s="38" t="str">
        <x:v>结构已确认；数量待经济反算</x:v>
      </x:c>
      <x:c r="W185" s="39" t="str"/>
    </x:row>
    <x:row r="186" ht="42" customHeight="1">
      <x:c r="A186" s="37" t="str">
        <x:v>CON-C10-SYN-EQ-02-0182</x:v>
      </x:c>
      <x:c r="B186" s="38" t="str">
        <x:v>配方输入</x:v>
      </x:c>
      <x:c r="C186" s="38" t="str">
        <x:v>C10-SYN-EQ-02</x:v>
      </x:c>
      <x:c r="D186" s="38" t="str">
        <x:v>C10</x:v>
      </x:c>
      <x:c r="E186" s="38" t="str">
        <x:v>ITEM-7FCAF4AB9BC1</x:v>
      </x:c>
      <x:c r="F186" s="38" t="str">
        <x:v>吞碑枯寝大氅</x:v>
      </x:c>
      <x:c r="G186" s="38" t="str"/>
      <x:c r="H186" s="38" t="str">
        <x:v>基础件/前置</x:v>
      </x:c>
      <x:c r="I186" s="38" t="str">
        <x:v>基础件/前置</x:v>
      </x:c>
      <x:c r="J186" s="38" t="str">
        <x:v>永辉空王礼服＋吞碑枯寝大氅</x:v>
      </x:c>
      <x:c r="K186" s="38" t="str">
        <x:v>吞碑枯寝大氅</x:v>
      </x:c>
      <x:c r="L186" s="38" t="str">
        <x:v>待经济反算</x:v>
      </x:c>
      <x:c r="M186" s="38" t="str">
        <x:v>待经济反算</x:v>
      </x:c>
      <x:c r="N186" s="38" t="str">
        <x:v>是</x:v>
      </x:c>
      <x:c r="O186" s="38" t="str">
        <x:v>否</x:v>
      </x:c>
      <x:c r="P186" s="38" t="str">
        <x:v>否</x:v>
      </x:c>
      <x:c r="Q186" s="38" t="str">
        <x:v>是</x:v>
      </x:c>
      <x:c r="R186" s="38" t="str">
        <x:v>是</x:v>
      </x:c>
      <x:c r="S186" s="38" t="str">
        <x:v>可交易（沿用原物品规则）</x:v>
      </x:c>
      <x:c r="T186" s="38" t="str">
        <x:v>沿用原物品；若为合成成品则禁止回收</x:v>
      </x:c>
      <x:c r="U186" s="38" t="str">
        <x:v>沿用配方交易/绑定列</x:v>
      </x:c>
      <x:c r="V186" s="38" t="str">
        <x:v>结构已确认；数量待经济反算</x:v>
      </x:c>
      <x:c r="W186" s="39" t="str"/>
    </x:row>
    <x:row r="187" ht="42" customHeight="1">
      <x:c r="A187" s="37" t="str">
        <x:v>CON-C10-SYN-EQ-02-0183</x:v>
      </x:c>
      <x:c r="B187" s="38" t="str">
        <x:v>配方输入</x:v>
      </x:c>
      <x:c r="C187" s="38" t="str">
        <x:v>C10-SYN-EQ-02</x:v>
      </x:c>
      <x:c r="D187" s="38" t="str">
        <x:v>C10</x:v>
      </x:c>
      <x:c r="E187" s="38" t="str">
        <x:v>EL-MAT-C10-COM</x:v>
      </x:c>
      <x:c r="F187" s="38" t="str">
        <x:v>王城金屑</x:v>
      </x:c>
      <x:c r="G187" s="38" t="str"/>
      <x:c r="H187" s="38" t="str">
        <x:v>高产通用材料</x:v>
      </x:c>
      <x:c r="I187" s="38" t="str">
        <x:v>高产通用材料</x:v>
      </x:c>
      <x:c r="J187" s="38" t="str">
        <x:v>王城金屑</x:v>
      </x:c>
      <x:c r="K187" s="38" t="str">
        <x:v>王城金屑</x:v>
      </x:c>
      <x:c r="L187" s="38" t="str">
        <x:v>待经济反算</x:v>
      </x:c>
      <x:c r="M187" s="38" t="str">
        <x:v>待经济反算</x:v>
      </x:c>
      <x:c r="N187" s="38" t="str">
        <x:v>是</x:v>
      </x:c>
      <x:c r="O187" s="38" t="str">
        <x:v>否</x:v>
      </x:c>
      <x:c r="P187" s="38" t="str">
        <x:v>否</x:v>
      </x:c>
      <x:c r="Q187" s="38" t="str">
        <x:v>是</x:v>
      </x:c>
      <x:c r="R187" s="38" t="str">
        <x:v>是</x:v>
      </x:c>
      <x:c r="S187" s="38" t="str">
        <x:v>可交易</x:v>
      </x:c>
      <x:c r="T187" s="38" t="str">
        <x:v>R10档金币／元宝主回收口</x:v>
      </x:c>
      <x:c r="U187" s="38" t="str">
        <x:v>产出实物默认不绑定，按现行材料脚本</x:v>
      </x:c>
      <x:c r="V187" s="38" t="str">
        <x:v>结构已确认；数量待经济反算</x:v>
      </x:c>
      <x:c r="W187" s="39" t="str"/>
    </x:row>
    <x:row r="188" ht="42" customHeight="1">
      <x:c r="A188" s="37" t="str">
        <x:v>CON-C10-SYN-EQ-02-0184</x:v>
      </x:c>
      <x:c r="B188" s="38" t="str">
        <x:v>配方输入</x:v>
      </x:c>
      <x:c r="C188" s="38" t="str">
        <x:v>C10-SYN-EQ-02</x:v>
      </x:c>
      <x:c r="D188" s="38" t="str">
        <x:v>C10</x:v>
      </x:c>
      <x:c r="E188" s="38" t="str">
        <x:v>EL-MAT-C10-Q01</x:v>
      </x:c>
      <x:c r="F188" s="38" t="str">
        <x:v>无名墓钉</x:v>
      </x:c>
      <x:c r="G188" s="38" t="str"/>
      <x:c r="H188" s="38" t="str">
        <x:v>稀有/证物材料</x:v>
      </x:c>
      <x:c r="I188" s="38" t="str">
        <x:v>稀有/证物材料</x:v>
      </x:c>
      <x:c r="J188" s="38" t="str">
        <x:v>无名墓钉＋艾尔登王印</x:v>
      </x:c>
      <x:c r="K188" s="38" t="str">
        <x:v>无名墓钉</x:v>
      </x:c>
      <x:c r="L188" s="38" t="str">
        <x:v>待经济反算</x:v>
      </x:c>
      <x:c r="M188" s="38" t="str">
        <x:v>待经济反算</x:v>
      </x:c>
      <x:c r="N188" s="38" t="str">
        <x:v>是</x:v>
      </x:c>
      <x:c r="O188" s="38" t="str">
        <x:v>否</x:v>
      </x:c>
      <x:c r="P188" s="38" t="str">
        <x:v>否</x:v>
      </x:c>
      <x:c r="Q188" s="38" t="str">
        <x:v>是</x:v>
      </x:c>
      <x:c r="R188" s="38" t="str">
        <x:v>是</x:v>
      </x:c>
      <x:c r="S188" s="38" t="str">
        <x:v>可交易</x:v>
      </x:c>
      <x:c r="T188" s="38" t="str">
        <x:v>不作为自动回收主材</x:v>
      </x:c>
      <x:c r="U188" s="38" t="str">
        <x:v>产出实物默认不绑定，按现行材料脚本</x:v>
      </x:c>
      <x:c r="V188" s="38" t="str">
        <x:v>结构已确认；数量待经济反算</x:v>
      </x:c>
      <x:c r="W188" s="39" t="str"/>
    </x:row>
    <x:row r="189" ht="42" customHeight="1">
      <x:c r="A189" s="37" t="str">
        <x:v>CON-C10-SYN-EQ-02-0185</x:v>
      </x:c>
      <x:c r="B189" s="38" t="str">
        <x:v>配方输入</x:v>
      </x:c>
      <x:c r="C189" s="38" t="str">
        <x:v>C10-SYN-EQ-02</x:v>
      </x:c>
      <x:c r="D189" s="38" t="str">
        <x:v>C10</x:v>
      </x:c>
      <x:c r="E189" s="38" t="str">
        <x:v>EL-MAT-C10-MARK</x:v>
      </x:c>
      <x:c r="F189" s="38" t="str">
        <x:v>艾尔登王印</x:v>
      </x:c>
      <x:c r="G189" s="38" t="str"/>
      <x:c r="H189" s="38" t="str">
        <x:v>稀有/证物材料</x:v>
      </x:c>
      <x:c r="I189" s="38" t="str">
        <x:v>稀有/证物材料</x:v>
      </x:c>
      <x:c r="J189" s="38" t="str">
        <x:v>无名墓钉＋艾尔登王印</x:v>
      </x:c>
      <x:c r="K189" s="38" t="str">
        <x:v>艾尔登王印</x:v>
      </x:c>
      <x:c r="L189" s="38" t="str">
        <x:v>待经济反算</x:v>
      </x:c>
      <x:c r="M189" s="38" t="str">
        <x:v>待经济反算</x:v>
      </x:c>
      <x:c r="N189" s="38" t="str">
        <x:v>是</x:v>
      </x:c>
      <x:c r="O189" s="38" t="str">
        <x:v>否</x:v>
      </x:c>
      <x:c r="P189" s="38" t="str">
        <x:v>否</x:v>
      </x:c>
      <x:c r="Q189" s="38" t="str">
        <x:v>是</x:v>
      </x:c>
      <x:c r="R189" s="38" t="str">
        <x:v>是</x:v>
      </x:c>
      <x:c r="S189" s="38" t="str">
        <x:v>可交易</x:v>
      </x:c>
      <x:c r="T189" s="38" t="str">
        <x:v>不作为自动回收主材</x:v>
      </x:c>
      <x:c r="U189" s="38" t="str">
        <x:v>产出实物默认不绑定，按现行材料脚本</x:v>
      </x:c>
      <x:c r="V189" s="38" t="str">
        <x:v>结构已确认；数量待经济反算</x:v>
      </x:c>
      <x:c r="W189" s="39" t="str"/>
    </x:row>
    <x:row r="190" ht="42" customHeight="1">
      <x:c r="A190" s="37" t="str">
        <x:v>CON-C10-SYN-EQ-02-0186</x:v>
      </x:c>
      <x:c r="B190" s="38" t="str">
        <x:v>配方输入</x:v>
      </x:c>
      <x:c r="C190" s="38" t="str">
        <x:v>C10-SYN-EQ-02</x:v>
      </x:c>
      <x:c r="D190" s="38" t="str">
        <x:v>C10</x:v>
      </x:c>
      <x:c r="E190" s="38" t="str">
        <x:v>EL-MAT-GLOBAL-SOMBER</x:v>
      </x:c>
      <x:c r="F190" s="38" t="str">
        <x:v>失色锻造石</x:v>
      </x:c>
      <x:c r="G190" s="38" t="str"/>
      <x:c r="H190" s="38" t="str">
        <x:v>全局材料</x:v>
      </x:c>
      <x:c r="I190" s="38" t="str">
        <x:v>全局材料</x:v>
      </x:c>
      <x:c r="J190" s="38" t="str">
        <x:v>失色锻造石</x:v>
      </x:c>
      <x:c r="K190" s="38" t="str">
        <x:v>失色锻造石</x:v>
      </x:c>
      <x:c r="L190" s="38" t="str">
        <x:v>待经济反算</x:v>
      </x:c>
      <x:c r="M190" s="38" t="str">
        <x:v>待经济反算</x:v>
      </x:c>
      <x:c r="N190" s="38" t="str">
        <x:v>是</x:v>
      </x:c>
      <x:c r="O190" s="38" t="str">
        <x:v>否</x:v>
      </x:c>
      <x:c r="P190" s="38" t="str">
        <x:v>否</x:v>
      </x:c>
      <x:c r="Q190" s="38" t="str">
        <x:v>是</x:v>
      </x:c>
      <x:c r="R190" s="38" t="str">
        <x:v>是</x:v>
      </x:c>
      <x:c r="S190" s="38" t="str">
        <x:v>可交易</x:v>
      </x:c>
      <x:c r="T190" s="38" t="str">
        <x:v>不作为自动回收主材</x:v>
      </x:c>
      <x:c r="U190" s="38" t="str">
        <x:v>产出实物默认不绑定，按现行材料脚本</x:v>
      </x:c>
      <x:c r="V190" s="38" t="str">
        <x:v>结构已确认；数量待经济反算</x:v>
      </x:c>
      <x:c r="W190" s="39" t="str"/>
    </x:row>
    <x:row r="191" ht="42" customHeight="1">
      <x:c r="A191" s="37" t="str">
        <x:v>CON-C10-SYN-EQ-02-0187</x:v>
      </x:c>
      <x:c r="B191" s="38" t="str">
        <x:v>配方输入</x:v>
      </x:c>
      <x:c r="C191" s="38" t="str">
        <x:v>C10-SYN-EQ-02</x:v>
      </x:c>
      <x:c r="D191" s="38" t="str">
        <x:v>C10</x:v>
      </x:c>
      <x:c r="E191" s="38" t="str">
        <x:v>CUR-GOLD</x:v>
      </x:c>
      <x:c r="F191" s="38" t="str">
        <x:v>金币</x:v>
      </x:c>
      <x:c r="G191" s="38" t="str"/>
      <x:c r="H191" s="38" t="str">
        <x:v>金币/元宝/灵符</x:v>
      </x:c>
      <x:c r="I191" s="38" t="str">
        <x:v>货币</x:v>
      </x:c>
      <x:c r="J191" s="38" t="str">
        <x:v>金币＋元宝</x:v>
      </x:c>
      <x:c r="K191" s="38" t="str">
        <x:v>金币</x:v>
      </x:c>
      <x:c r="L191" s="38" t="str">
        <x:v>待经济反算</x:v>
      </x:c>
      <x:c r="M191" s="38" t="str">
        <x:v>待经济反算</x:v>
      </x:c>
      <x:c r="N191" s="38" t="str">
        <x:v>是</x:v>
      </x:c>
      <x:c r="O191" s="38" t="str">
        <x:v>否</x:v>
      </x:c>
      <x:c r="P191" s="38" t="str">
        <x:v>否</x:v>
      </x:c>
      <x:c r="Q191" s="38" t="str">
        <x:v>是</x:v>
      </x:c>
      <x:c r="R191" s="38" t="str">
        <x:v>是</x:v>
      </x:c>
      <x:c r="S191" s="38" t="str">
        <x:v>不进入玩家摆摊；通过交易物间接流通</x:v>
      </x:c>
      <x:c r="T191" s="38" t="str">
        <x:v>货币本身不可回收</x:v>
      </x:c>
      <x:c r="U191" s="38" t="str">
        <x:v>沿用现行货币账户</x:v>
      </x:c>
      <x:c r="V191" s="38" t="str">
        <x:v>结构已确认；数量待经济反算</x:v>
      </x:c>
      <x:c r="W191" s="39" t="str"/>
    </x:row>
    <x:row r="192" ht="42" customHeight="1">
      <x:c r="A192" s="37" t="str">
        <x:v>CON-C10-SYN-EQ-02-0188</x:v>
      </x:c>
      <x:c r="B192" s="38" t="str">
        <x:v>配方输入</x:v>
      </x:c>
      <x:c r="C192" s="38" t="str">
        <x:v>C10-SYN-EQ-02</x:v>
      </x:c>
      <x:c r="D192" s="38" t="str">
        <x:v>C10</x:v>
      </x:c>
      <x:c r="E192" s="38" t="str">
        <x:v>CUR-YUANBAO</x:v>
      </x:c>
      <x:c r="F192" s="38" t="str">
        <x:v>元宝</x:v>
      </x:c>
      <x:c r="G192" s="38" t="str"/>
      <x:c r="H192" s="38" t="str">
        <x:v>金币/元宝/灵符</x:v>
      </x:c>
      <x:c r="I192" s="38" t="str">
        <x:v>货币</x:v>
      </x:c>
      <x:c r="J192" s="38" t="str">
        <x:v>金币＋元宝</x:v>
      </x:c>
      <x:c r="K192" s="38" t="str">
        <x:v>元宝</x:v>
      </x:c>
      <x:c r="L192" s="38" t="str">
        <x:v>待经济反算</x:v>
      </x:c>
      <x:c r="M192" s="38" t="str">
        <x:v>待经济反算</x:v>
      </x:c>
      <x:c r="N192" s="38" t="str">
        <x:v>是</x:v>
      </x:c>
      <x:c r="O192" s="38" t="str">
        <x:v>否</x:v>
      </x:c>
      <x:c r="P192" s="38" t="str">
        <x:v>否</x:v>
      </x:c>
      <x:c r="Q192" s="38" t="str">
        <x:v>是</x:v>
      </x:c>
      <x:c r="R192" s="38" t="str">
        <x:v>是</x:v>
      </x:c>
      <x:c r="S192" s="38" t="str">
        <x:v>不进入玩家摆摊；通过交易物间接流通</x:v>
      </x:c>
      <x:c r="T192" s="38" t="str">
        <x:v>货币本身不可回收</x:v>
      </x:c>
      <x:c r="U192" s="38" t="str">
        <x:v>沿用现行货币账户</x:v>
      </x:c>
      <x:c r="V192" s="38" t="str">
        <x:v>结构已确认；数量待经济反算</x:v>
      </x:c>
      <x:c r="W192" s="39" t="str"/>
    </x:row>
    <x:row r="193" ht="42" customHeight="1">
      <x:c r="A193" s="37" t="str">
        <x:v>CON-C10-SYN-EQ-03-0189</x:v>
      </x:c>
      <x:c r="B193" s="38" t="str">
        <x:v>配方输入</x:v>
      </x:c>
      <x:c r="C193" s="38" t="str">
        <x:v>C10-SYN-EQ-03</x:v>
      </x:c>
      <x:c r="D193" s="38" t="str">
        <x:v>C10</x:v>
      </x:c>
      <x:c r="E193" s="38" t="str">
        <x:v>ITEM-2280B3B29237</x:v>
      </x:c>
      <x:c r="F193" s="38" t="str">
        <x:v>无声执冠勋章</x:v>
      </x:c>
      <x:c r="G193" s="38" t="str"/>
      <x:c r="H193" s="38" t="str">
        <x:v>基础件/前置</x:v>
      </x:c>
      <x:c r="I193" s="38" t="str">
        <x:v>基础件/前置</x:v>
      </x:c>
      <x:c r="J193" s="38" t="str">
        <x:v>无声执冠勋章＋碎日禁卫斗笠</x:v>
      </x:c>
      <x:c r="K193" s="38" t="str">
        <x:v>无声执冠勋章</x:v>
      </x:c>
      <x:c r="L193" s="38" t="str">
        <x:v>待经济反算</x:v>
      </x:c>
      <x:c r="M193" s="38" t="str">
        <x:v>待经济反算</x:v>
      </x:c>
      <x:c r="N193" s="38" t="str">
        <x:v>是</x:v>
      </x:c>
      <x:c r="O193" s="38" t="str">
        <x:v>否</x:v>
      </x:c>
      <x:c r="P193" s="38" t="str">
        <x:v>否</x:v>
      </x:c>
      <x:c r="Q193" s="38" t="str">
        <x:v>是</x:v>
      </x:c>
      <x:c r="R193" s="38" t="str">
        <x:v>是</x:v>
      </x:c>
      <x:c r="S193" s="38" t="str">
        <x:v>可交易（沿用原物品规则）</x:v>
      </x:c>
      <x:c r="T193" s="38" t="str">
        <x:v>沿用原物品；若为合成成品则禁止回收</x:v>
      </x:c>
      <x:c r="U193" s="38" t="str">
        <x:v>沿用配方交易/绑定列</x:v>
      </x:c>
      <x:c r="V193" s="38" t="str">
        <x:v>结构已确认；数量待经济反算</x:v>
      </x:c>
      <x:c r="W193" s="39" t="str"/>
    </x:row>
    <x:row r="194" ht="42" customHeight="1">
      <x:c r="A194" s="37" t="str">
        <x:v>CON-C10-SYN-EQ-03-0190</x:v>
      </x:c>
      <x:c r="B194" s="38" t="str">
        <x:v>配方输入</x:v>
      </x:c>
      <x:c r="C194" s="38" t="str">
        <x:v>C10-SYN-EQ-03</x:v>
      </x:c>
      <x:c r="D194" s="38" t="str">
        <x:v>C10</x:v>
      </x:c>
      <x:c r="E194" s="38" t="str">
        <x:v>ITEM-3AAB71EFC69C</x:v>
      </x:c>
      <x:c r="F194" s="38" t="str">
        <x:v>碎日禁卫斗笠</x:v>
      </x:c>
      <x:c r="G194" s="38" t="str"/>
      <x:c r="H194" s="38" t="str">
        <x:v>基础件/前置</x:v>
      </x:c>
      <x:c r="I194" s="38" t="str">
        <x:v>基础件/前置</x:v>
      </x:c>
      <x:c r="J194" s="38" t="str">
        <x:v>无声执冠勋章＋碎日禁卫斗笠</x:v>
      </x:c>
      <x:c r="K194" s="38" t="str">
        <x:v>碎日禁卫斗笠</x:v>
      </x:c>
      <x:c r="L194" s="38" t="str">
        <x:v>待经济反算</x:v>
      </x:c>
      <x:c r="M194" s="38" t="str">
        <x:v>待经济反算</x:v>
      </x:c>
      <x:c r="N194" s="38" t="str">
        <x:v>是</x:v>
      </x:c>
      <x:c r="O194" s="38" t="str">
        <x:v>否</x:v>
      </x:c>
      <x:c r="P194" s="38" t="str">
        <x:v>否</x:v>
      </x:c>
      <x:c r="Q194" s="38" t="str">
        <x:v>是</x:v>
      </x:c>
      <x:c r="R194" s="38" t="str">
        <x:v>是</x:v>
      </x:c>
      <x:c r="S194" s="38" t="str">
        <x:v>可交易（沿用原物品规则）</x:v>
      </x:c>
      <x:c r="T194" s="38" t="str">
        <x:v>沿用原物品；若为合成成品则禁止回收</x:v>
      </x:c>
      <x:c r="U194" s="38" t="str">
        <x:v>沿用配方交易/绑定列</x:v>
      </x:c>
      <x:c r="V194" s="38" t="str">
        <x:v>结构已确认；数量待经济反算</x:v>
      </x:c>
      <x:c r="W194" s="39" t="str"/>
    </x:row>
    <x:row r="195" ht="42" customHeight="1">
      <x:c r="A195" s="37" t="str">
        <x:v>CON-C10-SYN-EQ-03-0191</x:v>
      </x:c>
      <x:c r="B195" s="38" t="str">
        <x:v>配方输入</x:v>
      </x:c>
      <x:c r="C195" s="38" t="str">
        <x:v>C10-SYN-EQ-03</x:v>
      </x:c>
      <x:c r="D195" s="38" t="str">
        <x:v>C10</x:v>
      </x:c>
      <x:c r="E195" s="38" t="str">
        <x:v>EL-MAT-C10-COM</x:v>
      </x:c>
      <x:c r="F195" s="38" t="str">
        <x:v>王城金屑</x:v>
      </x:c>
      <x:c r="G195" s="38" t="str"/>
      <x:c r="H195" s="38" t="str">
        <x:v>高产通用材料</x:v>
      </x:c>
      <x:c r="I195" s="38" t="str">
        <x:v>高产通用材料</x:v>
      </x:c>
      <x:c r="J195" s="38" t="str">
        <x:v>王城金屑</x:v>
      </x:c>
      <x:c r="K195" s="38" t="str">
        <x:v>王城金屑</x:v>
      </x:c>
      <x:c r="L195" s="38" t="str">
        <x:v>待经济反算</x:v>
      </x:c>
      <x:c r="M195" s="38" t="str">
        <x:v>待经济反算</x:v>
      </x:c>
      <x:c r="N195" s="38" t="str">
        <x:v>是</x:v>
      </x:c>
      <x:c r="O195" s="38" t="str">
        <x:v>否</x:v>
      </x:c>
      <x:c r="P195" s="38" t="str">
        <x:v>否</x:v>
      </x:c>
      <x:c r="Q195" s="38" t="str">
        <x:v>是</x:v>
      </x:c>
      <x:c r="R195" s="38" t="str">
        <x:v>是</x:v>
      </x:c>
      <x:c r="S195" s="38" t="str">
        <x:v>可交易</x:v>
      </x:c>
      <x:c r="T195" s="38" t="str">
        <x:v>R10档金币／元宝主回收口</x:v>
      </x:c>
      <x:c r="U195" s="38" t="str">
        <x:v>产出实物默认不绑定，按现行材料脚本</x:v>
      </x:c>
      <x:c r="V195" s="38" t="str">
        <x:v>结构已确认；数量待经济反算</x:v>
      </x:c>
      <x:c r="W195" s="39" t="str"/>
    </x:row>
    <x:row r="196" ht="42" customHeight="1">
      <x:c r="A196" s="37" t="str">
        <x:v>CON-C10-SYN-EQ-03-0192</x:v>
      </x:c>
      <x:c r="B196" s="38" t="str">
        <x:v>配方输入</x:v>
      </x:c>
      <x:c r="C196" s="38" t="str">
        <x:v>C10-SYN-EQ-03</x:v>
      </x:c>
      <x:c r="D196" s="38" t="str">
        <x:v>C10</x:v>
      </x:c>
      <x:c r="E196" s="38" t="str">
        <x:v>EL-MAT-C10-Q02</x:v>
      </x:c>
      <x:c r="F196" s="38" t="str">
        <x:v>旧渠阀芯</x:v>
      </x:c>
      <x:c r="G196" s="38" t="str"/>
      <x:c r="H196" s="38" t="str">
        <x:v>稀有/证物材料</x:v>
      </x:c>
      <x:c r="I196" s="38" t="str">
        <x:v>稀有/证物材料</x:v>
      </x:c>
      <x:c r="J196" s="38" t="str">
        <x:v>旧渠阀芯＋失温熔炉楔＋艾尔登王印</x:v>
      </x:c>
      <x:c r="K196" s="38" t="str">
        <x:v>旧渠阀芯</x:v>
      </x:c>
      <x:c r="L196" s="38" t="str">
        <x:v>待经济反算</x:v>
      </x:c>
      <x:c r="M196" s="38" t="str">
        <x:v>待经济反算</x:v>
      </x:c>
      <x:c r="N196" s="38" t="str">
        <x:v>是</x:v>
      </x:c>
      <x:c r="O196" s="38" t="str">
        <x:v>否</x:v>
      </x:c>
      <x:c r="P196" s="38" t="str">
        <x:v>否</x:v>
      </x:c>
      <x:c r="Q196" s="38" t="str">
        <x:v>是</x:v>
      </x:c>
      <x:c r="R196" s="38" t="str">
        <x:v>是</x:v>
      </x:c>
      <x:c r="S196" s="38" t="str">
        <x:v>可交易</x:v>
      </x:c>
      <x:c r="T196" s="38" t="str">
        <x:v>不作为自动回收主材</x:v>
      </x:c>
      <x:c r="U196" s="38" t="str">
        <x:v>产出实物默认不绑定，按现行材料脚本</x:v>
      </x:c>
      <x:c r="V196" s="38" t="str">
        <x:v>结构已确认；数量待经济反算</x:v>
      </x:c>
      <x:c r="W196" s="39" t="str"/>
    </x:row>
    <x:row r="197" ht="42" customHeight="1">
      <x:c r="A197" s="37" t="str">
        <x:v>CON-C10-SYN-EQ-03-0193</x:v>
      </x:c>
      <x:c r="B197" s="38" t="str">
        <x:v>配方输入</x:v>
      </x:c>
      <x:c r="C197" s="38" t="str">
        <x:v>C10-SYN-EQ-03</x:v>
      </x:c>
      <x:c r="D197" s="38" t="str">
        <x:v>C10</x:v>
      </x:c>
      <x:c r="E197" s="38" t="str">
        <x:v>EL-MAT-C10-Q03</x:v>
      </x:c>
      <x:c r="F197" s="38" t="str">
        <x:v>失温熔炉楔</x:v>
      </x:c>
      <x:c r="G197" s="38" t="str"/>
      <x:c r="H197" s="38" t="str">
        <x:v>稀有/证物材料</x:v>
      </x:c>
      <x:c r="I197" s="38" t="str">
        <x:v>稀有/证物材料</x:v>
      </x:c>
      <x:c r="J197" s="38" t="str">
        <x:v>旧渠阀芯＋失温熔炉楔＋艾尔登王印</x:v>
      </x:c>
      <x:c r="K197" s="38" t="str">
        <x:v>失温熔炉楔</x:v>
      </x:c>
      <x:c r="L197" s="38" t="str">
        <x:v>待经济反算</x:v>
      </x:c>
      <x:c r="M197" s="38" t="str">
        <x:v>待经济反算</x:v>
      </x:c>
      <x:c r="N197" s="38" t="str">
        <x:v>是</x:v>
      </x:c>
      <x:c r="O197" s="38" t="str">
        <x:v>否</x:v>
      </x:c>
      <x:c r="P197" s="38" t="str">
        <x:v>否</x:v>
      </x:c>
      <x:c r="Q197" s="38" t="str">
        <x:v>是</x:v>
      </x:c>
      <x:c r="R197" s="38" t="str">
        <x:v>是</x:v>
      </x:c>
      <x:c r="S197" s="38" t="str">
        <x:v>可交易</x:v>
      </x:c>
      <x:c r="T197" s="38" t="str">
        <x:v>不作为自动回收主材</x:v>
      </x:c>
      <x:c r="U197" s="38" t="str">
        <x:v>产出实物默认不绑定，按现行材料脚本</x:v>
      </x:c>
      <x:c r="V197" s="38" t="str">
        <x:v>结构已确认；数量待经济反算</x:v>
      </x:c>
      <x:c r="W197" s="39" t="str"/>
    </x:row>
    <x:row r="198" ht="42" customHeight="1">
      <x:c r="A198" s="37" t="str">
        <x:v>CON-C10-SYN-EQ-03-0194</x:v>
      </x:c>
      <x:c r="B198" s="38" t="str">
        <x:v>配方输入</x:v>
      </x:c>
      <x:c r="C198" s="38" t="str">
        <x:v>C10-SYN-EQ-03</x:v>
      </x:c>
      <x:c r="D198" s="38" t="str">
        <x:v>C10</x:v>
      </x:c>
      <x:c r="E198" s="38" t="str">
        <x:v>EL-MAT-C10-MARK</x:v>
      </x:c>
      <x:c r="F198" s="38" t="str">
        <x:v>艾尔登王印</x:v>
      </x:c>
      <x:c r="G198" s="38" t="str"/>
      <x:c r="H198" s="38" t="str">
        <x:v>稀有/证物材料</x:v>
      </x:c>
      <x:c r="I198" s="38" t="str">
        <x:v>稀有/证物材料</x:v>
      </x:c>
      <x:c r="J198" s="38" t="str">
        <x:v>旧渠阀芯＋失温熔炉楔＋艾尔登王印</x:v>
      </x:c>
      <x:c r="K198" s="38" t="str">
        <x:v>艾尔登王印</x:v>
      </x:c>
      <x:c r="L198" s="38" t="str">
        <x:v>待经济反算</x:v>
      </x:c>
      <x:c r="M198" s="38" t="str">
        <x:v>待经济反算</x:v>
      </x:c>
      <x:c r="N198" s="38" t="str">
        <x:v>是</x:v>
      </x:c>
      <x:c r="O198" s="38" t="str">
        <x:v>否</x:v>
      </x:c>
      <x:c r="P198" s="38" t="str">
        <x:v>否</x:v>
      </x:c>
      <x:c r="Q198" s="38" t="str">
        <x:v>是</x:v>
      </x:c>
      <x:c r="R198" s="38" t="str">
        <x:v>是</x:v>
      </x:c>
      <x:c r="S198" s="38" t="str">
        <x:v>可交易</x:v>
      </x:c>
      <x:c r="T198" s="38" t="str">
        <x:v>不作为自动回收主材</x:v>
      </x:c>
      <x:c r="U198" s="38" t="str">
        <x:v>产出实物默认不绑定，按现行材料脚本</x:v>
      </x:c>
      <x:c r="V198" s="38" t="str">
        <x:v>结构已确认；数量待经济反算</x:v>
      </x:c>
      <x:c r="W198" s="39" t="str"/>
    </x:row>
    <x:row r="199" ht="42" customHeight="1">
      <x:c r="A199" s="37" t="str">
        <x:v>CON-C10-SYN-EQ-03-0195</x:v>
      </x:c>
      <x:c r="B199" s="38" t="str">
        <x:v>配方输入</x:v>
      </x:c>
      <x:c r="C199" s="38" t="str">
        <x:v>C10-SYN-EQ-03</x:v>
      </x:c>
      <x:c r="D199" s="38" t="str">
        <x:v>C10</x:v>
      </x:c>
      <x:c r="E199" s="38" t="str">
        <x:v>EL-MAT-GLOBAL-SOMBER</x:v>
      </x:c>
      <x:c r="F199" s="38" t="str">
        <x:v>失色锻造石</x:v>
      </x:c>
      <x:c r="G199" s="38" t="str"/>
      <x:c r="H199" s="38" t="str">
        <x:v>全局材料</x:v>
      </x:c>
      <x:c r="I199" s="38" t="str">
        <x:v>全局材料</x:v>
      </x:c>
      <x:c r="J199" s="38" t="str">
        <x:v>失色锻造石</x:v>
      </x:c>
      <x:c r="K199" s="38" t="str">
        <x:v>失色锻造石</x:v>
      </x:c>
      <x:c r="L199" s="38" t="str">
        <x:v>待经济反算</x:v>
      </x:c>
      <x:c r="M199" s="38" t="str">
        <x:v>待经济反算</x:v>
      </x:c>
      <x:c r="N199" s="38" t="str">
        <x:v>是</x:v>
      </x:c>
      <x:c r="O199" s="38" t="str">
        <x:v>否</x:v>
      </x:c>
      <x:c r="P199" s="38" t="str">
        <x:v>否</x:v>
      </x:c>
      <x:c r="Q199" s="38" t="str">
        <x:v>是</x:v>
      </x:c>
      <x:c r="R199" s="38" t="str">
        <x:v>是</x:v>
      </x:c>
      <x:c r="S199" s="38" t="str">
        <x:v>可交易</x:v>
      </x:c>
      <x:c r="T199" s="38" t="str">
        <x:v>不作为自动回收主材</x:v>
      </x:c>
      <x:c r="U199" s="38" t="str">
        <x:v>产出实物默认不绑定，按现行材料脚本</x:v>
      </x:c>
      <x:c r="V199" s="38" t="str">
        <x:v>结构已确认；数量待经济反算</x:v>
      </x:c>
      <x:c r="W199" s="39" t="str"/>
    </x:row>
    <x:row r="200" ht="42" customHeight="1">
      <x:c r="A200" s="37" t="str">
        <x:v>CON-C10-SYN-EQ-03-0196</x:v>
      </x:c>
      <x:c r="B200" s="38" t="str">
        <x:v>配方输入</x:v>
      </x:c>
      <x:c r="C200" s="38" t="str">
        <x:v>C10-SYN-EQ-03</x:v>
      </x:c>
      <x:c r="D200" s="38" t="str">
        <x:v>C10</x:v>
      </x:c>
      <x:c r="E200" s="38" t="str">
        <x:v>CUR-GOLD</x:v>
      </x:c>
      <x:c r="F200" s="38" t="str">
        <x:v>金币</x:v>
      </x:c>
      <x:c r="G200" s="38" t="str"/>
      <x:c r="H200" s="38" t="str">
        <x:v>金币/元宝/灵符</x:v>
      </x:c>
      <x:c r="I200" s="38" t="str">
        <x:v>货币</x:v>
      </x:c>
      <x:c r="J200" s="38" t="str">
        <x:v>金币＋元宝</x:v>
      </x:c>
      <x:c r="K200" s="38" t="str">
        <x:v>金币</x:v>
      </x:c>
      <x:c r="L200" s="38" t="str">
        <x:v>待经济反算</x:v>
      </x:c>
      <x:c r="M200" s="38" t="str">
        <x:v>待经济反算</x:v>
      </x:c>
      <x:c r="N200" s="38" t="str">
        <x:v>是</x:v>
      </x:c>
      <x:c r="O200" s="38" t="str">
        <x:v>否</x:v>
      </x:c>
      <x:c r="P200" s="38" t="str">
        <x:v>否</x:v>
      </x:c>
      <x:c r="Q200" s="38" t="str">
        <x:v>是</x:v>
      </x:c>
      <x:c r="R200" s="38" t="str">
        <x:v>是</x:v>
      </x:c>
      <x:c r="S200" s="38" t="str">
        <x:v>不进入玩家摆摊；通过交易物间接流通</x:v>
      </x:c>
      <x:c r="T200" s="38" t="str">
        <x:v>货币本身不可回收</x:v>
      </x:c>
      <x:c r="U200" s="38" t="str">
        <x:v>沿用现行货币账户</x:v>
      </x:c>
      <x:c r="V200" s="38" t="str">
        <x:v>结构已确认；数量待经济反算</x:v>
      </x:c>
      <x:c r="W200" s="39" t="str"/>
    </x:row>
    <x:row r="201" ht="42" customHeight="1">
      <x:c r="A201" s="37" t="str">
        <x:v>CON-C10-SYN-EQ-03-0197</x:v>
      </x:c>
      <x:c r="B201" s="38" t="str">
        <x:v>配方输入</x:v>
      </x:c>
      <x:c r="C201" s="38" t="str">
        <x:v>C10-SYN-EQ-03</x:v>
      </x:c>
      <x:c r="D201" s="38" t="str">
        <x:v>C10</x:v>
      </x:c>
      <x:c r="E201" s="38" t="str">
        <x:v>CUR-YUANBAO</x:v>
      </x:c>
      <x:c r="F201" s="38" t="str">
        <x:v>元宝</x:v>
      </x:c>
      <x:c r="G201" s="38" t="str"/>
      <x:c r="H201" s="38" t="str">
        <x:v>金币/元宝/灵符</x:v>
      </x:c>
      <x:c r="I201" s="38" t="str">
        <x:v>货币</x:v>
      </x:c>
      <x:c r="J201" s="38" t="str">
        <x:v>金币＋元宝</x:v>
      </x:c>
      <x:c r="K201" s="38" t="str">
        <x:v>元宝</x:v>
      </x:c>
      <x:c r="L201" s="38" t="str">
        <x:v>待经济反算</x:v>
      </x:c>
      <x:c r="M201" s="38" t="str">
        <x:v>待经济反算</x:v>
      </x:c>
      <x:c r="N201" s="38" t="str">
        <x:v>是</x:v>
      </x:c>
      <x:c r="O201" s="38" t="str">
        <x:v>否</x:v>
      </x:c>
      <x:c r="P201" s="38" t="str">
        <x:v>否</x:v>
      </x:c>
      <x:c r="Q201" s="38" t="str">
        <x:v>是</x:v>
      </x:c>
      <x:c r="R201" s="38" t="str">
        <x:v>是</x:v>
      </x:c>
      <x:c r="S201" s="38" t="str">
        <x:v>不进入玩家摆摊；通过交易物间接流通</x:v>
      </x:c>
      <x:c r="T201" s="38" t="str">
        <x:v>货币本身不可回收</x:v>
      </x:c>
      <x:c r="U201" s="38" t="str">
        <x:v>沿用现行货币账户</x:v>
      </x:c>
      <x:c r="V201" s="38" t="str">
        <x:v>结构已确认；数量待经济反算</x:v>
      </x:c>
      <x:c r="W201" s="39" t="str"/>
    </x:row>
    <x:row r="202" ht="42" customHeight="1">
      <x:c r="A202" s="37" t="str">
        <x:v>CON-C01-SYN-ZD-01-0198</x:v>
      </x:c>
      <x:c r="B202" s="38" t="str">
        <x:v>配方输入</x:v>
      </x:c>
      <x:c r="C202" s="38" t="str">
        <x:v>C01-SYN-ZD-01</x:v>
      </x:c>
      <x:c r="D202" s="38" t="str">
        <x:v>C01</x:v>
      </x:c>
      <x:c r="E202" s="38" t="str">
        <x:v>ITEM-4CD1ACFEBD88</x:v>
      </x:c>
      <x:c r="F202" s="38" t="str">
        <x:v>腐树子鼠</x:v>
      </x:c>
      <x:c r="G202" s="38" t="str"/>
      <x:c r="H202" s="38" t="str">
        <x:v>基础件/前置</x:v>
      </x:c>
      <x:c r="I202" s="38" t="str">
        <x:v>基础件/前置</x:v>
      </x:c>
      <x:c r="J202" s="38" t="str">
        <x:v>腐树子鼠＋唤潮旧勋</x:v>
      </x:c>
      <x:c r="K202" s="38" t="str">
        <x:v>腐树子鼠</x:v>
      </x:c>
      <x:c r="L202" s="38" t="str">
        <x:v>待经济反算</x:v>
      </x:c>
      <x:c r="M202" s="38" t="str">
        <x:v>待经济反算</x:v>
      </x:c>
      <x:c r="N202" s="38" t="str">
        <x:v>是</x:v>
      </x:c>
      <x:c r="O202" s="38" t="str">
        <x:v>否</x:v>
      </x:c>
      <x:c r="P202" s="38" t="str">
        <x:v>否</x:v>
      </x:c>
      <x:c r="Q202" s="38" t="str">
        <x:v>是</x:v>
      </x:c>
      <x:c r="R202" s="38" t="str">
        <x:v>是</x:v>
      </x:c>
      <x:c r="S202" s="38" t="str">
        <x:v>可交易（沿用原物品规则）</x:v>
      </x:c>
      <x:c r="T202" s="38" t="str">
        <x:v>沿用原物品；若为合成成品则禁止回收</x:v>
      </x:c>
      <x:c r="U202" s="38" t="str">
        <x:v>沿用配方交易/绑定列</x:v>
      </x:c>
      <x:c r="V202" s="38" t="str">
        <x:v>结构已确认；数量待经济反算</x:v>
      </x:c>
      <x:c r="W202" s="39" t="str"/>
    </x:row>
    <x:row r="203" ht="42" customHeight="1">
      <x:c r="A203" s="37" t="str">
        <x:v>CON-C01-SYN-ZD-01-0199</x:v>
      </x:c>
      <x:c r="B203" s="38" t="str">
        <x:v>配方输入</x:v>
      </x:c>
      <x:c r="C203" s="38" t="str">
        <x:v>C01-SYN-ZD-01</x:v>
      </x:c>
      <x:c r="D203" s="38" t="str">
        <x:v>C01</x:v>
      </x:c>
      <x:c r="E203" s="38" t="str">
        <x:v>ITEM-9EA23FAA93AD</x:v>
      </x:c>
      <x:c r="F203" s="38" t="str">
        <x:v>唤潮旧勋</x:v>
      </x:c>
      <x:c r="G203" s="38" t="str"/>
      <x:c r="H203" s="38" t="str">
        <x:v>基础件/前置</x:v>
      </x:c>
      <x:c r="I203" s="38" t="str">
        <x:v>基础件/前置</x:v>
      </x:c>
      <x:c r="J203" s="38" t="str">
        <x:v>腐树子鼠＋唤潮旧勋</x:v>
      </x:c>
      <x:c r="K203" s="38" t="str">
        <x:v>唤潮旧勋</x:v>
      </x:c>
      <x:c r="L203" s="38" t="str">
        <x:v>待经济反算</x:v>
      </x:c>
      <x:c r="M203" s="38" t="str">
        <x:v>待经济反算</x:v>
      </x:c>
      <x:c r="N203" s="38" t="str">
        <x:v>是</x:v>
      </x:c>
      <x:c r="O203" s="38" t="str">
        <x:v>否</x:v>
      </x:c>
      <x:c r="P203" s="38" t="str">
        <x:v>否</x:v>
      </x:c>
      <x:c r="Q203" s="38" t="str">
        <x:v>是</x:v>
      </x:c>
      <x:c r="R203" s="38" t="str">
        <x:v>是</x:v>
      </x:c>
      <x:c r="S203" s="38" t="str">
        <x:v>可交易（沿用原物品规则）</x:v>
      </x:c>
      <x:c r="T203" s="38" t="str">
        <x:v>沿用原物品；若为合成成品则禁止回收</x:v>
      </x:c>
      <x:c r="U203" s="38" t="str">
        <x:v>沿用配方交易/绑定列</x:v>
      </x:c>
      <x:c r="V203" s="38" t="str">
        <x:v>结构已确认；数量待经济反算</x:v>
      </x:c>
      <x:c r="W203" s="39" t="str"/>
    </x:row>
    <x:row r="204" ht="42" customHeight="1">
      <x:c r="A204" s="37" t="str">
        <x:v>CON-C01-SYN-ZD-01-0200</x:v>
      </x:c>
      <x:c r="B204" s="38" t="str">
        <x:v>配方输入</x:v>
      </x:c>
      <x:c r="C204" s="38" t="str">
        <x:v>C01-SYN-ZD-01</x:v>
      </x:c>
      <x:c r="D204" s="38" t="str">
        <x:v>C01</x:v>
      </x:c>
      <x:c r="E204" s="38" t="str">
        <x:v>EL-MAT-C01-COM</x:v>
      </x:c>
      <x:c r="F204" s="38" t="str">
        <x:v>海蚀铁片</x:v>
      </x:c>
      <x:c r="G204" s="38" t="str"/>
      <x:c r="H204" s="38" t="str">
        <x:v>高产通用材料</x:v>
      </x:c>
      <x:c r="I204" s="38" t="str">
        <x:v>高产通用材料</x:v>
      </x:c>
      <x:c r="J204" s="38" t="str">
        <x:v>海蚀铁片</x:v>
      </x:c>
      <x:c r="K204" s="38" t="str">
        <x:v>海蚀铁片</x:v>
      </x:c>
      <x:c r="L204" s="38" t="str">
        <x:v>待经济反算</x:v>
      </x:c>
      <x:c r="M204" s="38" t="str">
        <x:v>待经济反算</x:v>
      </x:c>
      <x:c r="N204" s="38" t="str">
        <x:v>是</x:v>
      </x:c>
      <x:c r="O204" s="38" t="str">
        <x:v>否</x:v>
      </x:c>
      <x:c r="P204" s="38" t="str">
        <x:v>否</x:v>
      </x:c>
      <x:c r="Q204" s="38" t="str">
        <x:v>是</x:v>
      </x:c>
      <x:c r="R204" s="38" t="str">
        <x:v>是</x:v>
      </x:c>
      <x:c r="S204" s="38" t="str">
        <x:v>可交易</x:v>
      </x:c>
      <x:c r="T204" s="38" t="str">
        <x:v>R1档金币／元宝主回收口</x:v>
      </x:c>
      <x:c r="U204" s="38" t="str">
        <x:v>产出实物默认不绑定，按现行材料脚本</x:v>
      </x:c>
      <x:c r="V204" s="38" t="str">
        <x:v>结构已确认；数量待经济反算</x:v>
      </x:c>
      <x:c r="W204" s="39" t="str"/>
    </x:row>
    <x:row r="205" ht="42" customHeight="1">
      <x:c r="A205" s="37" t="str">
        <x:v>CON-C01-SYN-ZD-01-0201</x:v>
      </x:c>
      <x:c r="B205" s="38" t="str">
        <x:v>配方输入</x:v>
      </x:c>
      <x:c r="C205" s="38" t="str">
        <x:v>C01-SYN-ZD-01</x:v>
      </x:c>
      <x:c r="D205" s="38" t="str">
        <x:v>C01</x:v>
      </x:c>
      <x:c r="E205" s="38" t="str">
        <x:v>EL-MAT-C01-WITNESS-TIDE</x:v>
      </x:c>
      <x:c r="F205" s="38" t="str">
        <x:v>漂流见证·潮</x:v>
      </x:c>
      <x:c r="G205" s="38" t="str"/>
      <x:c r="H205" s="38" t="str">
        <x:v>稀有/证物材料</x:v>
      </x:c>
      <x:c r="I205" s="38" t="str">
        <x:v>稀有/证物材料</x:v>
      </x:c>
      <x:c r="J205" s="38" t="str">
        <x:v>漂流见证·潮</x:v>
      </x:c>
      <x:c r="K205" s="38" t="str">
        <x:v>漂流见证·潮</x:v>
      </x:c>
      <x:c r="L205" s="38" t="str">
        <x:v>待经济反算</x:v>
      </x:c>
      <x:c r="M205" s="38" t="str">
        <x:v>待经济反算</x:v>
      </x:c>
      <x:c r="N205" s="38" t="str">
        <x:v>是</x:v>
      </x:c>
      <x:c r="O205" s="38" t="str">
        <x:v>否</x:v>
      </x:c>
      <x:c r="P205" s="38" t="str">
        <x:v>否</x:v>
      </x:c>
      <x:c r="Q205" s="38" t="str">
        <x:v>是</x:v>
      </x:c>
      <x:c r="R205" s="38" t="str">
        <x:v>是</x:v>
      </x:c>
      <x:c r="S205" s="38" t="str">
        <x:v>可交易</x:v>
      </x:c>
      <x:c r="T205" s="38" t="str">
        <x:v>不作为自动回收主材</x:v>
      </x:c>
      <x:c r="U205" s="38" t="str">
        <x:v>产出实物默认不绑定，按现行材料脚本</x:v>
      </x:c>
      <x:c r="V205" s="38" t="str">
        <x:v>结构已确认；数量待经济反算</x:v>
      </x:c>
      <x:c r="W205" s="39" t="str"/>
    </x:row>
    <x:row r="206" ht="42" customHeight="1">
      <x:c r="A206" s="37" t="str">
        <x:v>CON-C01-SYN-ZD-01-0202</x:v>
      </x:c>
      <x:c r="B206" s="38" t="str">
        <x:v>配方输入</x:v>
      </x:c>
      <x:c r="C206" s="38" t="str">
        <x:v>C01-SYN-ZD-01</x:v>
      </x:c>
      <x:c r="D206" s="38" t="str">
        <x:v>C01</x:v>
      </x:c>
      <x:c r="E206" s="38" t="str">
        <x:v>CUR-GOLD</x:v>
      </x:c>
      <x:c r="F206" s="38" t="str">
        <x:v>金币</x:v>
      </x:c>
      <x:c r="G206" s="38" t="str"/>
      <x:c r="H206" s="38" t="str">
        <x:v>金币/元宝/灵符</x:v>
      </x:c>
      <x:c r="I206" s="38" t="str">
        <x:v>货币</x:v>
      </x:c>
      <x:c r="J206" s="38" t="str">
        <x:v>金币</x:v>
      </x:c>
      <x:c r="K206" s="38" t="str">
        <x:v>金币</x:v>
      </x:c>
      <x:c r="L206" s="38" t="str">
        <x:v>待经济反算</x:v>
      </x:c>
      <x:c r="M206" s="38" t="str">
        <x:v>待经济反算</x:v>
      </x:c>
      <x:c r="N206" s="38" t="str">
        <x:v>是</x:v>
      </x:c>
      <x:c r="O206" s="38" t="str">
        <x:v>否</x:v>
      </x:c>
      <x:c r="P206" s="38" t="str">
        <x:v>否</x:v>
      </x:c>
      <x:c r="Q206" s="38" t="str">
        <x:v>是</x:v>
      </x:c>
      <x:c r="R206" s="38" t="str">
        <x:v>是</x:v>
      </x:c>
      <x:c r="S206" s="38" t="str">
        <x:v>不进入玩家摆摊；通过交易物间接流通</x:v>
      </x:c>
      <x:c r="T206" s="38" t="str">
        <x:v>货币本身不可回收</x:v>
      </x:c>
      <x:c r="U206" s="38" t="str">
        <x:v>沿用现行货币账户</x:v>
      </x:c>
      <x:c r="V206" s="38" t="str">
        <x:v>结构已确认；数量待经济反算</x:v>
      </x:c>
      <x:c r="W206" s="39" t="str"/>
    </x:row>
    <x:row r="207" ht="42" customHeight="1">
      <x:c r="A207" s="37" t="str">
        <x:v>CON-C02-SYN-ZD-01-0203</x:v>
      </x:c>
      <x:c r="B207" s="38" t="str">
        <x:v>配方输入</x:v>
      </x:c>
      <x:c r="C207" s="38" t="str">
        <x:v>C02-SYN-ZD-01</x:v>
      </x:c>
      <x:c r="D207" s="38" t="str">
        <x:v>C02</x:v>
      </x:c>
      <x:c r="E207" s="38" t="str">
        <x:v>ITEM-2E6E90D01ECE</x:v>
      </x:c>
      <x:c r="F207" s="38" t="str">
        <x:v>百臂丑牛</x:v>
      </x:c>
      <x:c r="G207" s="38" t="str"/>
      <x:c r="H207" s="38" t="str">
        <x:v>基础件/前置</x:v>
      </x:c>
      <x:c r="I207" s="38" t="str">
        <x:v>基础件/前置</x:v>
      </x:c>
      <x:c r="J207" s="38" t="str">
        <x:v>百臂丑牛＋关隘铁甲</x:v>
      </x:c>
      <x:c r="K207" s="38" t="str">
        <x:v>百臂丑牛</x:v>
      </x:c>
      <x:c r="L207" s="38" t="str">
        <x:v>待经济反算</x:v>
      </x:c>
      <x:c r="M207" s="38" t="str">
        <x:v>待经济反算</x:v>
      </x:c>
      <x:c r="N207" s="38" t="str">
        <x:v>是</x:v>
      </x:c>
      <x:c r="O207" s="38" t="str">
        <x:v>否</x:v>
      </x:c>
      <x:c r="P207" s="38" t="str">
        <x:v>否</x:v>
      </x:c>
      <x:c r="Q207" s="38" t="str">
        <x:v>是</x:v>
      </x:c>
      <x:c r="R207" s="38" t="str">
        <x:v>是</x:v>
      </x:c>
      <x:c r="S207" s="38" t="str">
        <x:v>可交易（沿用原物品规则）</x:v>
      </x:c>
      <x:c r="T207" s="38" t="str">
        <x:v>沿用原物品；若为合成成品则禁止回收</x:v>
      </x:c>
      <x:c r="U207" s="38" t="str">
        <x:v>沿用配方交易/绑定列</x:v>
      </x:c>
      <x:c r="V207" s="38" t="str">
        <x:v>结构已确认；数量待经济反算</x:v>
      </x:c>
      <x:c r="W207" s="39" t="str"/>
    </x:row>
    <x:row r="208" ht="42" customHeight="1">
      <x:c r="A208" s="37" t="str">
        <x:v>CON-C02-SYN-ZD-01-0204</x:v>
      </x:c>
      <x:c r="B208" s="38" t="str">
        <x:v>配方输入</x:v>
      </x:c>
      <x:c r="C208" s="38" t="str">
        <x:v>C02-SYN-ZD-01</x:v>
      </x:c>
      <x:c r="D208" s="38" t="str">
        <x:v>C02</x:v>
      </x:c>
      <x:c r="E208" s="38" t="str">
        <x:v>ITEM-20422F244E28</x:v>
      </x:c>
      <x:c r="F208" s="38" t="str">
        <x:v>关隘铁甲</x:v>
      </x:c>
      <x:c r="G208" s="38" t="str"/>
      <x:c r="H208" s="38" t="str">
        <x:v>基础件/前置</x:v>
      </x:c>
      <x:c r="I208" s="38" t="str">
        <x:v>基础件/前置</x:v>
      </x:c>
      <x:c r="J208" s="38" t="str">
        <x:v>百臂丑牛＋关隘铁甲</x:v>
      </x:c>
      <x:c r="K208" s="38" t="str">
        <x:v>关隘铁甲</x:v>
      </x:c>
      <x:c r="L208" s="38" t="str">
        <x:v>待经济反算</x:v>
      </x:c>
      <x:c r="M208" s="38" t="str">
        <x:v>待经济反算</x:v>
      </x:c>
      <x:c r="N208" s="38" t="str">
        <x:v>是</x:v>
      </x:c>
      <x:c r="O208" s="38" t="str">
        <x:v>否</x:v>
      </x:c>
      <x:c r="P208" s="38" t="str">
        <x:v>否</x:v>
      </x:c>
      <x:c r="Q208" s="38" t="str">
        <x:v>是</x:v>
      </x:c>
      <x:c r="R208" s="38" t="str">
        <x:v>是</x:v>
      </x:c>
      <x:c r="S208" s="38" t="str">
        <x:v>可交易（沿用原物品规则）</x:v>
      </x:c>
      <x:c r="T208" s="38" t="str">
        <x:v>沿用原物品；若为合成成品则禁止回收</x:v>
      </x:c>
      <x:c r="U208" s="38" t="str">
        <x:v>沿用配方交易/绑定列</x:v>
      </x:c>
      <x:c r="V208" s="38" t="str">
        <x:v>结构已确认；数量待经济反算</x:v>
      </x:c>
      <x:c r="W208" s="39" t="str"/>
    </x:row>
    <x:row r="209" ht="42" customHeight="1">
      <x:c r="A209" s="37" t="str">
        <x:v>CON-C02-SYN-ZD-01-0205</x:v>
      </x:c>
      <x:c r="B209" s="38" t="str">
        <x:v>配方输入</x:v>
      </x:c>
      <x:c r="C209" s="38" t="str">
        <x:v>C02-SYN-ZD-01</x:v>
      </x:c>
      <x:c r="D209" s="38" t="str">
        <x:v>C02</x:v>
      </x:c>
      <x:c r="E209" s="38" t="str">
        <x:v>EL-MAT-C02-COM</x:v>
      </x:c>
      <x:c r="F209" s="38" t="str">
        <x:v>风暴石片</x:v>
      </x:c>
      <x:c r="G209" s="38" t="str"/>
      <x:c r="H209" s="38" t="str">
        <x:v>高产通用材料</x:v>
      </x:c>
      <x:c r="I209" s="38" t="str">
        <x:v>高产通用材料</x:v>
      </x:c>
      <x:c r="J209" s="38" t="str">
        <x:v>风暴石片</x:v>
      </x:c>
      <x:c r="K209" s="38" t="str">
        <x:v>风暴石片</x:v>
      </x:c>
      <x:c r="L209" s="38" t="str">
        <x:v>待经济反算</x:v>
      </x:c>
      <x:c r="M209" s="38" t="str">
        <x:v>待经济反算</x:v>
      </x:c>
      <x:c r="N209" s="38" t="str">
        <x:v>是</x:v>
      </x:c>
      <x:c r="O209" s="38" t="str">
        <x:v>否</x:v>
      </x:c>
      <x:c r="P209" s="38" t="str">
        <x:v>否</x:v>
      </x:c>
      <x:c r="Q209" s="38" t="str">
        <x:v>是</x:v>
      </x:c>
      <x:c r="R209" s="38" t="str">
        <x:v>是</x:v>
      </x:c>
      <x:c r="S209" s="38" t="str">
        <x:v>可交易</x:v>
      </x:c>
      <x:c r="T209" s="38" t="str">
        <x:v>R2档金币／元宝主回收口</x:v>
      </x:c>
      <x:c r="U209" s="38" t="str">
        <x:v>产出实物默认不绑定，按现行材料脚本</x:v>
      </x:c>
      <x:c r="V209" s="38" t="str">
        <x:v>结构已确认；数量待经济反算</x:v>
      </x:c>
      <x:c r="W209" s="39" t="str"/>
    </x:row>
    <x:row r="210" ht="42" customHeight="1">
      <x:c r="A210" s="37" t="str">
        <x:v>CON-C02-SYN-ZD-01-0206</x:v>
      </x:c>
      <x:c r="B210" s="38" t="str">
        <x:v>配方输入</x:v>
      </x:c>
      <x:c r="C210" s="38" t="str">
        <x:v>C02-SYN-ZD-01</x:v>
      </x:c>
      <x:c r="D210" s="38" t="str">
        <x:v>C02</x:v>
      </x:c>
      <x:c r="E210" s="38" t="str">
        <x:v>EL-MAT-C02-MARK</x:v>
      </x:c>
      <x:c r="F210" s="38" t="str">
        <x:v>接肢王印</x:v>
      </x:c>
      <x:c r="G210" s="38" t="str"/>
      <x:c r="H210" s="38" t="str">
        <x:v>稀有/证物材料</x:v>
      </x:c>
      <x:c r="I210" s="38" t="str">
        <x:v>稀有/证物材料</x:v>
      </x:c>
      <x:c r="J210" s="38" t="str">
        <x:v>接肢王印</x:v>
      </x:c>
      <x:c r="K210" s="38" t="str">
        <x:v>接肢王印</x:v>
      </x:c>
      <x:c r="L210" s="38" t="str">
        <x:v>待经济反算</x:v>
      </x:c>
      <x:c r="M210" s="38" t="str">
        <x:v>待经济反算</x:v>
      </x:c>
      <x:c r="N210" s="38" t="str">
        <x:v>是</x:v>
      </x:c>
      <x:c r="O210" s="38" t="str">
        <x:v>否</x:v>
      </x:c>
      <x:c r="P210" s="38" t="str">
        <x:v>否</x:v>
      </x:c>
      <x:c r="Q210" s="38" t="str">
        <x:v>是</x:v>
      </x:c>
      <x:c r="R210" s="38" t="str">
        <x:v>是</x:v>
      </x:c>
      <x:c r="S210" s="38" t="str">
        <x:v>可交易</x:v>
      </x:c>
      <x:c r="T210" s="38" t="str">
        <x:v>不作为自动回收主材</x:v>
      </x:c>
      <x:c r="U210" s="38" t="str">
        <x:v>产出实物默认不绑定，按现行材料脚本</x:v>
      </x:c>
      <x:c r="V210" s="38" t="str">
        <x:v>结构已确认；数量待经济反算</x:v>
      </x:c>
      <x:c r="W210" s="39" t="str"/>
    </x:row>
    <x:row r="211" ht="42" customHeight="1">
      <x:c r="A211" s="37" t="str">
        <x:v>CON-C02-SYN-ZD-01-0207</x:v>
      </x:c>
      <x:c r="B211" s="38" t="str">
        <x:v>配方输入</x:v>
      </x:c>
      <x:c r="C211" s="38" t="str">
        <x:v>C02-SYN-ZD-01</x:v>
      </x:c>
      <x:c r="D211" s="38" t="str">
        <x:v>C02</x:v>
      </x:c>
      <x:c r="E211" s="38" t="str">
        <x:v>CUR-YUANBAO</x:v>
      </x:c>
      <x:c r="F211" s="38" t="str">
        <x:v>元宝</x:v>
      </x:c>
      <x:c r="G211" s="38" t="str"/>
      <x:c r="H211" s="38" t="str">
        <x:v>金币/元宝/灵符</x:v>
      </x:c>
      <x:c r="I211" s="38" t="str">
        <x:v>货币</x:v>
      </x:c>
      <x:c r="J211" s="38" t="str">
        <x:v>元宝</x:v>
      </x:c>
      <x:c r="K211" s="38" t="str">
        <x:v>元宝</x:v>
      </x:c>
      <x:c r="L211" s="38" t="str">
        <x:v>待经济反算</x:v>
      </x:c>
      <x:c r="M211" s="38" t="str">
        <x:v>待经济反算</x:v>
      </x:c>
      <x:c r="N211" s="38" t="str">
        <x:v>是</x:v>
      </x:c>
      <x:c r="O211" s="38" t="str">
        <x:v>否</x:v>
      </x:c>
      <x:c r="P211" s="38" t="str">
        <x:v>否</x:v>
      </x:c>
      <x:c r="Q211" s="38" t="str">
        <x:v>是</x:v>
      </x:c>
      <x:c r="R211" s="38" t="str">
        <x:v>是</x:v>
      </x:c>
      <x:c r="S211" s="38" t="str">
        <x:v>不进入玩家摆摊；通过交易物间接流通</x:v>
      </x:c>
      <x:c r="T211" s="38" t="str">
        <x:v>货币本身不可回收</x:v>
      </x:c>
      <x:c r="U211" s="38" t="str">
        <x:v>沿用现行货币账户</x:v>
      </x:c>
      <x:c r="V211" s="38" t="str">
        <x:v>结构已确认；数量待经济反算</x:v>
      </x:c>
      <x:c r="W211" s="39" t="str"/>
    </x:row>
    <x:row r="212" ht="42" customHeight="1">
      <x:c r="A212" s="37" t="str">
        <x:v>CON-C03-SYN-ZD-01-0208</x:v>
      </x:c>
      <x:c r="B212" s="38" t="str">
        <x:v>配方输入</x:v>
      </x:c>
      <x:c r="C212" s="38" t="str">
        <x:v>C03-SYN-ZD-01</x:v>
      </x:c>
      <x:c r="D212" s="38" t="str">
        <x:v>C03</x:v>
      </x:c>
      <x:c r="E212" s="38" t="str">
        <x:v>ITEM-A494567069EB</x:v>
      </x:c>
      <x:c r="F212" s="38" t="str">
        <x:v>猎犬辰龙</x:v>
      </x:c>
      <x:c r="G212" s="38" t="str"/>
      <x:c r="H212" s="38" t="str">
        <x:v>基础件/前置</x:v>
      </x:c>
      <x:c r="I212" s="38" t="str">
        <x:v>基础件/前置</x:v>
      </x:c>
      <x:c r="J212" s="38" t="str">
        <x:v>猎犬辰龙＋裂风战旗刃</x:v>
      </x:c>
      <x:c r="K212" s="38" t="str">
        <x:v>猎犬辰龙</x:v>
      </x:c>
      <x:c r="L212" s="38" t="str">
        <x:v>待经济反算</x:v>
      </x:c>
      <x:c r="M212" s="38" t="str">
        <x:v>待经济反算</x:v>
      </x:c>
      <x:c r="N212" s="38" t="str">
        <x:v>是</x:v>
      </x:c>
      <x:c r="O212" s="38" t="str">
        <x:v>否</x:v>
      </x:c>
      <x:c r="P212" s="38" t="str">
        <x:v>否</x:v>
      </x:c>
      <x:c r="Q212" s="38" t="str">
        <x:v>是</x:v>
      </x:c>
      <x:c r="R212" s="38" t="str">
        <x:v>是</x:v>
      </x:c>
      <x:c r="S212" s="38" t="str">
        <x:v>可交易（沿用原物品规则）</x:v>
      </x:c>
      <x:c r="T212" s="38" t="str">
        <x:v>沿用原物品；若为合成成品则禁止回收</x:v>
      </x:c>
      <x:c r="U212" s="38" t="str">
        <x:v>沿用配方交易/绑定列</x:v>
      </x:c>
      <x:c r="V212" s="38" t="str">
        <x:v>结构已确认；数量待经济反算</x:v>
      </x:c>
      <x:c r="W212" s="39" t="str"/>
    </x:row>
    <x:row r="213" ht="42" customHeight="1">
      <x:c r="A213" s="37" t="str">
        <x:v>CON-C03-SYN-ZD-01-0209</x:v>
      </x:c>
      <x:c r="B213" s="38" t="str">
        <x:v>配方输入</x:v>
      </x:c>
      <x:c r="C213" s="38" t="str">
        <x:v>C03-SYN-ZD-01</x:v>
      </x:c>
      <x:c r="D213" s="38" t="str">
        <x:v>C03</x:v>
      </x:c>
      <x:c r="E213" s="38" t="str">
        <x:v>ITEM-98512430236A</x:v>
      </x:c>
      <x:c r="F213" s="38" t="str">
        <x:v>裂风战旗刃</x:v>
      </x:c>
      <x:c r="G213" s="38" t="str"/>
      <x:c r="H213" s="38" t="str">
        <x:v>基础件/前置</x:v>
      </x:c>
      <x:c r="I213" s="38" t="str">
        <x:v>基础件/前置</x:v>
      </x:c>
      <x:c r="J213" s="38" t="str">
        <x:v>猎犬辰龙＋裂风战旗刃</x:v>
      </x:c>
      <x:c r="K213" s="38" t="str">
        <x:v>裂风战旗刃</x:v>
      </x:c>
      <x:c r="L213" s="38" t="str">
        <x:v>待经济反算</x:v>
      </x:c>
      <x:c r="M213" s="38" t="str">
        <x:v>待经济反算</x:v>
      </x:c>
      <x:c r="N213" s="38" t="str">
        <x:v>是</x:v>
      </x:c>
      <x:c r="O213" s="38" t="str">
        <x:v>否</x:v>
      </x:c>
      <x:c r="P213" s="38" t="str">
        <x:v>否</x:v>
      </x:c>
      <x:c r="Q213" s="38" t="str">
        <x:v>是</x:v>
      </x:c>
      <x:c r="R213" s="38" t="str">
        <x:v>是</x:v>
      </x:c>
      <x:c r="S213" s="38" t="str">
        <x:v>可交易（沿用原物品规则）</x:v>
      </x:c>
      <x:c r="T213" s="38" t="str">
        <x:v>沿用原物品；若为合成成品则禁止回收</x:v>
      </x:c>
      <x:c r="U213" s="38" t="str">
        <x:v>沿用配方交易/绑定列</x:v>
      </x:c>
      <x:c r="V213" s="38" t="str">
        <x:v>结构已确认；数量待经济反算</x:v>
      </x:c>
      <x:c r="W213" s="39" t="str"/>
    </x:row>
    <x:row r="214" ht="42" customHeight="1">
      <x:c r="A214" s="37" t="str">
        <x:v>CON-C03-SYN-ZD-01-0210</x:v>
      </x:c>
      <x:c r="B214" s="38" t="str">
        <x:v>配方输入</x:v>
      </x:c>
      <x:c r="C214" s="38" t="str">
        <x:v>C03-SYN-ZD-01</x:v>
      </x:c>
      <x:c r="D214" s="38" t="str">
        <x:v>C03</x:v>
      </x:c>
      <x:c r="E214" s="38" t="str">
        <x:v>EL-MAT-C03-COM</x:v>
      </x:c>
      <x:c r="F214" s="38" t="str">
        <x:v>风蚀铁片</x:v>
      </x:c>
      <x:c r="G214" s="38" t="str"/>
      <x:c r="H214" s="38" t="str">
        <x:v>高产通用材料</x:v>
      </x:c>
      <x:c r="I214" s="38" t="str">
        <x:v>高产通用材料</x:v>
      </x:c>
      <x:c r="J214" s="38" t="str">
        <x:v>风蚀铁片</x:v>
      </x:c>
      <x:c r="K214" s="38" t="str">
        <x:v>风蚀铁片</x:v>
      </x:c>
      <x:c r="L214" s="38" t="str">
        <x:v>待经济反算</x:v>
      </x:c>
      <x:c r="M214" s="38" t="str">
        <x:v>待经济反算</x:v>
      </x:c>
      <x:c r="N214" s="38" t="str">
        <x:v>是</x:v>
      </x:c>
      <x:c r="O214" s="38" t="str">
        <x:v>否</x:v>
      </x:c>
      <x:c r="P214" s="38" t="str">
        <x:v>否</x:v>
      </x:c>
      <x:c r="Q214" s="38" t="str">
        <x:v>是</x:v>
      </x:c>
      <x:c r="R214" s="38" t="str">
        <x:v>是</x:v>
      </x:c>
      <x:c r="S214" s="38" t="str">
        <x:v>可交易</x:v>
      </x:c>
      <x:c r="T214" s="38" t="str">
        <x:v>R3档金币／元宝主回收口</x:v>
      </x:c>
      <x:c r="U214" s="38" t="str">
        <x:v>产出实物默认不绑定，按现行材料脚本</x:v>
      </x:c>
      <x:c r="V214" s="38" t="str">
        <x:v>结构已确认；数量待经济反算</x:v>
      </x:c>
      <x:c r="W214" s="39" t="str"/>
    </x:row>
    <x:row r="215" ht="42" customHeight="1">
      <x:c r="A215" s="37" t="str">
        <x:v>CON-C03-SYN-ZD-01-0211</x:v>
      </x:c>
      <x:c r="B215" s="38" t="str">
        <x:v>配方输入</x:v>
      </x:c>
      <x:c r="C215" s="38" t="str">
        <x:v>C03-SYN-ZD-01</x:v>
      </x:c>
      <x:c r="D215" s="38" t="str">
        <x:v>C03</x:v>
      </x:c>
      <x:c r="E215" s="38" t="str">
        <x:v>EL-MAT-C03-MARK</x:v>
      </x:c>
      <x:c r="F215" s="38" t="str">
        <x:v>西境战旗印</x:v>
      </x:c>
      <x:c r="G215" s="38" t="str"/>
      <x:c r="H215" s="38" t="str">
        <x:v>稀有/证物材料</x:v>
      </x:c>
      <x:c r="I215" s="38" t="str">
        <x:v>稀有/证物材料</x:v>
      </x:c>
      <x:c r="J215" s="38" t="str">
        <x:v>西境战旗印</x:v>
      </x:c>
      <x:c r="K215" s="38" t="str">
        <x:v>西境战旗印</x:v>
      </x:c>
      <x:c r="L215" s="38" t="str">
        <x:v>待经济反算</x:v>
      </x:c>
      <x:c r="M215" s="38" t="str">
        <x:v>待经济反算</x:v>
      </x:c>
      <x:c r="N215" s="38" t="str">
        <x:v>是</x:v>
      </x:c>
      <x:c r="O215" s="38" t="str">
        <x:v>否</x:v>
      </x:c>
      <x:c r="P215" s="38" t="str">
        <x:v>否</x:v>
      </x:c>
      <x:c r="Q215" s="38" t="str">
        <x:v>是</x:v>
      </x:c>
      <x:c r="R215" s="38" t="str">
        <x:v>是</x:v>
      </x:c>
      <x:c r="S215" s="38" t="str">
        <x:v>可交易</x:v>
      </x:c>
      <x:c r="T215" s="38" t="str">
        <x:v>不作为自动回收主材</x:v>
      </x:c>
      <x:c r="U215" s="38" t="str">
        <x:v>产出实物默认不绑定，按现行材料脚本</x:v>
      </x:c>
      <x:c r="V215" s="38" t="str">
        <x:v>结构已确认；数量待经济反算</x:v>
      </x:c>
      <x:c r="W215" s="39" t="str"/>
    </x:row>
    <x:row r="216" ht="42" customHeight="1">
      <x:c r="A216" s="37" t="str">
        <x:v>CON-C03-SYN-ZD-01-0212</x:v>
      </x:c>
      <x:c r="B216" s="38" t="str">
        <x:v>配方输入</x:v>
      </x:c>
      <x:c r="C216" s="38" t="str">
        <x:v>C03-SYN-ZD-01</x:v>
      </x:c>
      <x:c r="D216" s="38" t="str">
        <x:v>C03</x:v>
      </x:c>
      <x:c r="E216" s="38" t="str">
        <x:v>CUR-GOLD</x:v>
      </x:c>
      <x:c r="F216" s="38" t="str">
        <x:v>金币</x:v>
      </x:c>
      <x:c r="G216" s="38" t="str"/>
      <x:c r="H216" s="38" t="str">
        <x:v>金币/元宝/灵符</x:v>
      </x:c>
      <x:c r="I216" s="38" t="str">
        <x:v>货币</x:v>
      </x:c>
      <x:c r="J216" s="38" t="str">
        <x:v>金币</x:v>
      </x:c>
      <x:c r="K216" s="38" t="str">
        <x:v>金币</x:v>
      </x:c>
      <x:c r="L216" s="38" t="str">
        <x:v>待经济反算</x:v>
      </x:c>
      <x:c r="M216" s="38" t="str">
        <x:v>待经济反算</x:v>
      </x:c>
      <x:c r="N216" s="38" t="str">
        <x:v>是</x:v>
      </x:c>
      <x:c r="O216" s="38" t="str">
        <x:v>否</x:v>
      </x:c>
      <x:c r="P216" s="38" t="str">
        <x:v>否</x:v>
      </x:c>
      <x:c r="Q216" s="38" t="str">
        <x:v>是</x:v>
      </x:c>
      <x:c r="R216" s="38" t="str">
        <x:v>是</x:v>
      </x:c>
      <x:c r="S216" s="38" t="str">
        <x:v>不进入玩家摆摊；通过交易物间接流通</x:v>
      </x:c>
      <x:c r="T216" s="38" t="str">
        <x:v>货币本身不可回收</x:v>
      </x:c>
      <x:c r="U216" s="38" t="str">
        <x:v>沿用现行货币账户</x:v>
      </x:c>
      <x:c r="V216" s="38" t="str">
        <x:v>结构已确认；数量待经济反算</x:v>
      </x:c>
      <x:c r="W216" s="39" t="str"/>
    </x:row>
    <x:row r="217" ht="42" customHeight="1">
      <x:c r="A217" s="37" t="str">
        <x:v>CON-C04-SYN-ZD-01-0213</x:v>
      </x:c>
      <x:c r="B217" s="38" t="str">
        <x:v>配方输入</x:v>
      </x:c>
      <x:c r="C217" s="38" t="str">
        <x:v>C04-SYN-ZD-01</x:v>
      </x:c>
      <x:c r="D217" s="38" t="str">
        <x:v>C04</x:v>
      </x:c>
      <x:c r="E217" s="38" t="str">
        <x:v>ITEM-974B92CD8127</x:v>
      </x:c>
      <x:c r="F217" s="38" t="str">
        <x:v>祖魂巳蛇</x:v>
      </x:c>
      <x:c r="G217" s="38" t="str"/>
      <x:c r="H217" s="38" t="str">
        <x:v>基础件/前置</x:v>
      </x:c>
      <x:c r="I217" s="38" t="str">
        <x:v>基础件/前置</x:v>
      </x:c>
      <x:c r="J217" s="38" t="str">
        <x:v>祖魂巳蛇＋罗缇的回流剑</x:v>
      </x:c>
      <x:c r="K217" s="38" t="str">
        <x:v>祖魂巳蛇</x:v>
      </x:c>
      <x:c r="L217" s="38" t="str">
        <x:v>待经济反算</x:v>
      </x:c>
      <x:c r="M217" s="38" t="str">
        <x:v>待经济反算</x:v>
      </x:c>
      <x:c r="N217" s="38" t="str">
        <x:v>是</x:v>
      </x:c>
      <x:c r="O217" s="38" t="str">
        <x:v>否</x:v>
      </x:c>
      <x:c r="P217" s="38" t="str">
        <x:v>否</x:v>
      </x:c>
      <x:c r="Q217" s="38" t="str">
        <x:v>是</x:v>
      </x:c>
      <x:c r="R217" s="38" t="str">
        <x:v>是</x:v>
      </x:c>
      <x:c r="S217" s="38" t="str">
        <x:v>可交易（沿用原物品规则）</x:v>
      </x:c>
      <x:c r="T217" s="38" t="str">
        <x:v>沿用原物品；若为合成成品则禁止回收</x:v>
      </x:c>
      <x:c r="U217" s="38" t="str">
        <x:v>沿用配方交易/绑定列</x:v>
      </x:c>
      <x:c r="V217" s="38" t="str">
        <x:v>结构已确认；数量待经济反算</x:v>
      </x:c>
      <x:c r="W217" s="39" t="str"/>
    </x:row>
    <x:row r="218" ht="42" customHeight="1">
      <x:c r="A218" s="37" t="str">
        <x:v>CON-C04-SYN-ZD-01-0214</x:v>
      </x:c>
      <x:c r="B218" s="38" t="str">
        <x:v>配方输入</x:v>
      </x:c>
      <x:c r="C218" s="38" t="str">
        <x:v>C04-SYN-ZD-01</x:v>
      </x:c>
      <x:c r="D218" s="38" t="str">
        <x:v>C04</x:v>
      </x:c>
      <x:c r="E218" s="38" t="str">
        <x:v>ITEM-167C99E31FFB</x:v>
      </x:c>
      <x:c r="F218" s="38" t="str">
        <x:v>罗缇的回流剑</x:v>
      </x:c>
      <x:c r="G218" s="38" t="str"/>
      <x:c r="H218" s="38" t="str">
        <x:v>基础件/前置</x:v>
      </x:c>
      <x:c r="I218" s="38" t="str">
        <x:v>基础件/前置</x:v>
      </x:c>
      <x:c r="J218" s="38" t="str">
        <x:v>祖魂巳蛇＋罗缇的回流剑</x:v>
      </x:c>
      <x:c r="K218" s="38" t="str">
        <x:v>罗缇的回流剑</x:v>
      </x:c>
      <x:c r="L218" s="38" t="str">
        <x:v>待经济反算</x:v>
      </x:c>
      <x:c r="M218" s="38" t="str">
        <x:v>待经济反算</x:v>
      </x:c>
      <x:c r="N218" s="38" t="str">
        <x:v>是</x:v>
      </x:c>
      <x:c r="O218" s="38" t="str">
        <x:v>否</x:v>
      </x:c>
      <x:c r="P218" s="38" t="str">
        <x:v>否</x:v>
      </x:c>
      <x:c r="Q218" s="38" t="str">
        <x:v>是</x:v>
      </x:c>
      <x:c r="R218" s="38" t="str">
        <x:v>是</x:v>
      </x:c>
      <x:c r="S218" s="38" t="str">
        <x:v>可交易（沿用原物品规则）</x:v>
      </x:c>
      <x:c r="T218" s="38" t="str">
        <x:v>沿用原物品；若为合成成品则禁止回收</x:v>
      </x:c>
      <x:c r="U218" s="38" t="str">
        <x:v>沿用配方交易/绑定列</x:v>
      </x:c>
      <x:c r="V218" s="38" t="str">
        <x:v>结构已确认；数量待经济反算</x:v>
      </x:c>
      <x:c r="W218" s="39" t="str"/>
    </x:row>
    <x:row r="219" ht="42" customHeight="1">
      <x:c r="A219" s="37" t="str">
        <x:v>CON-C04-SYN-ZD-01-0215</x:v>
      </x:c>
      <x:c r="B219" s="38" t="str">
        <x:v>配方输入</x:v>
      </x:c>
      <x:c r="C219" s="38" t="str">
        <x:v>C04-SYN-ZD-01</x:v>
      </x:c>
      <x:c r="D219" s="38" t="str">
        <x:v>C04</x:v>
      </x:c>
      <x:c r="E219" s="38" t="str">
        <x:v>EL-MAT-C04-COM</x:v>
      </x:c>
      <x:c r="F219" s="38" t="str">
        <x:v>湖盐结晶</x:v>
      </x:c>
      <x:c r="G219" s="38" t="str"/>
      <x:c r="H219" s="38" t="str">
        <x:v>高产通用材料</x:v>
      </x:c>
      <x:c r="I219" s="38" t="str">
        <x:v>高产通用材料</x:v>
      </x:c>
      <x:c r="J219" s="38" t="str">
        <x:v>湖盐结晶</x:v>
      </x:c>
      <x:c r="K219" s="38" t="str">
        <x:v>湖盐结晶</x:v>
      </x:c>
      <x:c r="L219" s="38" t="str">
        <x:v>待经济反算</x:v>
      </x:c>
      <x:c r="M219" s="38" t="str">
        <x:v>待经济反算</x:v>
      </x:c>
      <x:c r="N219" s="38" t="str">
        <x:v>是</x:v>
      </x:c>
      <x:c r="O219" s="38" t="str">
        <x:v>否</x:v>
      </x:c>
      <x:c r="P219" s="38" t="str">
        <x:v>否</x:v>
      </x:c>
      <x:c r="Q219" s="38" t="str">
        <x:v>是</x:v>
      </x:c>
      <x:c r="R219" s="38" t="str">
        <x:v>是</x:v>
      </x:c>
      <x:c r="S219" s="38" t="str">
        <x:v>可交易</x:v>
      </x:c>
      <x:c r="T219" s="38" t="str">
        <x:v>R4档金币／元宝主回收口</x:v>
      </x:c>
      <x:c r="U219" s="38" t="str">
        <x:v>产出实物默认不绑定，按现行材料脚本</x:v>
      </x:c>
      <x:c r="V219" s="38" t="str">
        <x:v>结构已确认；数量待经济反算</x:v>
      </x:c>
      <x:c r="W219" s="39" t="str"/>
    </x:row>
    <x:row r="220" ht="42" customHeight="1">
      <x:c r="A220" s="37" t="str">
        <x:v>CON-C04-SYN-ZD-01-0216</x:v>
      </x:c>
      <x:c r="B220" s="38" t="str">
        <x:v>配方输入</x:v>
      </x:c>
      <x:c r="C220" s="38" t="str">
        <x:v>C04-SYN-ZD-01</x:v>
      </x:c>
      <x:c r="D220" s="38" t="str">
        <x:v>C04</x:v>
      </x:c>
      <x:c r="E220" s="38" t="str">
        <x:v>EL-MAT-C04-MARK</x:v>
      </x:c>
      <x:c r="F220" s="38" t="str">
        <x:v>沉湖王印</x:v>
      </x:c>
      <x:c r="G220" s="38" t="str"/>
      <x:c r="H220" s="38" t="str">
        <x:v>稀有/证物材料</x:v>
      </x:c>
      <x:c r="I220" s="38" t="str">
        <x:v>稀有/证物材料</x:v>
      </x:c>
      <x:c r="J220" s="38" t="str">
        <x:v>沉湖王印</x:v>
      </x:c>
      <x:c r="K220" s="38" t="str">
        <x:v>沉湖王印</x:v>
      </x:c>
      <x:c r="L220" s="38" t="str">
        <x:v>待经济反算</x:v>
      </x:c>
      <x:c r="M220" s="38" t="str">
        <x:v>待经济反算</x:v>
      </x:c>
      <x:c r="N220" s="38" t="str">
        <x:v>是</x:v>
      </x:c>
      <x:c r="O220" s="38" t="str">
        <x:v>否</x:v>
      </x:c>
      <x:c r="P220" s="38" t="str">
        <x:v>否</x:v>
      </x:c>
      <x:c r="Q220" s="38" t="str">
        <x:v>是</x:v>
      </x:c>
      <x:c r="R220" s="38" t="str">
        <x:v>是</x:v>
      </x:c>
      <x:c r="S220" s="38" t="str">
        <x:v>可交易</x:v>
      </x:c>
      <x:c r="T220" s="38" t="str">
        <x:v>不作为自动回收主材</x:v>
      </x:c>
      <x:c r="U220" s="38" t="str">
        <x:v>产出实物默认不绑定，按现行材料脚本</x:v>
      </x:c>
      <x:c r="V220" s="38" t="str">
        <x:v>结构已确认；数量待经济反算</x:v>
      </x:c>
      <x:c r="W220" s="39" t="str"/>
    </x:row>
    <x:row r="221" ht="42" customHeight="1">
      <x:c r="A221" s="37" t="str">
        <x:v>CON-C04-SYN-ZD-01-0217</x:v>
      </x:c>
      <x:c r="B221" s="38" t="str">
        <x:v>配方输入</x:v>
      </x:c>
      <x:c r="C221" s="38" t="str">
        <x:v>C04-SYN-ZD-01</x:v>
      </x:c>
      <x:c r="D221" s="38" t="str">
        <x:v>C04</x:v>
      </x:c>
      <x:c r="E221" s="38" t="str">
        <x:v>CUR-GOLD</x:v>
      </x:c>
      <x:c r="F221" s="38" t="str">
        <x:v>金币</x:v>
      </x:c>
      <x:c r="G221" s="38" t="str"/>
      <x:c r="H221" s="38" t="str">
        <x:v>金币/元宝/灵符</x:v>
      </x:c>
      <x:c r="I221" s="38" t="str">
        <x:v>货币</x:v>
      </x:c>
      <x:c r="J221" s="38" t="str">
        <x:v>金币＋元宝</x:v>
      </x:c>
      <x:c r="K221" s="38" t="str">
        <x:v>金币</x:v>
      </x:c>
      <x:c r="L221" s="38" t="str">
        <x:v>待经济反算</x:v>
      </x:c>
      <x:c r="M221" s="38" t="str">
        <x:v>待经济反算</x:v>
      </x:c>
      <x:c r="N221" s="38" t="str">
        <x:v>是</x:v>
      </x:c>
      <x:c r="O221" s="38" t="str">
        <x:v>否</x:v>
      </x:c>
      <x:c r="P221" s="38" t="str">
        <x:v>否</x:v>
      </x:c>
      <x:c r="Q221" s="38" t="str">
        <x:v>是</x:v>
      </x:c>
      <x:c r="R221" s="38" t="str">
        <x:v>是</x:v>
      </x:c>
      <x:c r="S221" s="38" t="str">
        <x:v>不进入玩家摆摊；通过交易物间接流通</x:v>
      </x:c>
      <x:c r="T221" s="38" t="str">
        <x:v>货币本身不可回收</x:v>
      </x:c>
      <x:c r="U221" s="38" t="str">
        <x:v>沿用现行货币账户</x:v>
      </x:c>
      <x:c r="V221" s="38" t="str">
        <x:v>结构已确认；数量待经济反算</x:v>
      </x:c>
      <x:c r="W221" s="39" t="str"/>
    </x:row>
    <x:row r="222" ht="42" customHeight="1">
      <x:c r="A222" s="37" t="str">
        <x:v>CON-C04-SYN-ZD-01-0218</x:v>
      </x:c>
      <x:c r="B222" s="38" t="str">
        <x:v>配方输入</x:v>
      </x:c>
      <x:c r="C222" s="38" t="str">
        <x:v>C04-SYN-ZD-01</x:v>
      </x:c>
      <x:c r="D222" s="38" t="str">
        <x:v>C04</x:v>
      </x:c>
      <x:c r="E222" s="38" t="str">
        <x:v>CUR-YUANBAO</x:v>
      </x:c>
      <x:c r="F222" s="38" t="str">
        <x:v>元宝</x:v>
      </x:c>
      <x:c r="G222" s="38" t="str"/>
      <x:c r="H222" s="38" t="str">
        <x:v>金币/元宝/灵符</x:v>
      </x:c>
      <x:c r="I222" s="38" t="str">
        <x:v>货币</x:v>
      </x:c>
      <x:c r="J222" s="38" t="str">
        <x:v>金币＋元宝</x:v>
      </x:c>
      <x:c r="K222" s="38" t="str">
        <x:v>元宝</x:v>
      </x:c>
      <x:c r="L222" s="38" t="str">
        <x:v>待经济反算</x:v>
      </x:c>
      <x:c r="M222" s="38" t="str">
        <x:v>待经济反算</x:v>
      </x:c>
      <x:c r="N222" s="38" t="str">
        <x:v>是</x:v>
      </x:c>
      <x:c r="O222" s="38" t="str">
        <x:v>否</x:v>
      </x:c>
      <x:c r="P222" s="38" t="str">
        <x:v>否</x:v>
      </x:c>
      <x:c r="Q222" s="38" t="str">
        <x:v>是</x:v>
      </x:c>
      <x:c r="R222" s="38" t="str">
        <x:v>是</x:v>
      </x:c>
      <x:c r="S222" s="38" t="str">
        <x:v>不进入玩家摆摊；通过交易物间接流通</x:v>
      </x:c>
      <x:c r="T222" s="38" t="str">
        <x:v>货币本身不可回收</x:v>
      </x:c>
      <x:c r="U222" s="38" t="str">
        <x:v>沿用现行货币账户</x:v>
      </x:c>
      <x:c r="V222" s="38" t="str">
        <x:v>结构已确认；数量待经济反算</x:v>
      </x:c>
      <x:c r="W222" s="39" t="str"/>
    </x:row>
    <x:row r="223" ht="42" customHeight="1">
      <x:c r="A223" s="37" t="str">
        <x:v>CON-C05-SYN-ZD-01-0219</x:v>
      </x:c>
      <x:c r="B223" s="38" t="str">
        <x:v>配方输入</x:v>
      </x:c>
      <x:c r="C223" s="38" t="str">
        <x:v>C05-SYN-ZD-01</x:v>
      </x:c>
      <x:c r="D223" s="38" t="str">
        <x:v>C05</x:v>
      </x:c>
      <x:c r="E223" s="38" t="str">
        <x:v>ITEM-0F6A0B8FFF23</x:v>
      </x:c>
      <x:c r="F223" s="38" t="str">
        <x:v>无月卯兔</x:v>
      </x:c>
      <x:c r="G223" s="38" t="str"/>
      <x:c r="H223" s="38" t="str">
        <x:v>基础件/前置</x:v>
      </x:c>
      <x:c r="I223" s="38" t="str">
        <x:v>基础件/前置</x:v>
      </x:c>
      <x:c r="J223" s="38" t="str">
        <x:v>无月卯兔＋月契封印带</x:v>
      </x:c>
      <x:c r="K223" s="38" t="str">
        <x:v>无月卯兔</x:v>
      </x:c>
      <x:c r="L223" s="38" t="str">
        <x:v>待经济反算</x:v>
      </x:c>
      <x:c r="M223" s="38" t="str">
        <x:v>待经济反算</x:v>
      </x:c>
      <x:c r="N223" s="38" t="str">
        <x:v>是</x:v>
      </x:c>
      <x:c r="O223" s="38" t="str">
        <x:v>否</x:v>
      </x:c>
      <x:c r="P223" s="38" t="str">
        <x:v>否</x:v>
      </x:c>
      <x:c r="Q223" s="38" t="str">
        <x:v>是</x:v>
      </x:c>
      <x:c r="R223" s="38" t="str">
        <x:v>是</x:v>
      </x:c>
      <x:c r="S223" s="38" t="str">
        <x:v>可交易（沿用原物品规则）</x:v>
      </x:c>
      <x:c r="T223" s="38" t="str">
        <x:v>沿用原物品；若为合成成品则禁止回收</x:v>
      </x:c>
      <x:c r="U223" s="38" t="str">
        <x:v>沿用配方交易/绑定列</x:v>
      </x:c>
      <x:c r="V223" s="38" t="str">
        <x:v>结构已确认；数量待经济反算</x:v>
      </x:c>
      <x:c r="W223" s="39" t="str"/>
    </x:row>
    <x:row r="224" ht="42" customHeight="1">
      <x:c r="A224" s="37" t="str">
        <x:v>CON-C05-SYN-ZD-01-0220</x:v>
      </x:c>
      <x:c r="B224" s="38" t="str">
        <x:v>配方输入</x:v>
      </x:c>
      <x:c r="C224" s="38" t="str">
        <x:v>C05-SYN-ZD-01</x:v>
      </x:c>
      <x:c r="D224" s="38" t="str">
        <x:v>C05</x:v>
      </x:c>
      <x:c r="E224" s="38" t="str">
        <x:v>ITEM-9D39EE542B90</x:v>
      </x:c>
      <x:c r="F224" s="38" t="str">
        <x:v>月契封印带</x:v>
      </x:c>
      <x:c r="G224" s="38" t="str"/>
      <x:c r="H224" s="38" t="str">
        <x:v>基础件/前置</x:v>
      </x:c>
      <x:c r="I224" s="38" t="str">
        <x:v>基础件/前置</x:v>
      </x:c>
      <x:c r="J224" s="38" t="str">
        <x:v>无月卯兔＋月契封印带</x:v>
      </x:c>
      <x:c r="K224" s="38" t="str">
        <x:v>月契封印带</x:v>
      </x:c>
      <x:c r="L224" s="38" t="str">
        <x:v>待经济反算</x:v>
      </x:c>
      <x:c r="M224" s="38" t="str">
        <x:v>待经济反算</x:v>
      </x:c>
      <x:c r="N224" s="38" t="str">
        <x:v>是</x:v>
      </x:c>
      <x:c r="O224" s="38" t="str">
        <x:v>否</x:v>
      </x:c>
      <x:c r="P224" s="38" t="str">
        <x:v>否</x:v>
      </x:c>
      <x:c r="Q224" s="38" t="str">
        <x:v>是</x:v>
      </x:c>
      <x:c r="R224" s="38" t="str">
        <x:v>是</x:v>
      </x:c>
      <x:c r="S224" s="38" t="str">
        <x:v>可交易（沿用原物品规则）</x:v>
      </x:c>
      <x:c r="T224" s="38" t="str">
        <x:v>沿用原物品；若为合成成品则禁止回收</x:v>
      </x:c>
      <x:c r="U224" s="38" t="str">
        <x:v>沿用配方交易/绑定列</x:v>
      </x:c>
      <x:c r="V224" s="38" t="str">
        <x:v>结构已确认；数量待经济反算</x:v>
      </x:c>
      <x:c r="W224" s="39" t="str"/>
    </x:row>
    <x:row r="225" ht="42" customHeight="1">
      <x:c r="A225" s="37" t="str">
        <x:v>CON-C05-SYN-ZD-01-0221</x:v>
      </x:c>
      <x:c r="B225" s="38" t="str">
        <x:v>配方输入</x:v>
      </x:c>
      <x:c r="C225" s="38" t="str">
        <x:v>C05-SYN-ZD-01</x:v>
      </x:c>
      <x:c r="D225" s="38" t="str">
        <x:v>C05</x:v>
      </x:c>
      <x:c r="E225" s="38" t="str">
        <x:v>EL-MAT-C05-COM</x:v>
      </x:c>
      <x:c r="F225" s="38" t="str">
        <x:v>辉石碎晶</x:v>
      </x:c>
      <x:c r="G225" s="38" t="str"/>
      <x:c r="H225" s="38" t="str">
        <x:v>高产通用材料</x:v>
      </x:c>
      <x:c r="I225" s="38" t="str">
        <x:v>高产通用材料</x:v>
      </x:c>
      <x:c r="J225" s="38" t="str">
        <x:v>辉石碎晶</x:v>
      </x:c>
      <x:c r="K225" s="38" t="str">
        <x:v>辉石碎晶</x:v>
      </x:c>
      <x:c r="L225" s="38" t="str">
        <x:v>待经济反算</x:v>
      </x:c>
      <x:c r="M225" s="38" t="str">
        <x:v>待经济反算</x:v>
      </x:c>
      <x:c r="N225" s="38" t="str">
        <x:v>是</x:v>
      </x:c>
      <x:c r="O225" s="38" t="str">
        <x:v>否</x:v>
      </x:c>
      <x:c r="P225" s="38" t="str">
        <x:v>否</x:v>
      </x:c>
      <x:c r="Q225" s="38" t="str">
        <x:v>是</x:v>
      </x:c>
      <x:c r="R225" s="38" t="str">
        <x:v>是</x:v>
      </x:c>
      <x:c r="S225" s="38" t="str">
        <x:v>可交易</x:v>
      </x:c>
      <x:c r="T225" s="38" t="str">
        <x:v>R5档金币／元宝主回收口</x:v>
      </x:c>
      <x:c r="U225" s="38" t="str">
        <x:v>产出实物默认不绑定，按现行材料脚本</x:v>
      </x:c>
      <x:c r="V225" s="38" t="str">
        <x:v>结构已确认；数量待经济反算</x:v>
      </x:c>
      <x:c r="W225" s="39" t="str"/>
    </x:row>
    <x:row r="226" ht="42" customHeight="1">
      <x:c r="A226" s="37" t="str">
        <x:v>CON-C05-SYN-ZD-01-0222</x:v>
      </x:c>
      <x:c r="B226" s="38" t="str">
        <x:v>配方输入</x:v>
      </x:c>
      <x:c r="C226" s="38" t="str">
        <x:v>C05-SYN-ZD-01</x:v>
      </x:c>
      <x:c r="D226" s="38" t="str">
        <x:v>C05</x:v>
      </x:c>
      <x:c r="E226" s="38" t="str">
        <x:v>EL-MAT-C05-MARK</x:v>
      </x:c>
      <x:c r="F226" s="38" t="str">
        <x:v>满月王室印</x:v>
      </x:c>
      <x:c r="G226" s="38" t="str"/>
      <x:c r="H226" s="38" t="str">
        <x:v>稀有/证物材料</x:v>
      </x:c>
      <x:c r="I226" s="38" t="str">
        <x:v>稀有/证物材料</x:v>
      </x:c>
      <x:c r="J226" s="38" t="str">
        <x:v>满月王室印</x:v>
      </x:c>
      <x:c r="K226" s="38" t="str">
        <x:v>满月王室印</x:v>
      </x:c>
      <x:c r="L226" s="38" t="str">
        <x:v>待经济反算</x:v>
      </x:c>
      <x:c r="M226" s="38" t="str">
        <x:v>待经济反算</x:v>
      </x:c>
      <x:c r="N226" s="38" t="str">
        <x:v>是</x:v>
      </x:c>
      <x:c r="O226" s="38" t="str">
        <x:v>否</x:v>
      </x:c>
      <x:c r="P226" s="38" t="str">
        <x:v>否</x:v>
      </x:c>
      <x:c r="Q226" s="38" t="str">
        <x:v>是</x:v>
      </x:c>
      <x:c r="R226" s="38" t="str">
        <x:v>是</x:v>
      </x:c>
      <x:c r="S226" s="38" t="str">
        <x:v>可交易</x:v>
      </x:c>
      <x:c r="T226" s="38" t="str">
        <x:v>不作为自动回收主材</x:v>
      </x:c>
      <x:c r="U226" s="38" t="str">
        <x:v>产出实物默认不绑定，按现行材料脚本</x:v>
      </x:c>
      <x:c r="V226" s="38" t="str">
        <x:v>结构已确认；数量待经济反算</x:v>
      </x:c>
      <x:c r="W226" s="39" t="str"/>
    </x:row>
    <x:row r="227" ht="42" customHeight="1">
      <x:c r="A227" s="37" t="str">
        <x:v>CON-C05-SYN-ZD-01-0223</x:v>
      </x:c>
      <x:c r="B227" s="38" t="str">
        <x:v>配方输入</x:v>
      </x:c>
      <x:c r="C227" s="38" t="str">
        <x:v>C05-SYN-ZD-01</x:v>
      </x:c>
      <x:c r="D227" s="38" t="str">
        <x:v>C05</x:v>
      </x:c>
      <x:c r="E227" s="38" t="str">
        <x:v>CUR-YUANBAO</x:v>
      </x:c>
      <x:c r="F227" s="38" t="str">
        <x:v>元宝</x:v>
      </x:c>
      <x:c r="G227" s="38" t="str"/>
      <x:c r="H227" s="38" t="str">
        <x:v>金币/元宝/灵符</x:v>
      </x:c>
      <x:c r="I227" s="38" t="str">
        <x:v>货币</x:v>
      </x:c>
      <x:c r="J227" s="38" t="str">
        <x:v>元宝</x:v>
      </x:c>
      <x:c r="K227" s="38" t="str">
        <x:v>元宝</x:v>
      </x:c>
      <x:c r="L227" s="38" t="str">
        <x:v>待经济反算</x:v>
      </x:c>
      <x:c r="M227" s="38" t="str">
        <x:v>待经济反算</x:v>
      </x:c>
      <x:c r="N227" s="38" t="str">
        <x:v>是</x:v>
      </x:c>
      <x:c r="O227" s="38" t="str">
        <x:v>否</x:v>
      </x:c>
      <x:c r="P227" s="38" t="str">
        <x:v>否</x:v>
      </x:c>
      <x:c r="Q227" s="38" t="str">
        <x:v>是</x:v>
      </x:c>
      <x:c r="R227" s="38" t="str">
        <x:v>是</x:v>
      </x:c>
      <x:c r="S227" s="38" t="str">
        <x:v>不进入玩家摆摊；通过交易物间接流通</x:v>
      </x:c>
      <x:c r="T227" s="38" t="str">
        <x:v>货币本身不可回收</x:v>
      </x:c>
      <x:c r="U227" s="38" t="str">
        <x:v>沿用现行货币账户</x:v>
      </x:c>
      <x:c r="V227" s="38" t="str">
        <x:v>结构已确认；数量待经济反算</x:v>
      </x:c>
      <x:c r="W227" s="39" t="str"/>
    </x:row>
    <x:row r="228" ht="42" customHeight="1">
      <x:c r="A228" s="37" t="str">
        <x:v>CON-C06-SYN-ZD-01-0224</x:v>
      </x:c>
      <x:c r="B228" s="38" t="str">
        <x:v>配方输入</x:v>
      </x:c>
      <x:c r="C228" s="38" t="str">
        <x:v>C06-SYN-ZD-01</x:v>
      </x:c>
      <x:c r="D228" s="38" t="str">
        <x:v>C06</x:v>
      </x:c>
      <x:c r="E228" s="38" t="str">
        <x:v>ITEM-DA01729ABB3B</x:v>
      </x:c>
      <x:c r="F228" s="38" t="str">
        <x:v>长戟寅虎</x:v>
      </x:c>
      <x:c r="G228" s="38" t="str"/>
      <x:c r="H228" s="38" t="str">
        <x:v>基础件/前置</x:v>
      </x:c>
      <x:c r="I228" s="38" t="str">
        <x:v>基础件/前置</x:v>
      </x:c>
      <x:c r="J228" s="38" t="str">
        <x:v>长戟寅虎＋阿格纳龙牙</x:v>
      </x:c>
      <x:c r="K228" s="38" t="str">
        <x:v>长戟寅虎</x:v>
      </x:c>
      <x:c r="L228" s="38" t="str">
        <x:v>待经济反算</x:v>
      </x:c>
      <x:c r="M228" s="38" t="str">
        <x:v>待经济反算</x:v>
      </x:c>
      <x:c r="N228" s="38" t="str">
        <x:v>是</x:v>
      </x:c>
      <x:c r="O228" s="38" t="str">
        <x:v>否</x:v>
      </x:c>
      <x:c r="P228" s="38" t="str">
        <x:v>否</x:v>
      </x:c>
      <x:c r="Q228" s="38" t="str">
        <x:v>是</x:v>
      </x:c>
      <x:c r="R228" s="38" t="str">
        <x:v>是</x:v>
      </x:c>
      <x:c r="S228" s="38" t="str">
        <x:v>可交易（沿用原物品规则）</x:v>
      </x:c>
      <x:c r="T228" s="38" t="str">
        <x:v>沿用原物品；若为合成成品则禁止回收</x:v>
      </x:c>
      <x:c r="U228" s="38" t="str">
        <x:v>沿用配方交易/绑定列</x:v>
      </x:c>
      <x:c r="V228" s="38" t="str">
        <x:v>结构已确认；数量待经济反算</x:v>
      </x:c>
      <x:c r="W228" s="39" t="str"/>
    </x:row>
    <x:row r="229" ht="42" customHeight="1">
      <x:c r="A229" s="37" t="str">
        <x:v>CON-C06-SYN-ZD-01-0225</x:v>
      </x:c>
      <x:c r="B229" s="38" t="str">
        <x:v>配方输入</x:v>
      </x:c>
      <x:c r="C229" s="38" t="str">
        <x:v>C06-SYN-ZD-01</x:v>
      </x:c>
      <x:c r="D229" s="38" t="str">
        <x:v>C06</x:v>
      </x:c>
      <x:c r="E229" s="38" t="str">
        <x:v>ITEM-52FE2AC87BD2</x:v>
      </x:c>
      <x:c r="F229" s="38" t="str">
        <x:v>阿格纳龙牙</x:v>
      </x:c>
      <x:c r="G229" s="38" t="str"/>
      <x:c r="H229" s="38" t="str">
        <x:v>基础件/前置</x:v>
      </x:c>
      <x:c r="I229" s="38" t="str">
        <x:v>基础件/前置</x:v>
      </x:c>
      <x:c r="J229" s="38" t="str">
        <x:v>长戟寅虎＋阿格纳龙牙</x:v>
      </x:c>
      <x:c r="K229" s="38" t="str">
        <x:v>阿格纳龙牙</x:v>
      </x:c>
      <x:c r="L229" s="38" t="str">
        <x:v>待经济反算</x:v>
      </x:c>
      <x:c r="M229" s="38" t="str">
        <x:v>待经济反算</x:v>
      </x:c>
      <x:c r="N229" s="38" t="str">
        <x:v>是</x:v>
      </x:c>
      <x:c r="O229" s="38" t="str">
        <x:v>否</x:v>
      </x:c>
      <x:c r="P229" s="38" t="str">
        <x:v>否</x:v>
      </x:c>
      <x:c r="Q229" s="38" t="str">
        <x:v>是</x:v>
      </x:c>
      <x:c r="R229" s="38" t="str">
        <x:v>是</x:v>
      </x:c>
      <x:c r="S229" s="38" t="str">
        <x:v>可交易（沿用原物品规则）</x:v>
      </x:c>
      <x:c r="T229" s="38" t="str">
        <x:v>沿用原物品；若为合成成品则禁止回收</x:v>
      </x:c>
      <x:c r="U229" s="38" t="str">
        <x:v>沿用配方交易/绑定列</x:v>
      </x:c>
      <x:c r="V229" s="38" t="str">
        <x:v>结构已确认；数量待经济反算</x:v>
      </x:c>
      <x:c r="W229" s="39" t="str"/>
    </x:row>
    <x:row r="230" ht="42" customHeight="1">
      <x:c r="A230" s="37" t="str">
        <x:v>CON-C06-SYN-ZD-01-0226</x:v>
      </x:c>
      <x:c r="B230" s="38" t="str">
        <x:v>配方输入</x:v>
      </x:c>
      <x:c r="C230" s="38" t="str">
        <x:v>C06-SYN-ZD-01</x:v>
      </x:c>
      <x:c r="D230" s="38" t="str">
        <x:v>C06</x:v>
      </x:c>
      <x:c r="E230" s="38" t="str">
        <x:v>EL-MAT-C06-COM</x:v>
      </x:c>
      <x:c r="F230" s="38" t="str">
        <x:v>猩红矿渣</x:v>
      </x:c>
      <x:c r="G230" s="38" t="str"/>
      <x:c r="H230" s="38" t="str">
        <x:v>高产通用材料</x:v>
      </x:c>
      <x:c r="I230" s="38" t="str">
        <x:v>高产通用材料</x:v>
      </x:c>
      <x:c r="J230" s="38" t="str">
        <x:v>猩红矿渣</x:v>
      </x:c>
      <x:c r="K230" s="38" t="str">
        <x:v>猩红矿渣</x:v>
      </x:c>
      <x:c r="L230" s="38" t="str">
        <x:v>待经济反算</x:v>
      </x:c>
      <x:c r="M230" s="38" t="str">
        <x:v>待经济反算</x:v>
      </x:c>
      <x:c r="N230" s="38" t="str">
        <x:v>是</x:v>
      </x:c>
      <x:c r="O230" s="38" t="str">
        <x:v>否</x:v>
      </x:c>
      <x:c r="P230" s="38" t="str">
        <x:v>否</x:v>
      </x:c>
      <x:c r="Q230" s="38" t="str">
        <x:v>是</x:v>
      </x:c>
      <x:c r="R230" s="38" t="str">
        <x:v>是</x:v>
      </x:c>
      <x:c r="S230" s="38" t="str">
        <x:v>可交易</x:v>
      </x:c>
      <x:c r="T230" s="38" t="str">
        <x:v>R6档金币／元宝主回收口</x:v>
      </x:c>
      <x:c r="U230" s="38" t="str">
        <x:v>产出实物默认不绑定，按现行材料脚本</x:v>
      </x:c>
      <x:c r="V230" s="38" t="str">
        <x:v>结构已确认；数量待经济反算</x:v>
      </x:c>
      <x:c r="W230" s="39" t="str"/>
    </x:row>
    <x:row r="231" ht="42" customHeight="1">
      <x:c r="A231" s="37" t="str">
        <x:v>CON-C06-SYN-ZD-01-0227</x:v>
      </x:c>
      <x:c r="B231" s="38" t="str">
        <x:v>配方输入</x:v>
      </x:c>
      <x:c r="C231" s="38" t="str">
        <x:v>C06-SYN-ZD-01</x:v>
      </x:c>
      <x:c r="D231" s="38" t="str">
        <x:v>C06</x:v>
      </x:c>
      <x:c r="E231" s="38" t="str">
        <x:v>EL-MAT-C06-MARK</x:v>
      </x:c>
      <x:c r="F231" s="38" t="str">
        <x:v>红狮战印</x:v>
      </x:c>
      <x:c r="G231" s="38" t="str"/>
      <x:c r="H231" s="38" t="str">
        <x:v>稀有/证物材料</x:v>
      </x:c>
      <x:c r="I231" s="38" t="str">
        <x:v>稀有/证物材料</x:v>
      </x:c>
      <x:c r="J231" s="38" t="str">
        <x:v>红狮战印</x:v>
      </x:c>
      <x:c r="K231" s="38" t="str">
        <x:v>红狮战印</x:v>
      </x:c>
      <x:c r="L231" s="38" t="str">
        <x:v>待经济反算</x:v>
      </x:c>
      <x:c r="M231" s="38" t="str">
        <x:v>待经济反算</x:v>
      </x:c>
      <x:c r="N231" s="38" t="str">
        <x:v>是</x:v>
      </x:c>
      <x:c r="O231" s="38" t="str">
        <x:v>否</x:v>
      </x:c>
      <x:c r="P231" s="38" t="str">
        <x:v>否</x:v>
      </x:c>
      <x:c r="Q231" s="38" t="str">
        <x:v>是</x:v>
      </x:c>
      <x:c r="R231" s="38" t="str">
        <x:v>是</x:v>
      </x:c>
      <x:c r="S231" s="38" t="str">
        <x:v>可交易</x:v>
      </x:c>
      <x:c r="T231" s="38" t="str">
        <x:v>不作为自动回收主材</x:v>
      </x:c>
      <x:c r="U231" s="38" t="str">
        <x:v>产出实物默认不绑定，按现行材料脚本</x:v>
      </x:c>
      <x:c r="V231" s="38" t="str">
        <x:v>结构已确认；数量待经济反算</x:v>
      </x:c>
      <x:c r="W231" s="39" t="str"/>
    </x:row>
    <x:row r="232" ht="42" customHeight="1">
      <x:c r="A232" s="37" t="str">
        <x:v>CON-C06-SYN-ZD-01-0228</x:v>
      </x:c>
      <x:c r="B232" s="38" t="str">
        <x:v>配方输入</x:v>
      </x:c>
      <x:c r="C232" s="38" t="str">
        <x:v>C06-SYN-ZD-01</x:v>
      </x:c>
      <x:c r="D232" s="38" t="str">
        <x:v>C06</x:v>
      </x:c>
      <x:c r="E232" s="38" t="str">
        <x:v>CUR-GOLD</x:v>
      </x:c>
      <x:c r="F232" s="38" t="str">
        <x:v>金币</x:v>
      </x:c>
      <x:c r="G232" s="38" t="str"/>
      <x:c r="H232" s="38" t="str">
        <x:v>金币/元宝/灵符</x:v>
      </x:c>
      <x:c r="I232" s="38" t="str">
        <x:v>货币</x:v>
      </x:c>
      <x:c r="J232" s="38" t="str">
        <x:v>金币</x:v>
      </x:c>
      <x:c r="K232" s="38" t="str">
        <x:v>金币</x:v>
      </x:c>
      <x:c r="L232" s="38" t="str">
        <x:v>待经济反算</x:v>
      </x:c>
      <x:c r="M232" s="38" t="str">
        <x:v>待经济反算</x:v>
      </x:c>
      <x:c r="N232" s="38" t="str">
        <x:v>是</x:v>
      </x:c>
      <x:c r="O232" s="38" t="str">
        <x:v>否</x:v>
      </x:c>
      <x:c r="P232" s="38" t="str">
        <x:v>否</x:v>
      </x:c>
      <x:c r="Q232" s="38" t="str">
        <x:v>是</x:v>
      </x:c>
      <x:c r="R232" s="38" t="str">
        <x:v>是</x:v>
      </x:c>
      <x:c r="S232" s="38" t="str">
        <x:v>不进入玩家摆摊；通过交易物间接流通</x:v>
      </x:c>
      <x:c r="T232" s="38" t="str">
        <x:v>货币本身不可回收</x:v>
      </x:c>
      <x:c r="U232" s="38" t="str">
        <x:v>沿用现行货币账户</x:v>
      </x:c>
      <x:c r="V232" s="38" t="str">
        <x:v>结构已确认；数量待经济反算</x:v>
      </x:c>
      <x:c r="W232" s="39" t="str"/>
    </x:row>
    <x:row r="233" ht="42" customHeight="1">
      <x:c r="A233" s="37" t="str">
        <x:v>CON-C07-SYN-ZD-01-0229</x:v>
      </x:c>
      <x:c r="B233" s="38" t="str">
        <x:v>配方输入</x:v>
      </x:c>
      <x:c r="C233" s="38" t="str">
        <x:v>C07-SYN-ZD-01</x:v>
      </x:c>
      <x:c r="D233" s="38" t="str">
        <x:v>C07</x:v>
      </x:c>
      <x:c r="E233" s="38" t="str">
        <x:v>ITEM-D708CE691B2A</x:v>
      </x:c>
      <x:c r="F233" s="38" t="str">
        <x:v>葬日未羊</x:v>
      </x:c>
      <x:c r="G233" s="38" t="str"/>
      <x:c r="H233" s="38" t="str">
        <x:v>基础件/前置</x:v>
      </x:c>
      <x:c r="I233" s="38" t="str">
        <x:v>基础件/前置</x:v>
      </x:c>
      <x:c r="J233" s="38" t="str">
        <x:v>葬日未羊＋芙蕾冰冠</x:v>
      </x:c>
      <x:c r="K233" s="38" t="str">
        <x:v>葬日未羊</x:v>
      </x:c>
      <x:c r="L233" s="38" t="str">
        <x:v>待经济反算</x:v>
      </x:c>
      <x:c r="M233" s="38" t="str">
        <x:v>待经济反算</x:v>
      </x:c>
      <x:c r="N233" s="38" t="str">
        <x:v>是</x:v>
      </x:c>
      <x:c r="O233" s="38" t="str">
        <x:v>否</x:v>
      </x:c>
      <x:c r="P233" s="38" t="str">
        <x:v>否</x:v>
      </x:c>
      <x:c r="Q233" s="38" t="str">
        <x:v>是</x:v>
      </x:c>
      <x:c r="R233" s="38" t="str">
        <x:v>是</x:v>
      </x:c>
      <x:c r="S233" s="38" t="str">
        <x:v>可交易（沿用原物品规则）</x:v>
      </x:c>
      <x:c r="T233" s="38" t="str">
        <x:v>沿用原物品；若为合成成品则禁止回收</x:v>
      </x:c>
      <x:c r="U233" s="38" t="str">
        <x:v>沿用配方交易/绑定列</x:v>
      </x:c>
      <x:c r="V233" s="38" t="str">
        <x:v>结构已确认；数量待经济反算</x:v>
      </x:c>
      <x:c r="W233" s="39" t="str"/>
    </x:row>
    <x:row r="234" ht="42" customHeight="1">
      <x:c r="A234" s="37" t="str">
        <x:v>CON-C07-SYN-ZD-01-0230</x:v>
      </x:c>
      <x:c r="B234" s="38" t="str">
        <x:v>配方输入</x:v>
      </x:c>
      <x:c r="C234" s="38" t="str">
        <x:v>C07-SYN-ZD-01</x:v>
      </x:c>
      <x:c r="D234" s="38" t="str">
        <x:v>C07</x:v>
      </x:c>
      <x:c r="E234" s="38" t="str">
        <x:v>ITEM-EA63D5EBA4CA</x:v>
      </x:c>
      <x:c r="F234" s="38" t="str">
        <x:v>芙蕾冰冠</x:v>
      </x:c>
      <x:c r="G234" s="38" t="str"/>
      <x:c r="H234" s="38" t="str">
        <x:v>基础件/前置</x:v>
      </x:c>
      <x:c r="I234" s="38" t="str">
        <x:v>基础件/前置</x:v>
      </x:c>
      <x:c r="J234" s="38" t="str">
        <x:v>葬日未羊＋芙蕾冰冠</x:v>
      </x:c>
      <x:c r="K234" s="38" t="str">
        <x:v>芙蕾冰冠</x:v>
      </x:c>
      <x:c r="L234" s="38" t="str">
        <x:v>待经济反算</x:v>
      </x:c>
      <x:c r="M234" s="38" t="str">
        <x:v>待经济反算</x:v>
      </x:c>
      <x:c r="N234" s="38" t="str">
        <x:v>是</x:v>
      </x:c>
      <x:c r="O234" s="38" t="str">
        <x:v>否</x:v>
      </x:c>
      <x:c r="P234" s="38" t="str">
        <x:v>否</x:v>
      </x:c>
      <x:c r="Q234" s="38" t="str">
        <x:v>是</x:v>
      </x:c>
      <x:c r="R234" s="38" t="str">
        <x:v>是</x:v>
      </x:c>
      <x:c r="S234" s="38" t="str">
        <x:v>可交易（沿用原物品规则）</x:v>
      </x:c>
      <x:c r="T234" s="38" t="str">
        <x:v>沿用原物品；若为合成成品则禁止回收</x:v>
      </x:c>
      <x:c r="U234" s="38" t="str">
        <x:v>沿用配方交易/绑定列</x:v>
      </x:c>
      <x:c r="V234" s="38" t="str">
        <x:v>结构已确认；数量待经济反算</x:v>
      </x:c>
      <x:c r="W234" s="39" t="str"/>
    </x:row>
    <x:row r="235" ht="42" customHeight="1">
      <x:c r="A235" s="37" t="str">
        <x:v>CON-C07-SYN-ZD-01-0231</x:v>
      </x:c>
      <x:c r="B235" s="38" t="str">
        <x:v>配方输入</x:v>
      </x:c>
      <x:c r="C235" s="38" t="str">
        <x:v>C07-SYN-ZD-01</x:v>
      </x:c>
      <x:c r="D235" s="38" t="str">
        <x:v>C07</x:v>
      </x:c>
      <x:c r="E235" s="38" t="str">
        <x:v>EL-MAT-C07-COM</x:v>
      </x:c>
      <x:c r="F235" s="38" t="str">
        <x:v>冻晶尘</x:v>
      </x:c>
      <x:c r="G235" s="38" t="str"/>
      <x:c r="H235" s="38" t="str">
        <x:v>高产通用材料</x:v>
      </x:c>
      <x:c r="I235" s="38" t="str">
        <x:v>高产通用材料</x:v>
      </x:c>
      <x:c r="J235" s="38" t="str">
        <x:v>冻晶尘</x:v>
      </x:c>
      <x:c r="K235" s="38" t="str">
        <x:v>冻晶尘</x:v>
      </x:c>
      <x:c r="L235" s="38" t="str">
        <x:v>待经济反算</x:v>
      </x:c>
      <x:c r="M235" s="38" t="str">
        <x:v>待经济反算</x:v>
      </x:c>
      <x:c r="N235" s="38" t="str">
        <x:v>是</x:v>
      </x:c>
      <x:c r="O235" s="38" t="str">
        <x:v>否</x:v>
      </x:c>
      <x:c r="P235" s="38" t="str">
        <x:v>否</x:v>
      </x:c>
      <x:c r="Q235" s="38" t="str">
        <x:v>是</x:v>
      </x:c>
      <x:c r="R235" s="38" t="str">
        <x:v>是</x:v>
      </x:c>
      <x:c r="S235" s="38" t="str">
        <x:v>可交易</x:v>
      </x:c>
      <x:c r="T235" s="38" t="str">
        <x:v>R7档金币／元宝主回收口</x:v>
      </x:c>
      <x:c r="U235" s="38" t="str">
        <x:v>产出实物默认不绑定，按现行材料脚本</x:v>
      </x:c>
      <x:c r="V235" s="38" t="str">
        <x:v>结构已确认；数量待经济反算</x:v>
      </x:c>
      <x:c r="W235" s="39" t="str"/>
    </x:row>
    <x:row r="236" ht="42" customHeight="1">
      <x:c r="A236" s="37" t="str">
        <x:v>CON-C07-SYN-ZD-01-0232</x:v>
      </x:c>
      <x:c r="B236" s="38" t="str">
        <x:v>配方输入</x:v>
      </x:c>
      <x:c r="C236" s="38" t="str">
        <x:v>C07-SYN-ZD-01</x:v>
      </x:c>
      <x:c r="D236" s="38" t="str">
        <x:v>C07</x:v>
      </x:c>
      <x:c r="E236" s="38" t="str">
        <x:v>EL-MAT-C07-MARK</x:v>
      </x:c>
      <x:c r="F236" s="38" t="str">
        <x:v>圣雪誓印</x:v>
      </x:c>
      <x:c r="G236" s="38" t="str"/>
      <x:c r="H236" s="38" t="str">
        <x:v>稀有/证物材料</x:v>
      </x:c>
      <x:c r="I236" s="38" t="str">
        <x:v>稀有/证物材料</x:v>
      </x:c>
      <x:c r="J236" s="38" t="str">
        <x:v>圣雪誓印</x:v>
      </x:c>
      <x:c r="K236" s="38" t="str">
        <x:v>圣雪誓印</x:v>
      </x:c>
      <x:c r="L236" s="38" t="str">
        <x:v>待经济反算</x:v>
      </x:c>
      <x:c r="M236" s="38" t="str">
        <x:v>待经济反算</x:v>
      </x:c>
      <x:c r="N236" s="38" t="str">
        <x:v>是</x:v>
      </x:c>
      <x:c r="O236" s="38" t="str">
        <x:v>否</x:v>
      </x:c>
      <x:c r="P236" s="38" t="str">
        <x:v>否</x:v>
      </x:c>
      <x:c r="Q236" s="38" t="str">
        <x:v>是</x:v>
      </x:c>
      <x:c r="R236" s="38" t="str">
        <x:v>是</x:v>
      </x:c>
      <x:c r="S236" s="38" t="str">
        <x:v>可交易</x:v>
      </x:c>
      <x:c r="T236" s="38" t="str">
        <x:v>不作为自动回收主材</x:v>
      </x:c>
      <x:c r="U236" s="38" t="str">
        <x:v>产出实物默认不绑定，按现行材料脚本</x:v>
      </x:c>
      <x:c r="V236" s="38" t="str">
        <x:v>结构已确认；数量待经济反算</x:v>
      </x:c>
      <x:c r="W236" s="39" t="str"/>
    </x:row>
    <x:row r="237" ht="42" customHeight="1">
      <x:c r="A237" s="37" t="str">
        <x:v>CON-C07-SYN-ZD-01-0233</x:v>
      </x:c>
      <x:c r="B237" s="38" t="str">
        <x:v>配方输入</x:v>
      </x:c>
      <x:c r="C237" s="38" t="str">
        <x:v>C07-SYN-ZD-01</x:v>
      </x:c>
      <x:c r="D237" s="38" t="str">
        <x:v>C07</x:v>
      </x:c>
      <x:c r="E237" s="38" t="str">
        <x:v>CUR-GOLD</x:v>
      </x:c>
      <x:c r="F237" s="38" t="str">
        <x:v>金币</x:v>
      </x:c>
      <x:c r="G237" s="38" t="str"/>
      <x:c r="H237" s="38" t="str">
        <x:v>金币/元宝/灵符</x:v>
      </x:c>
      <x:c r="I237" s="38" t="str">
        <x:v>货币</x:v>
      </x:c>
      <x:c r="J237" s="38" t="str">
        <x:v>金币＋元宝</x:v>
      </x:c>
      <x:c r="K237" s="38" t="str">
        <x:v>金币</x:v>
      </x:c>
      <x:c r="L237" s="38" t="str">
        <x:v>待经济反算</x:v>
      </x:c>
      <x:c r="M237" s="38" t="str">
        <x:v>待经济反算</x:v>
      </x:c>
      <x:c r="N237" s="38" t="str">
        <x:v>是</x:v>
      </x:c>
      <x:c r="O237" s="38" t="str">
        <x:v>否</x:v>
      </x:c>
      <x:c r="P237" s="38" t="str">
        <x:v>否</x:v>
      </x:c>
      <x:c r="Q237" s="38" t="str">
        <x:v>是</x:v>
      </x:c>
      <x:c r="R237" s="38" t="str">
        <x:v>是</x:v>
      </x:c>
      <x:c r="S237" s="38" t="str">
        <x:v>不进入玩家摆摊；通过交易物间接流通</x:v>
      </x:c>
      <x:c r="T237" s="38" t="str">
        <x:v>货币本身不可回收</x:v>
      </x:c>
      <x:c r="U237" s="38" t="str">
        <x:v>沿用现行货币账户</x:v>
      </x:c>
      <x:c r="V237" s="38" t="str">
        <x:v>结构已确认；数量待经济反算</x:v>
      </x:c>
      <x:c r="W237" s="39" t="str"/>
    </x:row>
    <x:row r="238" ht="42" customHeight="1">
      <x:c r="A238" s="37" t="str">
        <x:v>CON-C07-SYN-ZD-01-0234</x:v>
      </x:c>
      <x:c r="B238" s="38" t="str">
        <x:v>配方输入</x:v>
      </x:c>
      <x:c r="C238" s="38" t="str">
        <x:v>C07-SYN-ZD-01</x:v>
      </x:c>
      <x:c r="D238" s="38" t="str">
        <x:v>C07</x:v>
      </x:c>
      <x:c r="E238" s="38" t="str">
        <x:v>CUR-YUANBAO</x:v>
      </x:c>
      <x:c r="F238" s="38" t="str">
        <x:v>元宝</x:v>
      </x:c>
      <x:c r="G238" s="38" t="str"/>
      <x:c r="H238" s="38" t="str">
        <x:v>金币/元宝/灵符</x:v>
      </x:c>
      <x:c r="I238" s="38" t="str">
        <x:v>货币</x:v>
      </x:c>
      <x:c r="J238" s="38" t="str">
        <x:v>金币＋元宝</x:v>
      </x:c>
      <x:c r="K238" s="38" t="str">
        <x:v>元宝</x:v>
      </x:c>
      <x:c r="L238" s="38" t="str">
        <x:v>待经济反算</x:v>
      </x:c>
      <x:c r="M238" s="38" t="str">
        <x:v>待经济反算</x:v>
      </x:c>
      <x:c r="N238" s="38" t="str">
        <x:v>是</x:v>
      </x:c>
      <x:c r="O238" s="38" t="str">
        <x:v>否</x:v>
      </x:c>
      <x:c r="P238" s="38" t="str">
        <x:v>否</x:v>
      </x:c>
      <x:c r="Q238" s="38" t="str">
        <x:v>是</x:v>
      </x:c>
      <x:c r="R238" s="38" t="str">
        <x:v>是</x:v>
      </x:c>
      <x:c r="S238" s="38" t="str">
        <x:v>不进入玩家摆摊；通过交易物间接流通</x:v>
      </x:c>
      <x:c r="T238" s="38" t="str">
        <x:v>货币本身不可回收</x:v>
      </x:c>
      <x:c r="U238" s="38" t="str">
        <x:v>沿用现行货币账户</x:v>
      </x:c>
      <x:c r="V238" s="38" t="str">
        <x:v>结构已确认；数量待经济反算</x:v>
      </x:c>
      <x:c r="W238" s="39" t="str"/>
    </x:row>
    <x:row r="239" ht="42" customHeight="1">
      <x:c r="A239" s="37" t="str">
        <x:v>CON-C08-SYN-ZD-01-0235</x:v>
      </x:c>
      <x:c r="B239" s="38" t="str">
        <x:v>配方输入</x:v>
      </x:c>
      <x:c r="C239" s="38" t="str">
        <x:v>C08-SYN-ZD-01</x:v>
      </x:c>
      <x:c r="D239" s="38" t="str">
        <x:v>C08</x:v>
      </x:c>
      <x:c r="E239" s="38" t="str">
        <x:v>ITEM-681BF3A06379</x:v>
      </x:c>
      <x:c r="F239" s="38" t="str">
        <x:v>死水午马</x:v>
      </x:c>
      <x:c r="G239" s="38" t="str"/>
      <x:c r="H239" s="38" t="str">
        <x:v>基础件/前置</x:v>
      </x:c>
      <x:c r="I239" s="38" t="str">
        <x:v>基础件/前置</x:v>
      </x:c>
      <x:c r="J239" s="38" t="str">
        <x:v>死水午马＋赫罗姆凿峰槌</x:v>
      </x:c>
      <x:c r="K239" s="38" t="str">
        <x:v>死水午马</x:v>
      </x:c>
      <x:c r="L239" s="38" t="str">
        <x:v>待经济反算</x:v>
      </x:c>
      <x:c r="M239" s="38" t="str">
        <x:v>待经济反算</x:v>
      </x:c>
      <x:c r="N239" s="38" t="str">
        <x:v>是</x:v>
      </x:c>
      <x:c r="O239" s="38" t="str">
        <x:v>否</x:v>
      </x:c>
      <x:c r="P239" s="38" t="str">
        <x:v>否</x:v>
      </x:c>
      <x:c r="Q239" s="38" t="str">
        <x:v>是</x:v>
      </x:c>
      <x:c r="R239" s="38" t="str">
        <x:v>是</x:v>
      </x:c>
      <x:c r="S239" s="38" t="str">
        <x:v>可交易（沿用原物品规则）</x:v>
      </x:c>
      <x:c r="T239" s="38" t="str">
        <x:v>沿用原物品；若为合成成品则禁止回收</x:v>
      </x:c>
      <x:c r="U239" s="38" t="str">
        <x:v>沿用配方交易/绑定列</x:v>
      </x:c>
      <x:c r="V239" s="38" t="str">
        <x:v>结构已确认；数量待经济反算</x:v>
      </x:c>
      <x:c r="W239" s="39" t="str"/>
    </x:row>
    <x:row r="240" ht="42" customHeight="1">
      <x:c r="A240" s="37" t="str">
        <x:v>CON-C08-SYN-ZD-01-0236</x:v>
      </x:c>
      <x:c r="B240" s="38" t="str">
        <x:v>配方输入</x:v>
      </x:c>
      <x:c r="C240" s="38" t="str">
        <x:v>C08-SYN-ZD-01</x:v>
      </x:c>
      <x:c r="D240" s="38" t="str">
        <x:v>C08</x:v>
      </x:c>
      <x:c r="E240" s="38" t="str">
        <x:v>ITEM-C97E9EA2C9A0</x:v>
      </x:c>
      <x:c r="F240" s="38" t="str">
        <x:v>赫罗姆凿峰槌</x:v>
      </x:c>
      <x:c r="G240" s="38" t="str"/>
      <x:c r="H240" s="38" t="str">
        <x:v>基础件/前置</x:v>
      </x:c>
      <x:c r="I240" s="38" t="str">
        <x:v>基础件/前置</x:v>
      </x:c>
      <x:c r="J240" s="38" t="str">
        <x:v>死水午马＋赫罗姆凿峰槌</x:v>
      </x:c>
      <x:c r="K240" s="38" t="str">
        <x:v>赫罗姆凿峰槌</x:v>
      </x:c>
      <x:c r="L240" s="38" t="str">
        <x:v>待经济反算</x:v>
      </x:c>
      <x:c r="M240" s="38" t="str">
        <x:v>待经济反算</x:v>
      </x:c>
      <x:c r="N240" s="38" t="str">
        <x:v>是</x:v>
      </x:c>
      <x:c r="O240" s="38" t="str">
        <x:v>否</x:v>
      </x:c>
      <x:c r="P240" s="38" t="str">
        <x:v>否</x:v>
      </x:c>
      <x:c r="Q240" s="38" t="str">
        <x:v>是</x:v>
      </x:c>
      <x:c r="R240" s="38" t="str">
        <x:v>是</x:v>
      </x:c>
      <x:c r="S240" s="38" t="str">
        <x:v>可交易（沿用原物品规则）</x:v>
      </x:c>
      <x:c r="T240" s="38" t="str">
        <x:v>沿用原物品；若为合成成品则禁止回收</x:v>
      </x:c>
      <x:c r="U240" s="38" t="str">
        <x:v>沿用配方交易/绑定列</x:v>
      </x:c>
      <x:c r="V240" s="38" t="str">
        <x:v>结构已确认；数量待经济反算</x:v>
      </x:c>
      <x:c r="W240" s="39" t="str"/>
    </x:row>
    <x:row r="241" ht="42" customHeight="1">
      <x:c r="A241" s="37" t="str">
        <x:v>CON-C08-SYN-ZD-01-0237</x:v>
      </x:c>
      <x:c r="B241" s="38" t="str">
        <x:v>配方输入</x:v>
      </x:c>
      <x:c r="C241" s="38" t="str">
        <x:v>C08-SYN-ZD-01</x:v>
      </x:c>
      <x:c r="D241" s="38" t="str">
        <x:v>C08</x:v>
      </x:c>
      <x:c r="E241" s="38" t="str">
        <x:v>EL-MAT-C08-COM</x:v>
      </x:c>
      <x:c r="F241" s="38" t="str">
        <x:v>霜脊铁</x:v>
      </x:c>
      <x:c r="G241" s="38" t="str"/>
      <x:c r="H241" s="38" t="str">
        <x:v>高产通用材料</x:v>
      </x:c>
      <x:c r="I241" s="38" t="str">
        <x:v>高产通用材料</x:v>
      </x:c>
      <x:c r="J241" s="38" t="str">
        <x:v>霜脊铁</x:v>
      </x:c>
      <x:c r="K241" s="38" t="str">
        <x:v>霜脊铁</x:v>
      </x:c>
      <x:c r="L241" s="38" t="str">
        <x:v>待经济反算</x:v>
      </x:c>
      <x:c r="M241" s="38" t="str">
        <x:v>待经济反算</x:v>
      </x:c>
      <x:c r="N241" s="38" t="str">
        <x:v>是</x:v>
      </x:c>
      <x:c r="O241" s="38" t="str">
        <x:v>否</x:v>
      </x:c>
      <x:c r="P241" s="38" t="str">
        <x:v>否</x:v>
      </x:c>
      <x:c r="Q241" s="38" t="str">
        <x:v>是</x:v>
      </x:c>
      <x:c r="R241" s="38" t="str">
        <x:v>是</x:v>
      </x:c>
      <x:c r="S241" s="38" t="str">
        <x:v>可交易</x:v>
      </x:c>
      <x:c r="T241" s="38" t="str">
        <x:v>R8档金币／元宝主回收口</x:v>
      </x:c>
      <x:c r="U241" s="38" t="str">
        <x:v>产出实物默认不绑定，按现行材料脚本</x:v>
      </x:c>
      <x:c r="V241" s="38" t="str">
        <x:v>结构已确认；数量待经济反算</x:v>
      </x:c>
      <x:c r="W241" s="39" t="str"/>
    </x:row>
    <x:row r="242" ht="42" customHeight="1">
      <x:c r="A242" s="37" t="str">
        <x:v>CON-C08-SYN-ZD-01-0238</x:v>
      </x:c>
      <x:c r="B242" s="38" t="str">
        <x:v>配方输入</x:v>
      </x:c>
      <x:c r="C242" s="38" t="str">
        <x:v>C08-SYN-ZD-01</x:v>
      </x:c>
      <x:c r="D242" s="38" t="str">
        <x:v>C08</x:v>
      </x:c>
      <x:c r="E242" s="38" t="str">
        <x:v>EL-MAT-C08-MARK</x:v>
      </x:c>
      <x:c r="F242" s="38" t="str">
        <x:v>巨人火印</x:v>
      </x:c>
      <x:c r="G242" s="38" t="str"/>
      <x:c r="H242" s="38" t="str">
        <x:v>稀有/证物材料</x:v>
      </x:c>
      <x:c r="I242" s="38" t="str">
        <x:v>稀有/证物材料</x:v>
      </x:c>
      <x:c r="J242" s="38" t="str">
        <x:v>巨人火印</x:v>
      </x:c>
      <x:c r="K242" s="38" t="str">
        <x:v>巨人火印</x:v>
      </x:c>
      <x:c r="L242" s="38" t="str">
        <x:v>待经济反算</x:v>
      </x:c>
      <x:c r="M242" s="38" t="str">
        <x:v>待经济反算</x:v>
      </x:c>
      <x:c r="N242" s="38" t="str">
        <x:v>是</x:v>
      </x:c>
      <x:c r="O242" s="38" t="str">
        <x:v>否</x:v>
      </x:c>
      <x:c r="P242" s="38" t="str">
        <x:v>否</x:v>
      </x:c>
      <x:c r="Q242" s="38" t="str">
        <x:v>是</x:v>
      </x:c>
      <x:c r="R242" s="38" t="str">
        <x:v>是</x:v>
      </x:c>
      <x:c r="S242" s="38" t="str">
        <x:v>可交易</x:v>
      </x:c>
      <x:c r="T242" s="38" t="str">
        <x:v>不作为自动回收主材</x:v>
      </x:c>
      <x:c r="U242" s="38" t="str">
        <x:v>产出实物默认不绑定，按现行材料脚本</x:v>
      </x:c>
      <x:c r="V242" s="38" t="str">
        <x:v>结构已确认；数量待经济反算</x:v>
      </x:c>
      <x:c r="W242" s="39" t="str"/>
    </x:row>
    <x:row r="243" ht="42" customHeight="1">
      <x:c r="A243" s="37" t="str">
        <x:v>CON-C08-SYN-ZD-01-0239</x:v>
      </x:c>
      <x:c r="B243" s="38" t="str">
        <x:v>配方输入</x:v>
      </x:c>
      <x:c r="C243" s="38" t="str">
        <x:v>C08-SYN-ZD-01</x:v>
      </x:c>
      <x:c r="D243" s="38" t="str">
        <x:v>C08</x:v>
      </x:c>
      <x:c r="E243" s="38" t="str">
        <x:v>CUR-GOLD</x:v>
      </x:c>
      <x:c r="F243" s="38" t="str">
        <x:v>金币</x:v>
      </x:c>
      <x:c r="G243" s="38" t="str"/>
      <x:c r="H243" s="38" t="str">
        <x:v>金币/元宝/灵符</x:v>
      </x:c>
      <x:c r="I243" s="38" t="str">
        <x:v>货币</x:v>
      </x:c>
      <x:c r="J243" s="38" t="str">
        <x:v>金币</x:v>
      </x:c>
      <x:c r="K243" s="38" t="str">
        <x:v>金币</x:v>
      </x:c>
      <x:c r="L243" s="38" t="str">
        <x:v>待经济反算</x:v>
      </x:c>
      <x:c r="M243" s="38" t="str">
        <x:v>待经济反算</x:v>
      </x:c>
      <x:c r="N243" s="38" t="str">
        <x:v>是</x:v>
      </x:c>
      <x:c r="O243" s="38" t="str">
        <x:v>否</x:v>
      </x:c>
      <x:c r="P243" s="38" t="str">
        <x:v>否</x:v>
      </x:c>
      <x:c r="Q243" s="38" t="str">
        <x:v>是</x:v>
      </x:c>
      <x:c r="R243" s="38" t="str">
        <x:v>是</x:v>
      </x:c>
      <x:c r="S243" s="38" t="str">
        <x:v>不进入玩家摆摊；通过交易物间接流通</x:v>
      </x:c>
      <x:c r="T243" s="38" t="str">
        <x:v>货币本身不可回收</x:v>
      </x:c>
      <x:c r="U243" s="38" t="str">
        <x:v>沿用现行货币账户</x:v>
      </x:c>
      <x:c r="V243" s="38" t="str">
        <x:v>结构已确认；数量待经济反算</x:v>
      </x:c>
      <x:c r="W243" s="39" t="str"/>
    </x:row>
    <x:row r="244" ht="42" customHeight="1">
      <x:c r="A244" s="37" t="str">
        <x:v>CON-C09-SYN-ZD-01-0240</x:v>
      </x:c>
      <x:c r="B244" s="38" t="str">
        <x:v>配方输入</x:v>
      </x:c>
      <x:c r="C244" s="38" t="str">
        <x:v>C09-SYN-ZD-01</x:v>
      </x:c>
      <x:c r="D244" s="38" t="str">
        <x:v>C09</x:v>
      </x:c>
      <x:c r="E244" s="38" t="str">
        <x:v>ITEM-967D9770D54C</x:v>
      </x:c>
      <x:c r="F244" s="38" t="str">
        <x:v>恶兆酉鸡</x:v>
      </x:c>
      <x:c r="G244" s="38" t="str"/>
      <x:c r="H244" s="38" t="str">
        <x:v>基础件/前置</x:v>
      </x:c>
      <x:c r="I244" s="38" t="str">
        <x:v>基础件/前置</x:v>
      </x:c>
      <x:c r="J244" s="38" t="str">
        <x:v>恶兆酉鸡＋赛维兰裁阳杖</x:v>
      </x:c>
      <x:c r="K244" s="38" t="str">
        <x:v>恶兆酉鸡</x:v>
      </x:c>
      <x:c r="L244" s="38" t="str">
        <x:v>待经济反算</x:v>
      </x:c>
      <x:c r="M244" s="38" t="str">
        <x:v>待经济反算</x:v>
      </x:c>
      <x:c r="N244" s="38" t="str">
        <x:v>是</x:v>
      </x:c>
      <x:c r="O244" s="38" t="str">
        <x:v>否</x:v>
      </x:c>
      <x:c r="P244" s="38" t="str">
        <x:v>否</x:v>
      </x:c>
      <x:c r="Q244" s="38" t="str">
        <x:v>是</x:v>
      </x:c>
      <x:c r="R244" s="38" t="str">
        <x:v>是</x:v>
      </x:c>
      <x:c r="S244" s="38" t="str">
        <x:v>可交易（沿用原物品规则）</x:v>
      </x:c>
      <x:c r="T244" s="38" t="str">
        <x:v>沿用原物品；若为合成成品则禁止回收</x:v>
      </x:c>
      <x:c r="U244" s="38" t="str">
        <x:v>沿用配方交易/绑定列</x:v>
      </x:c>
      <x:c r="V244" s="38" t="str">
        <x:v>结构已确认；数量待经济反算</x:v>
      </x:c>
      <x:c r="W244" s="39" t="str"/>
    </x:row>
    <x:row r="245" ht="42" customHeight="1">
      <x:c r="A245" s="37" t="str">
        <x:v>CON-C09-SYN-ZD-01-0241</x:v>
      </x:c>
      <x:c r="B245" s="38" t="str">
        <x:v>配方输入</x:v>
      </x:c>
      <x:c r="C245" s="38" t="str">
        <x:v>C09-SYN-ZD-01</x:v>
      </x:c>
      <x:c r="D245" s="38" t="str">
        <x:v>C09</x:v>
      </x:c>
      <x:c r="E245" s="38" t="str">
        <x:v>ITEM-A3128B5FB818</x:v>
      </x:c>
      <x:c r="F245" s="38" t="str">
        <x:v>赛维兰裁阳杖</x:v>
      </x:c>
      <x:c r="G245" s="38" t="str"/>
      <x:c r="H245" s="38" t="str">
        <x:v>基础件/前置</x:v>
      </x:c>
      <x:c r="I245" s="38" t="str">
        <x:v>基础件/前置</x:v>
      </x:c>
      <x:c r="J245" s="38" t="str">
        <x:v>恶兆酉鸡＋赛维兰裁阳杖</x:v>
      </x:c>
      <x:c r="K245" s="38" t="str">
        <x:v>赛维兰裁阳杖</x:v>
      </x:c>
      <x:c r="L245" s="38" t="str">
        <x:v>待经济反算</x:v>
      </x:c>
      <x:c r="M245" s="38" t="str">
        <x:v>待经济反算</x:v>
      </x:c>
      <x:c r="N245" s="38" t="str">
        <x:v>是</x:v>
      </x:c>
      <x:c r="O245" s="38" t="str">
        <x:v>否</x:v>
      </x:c>
      <x:c r="P245" s="38" t="str">
        <x:v>否</x:v>
      </x:c>
      <x:c r="Q245" s="38" t="str">
        <x:v>是</x:v>
      </x:c>
      <x:c r="R245" s="38" t="str">
        <x:v>是</x:v>
      </x:c>
      <x:c r="S245" s="38" t="str">
        <x:v>可交易（沿用原物品规则）</x:v>
      </x:c>
      <x:c r="T245" s="38" t="str">
        <x:v>沿用原物品；若为合成成品则禁止回收</x:v>
      </x:c>
      <x:c r="U245" s="38" t="str">
        <x:v>沿用配方交易/绑定列</x:v>
      </x:c>
      <x:c r="V245" s="38" t="str">
        <x:v>结构已确认；数量待经济反算</x:v>
      </x:c>
      <x:c r="W245" s="39" t="str"/>
    </x:row>
    <x:row r="246" ht="42" customHeight="1">
      <x:c r="A246" s="37" t="str">
        <x:v>CON-C09-SYN-ZD-01-0242</x:v>
      </x:c>
      <x:c r="B246" s="38" t="str">
        <x:v>配方输入</x:v>
      </x:c>
      <x:c r="C246" s="38" t="str">
        <x:v>C09-SYN-ZD-01</x:v>
      </x:c>
      <x:c r="D246" s="38" t="str">
        <x:v>C09</x:v>
      </x:c>
      <x:c r="E246" s="38" t="str">
        <x:v>EL-MAT-C09-COM</x:v>
      </x:c>
      <x:c r="F246" s="38" t="str">
        <x:v>黄金叶脉</x:v>
      </x:c>
      <x:c r="G246" s="38" t="str"/>
      <x:c r="H246" s="38" t="str">
        <x:v>高产通用材料</x:v>
      </x:c>
      <x:c r="I246" s="38" t="str">
        <x:v>高产通用材料</x:v>
      </x:c>
      <x:c r="J246" s="38" t="str">
        <x:v>黄金叶脉</x:v>
      </x:c>
      <x:c r="K246" s="38" t="str">
        <x:v>黄金叶脉</x:v>
      </x:c>
      <x:c r="L246" s="38" t="str">
        <x:v>待经济反算</x:v>
      </x:c>
      <x:c r="M246" s="38" t="str">
        <x:v>待经济反算</x:v>
      </x:c>
      <x:c r="N246" s="38" t="str">
        <x:v>是</x:v>
      </x:c>
      <x:c r="O246" s="38" t="str">
        <x:v>否</x:v>
      </x:c>
      <x:c r="P246" s="38" t="str">
        <x:v>否</x:v>
      </x:c>
      <x:c r="Q246" s="38" t="str">
        <x:v>是</x:v>
      </x:c>
      <x:c r="R246" s="38" t="str">
        <x:v>是</x:v>
      </x:c>
      <x:c r="S246" s="38" t="str">
        <x:v>可交易</x:v>
      </x:c>
      <x:c r="T246" s="38" t="str">
        <x:v>R9档金币／元宝主回收口</x:v>
      </x:c>
      <x:c r="U246" s="38" t="str">
        <x:v>产出实物默认不绑定，按现行材料脚本</x:v>
      </x:c>
      <x:c r="V246" s="38" t="str">
        <x:v>结构已确认；数量待经济反算</x:v>
      </x:c>
      <x:c r="W246" s="39" t="str"/>
    </x:row>
    <x:row r="247" ht="42" customHeight="1">
      <x:c r="A247" s="37" t="str">
        <x:v>CON-C09-SYN-ZD-01-0243</x:v>
      </x:c>
      <x:c r="B247" s="38" t="str">
        <x:v>配方输入</x:v>
      </x:c>
      <x:c r="C247" s="38" t="str">
        <x:v>C09-SYN-ZD-01</x:v>
      </x:c>
      <x:c r="D247" s="38" t="str">
        <x:v>C09</x:v>
      </x:c>
      <x:c r="E247" s="38" t="str">
        <x:v>EL-MAT-C09-MARK</x:v>
      </x:c>
      <x:c r="F247" s="38" t="str">
        <x:v>黄金律印</x:v>
      </x:c>
      <x:c r="G247" s="38" t="str"/>
      <x:c r="H247" s="38" t="str">
        <x:v>稀有/证物材料</x:v>
      </x:c>
      <x:c r="I247" s="38" t="str">
        <x:v>稀有/证物材料</x:v>
      </x:c>
      <x:c r="J247" s="38" t="str">
        <x:v>黄金律印</x:v>
      </x:c>
      <x:c r="K247" s="38" t="str">
        <x:v>黄金律印</x:v>
      </x:c>
      <x:c r="L247" s="38" t="str">
        <x:v>待经济反算</x:v>
      </x:c>
      <x:c r="M247" s="38" t="str">
        <x:v>待经济反算</x:v>
      </x:c>
      <x:c r="N247" s="38" t="str">
        <x:v>是</x:v>
      </x:c>
      <x:c r="O247" s="38" t="str">
        <x:v>否</x:v>
      </x:c>
      <x:c r="P247" s="38" t="str">
        <x:v>否</x:v>
      </x:c>
      <x:c r="Q247" s="38" t="str">
        <x:v>是</x:v>
      </x:c>
      <x:c r="R247" s="38" t="str">
        <x:v>是</x:v>
      </x:c>
      <x:c r="S247" s="38" t="str">
        <x:v>可交易</x:v>
      </x:c>
      <x:c r="T247" s="38" t="str">
        <x:v>不作为自动回收主材</x:v>
      </x:c>
      <x:c r="U247" s="38" t="str">
        <x:v>产出实物默认不绑定，按现行材料脚本</x:v>
      </x:c>
      <x:c r="V247" s="38" t="str">
        <x:v>结构已确认；数量待经济反算</x:v>
      </x:c>
      <x:c r="W247" s="39" t="str"/>
    </x:row>
    <x:row r="248" ht="42" customHeight="1">
      <x:c r="A248" s="37" t="str">
        <x:v>CON-C09-SYN-ZD-01-0244</x:v>
      </x:c>
      <x:c r="B248" s="38" t="str">
        <x:v>配方输入</x:v>
      </x:c>
      <x:c r="C248" s="38" t="str">
        <x:v>C09-SYN-ZD-01</x:v>
      </x:c>
      <x:c r="D248" s="38" t="str">
        <x:v>C09</x:v>
      </x:c>
      <x:c r="E248" s="38" t="str">
        <x:v>CUR-YUANBAO</x:v>
      </x:c>
      <x:c r="F248" s="38" t="str">
        <x:v>元宝</x:v>
      </x:c>
      <x:c r="G248" s="38" t="str"/>
      <x:c r="H248" s="38" t="str">
        <x:v>金币/元宝/灵符</x:v>
      </x:c>
      <x:c r="I248" s="38" t="str">
        <x:v>货币</x:v>
      </x:c>
      <x:c r="J248" s="38" t="str">
        <x:v>元宝</x:v>
      </x:c>
      <x:c r="K248" s="38" t="str">
        <x:v>元宝</x:v>
      </x:c>
      <x:c r="L248" s="38" t="str">
        <x:v>待经济反算</x:v>
      </x:c>
      <x:c r="M248" s="38" t="str">
        <x:v>待经济反算</x:v>
      </x:c>
      <x:c r="N248" s="38" t="str">
        <x:v>是</x:v>
      </x:c>
      <x:c r="O248" s="38" t="str">
        <x:v>否</x:v>
      </x:c>
      <x:c r="P248" s="38" t="str">
        <x:v>否</x:v>
      </x:c>
      <x:c r="Q248" s="38" t="str">
        <x:v>是</x:v>
      </x:c>
      <x:c r="R248" s="38" t="str">
        <x:v>是</x:v>
      </x:c>
      <x:c r="S248" s="38" t="str">
        <x:v>不进入玩家摆摊；通过交易物间接流通</x:v>
      </x:c>
      <x:c r="T248" s="38" t="str">
        <x:v>货币本身不可回收</x:v>
      </x:c>
      <x:c r="U248" s="38" t="str">
        <x:v>沿用现行货币账户</x:v>
      </x:c>
      <x:c r="V248" s="38" t="str">
        <x:v>结构已确认；数量待经济反算</x:v>
      </x:c>
      <x:c r="W248" s="39" t="str"/>
    </x:row>
    <x:row r="249" ht="42" customHeight="1">
      <x:c r="A249" s="37" t="str">
        <x:v>CON-C10-SYN-ZD-01-0245</x:v>
      </x:c>
      <x:c r="B249" s="38" t="str">
        <x:v>配方输入</x:v>
      </x:c>
      <x:c r="C249" s="38" t="str">
        <x:v>C10-SYN-ZD-01</x:v>
      </x:c>
      <x:c r="D249" s="38" t="str">
        <x:v>C10</x:v>
      </x:c>
      <x:c r="E249" s="38" t="str">
        <x:v>ITEM-1AAE5297B193</x:v>
      </x:c>
      <x:c r="F249" s="38" t="str">
        <x:v>失乡戌狗</x:v>
      </x:c>
      <x:c r="G249" s="38" t="str"/>
      <x:c r="H249" s="38" t="str">
        <x:v>基础件/前置</x:v>
      </x:c>
      <x:c r="I249" s="38" t="str">
        <x:v>基础件/前置</x:v>
      </x:c>
      <x:c r="J249" s="38" t="str">
        <x:v>失乡戌狗＋返魂寝门盾</x:v>
      </x:c>
      <x:c r="K249" s="38" t="str">
        <x:v>失乡戌狗</x:v>
      </x:c>
      <x:c r="L249" s="38" t="str">
        <x:v>待经济反算</x:v>
      </x:c>
      <x:c r="M249" s="38" t="str">
        <x:v>待经济反算</x:v>
      </x:c>
      <x:c r="N249" s="38" t="str">
        <x:v>是</x:v>
      </x:c>
      <x:c r="O249" s="38" t="str">
        <x:v>否</x:v>
      </x:c>
      <x:c r="P249" s="38" t="str">
        <x:v>否</x:v>
      </x:c>
      <x:c r="Q249" s="38" t="str">
        <x:v>是</x:v>
      </x:c>
      <x:c r="R249" s="38" t="str">
        <x:v>是</x:v>
      </x:c>
      <x:c r="S249" s="38" t="str">
        <x:v>可交易（沿用原物品规则）</x:v>
      </x:c>
      <x:c r="T249" s="38" t="str">
        <x:v>沿用原物品；若为合成成品则禁止回收</x:v>
      </x:c>
      <x:c r="U249" s="38" t="str">
        <x:v>沿用配方交易/绑定列</x:v>
      </x:c>
      <x:c r="V249" s="38" t="str">
        <x:v>结构已确认；数量待经济反算</x:v>
      </x:c>
      <x:c r="W249" s="39" t="str"/>
    </x:row>
    <x:row r="250" ht="42" customHeight="1">
      <x:c r="A250" s="37" t="str">
        <x:v>CON-C10-SYN-ZD-01-0246</x:v>
      </x:c>
      <x:c r="B250" s="38" t="str">
        <x:v>配方输入</x:v>
      </x:c>
      <x:c r="C250" s="38" t="str">
        <x:v>C10-SYN-ZD-01</x:v>
      </x:c>
      <x:c r="D250" s="38" t="str">
        <x:v>C10</x:v>
      </x:c>
      <x:c r="E250" s="38" t="str">
        <x:v>ITEM-67B5F086F05C</x:v>
      </x:c>
      <x:c r="F250" s="38" t="str">
        <x:v>返魂寝门盾</x:v>
      </x:c>
      <x:c r="G250" s="38" t="str"/>
      <x:c r="H250" s="38" t="str">
        <x:v>基础件/前置</x:v>
      </x:c>
      <x:c r="I250" s="38" t="str">
        <x:v>基础件/前置</x:v>
      </x:c>
      <x:c r="J250" s="38" t="str">
        <x:v>失乡戌狗＋返魂寝门盾</x:v>
      </x:c>
      <x:c r="K250" s="38" t="str">
        <x:v>返魂寝门盾</x:v>
      </x:c>
      <x:c r="L250" s="38" t="str">
        <x:v>待经济反算</x:v>
      </x:c>
      <x:c r="M250" s="38" t="str">
        <x:v>待经济反算</x:v>
      </x:c>
      <x:c r="N250" s="38" t="str">
        <x:v>是</x:v>
      </x:c>
      <x:c r="O250" s="38" t="str">
        <x:v>否</x:v>
      </x:c>
      <x:c r="P250" s="38" t="str">
        <x:v>否</x:v>
      </x:c>
      <x:c r="Q250" s="38" t="str">
        <x:v>是</x:v>
      </x:c>
      <x:c r="R250" s="38" t="str">
        <x:v>是</x:v>
      </x:c>
      <x:c r="S250" s="38" t="str">
        <x:v>可交易（沿用原物品规则）</x:v>
      </x:c>
      <x:c r="T250" s="38" t="str">
        <x:v>沿用原物品；若为合成成品则禁止回收</x:v>
      </x:c>
      <x:c r="U250" s="38" t="str">
        <x:v>沿用配方交易/绑定列</x:v>
      </x:c>
      <x:c r="V250" s="38" t="str">
        <x:v>结构已确认；数量待经济反算</x:v>
      </x:c>
      <x:c r="W250" s="39" t="str"/>
    </x:row>
    <x:row r="251" ht="42" customHeight="1">
      <x:c r="A251" s="37" t="str">
        <x:v>CON-C10-SYN-ZD-01-0247</x:v>
      </x:c>
      <x:c r="B251" s="38" t="str">
        <x:v>配方输入</x:v>
      </x:c>
      <x:c r="C251" s="38" t="str">
        <x:v>C10-SYN-ZD-01</x:v>
      </x:c>
      <x:c r="D251" s="38" t="str">
        <x:v>C10</x:v>
      </x:c>
      <x:c r="E251" s="38" t="str">
        <x:v>EL-MAT-C10-COM</x:v>
      </x:c>
      <x:c r="F251" s="38" t="str">
        <x:v>王城金屑</x:v>
      </x:c>
      <x:c r="G251" s="38" t="str"/>
      <x:c r="H251" s="38" t="str">
        <x:v>高产通用材料</x:v>
      </x:c>
      <x:c r="I251" s="38" t="str">
        <x:v>高产通用材料</x:v>
      </x:c>
      <x:c r="J251" s="38" t="str">
        <x:v>王城金屑</x:v>
      </x:c>
      <x:c r="K251" s="38" t="str">
        <x:v>王城金屑</x:v>
      </x:c>
      <x:c r="L251" s="38" t="str">
        <x:v>待经济反算</x:v>
      </x:c>
      <x:c r="M251" s="38" t="str">
        <x:v>待经济反算</x:v>
      </x:c>
      <x:c r="N251" s="38" t="str">
        <x:v>是</x:v>
      </x:c>
      <x:c r="O251" s="38" t="str">
        <x:v>否</x:v>
      </x:c>
      <x:c r="P251" s="38" t="str">
        <x:v>否</x:v>
      </x:c>
      <x:c r="Q251" s="38" t="str">
        <x:v>是</x:v>
      </x:c>
      <x:c r="R251" s="38" t="str">
        <x:v>是</x:v>
      </x:c>
      <x:c r="S251" s="38" t="str">
        <x:v>可交易</x:v>
      </x:c>
      <x:c r="T251" s="38" t="str">
        <x:v>R10档金币／元宝主回收口</x:v>
      </x:c>
      <x:c r="U251" s="38" t="str">
        <x:v>产出实物默认不绑定，按现行材料脚本</x:v>
      </x:c>
      <x:c r="V251" s="38" t="str">
        <x:v>结构已确认；数量待经济反算</x:v>
      </x:c>
      <x:c r="W251" s="39" t="str"/>
    </x:row>
    <x:row r="252" ht="42" customHeight="1">
      <x:c r="A252" s="37" t="str">
        <x:v>CON-C10-SYN-ZD-01-0248</x:v>
      </x:c>
      <x:c r="B252" s="38" t="str">
        <x:v>配方输入</x:v>
      </x:c>
      <x:c r="C252" s="38" t="str">
        <x:v>C10-SYN-ZD-01</x:v>
      </x:c>
      <x:c r="D252" s="38" t="str">
        <x:v>C10</x:v>
      </x:c>
      <x:c r="E252" s="38" t="str">
        <x:v>EL-MAT-C10-MARK</x:v>
      </x:c>
      <x:c r="F252" s="38" t="str">
        <x:v>艾尔登王印</x:v>
      </x:c>
      <x:c r="G252" s="38" t="str"/>
      <x:c r="H252" s="38" t="str">
        <x:v>稀有/证物材料</x:v>
      </x:c>
      <x:c r="I252" s="38" t="str">
        <x:v>稀有/证物材料</x:v>
      </x:c>
      <x:c r="J252" s="38" t="str">
        <x:v>艾尔登王印</x:v>
      </x:c>
      <x:c r="K252" s="38" t="str">
        <x:v>艾尔登王印</x:v>
      </x:c>
      <x:c r="L252" s="38" t="str">
        <x:v>待经济反算</x:v>
      </x:c>
      <x:c r="M252" s="38" t="str">
        <x:v>待经济反算</x:v>
      </x:c>
      <x:c r="N252" s="38" t="str">
        <x:v>是</x:v>
      </x:c>
      <x:c r="O252" s="38" t="str">
        <x:v>否</x:v>
      </x:c>
      <x:c r="P252" s="38" t="str">
        <x:v>否</x:v>
      </x:c>
      <x:c r="Q252" s="38" t="str">
        <x:v>是</x:v>
      </x:c>
      <x:c r="R252" s="38" t="str">
        <x:v>是</x:v>
      </x:c>
      <x:c r="S252" s="38" t="str">
        <x:v>可交易</x:v>
      </x:c>
      <x:c r="T252" s="38" t="str">
        <x:v>不作为自动回收主材</x:v>
      </x:c>
      <x:c r="U252" s="38" t="str">
        <x:v>产出实物默认不绑定，按现行材料脚本</x:v>
      </x:c>
      <x:c r="V252" s="38" t="str">
        <x:v>结构已确认；数量待经济反算</x:v>
      </x:c>
      <x:c r="W252" s="39" t="str"/>
    </x:row>
    <x:row r="253" ht="42" customHeight="1">
      <x:c r="A253" s="37" t="str">
        <x:v>CON-C10-SYN-ZD-01-0249</x:v>
      </x:c>
      <x:c r="B253" s="38" t="str">
        <x:v>配方输入</x:v>
      </x:c>
      <x:c r="C253" s="38" t="str">
        <x:v>C10-SYN-ZD-01</x:v>
      </x:c>
      <x:c r="D253" s="38" t="str">
        <x:v>C10</x:v>
      </x:c>
      <x:c r="E253" s="38" t="str">
        <x:v>CUR-GOLD</x:v>
      </x:c>
      <x:c r="F253" s="38" t="str">
        <x:v>金币</x:v>
      </x:c>
      <x:c r="G253" s="38" t="str"/>
      <x:c r="H253" s="38" t="str">
        <x:v>金币/元宝/灵符</x:v>
      </x:c>
      <x:c r="I253" s="38" t="str">
        <x:v>货币</x:v>
      </x:c>
      <x:c r="J253" s="38" t="str">
        <x:v>金币＋元宝</x:v>
      </x:c>
      <x:c r="K253" s="38" t="str">
        <x:v>金币</x:v>
      </x:c>
      <x:c r="L253" s="38" t="str">
        <x:v>待经济反算</x:v>
      </x:c>
      <x:c r="M253" s="38" t="str">
        <x:v>待经济反算</x:v>
      </x:c>
      <x:c r="N253" s="38" t="str">
        <x:v>是</x:v>
      </x:c>
      <x:c r="O253" s="38" t="str">
        <x:v>否</x:v>
      </x:c>
      <x:c r="P253" s="38" t="str">
        <x:v>否</x:v>
      </x:c>
      <x:c r="Q253" s="38" t="str">
        <x:v>是</x:v>
      </x:c>
      <x:c r="R253" s="38" t="str">
        <x:v>是</x:v>
      </x:c>
      <x:c r="S253" s="38" t="str">
        <x:v>不进入玩家摆摊；通过交易物间接流通</x:v>
      </x:c>
      <x:c r="T253" s="38" t="str">
        <x:v>货币本身不可回收</x:v>
      </x:c>
      <x:c r="U253" s="38" t="str">
        <x:v>沿用现行货币账户</x:v>
      </x:c>
      <x:c r="V253" s="38" t="str">
        <x:v>结构已确认；数量待经济反算</x:v>
      </x:c>
      <x:c r="W253" s="39" t="str"/>
    </x:row>
    <x:row r="254" ht="42" customHeight="1">
      <x:c r="A254" s="37" t="str">
        <x:v>CON-C10-SYN-ZD-01-0250</x:v>
      </x:c>
      <x:c r="B254" s="38" t="str">
        <x:v>配方输入</x:v>
      </x:c>
      <x:c r="C254" s="38" t="str">
        <x:v>C10-SYN-ZD-01</x:v>
      </x:c>
      <x:c r="D254" s="38" t="str">
        <x:v>C10</x:v>
      </x:c>
      <x:c r="E254" s="38" t="str">
        <x:v>CUR-YUANBAO</x:v>
      </x:c>
      <x:c r="F254" s="38" t="str">
        <x:v>元宝</x:v>
      </x:c>
      <x:c r="G254" s="38" t="str"/>
      <x:c r="H254" s="38" t="str">
        <x:v>金币/元宝/灵符</x:v>
      </x:c>
      <x:c r="I254" s="38" t="str">
        <x:v>货币</x:v>
      </x:c>
      <x:c r="J254" s="38" t="str">
        <x:v>金币＋元宝</x:v>
      </x:c>
      <x:c r="K254" s="38" t="str">
        <x:v>元宝</x:v>
      </x:c>
      <x:c r="L254" s="38" t="str">
        <x:v>待经济反算</x:v>
      </x:c>
      <x:c r="M254" s="38" t="str">
        <x:v>待经济反算</x:v>
      </x:c>
      <x:c r="N254" s="38" t="str">
        <x:v>是</x:v>
      </x:c>
      <x:c r="O254" s="38" t="str">
        <x:v>否</x:v>
      </x:c>
      <x:c r="P254" s="38" t="str">
        <x:v>否</x:v>
      </x:c>
      <x:c r="Q254" s="38" t="str">
        <x:v>是</x:v>
      </x:c>
      <x:c r="R254" s="38" t="str">
        <x:v>是</x:v>
      </x:c>
      <x:c r="S254" s="38" t="str">
        <x:v>不进入玩家摆摊；通过交易物间接流通</x:v>
      </x:c>
      <x:c r="T254" s="38" t="str">
        <x:v>货币本身不可回收</x:v>
      </x:c>
      <x:c r="U254" s="38" t="str">
        <x:v>沿用现行货币账户</x:v>
      </x:c>
      <x:c r="V254" s="38" t="str">
        <x:v>结构已确认；数量待经济反算</x:v>
      </x:c>
      <x:c r="W254" s="39" t="str"/>
    </x:row>
    <x:row r="255" ht="42" customHeight="1">
      <x:c r="A255" s="37" t="str">
        <x:v>CON-C01-SYN-TT-01-0251</x:v>
      </x:c>
      <x:c r="B255" s="38" t="str">
        <x:v>配方输入</x:v>
      </x:c>
      <x:c r="C255" s="38" t="str">
        <x:v>C01-SYN-TT-01</x:v>
      </x:c>
      <x:c r="D255" s="38" t="str">
        <x:v>C01</x:v>
      </x:c>
      <x:c r="E255" s="38" t="str">
        <x:v>EL-MAT-C01-MARK</x:v>
      </x:c>
      <x:c r="F255" s="38" t="str">
        <x:v>漂流大陆印记</x:v>
      </x:c>
      <x:c r="G255" s="38" t="str"/>
      <x:c r="H255" s="38" t="str">
        <x:v>稀有/证物材料</x:v>
      </x:c>
      <x:c r="I255" s="38" t="str">
        <x:v>稀有/证物材料</x:v>
      </x:c>
      <x:c r="J255" s="38" t="str">
        <x:v>漂流大陆印记＋漂流见证·潮＋漂流见证·雷</x:v>
      </x:c>
      <x:c r="K255" s="38" t="str">
        <x:v>漂流大陆印记</x:v>
      </x:c>
      <x:c r="L255" s="38" t="str">
        <x:v>待经济反算</x:v>
      </x:c>
      <x:c r="M255" s="38" t="str">
        <x:v>待经济反算</x:v>
      </x:c>
      <x:c r="N255" s="38" t="str">
        <x:v>是</x:v>
      </x:c>
      <x:c r="O255" s="38" t="str">
        <x:v>否</x:v>
      </x:c>
      <x:c r="P255" s="38" t="str">
        <x:v>否</x:v>
      </x:c>
      <x:c r="Q255" s="38" t="str">
        <x:v>是</x:v>
      </x:c>
      <x:c r="R255" s="38" t="str">
        <x:v>是</x:v>
      </x:c>
      <x:c r="S255" s="38" t="str">
        <x:v>可交易</x:v>
      </x:c>
      <x:c r="T255" s="38" t="str">
        <x:v>不作为自动回收主材</x:v>
      </x:c>
      <x:c r="U255" s="38" t="str">
        <x:v>产出实物默认不绑定，按现行材料脚本</x:v>
      </x:c>
      <x:c r="V255" s="38" t="str">
        <x:v>结构已确认；数量待经济反算</x:v>
      </x:c>
      <x:c r="W255" s="39" t="str"/>
    </x:row>
    <x:row r="256" ht="42" customHeight="1">
      <x:c r="A256" s="37" t="str">
        <x:v>CON-C01-SYN-TT-01-0252</x:v>
      </x:c>
      <x:c r="B256" s="38" t="str">
        <x:v>配方输入</x:v>
      </x:c>
      <x:c r="C256" s="38" t="str">
        <x:v>C01-SYN-TT-01</x:v>
      </x:c>
      <x:c r="D256" s="38" t="str">
        <x:v>C01</x:v>
      </x:c>
      <x:c r="E256" s="38" t="str">
        <x:v>EL-MAT-C01-WITNESS-TIDE</x:v>
      </x:c>
      <x:c r="F256" s="38" t="str">
        <x:v>漂流见证·潮</x:v>
      </x:c>
      <x:c r="G256" s="38" t="str"/>
      <x:c r="H256" s="38" t="str">
        <x:v>稀有/证物材料</x:v>
      </x:c>
      <x:c r="I256" s="38" t="str">
        <x:v>稀有/证物材料</x:v>
      </x:c>
      <x:c r="J256" s="38" t="str">
        <x:v>漂流大陆印记＋漂流见证·潮＋漂流见证·雷</x:v>
      </x:c>
      <x:c r="K256" s="38" t="str">
        <x:v>漂流见证·潮</x:v>
      </x:c>
      <x:c r="L256" s="38" t="str">
        <x:v>待经济反算</x:v>
      </x:c>
      <x:c r="M256" s="38" t="str">
        <x:v>待经济反算</x:v>
      </x:c>
      <x:c r="N256" s="38" t="str">
        <x:v>是</x:v>
      </x:c>
      <x:c r="O256" s="38" t="str">
        <x:v>否</x:v>
      </x:c>
      <x:c r="P256" s="38" t="str">
        <x:v>否</x:v>
      </x:c>
      <x:c r="Q256" s="38" t="str">
        <x:v>是</x:v>
      </x:c>
      <x:c r="R256" s="38" t="str">
        <x:v>是</x:v>
      </x:c>
      <x:c r="S256" s="38" t="str">
        <x:v>可交易</x:v>
      </x:c>
      <x:c r="T256" s="38" t="str">
        <x:v>不作为自动回收主材</x:v>
      </x:c>
      <x:c r="U256" s="38" t="str">
        <x:v>产出实物默认不绑定，按现行材料脚本</x:v>
      </x:c>
      <x:c r="V256" s="38" t="str">
        <x:v>结构已确认；数量待经济反算</x:v>
      </x:c>
      <x:c r="W256" s="39" t="str"/>
    </x:row>
    <x:row r="257" ht="42" customHeight="1">
      <x:c r="A257" s="37" t="str">
        <x:v>CON-C01-SYN-TT-01-0253</x:v>
      </x:c>
      <x:c r="B257" s="38" t="str">
        <x:v>配方输入</x:v>
      </x:c>
      <x:c r="C257" s="38" t="str">
        <x:v>C01-SYN-TT-01</x:v>
      </x:c>
      <x:c r="D257" s="38" t="str">
        <x:v>C01</x:v>
      </x:c>
      <x:c r="E257" s="38" t="str">
        <x:v>EL-MAT-C01-WITNESS-STORM</x:v>
      </x:c>
      <x:c r="F257" s="38" t="str">
        <x:v>漂流见证·雷</x:v>
      </x:c>
      <x:c r="G257" s="38" t="str"/>
      <x:c r="H257" s="38" t="str">
        <x:v>稀有/证物材料</x:v>
      </x:c>
      <x:c r="I257" s="38" t="str">
        <x:v>稀有/证物材料</x:v>
      </x:c>
      <x:c r="J257" s="38" t="str">
        <x:v>漂流大陆印记＋漂流见证·潮＋漂流见证·雷</x:v>
      </x:c>
      <x:c r="K257" s="38" t="str">
        <x:v>漂流见证·雷</x:v>
      </x:c>
      <x:c r="L257" s="38" t="str">
        <x:v>待经济反算</x:v>
      </x:c>
      <x:c r="M257" s="38" t="str">
        <x:v>待经济反算</x:v>
      </x:c>
      <x:c r="N257" s="38" t="str">
        <x:v>是</x:v>
      </x:c>
      <x:c r="O257" s="38" t="str">
        <x:v>否</x:v>
      </x:c>
      <x:c r="P257" s="38" t="str">
        <x:v>否</x:v>
      </x:c>
      <x:c r="Q257" s="38" t="str">
        <x:v>是</x:v>
      </x:c>
      <x:c r="R257" s="38" t="str">
        <x:v>是</x:v>
      </x:c>
      <x:c r="S257" s="38" t="str">
        <x:v>可交易</x:v>
      </x:c>
      <x:c r="T257" s="38" t="str">
        <x:v>不作为自动回收主材</x:v>
      </x:c>
      <x:c r="U257" s="38" t="str">
        <x:v>产出实物默认不绑定，按现行材料脚本</x:v>
      </x:c>
      <x:c r="V257" s="38" t="str">
        <x:v>结构已确认；数量待经济反算</x:v>
      </x:c>
      <x:c r="W257" s="39" t="str"/>
    </x:row>
    <x:row r="258" ht="42" customHeight="1">
      <x:c r="A258" s="37" t="str">
        <x:v>CON-C01-SYN-TT-01-0254</x:v>
      </x:c>
      <x:c r="B258" s="38" t="str">
        <x:v>配方输入</x:v>
      </x:c>
      <x:c r="C258" s="38" t="str">
        <x:v>C01-SYN-TT-01</x:v>
      </x:c>
      <x:c r="D258" s="38" t="str">
        <x:v>C01</x:v>
      </x:c>
      <x:c r="E258" s="38" t="str">
        <x:v>CUR-GOLD</x:v>
      </x:c>
      <x:c r="F258" s="38" t="str">
        <x:v>金币</x:v>
      </x:c>
      <x:c r="G258" s="38" t="str"/>
      <x:c r="H258" s="38" t="str">
        <x:v>金币/元宝/灵符</x:v>
      </x:c>
      <x:c r="I258" s="38" t="str">
        <x:v>货币</x:v>
      </x:c>
      <x:c r="J258" s="38" t="str">
        <x:v>金币＋元宝</x:v>
      </x:c>
      <x:c r="K258" s="38" t="str">
        <x:v>金币</x:v>
      </x:c>
      <x:c r="L258" s="38" t="str">
        <x:v>待经济反算</x:v>
      </x:c>
      <x:c r="M258" s="38" t="str">
        <x:v>待经济反算</x:v>
      </x:c>
      <x:c r="N258" s="38" t="str">
        <x:v>是</x:v>
      </x:c>
      <x:c r="O258" s="38" t="str">
        <x:v>否</x:v>
      </x:c>
      <x:c r="P258" s="38" t="str">
        <x:v>否</x:v>
      </x:c>
      <x:c r="Q258" s="38" t="str">
        <x:v>是</x:v>
      </x:c>
      <x:c r="R258" s="38" t="str">
        <x:v>是</x:v>
      </x:c>
      <x:c r="S258" s="38" t="str">
        <x:v>不进入玩家摆摊；通过交易物间接流通</x:v>
      </x:c>
      <x:c r="T258" s="38" t="str">
        <x:v>货币本身不可回收</x:v>
      </x:c>
      <x:c r="U258" s="38" t="str">
        <x:v>沿用现行货币账户</x:v>
      </x:c>
      <x:c r="V258" s="38" t="str">
        <x:v>结构已确认；数量待经济反算</x:v>
      </x:c>
      <x:c r="W258" s="39" t="str"/>
    </x:row>
    <x:row r="259" ht="42" customHeight="1">
      <x:c r="A259" s="37" t="str">
        <x:v>CON-C01-SYN-TT-01-0255</x:v>
      </x:c>
      <x:c r="B259" s="38" t="str">
        <x:v>配方输入</x:v>
      </x:c>
      <x:c r="C259" s="38" t="str">
        <x:v>C01-SYN-TT-01</x:v>
      </x:c>
      <x:c r="D259" s="38" t="str">
        <x:v>C01</x:v>
      </x:c>
      <x:c r="E259" s="38" t="str">
        <x:v>CUR-YUANBAO</x:v>
      </x:c>
      <x:c r="F259" s="38" t="str">
        <x:v>元宝</x:v>
      </x:c>
      <x:c r="G259" s="38" t="str"/>
      <x:c r="H259" s="38" t="str">
        <x:v>金币/元宝/灵符</x:v>
      </x:c>
      <x:c r="I259" s="38" t="str">
        <x:v>货币</x:v>
      </x:c>
      <x:c r="J259" s="38" t="str">
        <x:v>金币＋元宝</x:v>
      </x:c>
      <x:c r="K259" s="38" t="str">
        <x:v>元宝</x:v>
      </x:c>
      <x:c r="L259" s="38" t="str">
        <x:v>待经济反算</x:v>
      </x:c>
      <x:c r="M259" s="38" t="str">
        <x:v>待经济反算</x:v>
      </x:c>
      <x:c r="N259" s="38" t="str">
        <x:v>是</x:v>
      </x:c>
      <x:c r="O259" s="38" t="str">
        <x:v>否</x:v>
      </x:c>
      <x:c r="P259" s="38" t="str">
        <x:v>否</x:v>
      </x:c>
      <x:c r="Q259" s="38" t="str">
        <x:v>是</x:v>
      </x:c>
      <x:c r="R259" s="38" t="str">
        <x:v>是</x:v>
      </x:c>
      <x:c r="S259" s="38" t="str">
        <x:v>不进入玩家摆摊；通过交易物间接流通</x:v>
      </x:c>
      <x:c r="T259" s="38" t="str">
        <x:v>货币本身不可回收</x:v>
      </x:c>
      <x:c r="U259" s="38" t="str">
        <x:v>沿用现行货币账户</x:v>
      </x:c>
      <x:c r="V259" s="38" t="str">
        <x:v>结构已确认；数量待经济反算</x:v>
      </x:c>
      <x:c r="W259" s="39" t="str"/>
    </x:row>
    <x:row r="260" ht="42" customHeight="1">
      <x:c r="A260" s="37" t="str">
        <x:v>CON-C03-SYN-TT-01-0256</x:v>
      </x:c>
      <x:c r="B260" s="38" t="str">
        <x:v>配方输入</x:v>
      </x:c>
      <x:c r="C260" s="38" t="str">
        <x:v>C03-SYN-TT-01</x:v>
      </x:c>
      <x:c r="D260" s="38" t="str">
        <x:v>C03</x:v>
      </x:c>
      <x:c r="E260" s="38" t="str">
        <x:v>EL-MAT-C03-RARE</x:v>
      </x:c>
      <x:c r="F260" s="38" t="str">
        <x:v>西境战旗</x:v>
      </x:c>
      <x:c r="G260" s="38" t="str"/>
      <x:c r="H260" s="38" t="str">
        <x:v>稀有/证物材料</x:v>
      </x:c>
      <x:c r="I260" s="38" t="str">
        <x:v>稀有/证物材料</x:v>
      </x:c>
      <x:c r="J260" s="38" t="str">
        <x:v>西境战旗＋西境战旗印＋哨垒旗冠</x:v>
      </x:c>
      <x:c r="K260" s="38" t="str">
        <x:v>西境战旗</x:v>
      </x:c>
      <x:c r="L260" s="38" t="str">
        <x:v>待经济反算</x:v>
      </x:c>
      <x:c r="M260" s="38" t="str">
        <x:v>待经济反算</x:v>
      </x:c>
      <x:c r="N260" s="38" t="str">
        <x:v>是</x:v>
      </x:c>
      <x:c r="O260" s="38" t="str">
        <x:v>否</x:v>
      </x:c>
      <x:c r="P260" s="38" t="str">
        <x:v>否</x:v>
      </x:c>
      <x:c r="Q260" s="38" t="str">
        <x:v>是</x:v>
      </x:c>
      <x:c r="R260" s="38" t="str">
        <x:v>是</x:v>
      </x:c>
      <x:c r="S260" s="38" t="str">
        <x:v>可交易</x:v>
      </x:c>
      <x:c r="T260" s="38" t="str">
        <x:v>不作为自动回收主材</x:v>
      </x:c>
      <x:c r="U260" s="38" t="str">
        <x:v>产出实物默认不绑定，按现行材料脚本</x:v>
      </x:c>
      <x:c r="V260" s="38" t="str">
        <x:v>结构已确认；数量待经济反算</x:v>
      </x:c>
      <x:c r="W260" s="39" t="str"/>
    </x:row>
    <x:row r="261" ht="42" customHeight="1">
      <x:c r="A261" s="37" t="str">
        <x:v>CON-C03-SYN-TT-01-0257</x:v>
      </x:c>
      <x:c r="B261" s="38" t="str">
        <x:v>配方输入</x:v>
      </x:c>
      <x:c r="C261" s="38" t="str">
        <x:v>C03-SYN-TT-01</x:v>
      </x:c>
      <x:c r="D261" s="38" t="str">
        <x:v>C03</x:v>
      </x:c>
      <x:c r="E261" s="38" t="str">
        <x:v>EL-MAT-C03-MARK</x:v>
      </x:c>
      <x:c r="F261" s="38" t="str">
        <x:v>西境战旗印</x:v>
      </x:c>
      <x:c r="G261" s="38" t="str"/>
      <x:c r="H261" s="38" t="str">
        <x:v>稀有/证物材料</x:v>
      </x:c>
      <x:c r="I261" s="38" t="str">
        <x:v>稀有/证物材料</x:v>
      </x:c>
      <x:c r="J261" s="38" t="str">
        <x:v>西境战旗＋西境战旗印＋哨垒旗冠</x:v>
      </x:c>
      <x:c r="K261" s="38" t="str">
        <x:v>西境战旗印</x:v>
      </x:c>
      <x:c r="L261" s="38" t="str">
        <x:v>待经济反算</x:v>
      </x:c>
      <x:c r="M261" s="38" t="str">
        <x:v>待经济反算</x:v>
      </x:c>
      <x:c r="N261" s="38" t="str">
        <x:v>是</x:v>
      </x:c>
      <x:c r="O261" s="38" t="str">
        <x:v>否</x:v>
      </x:c>
      <x:c r="P261" s="38" t="str">
        <x:v>否</x:v>
      </x:c>
      <x:c r="Q261" s="38" t="str">
        <x:v>是</x:v>
      </x:c>
      <x:c r="R261" s="38" t="str">
        <x:v>是</x:v>
      </x:c>
      <x:c r="S261" s="38" t="str">
        <x:v>可交易</x:v>
      </x:c>
      <x:c r="T261" s="38" t="str">
        <x:v>不作为自动回收主材</x:v>
      </x:c>
      <x:c r="U261" s="38" t="str">
        <x:v>产出实物默认不绑定，按现行材料脚本</x:v>
      </x:c>
      <x:c r="V261" s="38" t="str">
        <x:v>结构已确认；数量待经济反算</x:v>
      </x:c>
      <x:c r="W261" s="39" t="str"/>
    </x:row>
    <x:row r="262" ht="42" customHeight="1">
      <x:c r="A262" s="37" t="str">
        <x:v>CON-C03-SYN-TT-01-0258</x:v>
      </x:c>
      <x:c r="B262" s="38" t="str">
        <x:v>配方输入</x:v>
      </x:c>
      <x:c r="C262" s="38" t="str">
        <x:v>C03-SYN-TT-01</x:v>
      </x:c>
      <x:c r="D262" s="38" t="str">
        <x:v>C03</x:v>
      </x:c>
      <x:c r="E262" s="38" t="str">
        <x:v>EL-MAT-C03-Q04</x:v>
      </x:c>
      <x:c r="F262" s="38" t="str">
        <x:v>哨垒旗冠</x:v>
      </x:c>
      <x:c r="G262" s="38" t="str"/>
      <x:c r="H262" s="38" t="str">
        <x:v>稀有/证物材料</x:v>
      </x:c>
      <x:c r="I262" s="38" t="str">
        <x:v>稀有/证物材料</x:v>
      </x:c>
      <x:c r="J262" s="38" t="str">
        <x:v>西境战旗＋西境战旗印＋哨垒旗冠</x:v>
      </x:c>
      <x:c r="K262" s="38" t="str">
        <x:v>哨垒旗冠</x:v>
      </x:c>
      <x:c r="L262" s="38" t="str">
        <x:v>待经济反算</x:v>
      </x:c>
      <x:c r="M262" s="38" t="str">
        <x:v>待经济反算</x:v>
      </x:c>
      <x:c r="N262" s="38" t="str">
        <x:v>是</x:v>
      </x:c>
      <x:c r="O262" s="38" t="str">
        <x:v>否</x:v>
      </x:c>
      <x:c r="P262" s="38" t="str">
        <x:v>否</x:v>
      </x:c>
      <x:c r="Q262" s="38" t="str">
        <x:v>是</x:v>
      </x:c>
      <x:c r="R262" s="38" t="str">
        <x:v>是</x:v>
      </x:c>
      <x:c r="S262" s="38" t="str">
        <x:v>可交易</x:v>
      </x:c>
      <x:c r="T262" s="38" t="str">
        <x:v>不作为自动回收主材</x:v>
      </x:c>
      <x:c r="U262" s="38" t="str">
        <x:v>产出实物默认不绑定，按现行材料脚本</x:v>
      </x:c>
      <x:c r="V262" s="38" t="str">
        <x:v>结构已确认；数量待经济反算</x:v>
      </x:c>
      <x:c r="W262" s="39" t="str"/>
    </x:row>
    <x:row r="263" ht="42" customHeight="1">
      <x:c r="A263" s="37" t="str">
        <x:v>CON-C03-SYN-TT-01-0259</x:v>
      </x:c>
      <x:c r="B263" s="38" t="str">
        <x:v>配方输入</x:v>
      </x:c>
      <x:c r="C263" s="38" t="str">
        <x:v>C03-SYN-TT-01</x:v>
      </x:c>
      <x:c r="D263" s="38" t="str">
        <x:v>C03</x:v>
      </x:c>
      <x:c r="E263" s="38" t="str">
        <x:v>CUR-GOLD</x:v>
      </x:c>
      <x:c r="F263" s="38" t="str">
        <x:v>金币</x:v>
      </x:c>
      <x:c r="G263" s="38" t="str"/>
      <x:c r="H263" s="38" t="str">
        <x:v>金币/元宝/灵符</x:v>
      </x:c>
      <x:c r="I263" s="38" t="str">
        <x:v>货币</x:v>
      </x:c>
      <x:c r="J263" s="38" t="str">
        <x:v>金币</x:v>
      </x:c>
      <x:c r="K263" s="38" t="str">
        <x:v>金币</x:v>
      </x:c>
      <x:c r="L263" s="38" t="str">
        <x:v>待经济反算</x:v>
      </x:c>
      <x:c r="M263" s="38" t="str">
        <x:v>待经济反算</x:v>
      </x:c>
      <x:c r="N263" s="38" t="str">
        <x:v>是</x:v>
      </x:c>
      <x:c r="O263" s="38" t="str">
        <x:v>否</x:v>
      </x:c>
      <x:c r="P263" s="38" t="str">
        <x:v>否</x:v>
      </x:c>
      <x:c r="Q263" s="38" t="str">
        <x:v>是</x:v>
      </x:c>
      <x:c r="R263" s="38" t="str">
        <x:v>是</x:v>
      </x:c>
      <x:c r="S263" s="38" t="str">
        <x:v>不进入玩家摆摊；通过交易物间接流通</x:v>
      </x:c>
      <x:c r="T263" s="38" t="str">
        <x:v>货币本身不可回收</x:v>
      </x:c>
      <x:c r="U263" s="38" t="str">
        <x:v>沿用现行货币账户</x:v>
      </x:c>
      <x:c r="V263" s="38" t="str">
        <x:v>结构已确认；数量待经济反算</x:v>
      </x:c>
      <x:c r="W263" s="39" t="str"/>
    </x:row>
    <x:row r="264" ht="42" customHeight="1">
      <x:c r="A264" s="37" t="str">
        <x:v>CON-C05-SYN-TT-01-0260</x:v>
      </x:c>
      <x:c r="B264" s="38" t="str">
        <x:v>配方输入</x:v>
      </x:c>
      <x:c r="C264" s="38" t="str">
        <x:v>C05-SYN-TT-01</x:v>
      </x:c>
      <x:c r="D264" s="38" t="str">
        <x:v>C05</x:v>
      </x:c>
      <x:c r="E264" s="38" t="str">
        <x:v>EL-MAT-C05-RARE</x:v>
      </x:c>
      <x:c r="F264" s="38" t="str">
        <x:v>卡利亚月露</x:v>
      </x:c>
      <x:c r="G264" s="38" t="str"/>
      <x:c r="H264" s="38" t="str">
        <x:v>稀有/证物材料</x:v>
      </x:c>
      <x:c r="I264" s="38" t="str">
        <x:v>稀有/证物材料</x:v>
      </x:c>
      <x:c r="J264" s="38" t="str">
        <x:v>卡利亚月露＋满月王室印＋禁域星钥</x:v>
      </x:c>
      <x:c r="K264" s="38" t="str">
        <x:v>卡利亚月露</x:v>
      </x:c>
      <x:c r="L264" s="38" t="str">
        <x:v>待经济反算</x:v>
      </x:c>
      <x:c r="M264" s="38" t="str">
        <x:v>待经济反算</x:v>
      </x:c>
      <x:c r="N264" s="38" t="str">
        <x:v>是</x:v>
      </x:c>
      <x:c r="O264" s="38" t="str">
        <x:v>否</x:v>
      </x:c>
      <x:c r="P264" s="38" t="str">
        <x:v>否</x:v>
      </x:c>
      <x:c r="Q264" s="38" t="str">
        <x:v>是</x:v>
      </x:c>
      <x:c r="R264" s="38" t="str">
        <x:v>是</x:v>
      </x:c>
      <x:c r="S264" s="38" t="str">
        <x:v>可交易</x:v>
      </x:c>
      <x:c r="T264" s="38" t="str">
        <x:v>不作为自动回收主材</x:v>
      </x:c>
      <x:c r="U264" s="38" t="str">
        <x:v>产出实物默认不绑定，按现行材料脚本</x:v>
      </x:c>
      <x:c r="V264" s="38" t="str">
        <x:v>结构已确认；数量待经济反算</x:v>
      </x:c>
      <x:c r="W264" s="39" t="str"/>
    </x:row>
    <x:row r="265" ht="42" customHeight="1">
      <x:c r="A265" s="37" t="str">
        <x:v>CON-C05-SYN-TT-01-0261</x:v>
      </x:c>
      <x:c r="B265" s="38" t="str">
        <x:v>配方输入</x:v>
      </x:c>
      <x:c r="C265" s="38" t="str">
        <x:v>C05-SYN-TT-01</x:v>
      </x:c>
      <x:c r="D265" s="38" t="str">
        <x:v>C05</x:v>
      </x:c>
      <x:c r="E265" s="38" t="str">
        <x:v>EL-MAT-C05-MARK</x:v>
      </x:c>
      <x:c r="F265" s="38" t="str">
        <x:v>满月王室印</x:v>
      </x:c>
      <x:c r="G265" s="38" t="str"/>
      <x:c r="H265" s="38" t="str">
        <x:v>稀有/证物材料</x:v>
      </x:c>
      <x:c r="I265" s="38" t="str">
        <x:v>稀有/证物材料</x:v>
      </x:c>
      <x:c r="J265" s="38" t="str">
        <x:v>卡利亚月露＋满月王室印＋禁域星钥</x:v>
      </x:c>
      <x:c r="K265" s="38" t="str">
        <x:v>满月王室印</x:v>
      </x:c>
      <x:c r="L265" s="38" t="str">
        <x:v>待经济反算</x:v>
      </x:c>
      <x:c r="M265" s="38" t="str">
        <x:v>待经济反算</x:v>
      </x:c>
      <x:c r="N265" s="38" t="str">
        <x:v>是</x:v>
      </x:c>
      <x:c r="O265" s="38" t="str">
        <x:v>否</x:v>
      </x:c>
      <x:c r="P265" s="38" t="str">
        <x:v>否</x:v>
      </x:c>
      <x:c r="Q265" s="38" t="str">
        <x:v>是</x:v>
      </x:c>
      <x:c r="R265" s="38" t="str">
        <x:v>是</x:v>
      </x:c>
      <x:c r="S265" s="38" t="str">
        <x:v>可交易</x:v>
      </x:c>
      <x:c r="T265" s="38" t="str">
        <x:v>不作为自动回收主材</x:v>
      </x:c>
      <x:c r="U265" s="38" t="str">
        <x:v>产出实物默认不绑定，按现行材料脚本</x:v>
      </x:c>
      <x:c r="V265" s="38" t="str">
        <x:v>结构已确认；数量待经济反算</x:v>
      </x:c>
      <x:c r="W265" s="39" t="str"/>
    </x:row>
    <x:row r="266" ht="42" customHeight="1">
      <x:c r="A266" s="37" t="str">
        <x:v>CON-C05-SYN-TT-01-0262</x:v>
      </x:c>
      <x:c r="B266" s="38" t="str">
        <x:v>配方输入</x:v>
      </x:c>
      <x:c r="C266" s="38" t="str">
        <x:v>C05-SYN-TT-01</x:v>
      </x:c>
      <x:c r="D266" s="38" t="str">
        <x:v>C05</x:v>
      </x:c>
      <x:c r="E266" s="38" t="str">
        <x:v>EL-MAT-C05-Q04</x:v>
      </x:c>
      <x:c r="F266" s="38" t="str">
        <x:v>禁域星钥</x:v>
      </x:c>
      <x:c r="G266" s="38" t="str"/>
      <x:c r="H266" s="38" t="str">
        <x:v>稀有/证物材料</x:v>
      </x:c>
      <x:c r="I266" s="38" t="str">
        <x:v>稀有/证物材料</x:v>
      </x:c>
      <x:c r="J266" s="38" t="str">
        <x:v>卡利亚月露＋满月王室印＋禁域星钥</x:v>
      </x:c>
      <x:c r="K266" s="38" t="str">
        <x:v>禁域星钥</x:v>
      </x:c>
      <x:c r="L266" s="38" t="str">
        <x:v>待经济反算</x:v>
      </x:c>
      <x:c r="M266" s="38" t="str">
        <x:v>待经济反算</x:v>
      </x:c>
      <x:c r="N266" s="38" t="str">
        <x:v>是</x:v>
      </x:c>
      <x:c r="O266" s="38" t="str">
        <x:v>否</x:v>
      </x:c>
      <x:c r="P266" s="38" t="str">
        <x:v>否</x:v>
      </x:c>
      <x:c r="Q266" s="38" t="str">
        <x:v>是</x:v>
      </x:c>
      <x:c r="R266" s="38" t="str">
        <x:v>是</x:v>
      </x:c>
      <x:c r="S266" s="38" t="str">
        <x:v>可交易</x:v>
      </x:c>
      <x:c r="T266" s="38" t="str">
        <x:v>不作为自动回收主材</x:v>
      </x:c>
      <x:c r="U266" s="38" t="str">
        <x:v>产出实物默认不绑定，按现行材料脚本</x:v>
      </x:c>
      <x:c r="V266" s="38" t="str">
        <x:v>结构已确认；数量待经济反算</x:v>
      </x:c>
      <x:c r="W266" s="39" t="str"/>
    </x:row>
    <x:row r="267" ht="42" customHeight="1">
      <x:c r="A267" s="37" t="str">
        <x:v>CON-C05-SYN-TT-01-0263</x:v>
      </x:c>
      <x:c r="B267" s="38" t="str">
        <x:v>配方输入</x:v>
      </x:c>
      <x:c r="C267" s="38" t="str">
        <x:v>C05-SYN-TT-01</x:v>
      </x:c>
      <x:c r="D267" s="38" t="str">
        <x:v>C05</x:v>
      </x:c>
      <x:c r="E267" s="38" t="str">
        <x:v>CUR-YUANBAO</x:v>
      </x:c>
      <x:c r="F267" s="38" t="str">
        <x:v>元宝</x:v>
      </x:c>
      <x:c r="G267" s="38" t="str"/>
      <x:c r="H267" s="38" t="str">
        <x:v>金币/元宝/灵符</x:v>
      </x:c>
      <x:c r="I267" s="38" t="str">
        <x:v>货币</x:v>
      </x:c>
      <x:c r="J267" s="38" t="str">
        <x:v>元宝</x:v>
      </x:c>
      <x:c r="K267" s="38" t="str">
        <x:v>元宝</x:v>
      </x:c>
      <x:c r="L267" s="38" t="str">
        <x:v>待经济反算</x:v>
      </x:c>
      <x:c r="M267" s="38" t="str">
        <x:v>待经济反算</x:v>
      </x:c>
      <x:c r="N267" s="38" t="str">
        <x:v>是</x:v>
      </x:c>
      <x:c r="O267" s="38" t="str">
        <x:v>否</x:v>
      </x:c>
      <x:c r="P267" s="38" t="str">
        <x:v>否</x:v>
      </x:c>
      <x:c r="Q267" s="38" t="str">
        <x:v>是</x:v>
      </x:c>
      <x:c r="R267" s="38" t="str">
        <x:v>是</x:v>
      </x:c>
      <x:c r="S267" s="38" t="str">
        <x:v>不进入玩家摆摊；通过交易物间接流通</x:v>
      </x:c>
      <x:c r="T267" s="38" t="str">
        <x:v>货币本身不可回收</x:v>
      </x:c>
      <x:c r="U267" s="38" t="str">
        <x:v>沿用现行货币账户</x:v>
      </x:c>
      <x:c r="V267" s="38" t="str">
        <x:v>结构已确认；数量待经济反算</x:v>
      </x:c>
      <x:c r="W267" s="39" t="str"/>
    </x:row>
    <x:row r="268" ht="42" customHeight="1">
      <x:c r="A268" s="37" t="str">
        <x:v>CON-C07-SYN-TT-01-0264</x:v>
      </x:c>
      <x:c r="B268" s="38" t="str">
        <x:v>配方输入</x:v>
      </x:c>
      <x:c r="C268" s="38" t="str">
        <x:v>C07-SYN-TT-01</x:v>
      </x:c>
      <x:c r="D268" s="38" t="str">
        <x:v>C07</x:v>
      </x:c>
      <x:c r="E268" s="38" t="str">
        <x:v>EL-MAT-C07-RARE</x:v>
      </x:c>
      <x:c r="F268" s="38" t="str">
        <x:v>白金纺线</x:v>
      </x:c>
      <x:c r="G268" s="38" t="str"/>
      <x:c r="H268" s="38" t="str">
        <x:v>稀有/证物材料</x:v>
      </x:c>
      <x:c r="I268" s="38" t="str">
        <x:v>稀有/证物材料</x:v>
      </x:c>
      <x:c r="J268" s="38" t="str">
        <x:v>白金纺线＋圣雪誓印＋圣雪门楔</x:v>
      </x:c>
      <x:c r="K268" s="38" t="str">
        <x:v>白金纺线</x:v>
      </x:c>
      <x:c r="L268" s="38" t="str">
        <x:v>待经济反算</x:v>
      </x:c>
      <x:c r="M268" s="38" t="str">
        <x:v>待经济反算</x:v>
      </x:c>
      <x:c r="N268" s="38" t="str">
        <x:v>是</x:v>
      </x:c>
      <x:c r="O268" s="38" t="str">
        <x:v>否</x:v>
      </x:c>
      <x:c r="P268" s="38" t="str">
        <x:v>否</x:v>
      </x:c>
      <x:c r="Q268" s="38" t="str">
        <x:v>是</x:v>
      </x:c>
      <x:c r="R268" s="38" t="str">
        <x:v>是</x:v>
      </x:c>
      <x:c r="S268" s="38" t="str">
        <x:v>可交易</x:v>
      </x:c>
      <x:c r="T268" s="38" t="str">
        <x:v>不作为自动回收主材</x:v>
      </x:c>
      <x:c r="U268" s="38" t="str">
        <x:v>产出实物默认不绑定，按现行材料脚本</x:v>
      </x:c>
      <x:c r="V268" s="38" t="str">
        <x:v>结构已确认；数量待经济反算</x:v>
      </x:c>
      <x:c r="W268" s="39" t="str"/>
    </x:row>
    <x:row r="269" ht="42" customHeight="1">
      <x:c r="A269" s="37" t="str">
        <x:v>CON-C07-SYN-TT-01-0265</x:v>
      </x:c>
      <x:c r="B269" s="38" t="str">
        <x:v>配方输入</x:v>
      </x:c>
      <x:c r="C269" s="38" t="str">
        <x:v>C07-SYN-TT-01</x:v>
      </x:c>
      <x:c r="D269" s="38" t="str">
        <x:v>C07</x:v>
      </x:c>
      <x:c r="E269" s="38" t="str">
        <x:v>EL-MAT-C07-MARK</x:v>
      </x:c>
      <x:c r="F269" s="38" t="str">
        <x:v>圣雪誓印</x:v>
      </x:c>
      <x:c r="G269" s="38" t="str"/>
      <x:c r="H269" s="38" t="str">
        <x:v>稀有/证物材料</x:v>
      </x:c>
      <x:c r="I269" s="38" t="str">
        <x:v>稀有/证物材料</x:v>
      </x:c>
      <x:c r="J269" s="38" t="str">
        <x:v>白金纺线＋圣雪誓印＋圣雪门楔</x:v>
      </x:c>
      <x:c r="K269" s="38" t="str">
        <x:v>圣雪誓印</x:v>
      </x:c>
      <x:c r="L269" s="38" t="str">
        <x:v>待经济反算</x:v>
      </x:c>
      <x:c r="M269" s="38" t="str">
        <x:v>待经济反算</x:v>
      </x:c>
      <x:c r="N269" s="38" t="str">
        <x:v>是</x:v>
      </x:c>
      <x:c r="O269" s="38" t="str">
        <x:v>否</x:v>
      </x:c>
      <x:c r="P269" s="38" t="str">
        <x:v>否</x:v>
      </x:c>
      <x:c r="Q269" s="38" t="str">
        <x:v>是</x:v>
      </x:c>
      <x:c r="R269" s="38" t="str">
        <x:v>是</x:v>
      </x:c>
      <x:c r="S269" s="38" t="str">
        <x:v>可交易</x:v>
      </x:c>
      <x:c r="T269" s="38" t="str">
        <x:v>不作为自动回收主材</x:v>
      </x:c>
      <x:c r="U269" s="38" t="str">
        <x:v>产出实物默认不绑定，按现行材料脚本</x:v>
      </x:c>
      <x:c r="V269" s="38" t="str">
        <x:v>结构已确认；数量待经济反算</x:v>
      </x:c>
      <x:c r="W269" s="39" t="str"/>
    </x:row>
    <x:row r="270" ht="42" customHeight="1">
      <x:c r="A270" s="37" t="str">
        <x:v>CON-C07-SYN-TT-01-0266</x:v>
      </x:c>
      <x:c r="B270" s="38" t="str">
        <x:v>配方输入</x:v>
      </x:c>
      <x:c r="C270" s="38" t="str">
        <x:v>C07-SYN-TT-01</x:v>
      </x:c>
      <x:c r="D270" s="38" t="str">
        <x:v>C07</x:v>
      </x:c>
      <x:c r="E270" s="38" t="str">
        <x:v>EL-MAT-C07-Q04</x:v>
      </x:c>
      <x:c r="F270" s="38" t="str">
        <x:v>圣雪门楔</x:v>
      </x:c>
      <x:c r="G270" s="38" t="str"/>
      <x:c r="H270" s="38" t="str">
        <x:v>稀有/证物材料</x:v>
      </x:c>
      <x:c r="I270" s="38" t="str">
        <x:v>稀有/证物材料</x:v>
      </x:c>
      <x:c r="J270" s="38" t="str">
        <x:v>白金纺线＋圣雪誓印＋圣雪门楔</x:v>
      </x:c>
      <x:c r="K270" s="38" t="str">
        <x:v>圣雪门楔</x:v>
      </x:c>
      <x:c r="L270" s="38" t="str">
        <x:v>待经济反算</x:v>
      </x:c>
      <x:c r="M270" s="38" t="str">
        <x:v>待经济反算</x:v>
      </x:c>
      <x:c r="N270" s="38" t="str">
        <x:v>是</x:v>
      </x:c>
      <x:c r="O270" s="38" t="str">
        <x:v>否</x:v>
      </x:c>
      <x:c r="P270" s="38" t="str">
        <x:v>否</x:v>
      </x:c>
      <x:c r="Q270" s="38" t="str">
        <x:v>是</x:v>
      </x:c>
      <x:c r="R270" s="38" t="str">
        <x:v>是</x:v>
      </x:c>
      <x:c r="S270" s="38" t="str">
        <x:v>可交易</x:v>
      </x:c>
      <x:c r="T270" s="38" t="str">
        <x:v>不作为自动回收主材</x:v>
      </x:c>
      <x:c r="U270" s="38" t="str">
        <x:v>产出实物默认不绑定，按现行材料脚本</x:v>
      </x:c>
      <x:c r="V270" s="38" t="str">
        <x:v>结构已确认；数量待经济反算</x:v>
      </x:c>
      <x:c r="W270" s="39" t="str"/>
    </x:row>
    <x:row r="271" ht="42" customHeight="1">
      <x:c r="A271" s="37" t="str">
        <x:v>CON-C07-SYN-TT-01-0267</x:v>
      </x:c>
      <x:c r="B271" s="38" t="str">
        <x:v>配方输入</x:v>
      </x:c>
      <x:c r="C271" s="38" t="str">
        <x:v>C07-SYN-TT-01</x:v>
      </x:c>
      <x:c r="D271" s="38" t="str">
        <x:v>C07</x:v>
      </x:c>
      <x:c r="E271" s="38" t="str">
        <x:v>CUR-GOLD</x:v>
      </x:c>
      <x:c r="F271" s="38" t="str">
        <x:v>金币</x:v>
      </x:c>
      <x:c r="G271" s="38" t="str"/>
      <x:c r="H271" s="38" t="str">
        <x:v>金币/元宝/灵符</x:v>
      </x:c>
      <x:c r="I271" s="38" t="str">
        <x:v>货币</x:v>
      </x:c>
      <x:c r="J271" s="38" t="str">
        <x:v>金币＋元宝</x:v>
      </x:c>
      <x:c r="K271" s="38" t="str">
        <x:v>金币</x:v>
      </x:c>
      <x:c r="L271" s="38" t="str">
        <x:v>待经济反算</x:v>
      </x:c>
      <x:c r="M271" s="38" t="str">
        <x:v>待经济反算</x:v>
      </x:c>
      <x:c r="N271" s="38" t="str">
        <x:v>是</x:v>
      </x:c>
      <x:c r="O271" s="38" t="str">
        <x:v>否</x:v>
      </x:c>
      <x:c r="P271" s="38" t="str">
        <x:v>否</x:v>
      </x:c>
      <x:c r="Q271" s="38" t="str">
        <x:v>是</x:v>
      </x:c>
      <x:c r="R271" s="38" t="str">
        <x:v>是</x:v>
      </x:c>
      <x:c r="S271" s="38" t="str">
        <x:v>不进入玩家摆摊；通过交易物间接流通</x:v>
      </x:c>
      <x:c r="T271" s="38" t="str">
        <x:v>货币本身不可回收</x:v>
      </x:c>
      <x:c r="U271" s="38" t="str">
        <x:v>沿用现行货币账户</x:v>
      </x:c>
      <x:c r="V271" s="38" t="str">
        <x:v>结构已确认；数量待经济反算</x:v>
      </x:c>
      <x:c r="W271" s="39" t="str"/>
    </x:row>
    <x:row r="272" ht="42" customHeight="1">
      <x:c r="A272" s="37" t="str">
        <x:v>CON-C07-SYN-TT-01-0268</x:v>
      </x:c>
      <x:c r="B272" s="38" t="str">
        <x:v>配方输入</x:v>
      </x:c>
      <x:c r="C272" s="38" t="str">
        <x:v>C07-SYN-TT-01</x:v>
      </x:c>
      <x:c r="D272" s="38" t="str">
        <x:v>C07</x:v>
      </x:c>
      <x:c r="E272" s="38" t="str">
        <x:v>CUR-YUANBAO</x:v>
      </x:c>
      <x:c r="F272" s="38" t="str">
        <x:v>元宝</x:v>
      </x:c>
      <x:c r="G272" s="38" t="str"/>
      <x:c r="H272" s="38" t="str">
        <x:v>金币/元宝/灵符</x:v>
      </x:c>
      <x:c r="I272" s="38" t="str">
        <x:v>货币</x:v>
      </x:c>
      <x:c r="J272" s="38" t="str">
        <x:v>金币＋元宝</x:v>
      </x:c>
      <x:c r="K272" s="38" t="str">
        <x:v>元宝</x:v>
      </x:c>
      <x:c r="L272" s="38" t="str">
        <x:v>待经济反算</x:v>
      </x:c>
      <x:c r="M272" s="38" t="str">
        <x:v>待经济反算</x:v>
      </x:c>
      <x:c r="N272" s="38" t="str">
        <x:v>是</x:v>
      </x:c>
      <x:c r="O272" s="38" t="str">
        <x:v>否</x:v>
      </x:c>
      <x:c r="P272" s="38" t="str">
        <x:v>否</x:v>
      </x:c>
      <x:c r="Q272" s="38" t="str">
        <x:v>是</x:v>
      </x:c>
      <x:c r="R272" s="38" t="str">
        <x:v>是</x:v>
      </x:c>
      <x:c r="S272" s="38" t="str">
        <x:v>不进入玩家摆摊；通过交易物间接流通</x:v>
      </x:c>
      <x:c r="T272" s="38" t="str">
        <x:v>货币本身不可回收</x:v>
      </x:c>
      <x:c r="U272" s="38" t="str">
        <x:v>沿用现行货币账户</x:v>
      </x:c>
      <x:c r="V272" s="38" t="str">
        <x:v>结构已确认；数量待经济反算</x:v>
      </x:c>
      <x:c r="W272" s="39" t="str"/>
    </x:row>
    <x:row r="273" ht="42" customHeight="1">
      <x:c r="A273" s="37" t="str">
        <x:v>CON-C09-SYN-TT-01-0269</x:v>
      </x:c>
      <x:c r="B273" s="38" t="str">
        <x:v>配方输入</x:v>
      </x:c>
      <x:c r="C273" s="38" t="str">
        <x:v>C09-SYN-TT-01</x:v>
      </x:c>
      <x:c r="D273" s="38" t="str">
        <x:v>C09</x:v>
      </x:c>
      <x:c r="E273" s="38" t="str">
        <x:v>EL-MAT-C09-RARE</x:v>
      </x:c>
      <x:c r="F273" s="38" t="str">
        <x:v>古王律页</x:v>
      </x:c>
      <x:c r="G273" s="38" t="str"/>
      <x:c r="H273" s="38" t="str">
        <x:v>稀有/证物材料</x:v>
      </x:c>
      <x:c r="I273" s="38" t="str">
        <x:v>稀有/证物材料</x:v>
      </x:c>
      <x:c r="J273" s="38" t="str">
        <x:v>古王律页＋黄金律印＋高原王诏金版</x:v>
      </x:c>
      <x:c r="K273" s="38" t="str">
        <x:v>古王律页</x:v>
      </x:c>
      <x:c r="L273" s="38" t="str">
        <x:v>待经济反算</x:v>
      </x:c>
      <x:c r="M273" s="38" t="str">
        <x:v>待经济反算</x:v>
      </x:c>
      <x:c r="N273" s="38" t="str">
        <x:v>是</x:v>
      </x:c>
      <x:c r="O273" s="38" t="str">
        <x:v>否</x:v>
      </x:c>
      <x:c r="P273" s="38" t="str">
        <x:v>否</x:v>
      </x:c>
      <x:c r="Q273" s="38" t="str">
        <x:v>是</x:v>
      </x:c>
      <x:c r="R273" s="38" t="str">
        <x:v>是</x:v>
      </x:c>
      <x:c r="S273" s="38" t="str">
        <x:v>可交易</x:v>
      </x:c>
      <x:c r="T273" s="38" t="str">
        <x:v>不作为自动回收主材</x:v>
      </x:c>
      <x:c r="U273" s="38" t="str">
        <x:v>产出实物默认不绑定，按现行材料脚本</x:v>
      </x:c>
      <x:c r="V273" s="38" t="str">
        <x:v>结构已确认；数量待经济反算</x:v>
      </x:c>
      <x:c r="W273" s="39" t="str"/>
    </x:row>
    <x:row r="274" ht="42" customHeight="1">
      <x:c r="A274" s="37" t="str">
        <x:v>CON-C09-SYN-TT-01-0270</x:v>
      </x:c>
      <x:c r="B274" s="38" t="str">
        <x:v>配方输入</x:v>
      </x:c>
      <x:c r="C274" s="38" t="str">
        <x:v>C09-SYN-TT-01</x:v>
      </x:c>
      <x:c r="D274" s="38" t="str">
        <x:v>C09</x:v>
      </x:c>
      <x:c r="E274" s="38" t="str">
        <x:v>EL-MAT-C09-MARK</x:v>
      </x:c>
      <x:c r="F274" s="38" t="str">
        <x:v>黄金律印</x:v>
      </x:c>
      <x:c r="G274" s="38" t="str"/>
      <x:c r="H274" s="38" t="str">
        <x:v>稀有/证物材料</x:v>
      </x:c>
      <x:c r="I274" s="38" t="str">
        <x:v>稀有/证物材料</x:v>
      </x:c>
      <x:c r="J274" s="38" t="str">
        <x:v>古王律页＋黄金律印＋高原王诏金版</x:v>
      </x:c>
      <x:c r="K274" s="38" t="str">
        <x:v>黄金律印</x:v>
      </x:c>
      <x:c r="L274" s="38" t="str">
        <x:v>待经济反算</x:v>
      </x:c>
      <x:c r="M274" s="38" t="str">
        <x:v>待经济反算</x:v>
      </x:c>
      <x:c r="N274" s="38" t="str">
        <x:v>是</x:v>
      </x:c>
      <x:c r="O274" s="38" t="str">
        <x:v>否</x:v>
      </x:c>
      <x:c r="P274" s="38" t="str">
        <x:v>否</x:v>
      </x:c>
      <x:c r="Q274" s="38" t="str">
        <x:v>是</x:v>
      </x:c>
      <x:c r="R274" s="38" t="str">
        <x:v>是</x:v>
      </x:c>
      <x:c r="S274" s="38" t="str">
        <x:v>可交易</x:v>
      </x:c>
      <x:c r="T274" s="38" t="str">
        <x:v>不作为自动回收主材</x:v>
      </x:c>
      <x:c r="U274" s="38" t="str">
        <x:v>产出实物默认不绑定，按现行材料脚本</x:v>
      </x:c>
      <x:c r="V274" s="38" t="str">
        <x:v>结构已确认；数量待经济反算</x:v>
      </x:c>
      <x:c r="W274" s="39" t="str"/>
    </x:row>
    <x:row r="275" ht="42" customHeight="1">
      <x:c r="A275" s="37" t="str">
        <x:v>CON-C09-SYN-TT-01-0271</x:v>
      </x:c>
      <x:c r="B275" s="38" t="str">
        <x:v>配方输入</x:v>
      </x:c>
      <x:c r="C275" s="38" t="str">
        <x:v>C09-SYN-TT-01</x:v>
      </x:c>
      <x:c r="D275" s="38" t="str">
        <x:v>C09</x:v>
      </x:c>
      <x:c r="E275" s="38" t="str">
        <x:v>EL-MAT-C09-Q04</x:v>
      </x:c>
      <x:c r="F275" s="38" t="str">
        <x:v>高原王诏金版</x:v>
      </x:c>
      <x:c r="G275" s="38" t="str"/>
      <x:c r="H275" s="38" t="str">
        <x:v>稀有/证物材料</x:v>
      </x:c>
      <x:c r="I275" s="38" t="str">
        <x:v>稀有/证物材料</x:v>
      </x:c>
      <x:c r="J275" s="38" t="str">
        <x:v>古王律页＋黄金律印＋高原王诏金版</x:v>
      </x:c>
      <x:c r="K275" s="38" t="str">
        <x:v>高原王诏金版</x:v>
      </x:c>
      <x:c r="L275" s="38" t="str">
        <x:v>待经济反算</x:v>
      </x:c>
      <x:c r="M275" s="38" t="str">
        <x:v>待经济反算</x:v>
      </x:c>
      <x:c r="N275" s="38" t="str">
        <x:v>是</x:v>
      </x:c>
      <x:c r="O275" s="38" t="str">
        <x:v>否</x:v>
      </x:c>
      <x:c r="P275" s="38" t="str">
        <x:v>否</x:v>
      </x:c>
      <x:c r="Q275" s="38" t="str">
        <x:v>是</x:v>
      </x:c>
      <x:c r="R275" s="38" t="str">
        <x:v>是</x:v>
      </x:c>
      <x:c r="S275" s="38" t="str">
        <x:v>可交易</x:v>
      </x:c>
      <x:c r="T275" s="38" t="str">
        <x:v>不作为自动回收主材</x:v>
      </x:c>
      <x:c r="U275" s="38" t="str">
        <x:v>产出实物默认不绑定，按现行材料脚本</x:v>
      </x:c>
      <x:c r="V275" s="38" t="str">
        <x:v>结构已确认；数量待经济反算</x:v>
      </x:c>
      <x:c r="W275" s="39" t="str"/>
    </x:row>
    <x:row r="276" ht="42" customHeight="1">
      <x:c r="A276" s="37" t="str">
        <x:v>CON-C09-SYN-TT-01-0272</x:v>
      </x:c>
      <x:c r="B276" s="38" t="str">
        <x:v>配方输入</x:v>
      </x:c>
      <x:c r="C276" s="38" t="str">
        <x:v>C09-SYN-TT-01</x:v>
      </x:c>
      <x:c r="D276" s="38" t="str">
        <x:v>C09</x:v>
      </x:c>
      <x:c r="E276" s="38" t="str">
        <x:v>CUR-YUANBAO</x:v>
      </x:c>
      <x:c r="F276" s="38" t="str">
        <x:v>元宝</x:v>
      </x:c>
      <x:c r="G276" s="38" t="str"/>
      <x:c r="H276" s="38" t="str">
        <x:v>金币/元宝/灵符</x:v>
      </x:c>
      <x:c r="I276" s="38" t="str">
        <x:v>货币</x:v>
      </x:c>
      <x:c r="J276" s="38" t="str">
        <x:v>元宝</x:v>
      </x:c>
      <x:c r="K276" s="38" t="str">
        <x:v>元宝</x:v>
      </x:c>
      <x:c r="L276" s="38" t="str">
        <x:v>待经济反算</x:v>
      </x:c>
      <x:c r="M276" s="38" t="str">
        <x:v>待经济反算</x:v>
      </x:c>
      <x:c r="N276" s="38" t="str">
        <x:v>是</x:v>
      </x:c>
      <x:c r="O276" s="38" t="str">
        <x:v>否</x:v>
      </x:c>
      <x:c r="P276" s="38" t="str">
        <x:v>否</x:v>
      </x:c>
      <x:c r="Q276" s="38" t="str">
        <x:v>是</x:v>
      </x:c>
      <x:c r="R276" s="38" t="str">
        <x:v>是</x:v>
      </x:c>
      <x:c r="S276" s="38" t="str">
        <x:v>不进入玩家摆摊；通过交易物间接流通</x:v>
      </x:c>
      <x:c r="T276" s="38" t="str">
        <x:v>货币本身不可回收</x:v>
      </x:c>
      <x:c r="U276" s="38" t="str">
        <x:v>沿用现行货币账户</x:v>
      </x:c>
      <x:c r="V276" s="38" t="str">
        <x:v>结构已确认；数量待经济反算</x:v>
      </x:c>
      <x:c r="W276" s="39" t="str"/>
    </x:row>
    <x:row r="277" ht="42" customHeight="1">
      <x:c r="A277" s="37" t="str">
        <x:v>CON-C10-SYN-TT-01-0273</x:v>
      </x:c>
      <x:c r="B277" s="38" t="str">
        <x:v>配方输入</x:v>
      </x:c>
      <x:c r="C277" s="38" t="str">
        <x:v>C10-SYN-TT-01</x:v>
      </x:c>
      <x:c r="D277" s="38" t="str">
        <x:v>C10</x:v>
      </x:c>
      <x:c r="E277" s="38" t="str">
        <x:v>EL-MAT-C10-RARE</x:v>
      </x:c>
      <x:c r="F277" s="38" t="str">
        <x:v>王宫律文</x:v>
      </x:c>
      <x:c r="G277" s="38" t="str"/>
      <x:c r="H277" s="38" t="str">
        <x:v>稀有/证物材料</x:v>
      </x:c>
      <x:c r="I277" s="38" t="str">
        <x:v>稀有/证物材料</x:v>
      </x:c>
      <x:c r="J277" s="38" t="str">
        <x:v>王宫律文＋艾尔登王印＋王宫断冠片＋失温熔炉楔</x:v>
      </x:c>
      <x:c r="K277" s="38" t="str">
        <x:v>王宫律文</x:v>
      </x:c>
      <x:c r="L277" s="38" t="str">
        <x:v>待经济反算</x:v>
      </x:c>
      <x:c r="M277" s="38" t="str">
        <x:v>待经济反算</x:v>
      </x:c>
      <x:c r="N277" s="38" t="str">
        <x:v>是</x:v>
      </x:c>
      <x:c r="O277" s="38" t="str">
        <x:v>否</x:v>
      </x:c>
      <x:c r="P277" s="38" t="str">
        <x:v>否</x:v>
      </x:c>
      <x:c r="Q277" s="38" t="str">
        <x:v>是</x:v>
      </x:c>
      <x:c r="R277" s="38" t="str">
        <x:v>是</x:v>
      </x:c>
      <x:c r="S277" s="38" t="str">
        <x:v>可交易</x:v>
      </x:c>
      <x:c r="T277" s="38" t="str">
        <x:v>不作为自动回收主材</x:v>
      </x:c>
      <x:c r="U277" s="38" t="str">
        <x:v>产出实物默认不绑定，按现行材料脚本</x:v>
      </x:c>
      <x:c r="V277" s="38" t="str">
        <x:v>结构已确认；数量待经济反算</x:v>
      </x:c>
      <x:c r="W277" s="39" t="str"/>
    </x:row>
    <x:row r="278" ht="42" customHeight="1">
      <x:c r="A278" s="37" t="str">
        <x:v>CON-C10-SYN-TT-01-0274</x:v>
      </x:c>
      <x:c r="B278" s="38" t="str">
        <x:v>配方输入</x:v>
      </x:c>
      <x:c r="C278" s="38" t="str">
        <x:v>C10-SYN-TT-01</x:v>
      </x:c>
      <x:c r="D278" s="38" t="str">
        <x:v>C10</x:v>
      </x:c>
      <x:c r="E278" s="38" t="str">
        <x:v>EL-MAT-C10-MARK</x:v>
      </x:c>
      <x:c r="F278" s="38" t="str">
        <x:v>艾尔登王印</x:v>
      </x:c>
      <x:c r="G278" s="38" t="str"/>
      <x:c r="H278" s="38" t="str">
        <x:v>稀有/证物材料</x:v>
      </x:c>
      <x:c r="I278" s="38" t="str">
        <x:v>稀有/证物材料</x:v>
      </x:c>
      <x:c r="J278" s="38" t="str">
        <x:v>王宫律文＋艾尔登王印＋王宫断冠片＋失温熔炉楔</x:v>
      </x:c>
      <x:c r="K278" s="38" t="str">
        <x:v>艾尔登王印</x:v>
      </x:c>
      <x:c r="L278" s="38" t="str">
        <x:v>待经济反算</x:v>
      </x:c>
      <x:c r="M278" s="38" t="str">
        <x:v>待经济反算</x:v>
      </x:c>
      <x:c r="N278" s="38" t="str">
        <x:v>是</x:v>
      </x:c>
      <x:c r="O278" s="38" t="str">
        <x:v>否</x:v>
      </x:c>
      <x:c r="P278" s="38" t="str">
        <x:v>否</x:v>
      </x:c>
      <x:c r="Q278" s="38" t="str">
        <x:v>是</x:v>
      </x:c>
      <x:c r="R278" s="38" t="str">
        <x:v>是</x:v>
      </x:c>
      <x:c r="S278" s="38" t="str">
        <x:v>可交易</x:v>
      </x:c>
      <x:c r="T278" s="38" t="str">
        <x:v>不作为自动回收主材</x:v>
      </x:c>
      <x:c r="U278" s="38" t="str">
        <x:v>产出实物默认不绑定，按现行材料脚本</x:v>
      </x:c>
      <x:c r="V278" s="38" t="str">
        <x:v>结构已确认；数量待经济反算</x:v>
      </x:c>
      <x:c r="W278" s="39" t="str"/>
    </x:row>
    <x:row r="279" ht="42" customHeight="1">
      <x:c r="A279" s="37" t="str">
        <x:v>CON-C10-SYN-TT-01-0275</x:v>
      </x:c>
      <x:c r="B279" s="38" t="str">
        <x:v>配方输入</x:v>
      </x:c>
      <x:c r="C279" s="38" t="str">
        <x:v>C10-SYN-TT-01</x:v>
      </x:c>
      <x:c r="D279" s="38" t="str">
        <x:v>C10</x:v>
      </x:c>
      <x:c r="E279" s="38" t="str">
        <x:v>EL-MAT-C10-Q04</x:v>
      </x:c>
      <x:c r="F279" s="38" t="str">
        <x:v>王宫断冠片</x:v>
      </x:c>
      <x:c r="G279" s="38" t="str"/>
      <x:c r="H279" s="38" t="str">
        <x:v>稀有/证物材料</x:v>
      </x:c>
      <x:c r="I279" s="38" t="str">
        <x:v>稀有/证物材料</x:v>
      </x:c>
      <x:c r="J279" s="38" t="str">
        <x:v>王宫律文＋艾尔登王印＋王宫断冠片＋失温熔炉楔</x:v>
      </x:c>
      <x:c r="K279" s="38" t="str">
        <x:v>王宫断冠片</x:v>
      </x:c>
      <x:c r="L279" s="38" t="str">
        <x:v>待经济反算</x:v>
      </x:c>
      <x:c r="M279" s="38" t="str">
        <x:v>待经济反算</x:v>
      </x:c>
      <x:c r="N279" s="38" t="str">
        <x:v>是</x:v>
      </x:c>
      <x:c r="O279" s="38" t="str">
        <x:v>否</x:v>
      </x:c>
      <x:c r="P279" s="38" t="str">
        <x:v>否</x:v>
      </x:c>
      <x:c r="Q279" s="38" t="str">
        <x:v>是</x:v>
      </x:c>
      <x:c r="R279" s="38" t="str">
        <x:v>是</x:v>
      </x:c>
      <x:c r="S279" s="38" t="str">
        <x:v>可交易</x:v>
      </x:c>
      <x:c r="T279" s="38" t="str">
        <x:v>不作为自动回收主材</x:v>
      </x:c>
      <x:c r="U279" s="38" t="str">
        <x:v>产出实物默认不绑定，按现行材料脚本</x:v>
      </x:c>
      <x:c r="V279" s="38" t="str">
        <x:v>结构已确认；数量待经济反算</x:v>
      </x:c>
      <x:c r="W279" s="39" t="str"/>
    </x:row>
    <x:row r="280" ht="42" customHeight="1">
      <x:c r="A280" s="37" t="str">
        <x:v>CON-C10-SYN-TT-01-0276</x:v>
      </x:c>
      <x:c r="B280" s="38" t="str">
        <x:v>配方输入</x:v>
      </x:c>
      <x:c r="C280" s="38" t="str">
        <x:v>C10-SYN-TT-01</x:v>
      </x:c>
      <x:c r="D280" s="38" t="str">
        <x:v>C10</x:v>
      </x:c>
      <x:c r="E280" s="38" t="str">
        <x:v>EL-MAT-C10-Q03</x:v>
      </x:c>
      <x:c r="F280" s="38" t="str">
        <x:v>失温熔炉楔</x:v>
      </x:c>
      <x:c r="G280" s="38" t="str"/>
      <x:c r="H280" s="38" t="str">
        <x:v>稀有/证物材料</x:v>
      </x:c>
      <x:c r="I280" s="38" t="str">
        <x:v>稀有/证物材料</x:v>
      </x:c>
      <x:c r="J280" s="38" t="str">
        <x:v>王宫律文＋艾尔登王印＋王宫断冠片＋失温熔炉楔</x:v>
      </x:c>
      <x:c r="K280" s="38" t="str">
        <x:v>失温熔炉楔</x:v>
      </x:c>
      <x:c r="L280" s="38" t="str">
        <x:v>待经济反算</x:v>
      </x:c>
      <x:c r="M280" s="38" t="str">
        <x:v>待经济反算</x:v>
      </x:c>
      <x:c r="N280" s="38" t="str">
        <x:v>是</x:v>
      </x:c>
      <x:c r="O280" s="38" t="str">
        <x:v>否</x:v>
      </x:c>
      <x:c r="P280" s="38" t="str">
        <x:v>否</x:v>
      </x:c>
      <x:c r="Q280" s="38" t="str">
        <x:v>是</x:v>
      </x:c>
      <x:c r="R280" s="38" t="str">
        <x:v>是</x:v>
      </x:c>
      <x:c r="S280" s="38" t="str">
        <x:v>可交易</x:v>
      </x:c>
      <x:c r="T280" s="38" t="str">
        <x:v>不作为自动回收主材</x:v>
      </x:c>
      <x:c r="U280" s="38" t="str">
        <x:v>产出实物默认不绑定，按现行材料脚本</x:v>
      </x:c>
      <x:c r="V280" s="38" t="str">
        <x:v>结构已确认；数量待经济反算</x:v>
      </x:c>
      <x:c r="W280" s="39" t="str">
        <x:v>V1.0原配方误用只供大陆图鉴的穹律鎏痕拓片；现移除并替换为C10地图BOSS证物失温熔炉楔。</x:v>
      </x:c>
    </x:row>
    <x:row r="281" ht="42" customHeight="1">
      <x:c r="A281" s="37" t="str">
        <x:v>CON-C10-SYN-TT-01-0277</x:v>
      </x:c>
      <x:c r="B281" s="38" t="str">
        <x:v>配方输入</x:v>
      </x:c>
      <x:c r="C281" s="38" t="str">
        <x:v>C10-SYN-TT-01</x:v>
      </x:c>
      <x:c r="D281" s="38" t="str">
        <x:v>C10</x:v>
      </x:c>
      <x:c r="E281" s="38" t="str">
        <x:v>CUR-GOLD</x:v>
      </x:c>
      <x:c r="F281" s="38" t="str">
        <x:v>金币</x:v>
      </x:c>
      <x:c r="G281" s="38" t="str"/>
      <x:c r="H281" s="38" t="str">
        <x:v>金币/元宝/灵符</x:v>
      </x:c>
      <x:c r="I281" s="38" t="str">
        <x:v>货币</x:v>
      </x:c>
      <x:c r="J281" s="38" t="str">
        <x:v>金币＋元宝</x:v>
      </x:c>
      <x:c r="K281" s="38" t="str">
        <x:v>金币</x:v>
      </x:c>
      <x:c r="L281" s="38" t="str">
        <x:v>待经济反算</x:v>
      </x:c>
      <x:c r="M281" s="38" t="str">
        <x:v>待经济反算</x:v>
      </x:c>
      <x:c r="N281" s="38" t="str">
        <x:v>是</x:v>
      </x:c>
      <x:c r="O281" s="38" t="str">
        <x:v>否</x:v>
      </x:c>
      <x:c r="P281" s="38" t="str">
        <x:v>否</x:v>
      </x:c>
      <x:c r="Q281" s="38" t="str">
        <x:v>是</x:v>
      </x:c>
      <x:c r="R281" s="38" t="str">
        <x:v>是</x:v>
      </x:c>
      <x:c r="S281" s="38" t="str">
        <x:v>不进入玩家摆摊；通过交易物间接流通</x:v>
      </x:c>
      <x:c r="T281" s="38" t="str">
        <x:v>货币本身不可回收</x:v>
      </x:c>
      <x:c r="U281" s="38" t="str">
        <x:v>沿用现行货币账户</x:v>
      </x:c>
      <x:c r="V281" s="38" t="str">
        <x:v>结构已确认；数量待经济反算</x:v>
      </x:c>
      <x:c r="W281" s="39" t="str"/>
    </x:row>
    <x:row r="282" ht="42" customHeight="1">
      <x:c r="A282" s="37" t="str">
        <x:v>CON-C10-SYN-TT-01-0278</x:v>
      </x:c>
      <x:c r="B282" s="38" t="str">
        <x:v>配方输入</x:v>
      </x:c>
      <x:c r="C282" s="38" t="str">
        <x:v>C10-SYN-TT-01</x:v>
      </x:c>
      <x:c r="D282" s="38" t="str">
        <x:v>C10</x:v>
      </x:c>
      <x:c r="E282" s="38" t="str">
        <x:v>CUR-YUANBAO</x:v>
      </x:c>
      <x:c r="F282" s="38" t="str">
        <x:v>元宝</x:v>
      </x:c>
      <x:c r="G282" s="38" t="str"/>
      <x:c r="H282" s="38" t="str">
        <x:v>金币/元宝/灵符</x:v>
      </x:c>
      <x:c r="I282" s="38" t="str">
        <x:v>货币</x:v>
      </x:c>
      <x:c r="J282" s="38" t="str">
        <x:v>金币＋元宝</x:v>
      </x:c>
      <x:c r="K282" s="38" t="str">
        <x:v>元宝</x:v>
      </x:c>
      <x:c r="L282" s="38" t="str">
        <x:v>待经济反算</x:v>
      </x:c>
      <x:c r="M282" s="38" t="str">
        <x:v>待经济反算</x:v>
      </x:c>
      <x:c r="N282" s="38" t="str">
        <x:v>是</x:v>
      </x:c>
      <x:c r="O282" s="38" t="str">
        <x:v>否</x:v>
      </x:c>
      <x:c r="P282" s="38" t="str">
        <x:v>否</x:v>
      </x:c>
      <x:c r="Q282" s="38" t="str">
        <x:v>是</x:v>
      </x:c>
      <x:c r="R282" s="38" t="str">
        <x:v>是</x:v>
      </x:c>
      <x:c r="S282" s="38" t="str">
        <x:v>不进入玩家摆摊；通过交易物间接流通</x:v>
      </x:c>
      <x:c r="T282" s="38" t="str">
        <x:v>货币本身不可回收</x:v>
      </x:c>
      <x:c r="U282" s="38" t="str">
        <x:v>沿用现行货币账户</x:v>
      </x:c>
      <x:c r="V282" s="38" t="str">
        <x:v>结构已确认；数量待经济反算</x:v>
      </x:c>
      <x:c r="W282" s="39" t="str"/>
    </x:row>
    <x:row r="283" ht="42" customHeight="1">
      <x:c r="A283" s="37" t="str">
        <x:v>CON-C02-AOE-LV1-0279</x:v>
      </x:c>
      <x:c r="B283" s="38" t="str">
        <x:v>配方输入</x:v>
      </x:c>
      <x:c r="C283" s="38" t="str">
        <x:v>C02-AOE-LV1</x:v>
      </x:c>
      <x:c r="D283" s="38" t="str">
        <x:v>C02</x:v>
      </x:c>
      <x:c r="E283" s="38" t="str">
        <x:v>ITEM-EAC5E959F1A3</x:v>
      </x:c>
      <x:c r="F283" s="38" t="str">
        <x:v>雷冠申猴</x:v>
      </x:c>
      <x:c r="G283" s="38" t="str"/>
      <x:c r="H283" s="38" t="str">
        <x:v>基础件/前置</x:v>
      </x:c>
      <x:c r="I283" s="38" t="str">
        <x:v>基础件/前置</x:v>
      </x:c>
      <x:c r="J283" s="38" t="str">
        <x:v>雷冠申猴</x:v>
      </x:c>
      <x:c r="K283" s="38" t="str">
        <x:v>雷冠申猴</x:v>
      </x:c>
      <x:c r="L283" s="38" t="str">
        <x:v>待经济反算</x:v>
      </x:c>
      <x:c r="M283" s="38" t="str">
        <x:v>待经济反算</x:v>
      </x:c>
      <x:c r="N283" s="38" t="str">
        <x:v>是</x:v>
      </x:c>
      <x:c r="O283" s="38" t="str">
        <x:v>否</x:v>
      </x:c>
      <x:c r="P283" s="38" t="str">
        <x:v>否</x:v>
      </x:c>
      <x:c r="Q283" s="38" t="str">
        <x:v>是</x:v>
      </x:c>
      <x:c r="R283" s="38" t="str">
        <x:v>是</x:v>
      </x:c>
      <x:c r="S283" s="38" t="str">
        <x:v>可交易（沿用原物品规则）</x:v>
      </x:c>
      <x:c r="T283" s="38" t="str">
        <x:v>沿用原物品；若为合成成品则禁止回收</x:v>
      </x:c>
      <x:c r="U283" s="38" t="str">
        <x:v>沿用配方交易/绑定列</x:v>
      </x:c>
      <x:c r="V283" s="38" t="str">
        <x:v>结构已确认；数量待经济反算</x:v>
      </x:c>
      <x:c r="W283" s="39" t="str"/>
    </x:row>
    <x:row r="284" ht="42" customHeight="1">
      <x:c r="A284" s="37" t="str">
        <x:v>CON-C02-AOE-LV1-0280</x:v>
      </x:c>
      <x:c r="B284" s="38" t="str">
        <x:v>配方输入</x:v>
      </x:c>
      <x:c r="C284" s="38" t="str">
        <x:v>C02-AOE-LV1</x:v>
      </x:c>
      <x:c r="D284" s="38" t="str">
        <x:v>C02</x:v>
      </x:c>
      <x:c r="E284" s="38" t="str">
        <x:v>EL-MAT-C02-COM</x:v>
      </x:c>
      <x:c r="F284" s="38" t="str">
        <x:v>风暴石片</x:v>
      </x:c>
      <x:c r="G284" s="38" t="str"/>
      <x:c r="H284" s="38" t="str">
        <x:v>高产通用材料</x:v>
      </x:c>
      <x:c r="I284" s="38" t="str">
        <x:v>高产通用材料</x:v>
      </x:c>
      <x:c r="J284" s="38" t="str">
        <x:v>风暴石片</x:v>
      </x:c>
      <x:c r="K284" s="38" t="str">
        <x:v>风暴石片</x:v>
      </x:c>
      <x:c r="L284" s="38" t="str">
        <x:v>待经济反算</x:v>
      </x:c>
      <x:c r="M284" s="38" t="str">
        <x:v>待经济反算</x:v>
      </x:c>
      <x:c r="N284" s="38" t="str">
        <x:v>是</x:v>
      </x:c>
      <x:c r="O284" s="38" t="str">
        <x:v>否</x:v>
      </x:c>
      <x:c r="P284" s="38" t="str">
        <x:v>否</x:v>
      </x:c>
      <x:c r="Q284" s="38" t="str">
        <x:v>是</x:v>
      </x:c>
      <x:c r="R284" s="38" t="str">
        <x:v>是</x:v>
      </x:c>
      <x:c r="S284" s="38" t="str">
        <x:v>可交易</x:v>
      </x:c>
      <x:c r="T284" s="38" t="str">
        <x:v>R2档金币／元宝主回收口</x:v>
      </x:c>
      <x:c r="U284" s="38" t="str">
        <x:v>产出实物默认不绑定，按现行材料脚本</x:v>
      </x:c>
      <x:c r="V284" s="38" t="str">
        <x:v>结构已确认；数量待经济反算</x:v>
      </x:c>
      <x:c r="W284" s="39" t="str"/>
    </x:row>
    <x:row r="285" ht="42" customHeight="1">
      <x:c r="A285" s="37" t="str">
        <x:v>CON-C02-AOE-LV1-0281</x:v>
      </x:c>
      <x:c r="B285" s="38" t="str">
        <x:v>配方输入</x:v>
      </x:c>
      <x:c r="C285" s="38" t="str">
        <x:v>C02-AOE-LV1</x:v>
      </x:c>
      <x:c r="D285" s="38" t="str">
        <x:v>C02</x:v>
      </x:c>
      <x:c r="E285" s="38" t="str">
        <x:v>EL-MAT-C02-RARE</x:v>
      </x:c>
      <x:c r="F285" s="38" t="str">
        <x:v>黄金树芽</x:v>
      </x:c>
      <x:c r="G285" s="38" t="str"/>
      <x:c r="H285" s="38" t="str">
        <x:v>稀有/证物材料</x:v>
      </x:c>
      <x:c r="I285" s="38" t="str">
        <x:v>稀有/证物材料</x:v>
      </x:c>
      <x:c r="J285" s="38" t="str">
        <x:v>黄金树芽＋接肢王印</x:v>
      </x:c>
      <x:c r="K285" s="38" t="str">
        <x:v>黄金树芽</x:v>
      </x:c>
      <x:c r="L285" s="38" t="str">
        <x:v>待经济反算</x:v>
      </x:c>
      <x:c r="M285" s="38" t="str">
        <x:v>待经济反算</x:v>
      </x:c>
      <x:c r="N285" s="38" t="str">
        <x:v>是</x:v>
      </x:c>
      <x:c r="O285" s="38" t="str">
        <x:v>否</x:v>
      </x:c>
      <x:c r="P285" s="38" t="str">
        <x:v>否</x:v>
      </x:c>
      <x:c r="Q285" s="38" t="str">
        <x:v>是</x:v>
      </x:c>
      <x:c r="R285" s="38" t="str">
        <x:v>是</x:v>
      </x:c>
      <x:c r="S285" s="38" t="str">
        <x:v>可交易</x:v>
      </x:c>
      <x:c r="T285" s="38" t="str">
        <x:v>不作为自动回收主材</x:v>
      </x:c>
      <x:c r="U285" s="38" t="str">
        <x:v>产出实物默认不绑定，按现行材料脚本</x:v>
      </x:c>
      <x:c r="V285" s="38" t="str">
        <x:v>结构已确认；数量待经济反算</x:v>
      </x:c>
      <x:c r="W285" s="39" t="str"/>
    </x:row>
    <x:row r="286" ht="42" customHeight="1">
      <x:c r="A286" s="37" t="str">
        <x:v>CON-C02-AOE-LV1-0282</x:v>
      </x:c>
      <x:c r="B286" s="38" t="str">
        <x:v>配方输入</x:v>
      </x:c>
      <x:c r="C286" s="38" t="str">
        <x:v>C02-AOE-LV1</x:v>
      </x:c>
      <x:c r="D286" s="38" t="str">
        <x:v>C02</x:v>
      </x:c>
      <x:c r="E286" s="38" t="str">
        <x:v>EL-MAT-C02-MARK</x:v>
      </x:c>
      <x:c r="F286" s="38" t="str">
        <x:v>接肢王印</x:v>
      </x:c>
      <x:c r="G286" s="38" t="str"/>
      <x:c r="H286" s="38" t="str">
        <x:v>稀有/证物材料</x:v>
      </x:c>
      <x:c r="I286" s="38" t="str">
        <x:v>稀有/证物材料</x:v>
      </x:c>
      <x:c r="J286" s="38" t="str">
        <x:v>黄金树芽＋接肢王印</x:v>
      </x:c>
      <x:c r="K286" s="38" t="str">
        <x:v>接肢王印</x:v>
      </x:c>
      <x:c r="L286" s="38" t="str">
        <x:v>待经济反算</x:v>
      </x:c>
      <x:c r="M286" s="38" t="str">
        <x:v>待经济反算</x:v>
      </x:c>
      <x:c r="N286" s="38" t="str">
        <x:v>是</x:v>
      </x:c>
      <x:c r="O286" s="38" t="str">
        <x:v>否</x:v>
      </x:c>
      <x:c r="P286" s="38" t="str">
        <x:v>否</x:v>
      </x:c>
      <x:c r="Q286" s="38" t="str">
        <x:v>是</x:v>
      </x:c>
      <x:c r="R286" s="38" t="str">
        <x:v>是</x:v>
      </x:c>
      <x:c r="S286" s="38" t="str">
        <x:v>可交易</x:v>
      </x:c>
      <x:c r="T286" s="38" t="str">
        <x:v>不作为自动回收主材</x:v>
      </x:c>
      <x:c r="U286" s="38" t="str">
        <x:v>产出实物默认不绑定，按现行材料脚本</x:v>
      </x:c>
      <x:c r="V286" s="38" t="str">
        <x:v>结构已确认；数量待经济反算</x:v>
      </x:c>
      <x:c r="W286" s="39" t="str"/>
    </x:row>
    <x:row r="287" ht="42" customHeight="1">
      <x:c r="A287" s="37" t="str">
        <x:v>CON-C02-AOE-LV1-0283</x:v>
      </x:c>
      <x:c r="B287" s="38" t="str">
        <x:v>配方输入</x:v>
      </x:c>
      <x:c r="C287" s="38" t="str">
        <x:v>C02-AOE-LV1</x:v>
      </x:c>
      <x:c r="D287" s="38" t="str">
        <x:v>C02</x:v>
      </x:c>
      <x:c r="E287" s="38" t="str">
        <x:v>CUR-YUANBAO</x:v>
      </x:c>
      <x:c r="F287" s="38" t="str">
        <x:v>元宝</x:v>
      </x:c>
      <x:c r="G287" s="38" t="str"/>
      <x:c r="H287" s="38" t="str">
        <x:v>金币/元宝/灵符</x:v>
      </x:c>
      <x:c r="I287" s="38" t="str">
        <x:v>货币</x:v>
      </x:c>
      <x:c r="J287" s="38" t="str">
        <x:v>元宝</x:v>
      </x:c>
      <x:c r="K287" s="38" t="str">
        <x:v>元宝</x:v>
      </x:c>
      <x:c r="L287" s="38" t="str">
        <x:v>待经济反算</x:v>
      </x:c>
      <x:c r="M287" s="38" t="str">
        <x:v>待经济反算</x:v>
      </x:c>
      <x:c r="N287" s="38" t="str">
        <x:v>是</x:v>
      </x:c>
      <x:c r="O287" s="38" t="str">
        <x:v>否</x:v>
      </x:c>
      <x:c r="P287" s="38" t="str">
        <x:v>否</x:v>
      </x:c>
      <x:c r="Q287" s="38" t="str">
        <x:v>是</x:v>
      </x:c>
      <x:c r="R287" s="38" t="str">
        <x:v>是</x:v>
      </x:c>
      <x:c r="S287" s="38" t="str">
        <x:v>不进入玩家摆摊；通过交易物间接流通</x:v>
      </x:c>
      <x:c r="T287" s="38" t="str">
        <x:v>货币本身不可回收</x:v>
      </x:c>
      <x:c r="U287" s="38" t="str">
        <x:v>沿用现行货币账户</x:v>
      </x:c>
      <x:c r="V287" s="38" t="str">
        <x:v>结构已确认；数量待经济反算</x:v>
      </x:c>
      <x:c r="W287" s="39" t="str"/>
    </x:row>
    <x:row r="288" ht="42" customHeight="1">
      <x:c r="A288" s="37" t="str">
        <x:v>CON-C03-AOE-LV2-0284</x:v>
      </x:c>
      <x:c r="B288" s="38" t="str">
        <x:v>配方输入</x:v>
      </x:c>
      <x:c r="C288" s="38" t="str">
        <x:v>C03-AOE-LV2</x:v>
      </x:c>
      <x:c r="D288" s="38" t="str">
        <x:v>C03</x:v>
      </x:c>
      <x:c r="E288" s="38" t="str">
        <x:v>OUT-E50E1540C8DE</x:v>
      </x:c>
      <x:c r="F288" s="38" t="str">
        <x:v>群星之核LV1</x:v>
      </x:c>
      <x:c r="G288" s="38" t="str"/>
      <x:c r="H288" s="38" t="str">
        <x:v>基础件/前置</x:v>
      </x:c>
      <x:c r="I288" s="38" t="str">
        <x:v>基础件/前置</x:v>
      </x:c>
      <x:c r="J288" s="38" t="str">
        <x:v>群星之核LV1</x:v>
      </x:c>
      <x:c r="K288" s="38" t="str">
        <x:v>群星之核LV1</x:v>
      </x:c>
      <x:c r="L288" s="38" t="str">
        <x:v>待经济反算</x:v>
      </x:c>
      <x:c r="M288" s="38" t="str">
        <x:v>待经济反算</x:v>
      </x:c>
      <x:c r="N288" s="38" t="str">
        <x:v>是</x:v>
      </x:c>
      <x:c r="O288" s="38" t="str">
        <x:v>否</x:v>
      </x:c>
      <x:c r="P288" s="38" t="str">
        <x:v>否</x:v>
      </x:c>
      <x:c r="Q288" s="38" t="str">
        <x:v>是</x:v>
      </x:c>
      <x:c r="R288" s="38" t="str">
        <x:v>是</x:v>
      </x:c>
      <x:c r="S288" s="38" t="str">
        <x:v>成品可交易</x:v>
      </x:c>
      <x:c r="T288" s="38" t="str">
        <x:v>禁止回收</x:v>
      </x:c>
      <x:c r="U288" s="38" t="str">
        <x:v>成品可交易</x:v>
      </x:c>
      <x:c r="V288" s="38" t="str">
        <x:v>结构已确认；数量待经济反算</x:v>
      </x:c>
      <x:c r="W288" s="39" t="str"/>
    </x:row>
    <x:row r="289" ht="42" customHeight="1">
      <x:c r="A289" s="37" t="str">
        <x:v>CON-C03-AOE-LV2-0285</x:v>
      </x:c>
      <x:c r="B289" s="38" t="str">
        <x:v>配方输入</x:v>
      </x:c>
      <x:c r="C289" s="38" t="str">
        <x:v>C03-AOE-LV2</x:v>
      </x:c>
      <x:c r="D289" s="38" t="str">
        <x:v>C03</x:v>
      </x:c>
      <x:c r="E289" s="38" t="str">
        <x:v>EL-MAT-C03-COM</x:v>
      </x:c>
      <x:c r="F289" s="38" t="str">
        <x:v>风蚀铁片</x:v>
      </x:c>
      <x:c r="G289" s="38" t="str"/>
      <x:c r="H289" s="38" t="str">
        <x:v>高产通用材料</x:v>
      </x:c>
      <x:c r="I289" s="38" t="str">
        <x:v>高产通用材料</x:v>
      </x:c>
      <x:c r="J289" s="38" t="str">
        <x:v>风蚀铁片</x:v>
      </x:c>
      <x:c r="K289" s="38" t="str">
        <x:v>风蚀铁片</x:v>
      </x:c>
      <x:c r="L289" s="38" t="str">
        <x:v>待经济反算</x:v>
      </x:c>
      <x:c r="M289" s="38" t="str">
        <x:v>待经济反算</x:v>
      </x:c>
      <x:c r="N289" s="38" t="str">
        <x:v>是</x:v>
      </x:c>
      <x:c r="O289" s="38" t="str">
        <x:v>否</x:v>
      </x:c>
      <x:c r="P289" s="38" t="str">
        <x:v>否</x:v>
      </x:c>
      <x:c r="Q289" s="38" t="str">
        <x:v>是</x:v>
      </x:c>
      <x:c r="R289" s="38" t="str">
        <x:v>是</x:v>
      </x:c>
      <x:c r="S289" s="38" t="str">
        <x:v>可交易</x:v>
      </x:c>
      <x:c r="T289" s="38" t="str">
        <x:v>R3档金币／元宝主回收口</x:v>
      </x:c>
      <x:c r="U289" s="38" t="str">
        <x:v>产出实物默认不绑定，按现行材料脚本</x:v>
      </x:c>
      <x:c r="V289" s="38" t="str">
        <x:v>结构已确认；数量待经济反算</x:v>
      </x:c>
      <x:c r="W289" s="39" t="str"/>
    </x:row>
    <x:row r="290" ht="42" customHeight="1">
      <x:c r="A290" s="37" t="str">
        <x:v>CON-C03-AOE-LV2-0286</x:v>
      </x:c>
      <x:c r="B290" s="38" t="str">
        <x:v>配方输入</x:v>
      </x:c>
      <x:c r="C290" s="38" t="str">
        <x:v>C03-AOE-LV2</x:v>
      </x:c>
      <x:c r="D290" s="38" t="str">
        <x:v>C03</x:v>
      </x:c>
      <x:c r="E290" s="38" t="str">
        <x:v>EL-MAT-C03-Q01</x:v>
      </x:c>
      <x:c r="F290" s="38" t="str">
        <x:v>裂风崖羽</x:v>
      </x:c>
      <x:c r="G290" s="38" t="str"/>
      <x:c r="H290" s="38" t="str">
        <x:v>稀有/证物材料</x:v>
      </x:c>
      <x:c r="I290" s="38" t="str">
        <x:v>稀有/证物材料</x:v>
      </x:c>
      <x:c r="J290" s="38" t="str">
        <x:v>裂风崖羽＋西境战旗印</x:v>
      </x:c>
      <x:c r="K290" s="38" t="str">
        <x:v>裂风崖羽</x:v>
      </x:c>
      <x:c r="L290" s="38" t="str">
        <x:v>待经济反算</x:v>
      </x:c>
      <x:c r="M290" s="38" t="str">
        <x:v>待经济反算</x:v>
      </x:c>
      <x:c r="N290" s="38" t="str">
        <x:v>是</x:v>
      </x:c>
      <x:c r="O290" s="38" t="str">
        <x:v>否</x:v>
      </x:c>
      <x:c r="P290" s="38" t="str">
        <x:v>否</x:v>
      </x:c>
      <x:c r="Q290" s="38" t="str">
        <x:v>是</x:v>
      </x:c>
      <x:c r="R290" s="38" t="str">
        <x:v>是</x:v>
      </x:c>
      <x:c r="S290" s="38" t="str">
        <x:v>可交易</x:v>
      </x:c>
      <x:c r="T290" s="38" t="str">
        <x:v>不作为自动回收主材</x:v>
      </x:c>
      <x:c r="U290" s="38" t="str">
        <x:v>产出实物默认不绑定，按现行材料脚本</x:v>
      </x:c>
      <x:c r="V290" s="38" t="str">
        <x:v>结构已确认；数量待经济反算</x:v>
      </x:c>
      <x:c r="W290" s="39" t="str"/>
    </x:row>
    <x:row r="291" ht="42" customHeight="1">
      <x:c r="A291" s="37" t="str">
        <x:v>CON-C03-AOE-LV2-0287</x:v>
      </x:c>
      <x:c r="B291" s="38" t="str">
        <x:v>配方输入</x:v>
      </x:c>
      <x:c r="C291" s="38" t="str">
        <x:v>C03-AOE-LV2</x:v>
      </x:c>
      <x:c r="D291" s="38" t="str">
        <x:v>C03</x:v>
      </x:c>
      <x:c r="E291" s="38" t="str">
        <x:v>EL-MAT-C03-MARK</x:v>
      </x:c>
      <x:c r="F291" s="38" t="str">
        <x:v>西境战旗印</x:v>
      </x:c>
      <x:c r="G291" s="38" t="str"/>
      <x:c r="H291" s="38" t="str">
        <x:v>稀有/证物材料</x:v>
      </x:c>
      <x:c r="I291" s="38" t="str">
        <x:v>稀有/证物材料</x:v>
      </x:c>
      <x:c r="J291" s="38" t="str">
        <x:v>裂风崖羽＋西境战旗印</x:v>
      </x:c>
      <x:c r="K291" s="38" t="str">
        <x:v>西境战旗印</x:v>
      </x:c>
      <x:c r="L291" s="38" t="str">
        <x:v>待经济反算</x:v>
      </x:c>
      <x:c r="M291" s="38" t="str">
        <x:v>待经济反算</x:v>
      </x:c>
      <x:c r="N291" s="38" t="str">
        <x:v>是</x:v>
      </x:c>
      <x:c r="O291" s="38" t="str">
        <x:v>否</x:v>
      </x:c>
      <x:c r="P291" s="38" t="str">
        <x:v>否</x:v>
      </x:c>
      <x:c r="Q291" s="38" t="str">
        <x:v>是</x:v>
      </x:c>
      <x:c r="R291" s="38" t="str">
        <x:v>是</x:v>
      </x:c>
      <x:c r="S291" s="38" t="str">
        <x:v>可交易</x:v>
      </x:c>
      <x:c r="T291" s="38" t="str">
        <x:v>不作为自动回收主材</x:v>
      </x:c>
      <x:c r="U291" s="38" t="str">
        <x:v>产出实物默认不绑定，按现行材料脚本</x:v>
      </x:c>
      <x:c r="V291" s="38" t="str">
        <x:v>结构已确认；数量待经济反算</x:v>
      </x:c>
      <x:c r="W291" s="39" t="str"/>
    </x:row>
    <x:row r="292" ht="42" customHeight="1">
      <x:c r="A292" s="37" t="str">
        <x:v>CON-C03-AOE-LV2-0288</x:v>
      </x:c>
      <x:c r="B292" s="38" t="str">
        <x:v>配方输入</x:v>
      </x:c>
      <x:c r="C292" s="38" t="str">
        <x:v>C03-AOE-LV2</x:v>
      </x:c>
      <x:c r="D292" s="38" t="str">
        <x:v>C03</x:v>
      </x:c>
      <x:c r="E292" s="38" t="str">
        <x:v>CUR-GOLD</x:v>
      </x:c>
      <x:c r="F292" s="38" t="str">
        <x:v>金币</x:v>
      </x:c>
      <x:c r="G292" s="38" t="str"/>
      <x:c r="H292" s="38" t="str">
        <x:v>金币/元宝/灵符</x:v>
      </x:c>
      <x:c r="I292" s="38" t="str">
        <x:v>货币</x:v>
      </x:c>
      <x:c r="J292" s="38" t="str">
        <x:v>金币</x:v>
      </x:c>
      <x:c r="K292" s="38" t="str">
        <x:v>金币</x:v>
      </x:c>
      <x:c r="L292" s="38" t="str">
        <x:v>待经济反算</x:v>
      </x:c>
      <x:c r="M292" s="38" t="str">
        <x:v>待经济反算</x:v>
      </x:c>
      <x:c r="N292" s="38" t="str">
        <x:v>是</x:v>
      </x:c>
      <x:c r="O292" s="38" t="str">
        <x:v>否</x:v>
      </x:c>
      <x:c r="P292" s="38" t="str">
        <x:v>否</x:v>
      </x:c>
      <x:c r="Q292" s="38" t="str">
        <x:v>是</x:v>
      </x:c>
      <x:c r="R292" s="38" t="str">
        <x:v>是</x:v>
      </x:c>
      <x:c r="S292" s="38" t="str">
        <x:v>不进入玩家摆摊；通过交易物间接流通</x:v>
      </x:c>
      <x:c r="T292" s="38" t="str">
        <x:v>货币本身不可回收</x:v>
      </x:c>
      <x:c r="U292" s="38" t="str">
        <x:v>沿用现行货币账户</x:v>
      </x:c>
      <x:c r="V292" s="38" t="str">
        <x:v>结构已确认；数量待经济反算</x:v>
      </x:c>
      <x:c r="W292" s="39" t="str"/>
    </x:row>
    <x:row r="293" ht="42" customHeight="1">
      <x:c r="A293" s="37" t="str">
        <x:v>CON-C05-AOE-LV3-0289</x:v>
      </x:c>
      <x:c r="B293" s="38" t="str">
        <x:v>配方输入</x:v>
      </x:c>
      <x:c r="C293" s="38" t="str">
        <x:v>C05-AOE-LV3</x:v>
      </x:c>
      <x:c r="D293" s="38" t="str">
        <x:v>C05</x:v>
      </x:c>
      <x:c r="E293" s="38" t="str">
        <x:v>OUT-6AB8C5238DDB</x:v>
      </x:c>
      <x:c r="F293" s="38" t="str">
        <x:v>群星之核LV2</x:v>
      </x:c>
      <x:c r="G293" s="38" t="str"/>
      <x:c r="H293" s="38" t="str">
        <x:v>基础件/前置</x:v>
      </x:c>
      <x:c r="I293" s="38" t="str">
        <x:v>基础件/前置</x:v>
      </x:c>
      <x:c r="J293" s="38" t="str">
        <x:v>群星之核LV2</x:v>
      </x:c>
      <x:c r="K293" s="38" t="str">
        <x:v>群星之核LV2</x:v>
      </x:c>
      <x:c r="L293" s="38" t="str">
        <x:v>待经济反算</x:v>
      </x:c>
      <x:c r="M293" s="38" t="str">
        <x:v>待经济反算</x:v>
      </x:c>
      <x:c r="N293" s="38" t="str">
        <x:v>是</x:v>
      </x:c>
      <x:c r="O293" s="38" t="str">
        <x:v>否</x:v>
      </x:c>
      <x:c r="P293" s="38" t="str">
        <x:v>否</x:v>
      </x:c>
      <x:c r="Q293" s="38" t="str">
        <x:v>是</x:v>
      </x:c>
      <x:c r="R293" s="38" t="str">
        <x:v>是</x:v>
      </x:c>
      <x:c r="S293" s="38" t="str">
        <x:v>成品可交易</x:v>
      </x:c>
      <x:c r="T293" s="38" t="str">
        <x:v>禁止回收</x:v>
      </x:c>
      <x:c r="U293" s="38" t="str">
        <x:v>成品可交易</x:v>
      </x:c>
      <x:c r="V293" s="38" t="str">
        <x:v>结构已确认；数量待经济反算</x:v>
      </x:c>
      <x:c r="W293" s="39" t="str"/>
    </x:row>
    <x:row r="294" ht="42" customHeight="1">
      <x:c r="A294" s="37" t="str">
        <x:v>CON-C05-AOE-LV3-0290</x:v>
      </x:c>
      <x:c r="B294" s="38" t="str">
        <x:v>配方输入</x:v>
      </x:c>
      <x:c r="C294" s="38" t="str">
        <x:v>C05-AOE-LV3</x:v>
      </x:c>
      <x:c r="D294" s="38" t="str">
        <x:v>C05</x:v>
      </x:c>
      <x:c r="E294" s="38" t="str">
        <x:v>EL-MAT-C05-COM</x:v>
      </x:c>
      <x:c r="F294" s="38" t="str">
        <x:v>辉石碎晶</x:v>
      </x:c>
      <x:c r="G294" s="38" t="str"/>
      <x:c r="H294" s="38" t="str">
        <x:v>高产通用材料</x:v>
      </x:c>
      <x:c r="I294" s="38" t="str">
        <x:v>高产通用材料</x:v>
      </x:c>
      <x:c r="J294" s="38" t="str">
        <x:v>辉石碎晶</x:v>
      </x:c>
      <x:c r="K294" s="38" t="str">
        <x:v>辉石碎晶</x:v>
      </x:c>
      <x:c r="L294" s="38" t="str">
        <x:v>待经济反算</x:v>
      </x:c>
      <x:c r="M294" s="38" t="str">
        <x:v>待经济反算</x:v>
      </x:c>
      <x:c r="N294" s="38" t="str">
        <x:v>是</x:v>
      </x:c>
      <x:c r="O294" s="38" t="str">
        <x:v>否</x:v>
      </x:c>
      <x:c r="P294" s="38" t="str">
        <x:v>否</x:v>
      </x:c>
      <x:c r="Q294" s="38" t="str">
        <x:v>是</x:v>
      </x:c>
      <x:c r="R294" s="38" t="str">
        <x:v>是</x:v>
      </x:c>
      <x:c r="S294" s="38" t="str">
        <x:v>可交易</x:v>
      </x:c>
      <x:c r="T294" s="38" t="str">
        <x:v>R5档金币／元宝主回收口</x:v>
      </x:c>
      <x:c r="U294" s="38" t="str">
        <x:v>产出实物默认不绑定，按现行材料脚本</x:v>
      </x:c>
      <x:c r="V294" s="38" t="str">
        <x:v>结构已确认；数量待经济反算</x:v>
      </x:c>
      <x:c r="W294" s="39" t="str"/>
    </x:row>
    <x:row r="295" ht="42" customHeight="1">
      <x:c r="A295" s="37" t="str">
        <x:v>CON-C05-AOE-LV3-0291</x:v>
      </x:c>
      <x:c r="B295" s="38" t="str">
        <x:v>配方输入</x:v>
      </x:c>
      <x:c r="C295" s="38" t="str">
        <x:v>C05-AOE-LV3</x:v>
      </x:c>
      <x:c r="D295" s="38" t="str">
        <x:v>C05</x:v>
      </x:c>
      <x:c r="E295" s="38" t="str">
        <x:v>EL-MAT-C05-Q01</x:v>
      </x:c>
      <x:c r="F295" s="38" t="str">
        <x:v>雾月星砂</x:v>
      </x:c>
      <x:c r="G295" s="38" t="str"/>
      <x:c r="H295" s="38" t="str">
        <x:v>稀有/证物材料</x:v>
      </x:c>
      <x:c r="I295" s="38" t="str">
        <x:v>稀有/证物材料</x:v>
      </x:c>
      <x:c r="J295" s="38" t="str">
        <x:v>雾月星砂＋满月王室印</x:v>
      </x:c>
      <x:c r="K295" s="38" t="str">
        <x:v>雾月星砂</x:v>
      </x:c>
      <x:c r="L295" s="38" t="str">
        <x:v>待经济反算</x:v>
      </x:c>
      <x:c r="M295" s="38" t="str">
        <x:v>待经济反算</x:v>
      </x:c>
      <x:c r="N295" s="38" t="str">
        <x:v>是</x:v>
      </x:c>
      <x:c r="O295" s="38" t="str">
        <x:v>否</x:v>
      </x:c>
      <x:c r="P295" s="38" t="str">
        <x:v>否</x:v>
      </x:c>
      <x:c r="Q295" s="38" t="str">
        <x:v>是</x:v>
      </x:c>
      <x:c r="R295" s="38" t="str">
        <x:v>是</x:v>
      </x:c>
      <x:c r="S295" s="38" t="str">
        <x:v>可交易</x:v>
      </x:c>
      <x:c r="T295" s="38" t="str">
        <x:v>不作为自动回收主材</x:v>
      </x:c>
      <x:c r="U295" s="38" t="str">
        <x:v>产出实物默认不绑定，按现行材料脚本</x:v>
      </x:c>
      <x:c r="V295" s="38" t="str">
        <x:v>结构已确认；数量待经济反算</x:v>
      </x:c>
      <x:c r="W295" s="39" t="str"/>
    </x:row>
    <x:row r="296" ht="42" customHeight="1">
      <x:c r="A296" s="37" t="str">
        <x:v>CON-C05-AOE-LV3-0292</x:v>
      </x:c>
      <x:c r="B296" s="38" t="str">
        <x:v>配方输入</x:v>
      </x:c>
      <x:c r="C296" s="38" t="str">
        <x:v>C05-AOE-LV3</x:v>
      </x:c>
      <x:c r="D296" s="38" t="str">
        <x:v>C05</x:v>
      </x:c>
      <x:c r="E296" s="38" t="str">
        <x:v>EL-MAT-C05-MARK</x:v>
      </x:c>
      <x:c r="F296" s="38" t="str">
        <x:v>满月王室印</x:v>
      </x:c>
      <x:c r="G296" s="38" t="str"/>
      <x:c r="H296" s="38" t="str">
        <x:v>稀有/证物材料</x:v>
      </x:c>
      <x:c r="I296" s="38" t="str">
        <x:v>稀有/证物材料</x:v>
      </x:c>
      <x:c r="J296" s="38" t="str">
        <x:v>雾月星砂＋满月王室印</x:v>
      </x:c>
      <x:c r="K296" s="38" t="str">
        <x:v>满月王室印</x:v>
      </x:c>
      <x:c r="L296" s="38" t="str">
        <x:v>待经济反算</x:v>
      </x:c>
      <x:c r="M296" s="38" t="str">
        <x:v>待经济反算</x:v>
      </x:c>
      <x:c r="N296" s="38" t="str">
        <x:v>是</x:v>
      </x:c>
      <x:c r="O296" s="38" t="str">
        <x:v>否</x:v>
      </x:c>
      <x:c r="P296" s="38" t="str">
        <x:v>否</x:v>
      </x:c>
      <x:c r="Q296" s="38" t="str">
        <x:v>是</x:v>
      </x:c>
      <x:c r="R296" s="38" t="str">
        <x:v>是</x:v>
      </x:c>
      <x:c r="S296" s="38" t="str">
        <x:v>可交易</x:v>
      </x:c>
      <x:c r="T296" s="38" t="str">
        <x:v>不作为自动回收主材</x:v>
      </x:c>
      <x:c r="U296" s="38" t="str">
        <x:v>产出实物默认不绑定，按现行材料脚本</x:v>
      </x:c>
      <x:c r="V296" s="38" t="str">
        <x:v>结构已确认；数量待经济反算</x:v>
      </x:c>
      <x:c r="W296" s="39" t="str"/>
    </x:row>
    <x:row r="297" ht="42" customHeight="1">
      <x:c r="A297" s="37" t="str">
        <x:v>CON-C05-AOE-LV3-0293</x:v>
      </x:c>
      <x:c r="B297" s="38" t="str">
        <x:v>配方输入</x:v>
      </x:c>
      <x:c r="C297" s="38" t="str">
        <x:v>C05-AOE-LV3</x:v>
      </x:c>
      <x:c r="D297" s="38" t="str">
        <x:v>C05</x:v>
      </x:c>
      <x:c r="E297" s="38" t="str">
        <x:v>CUR-YUANBAO</x:v>
      </x:c>
      <x:c r="F297" s="38" t="str">
        <x:v>元宝</x:v>
      </x:c>
      <x:c r="G297" s="38" t="str"/>
      <x:c r="H297" s="38" t="str">
        <x:v>金币/元宝/灵符</x:v>
      </x:c>
      <x:c r="I297" s="38" t="str">
        <x:v>货币</x:v>
      </x:c>
      <x:c r="J297" s="38" t="str">
        <x:v>元宝</x:v>
      </x:c>
      <x:c r="K297" s="38" t="str">
        <x:v>元宝</x:v>
      </x:c>
      <x:c r="L297" s="38" t="str">
        <x:v>待经济反算</x:v>
      </x:c>
      <x:c r="M297" s="38" t="str">
        <x:v>待经济反算</x:v>
      </x:c>
      <x:c r="N297" s="38" t="str">
        <x:v>是</x:v>
      </x:c>
      <x:c r="O297" s="38" t="str">
        <x:v>否</x:v>
      </x:c>
      <x:c r="P297" s="38" t="str">
        <x:v>否</x:v>
      </x:c>
      <x:c r="Q297" s="38" t="str">
        <x:v>是</x:v>
      </x:c>
      <x:c r="R297" s="38" t="str">
        <x:v>是</x:v>
      </x:c>
      <x:c r="S297" s="38" t="str">
        <x:v>不进入玩家摆摊；通过交易物间接流通</x:v>
      </x:c>
      <x:c r="T297" s="38" t="str">
        <x:v>货币本身不可回收</x:v>
      </x:c>
      <x:c r="U297" s="38" t="str">
        <x:v>沿用现行货币账户</x:v>
      </x:c>
      <x:c r="V297" s="38" t="str">
        <x:v>结构已确认；数量待经济反算</x:v>
      </x:c>
      <x:c r="W297" s="39" t="str"/>
    </x:row>
    <x:row r="298" ht="42" customHeight="1">
      <x:c r="A298" s="37" t="str">
        <x:v>CON-C07-AOE-LV4-0294</x:v>
      </x:c>
      <x:c r="B298" s="38" t="str">
        <x:v>配方输入</x:v>
      </x:c>
      <x:c r="C298" s="38" t="str">
        <x:v>C07-AOE-LV4</x:v>
      </x:c>
      <x:c r="D298" s="38" t="str">
        <x:v>C07</x:v>
      </x:c>
      <x:c r="E298" s="38" t="str">
        <x:v>OUT-7359D4860D40</x:v>
      </x:c>
      <x:c r="F298" s="38" t="str">
        <x:v>群星之核LV3</x:v>
      </x:c>
      <x:c r="G298" s="38" t="str"/>
      <x:c r="H298" s="38" t="str">
        <x:v>基础件/前置</x:v>
      </x:c>
      <x:c r="I298" s="38" t="str">
        <x:v>基础件/前置</x:v>
      </x:c>
      <x:c r="J298" s="38" t="str">
        <x:v>群星之核LV3</x:v>
      </x:c>
      <x:c r="K298" s="38" t="str">
        <x:v>群星之核LV3</x:v>
      </x:c>
      <x:c r="L298" s="38" t="str">
        <x:v>待经济反算</x:v>
      </x:c>
      <x:c r="M298" s="38" t="str">
        <x:v>待经济反算</x:v>
      </x:c>
      <x:c r="N298" s="38" t="str">
        <x:v>是</x:v>
      </x:c>
      <x:c r="O298" s="38" t="str">
        <x:v>否</x:v>
      </x:c>
      <x:c r="P298" s="38" t="str">
        <x:v>否</x:v>
      </x:c>
      <x:c r="Q298" s="38" t="str">
        <x:v>是</x:v>
      </x:c>
      <x:c r="R298" s="38" t="str">
        <x:v>是</x:v>
      </x:c>
      <x:c r="S298" s="38" t="str">
        <x:v>成品可交易</x:v>
      </x:c>
      <x:c r="T298" s="38" t="str">
        <x:v>禁止回收</x:v>
      </x:c>
      <x:c r="U298" s="38" t="str">
        <x:v>成品可交易</x:v>
      </x:c>
      <x:c r="V298" s="38" t="str">
        <x:v>结构已确认；数量待经济反算</x:v>
      </x:c>
      <x:c r="W298" s="39" t="str"/>
    </x:row>
    <x:row r="299" ht="42" customHeight="1">
      <x:c r="A299" s="37" t="str">
        <x:v>CON-C07-AOE-LV4-0295</x:v>
      </x:c>
      <x:c r="B299" s="38" t="str">
        <x:v>配方输入</x:v>
      </x:c>
      <x:c r="C299" s="38" t="str">
        <x:v>C07-AOE-LV4</x:v>
      </x:c>
      <x:c r="D299" s="38" t="str">
        <x:v>C07</x:v>
      </x:c>
      <x:c r="E299" s="38" t="str">
        <x:v>EL-MAT-C07-COM</x:v>
      </x:c>
      <x:c r="F299" s="38" t="str">
        <x:v>冻晶尘</x:v>
      </x:c>
      <x:c r="G299" s="38" t="str"/>
      <x:c r="H299" s="38" t="str">
        <x:v>高产通用材料</x:v>
      </x:c>
      <x:c r="I299" s="38" t="str">
        <x:v>高产通用材料</x:v>
      </x:c>
      <x:c r="J299" s="38" t="str">
        <x:v>冻晶尘</x:v>
      </x:c>
      <x:c r="K299" s="38" t="str">
        <x:v>冻晶尘</x:v>
      </x:c>
      <x:c r="L299" s="38" t="str">
        <x:v>待经济反算</x:v>
      </x:c>
      <x:c r="M299" s="38" t="str">
        <x:v>待经济反算</x:v>
      </x:c>
      <x:c r="N299" s="38" t="str">
        <x:v>是</x:v>
      </x:c>
      <x:c r="O299" s="38" t="str">
        <x:v>否</x:v>
      </x:c>
      <x:c r="P299" s="38" t="str">
        <x:v>否</x:v>
      </x:c>
      <x:c r="Q299" s="38" t="str">
        <x:v>是</x:v>
      </x:c>
      <x:c r="R299" s="38" t="str">
        <x:v>是</x:v>
      </x:c>
      <x:c r="S299" s="38" t="str">
        <x:v>可交易</x:v>
      </x:c>
      <x:c r="T299" s="38" t="str">
        <x:v>R7档金币／元宝主回收口</x:v>
      </x:c>
      <x:c r="U299" s="38" t="str">
        <x:v>产出实物默认不绑定，按现行材料脚本</x:v>
      </x:c>
      <x:c r="V299" s="38" t="str">
        <x:v>结构已确认；数量待经济反算</x:v>
      </x:c>
      <x:c r="W299" s="39" t="str"/>
    </x:row>
    <x:row r="300" ht="42" customHeight="1">
      <x:c r="A300" s="37" t="str">
        <x:v>CON-C07-AOE-LV4-0296</x:v>
      </x:c>
      <x:c r="B300" s="38" t="str">
        <x:v>配方输入</x:v>
      </x:c>
      <x:c r="C300" s="38" t="str">
        <x:v>C07-AOE-LV4</x:v>
      </x:c>
      <x:c r="D300" s="38" t="str">
        <x:v>C07</x:v>
      </x:c>
      <x:c r="E300" s="38" t="str">
        <x:v>EL-MAT-C07-Q03</x:v>
      </x:c>
      <x:c r="F300" s="38" t="str">
        <x:v>秘树霜芽</x:v>
      </x:c>
      <x:c r="G300" s="38" t="str"/>
      <x:c r="H300" s="38" t="str">
        <x:v>稀有/证物材料</x:v>
      </x:c>
      <x:c r="I300" s="38" t="str">
        <x:v>稀有/证物材料</x:v>
      </x:c>
      <x:c r="J300" s="38" t="str">
        <x:v>秘树霜芽＋圣雪誓印</x:v>
      </x:c>
      <x:c r="K300" s="38" t="str">
        <x:v>秘树霜芽</x:v>
      </x:c>
      <x:c r="L300" s="38" t="str">
        <x:v>待经济反算</x:v>
      </x:c>
      <x:c r="M300" s="38" t="str">
        <x:v>待经济反算</x:v>
      </x:c>
      <x:c r="N300" s="38" t="str">
        <x:v>是</x:v>
      </x:c>
      <x:c r="O300" s="38" t="str">
        <x:v>否</x:v>
      </x:c>
      <x:c r="P300" s="38" t="str">
        <x:v>否</x:v>
      </x:c>
      <x:c r="Q300" s="38" t="str">
        <x:v>是</x:v>
      </x:c>
      <x:c r="R300" s="38" t="str">
        <x:v>是</x:v>
      </x:c>
      <x:c r="S300" s="38" t="str">
        <x:v>可交易</x:v>
      </x:c>
      <x:c r="T300" s="38" t="str">
        <x:v>不作为自动回收主材</x:v>
      </x:c>
      <x:c r="U300" s="38" t="str">
        <x:v>产出实物默认不绑定，按现行材料脚本</x:v>
      </x:c>
      <x:c r="V300" s="38" t="str">
        <x:v>结构已确认；数量待经济反算</x:v>
      </x:c>
      <x:c r="W300" s="39" t="str"/>
    </x:row>
    <x:row r="301" ht="42" customHeight="1">
      <x:c r="A301" s="37" t="str">
        <x:v>CON-C07-AOE-LV4-0297</x:v>
      </x:c>
      <x:c r="B301" s="38" t="str">
        <x:v>配方输入</x:v>
      </x:c>
      <x:c r="C301" s="38" t="str">
        <x:v>C07-AOE-LV4</x:v>
      </x:c>
      <x:c r="D301" s="38" t="str">
        <x:v>C07</x:v>
      </x:c>
      <x:c r="E301" s="38" t="str">
        <x:v>EL-MAT-C07-MARK</x:v>
      </x:c>
      <x:c r="F301" s="38" t="str">
        <x:v>圣雪誓印</x:v>
      </x:c>
      <x:c r="G301" s="38" t="str"/>
      <x:c r="H301" s="38" t="str">
        <x:v>稀有/证物材料</x:v>
      </x:c>
      <x:c r="I301" s="38" t="str">
        <x:v>稀有/证物材料</x:v>
      </x:c>
      <x:c r="J301" s="38" t="str">
        <x:v>秘树霜芽＋圣雪誓印</x:v>
      </x:c>
      <x:c r="K301" s="38" t="str">
        <x:v>圣雪誓印</x:v>
      </x:c>
      <x:c r="L301" s="38" t="str">
        <x:v>待经济反算</x:v>
      </x:c>
      <x:c r="M301" s="38" t="str">
        <x:v>待经济反算</x:v>
      </x:c>
      <x:c r="N301" s="38" t="str">
        <x:v>是</x:v>
      </x:c>
      <x:c r="O301" s="38" t="str">
        <x:v>否</x:v>
      </x:c>
      <x:c r="P301" s="38" t="str">
        <x:v>否</x:v>
      </x:c>
      <x:c r="Q301" s="38" t="str">
        <x:v>是</x:v>
      </x:c>
      <x:c r="R301" s="38" t="str">
        <x:v>是</x:v>
      </x:c>
      <x:c r="S301" s="38" t="str">
        <x:v>可交易</x:v>
      </x:c>
      <x:c r="T301" s="38" t="str">
        <x:v>不作为自动回收主材</x:v>
      </x:c>
      <x:c r="U301" s="38" t="str">
        <x:v>产出实物默认不绑定，按现行材料脚本</x:v>
      </x:c>
      <x:c r="V301" s="38" t="str">
        <x:v>结构已确认；数量待经济反算</x:v>
      </x:c>
      <x:c r="W301" s="39" t="str"/>
    </x:row>
    <x:row r="302" ht="42" customHeight="1">
      <x:c r="A302" s="37" t="str">
        <x:v>CON-C07-AOE-LV4-0298</x:v>
      </x:c>
      <x:c r="B302" s="38" t="str">
        <x:v>配方输入</x:v>
      </x:c>
      <x:c r="C302" s="38" t="str">
        <x:v>C07-AOE-LV4</x:v>
      </x:c>
      <x:c r="D302" s="38" t="str">
        <x:v>C07</x:v>
      </x:c>
      <x:c r="E302" s="38" t="str">
        <x:v>CUR-GOLD</x:v>
      </x:c>
      <x:c r="F302" s="38" t="str">
        <x:v>金币</x:v>
      </x:c>
      <x:c r="G302" s="38" t="str"/>
      <x:c r="H302" s="38" t="str">
        <x:v>金币/元宝/灵符</x:v>
      </x:c>
      <x:c r="I302" s="38" t="str">
        <x:v>货币</x:v>
      </x:c>
      <x:c r="J302" s="38" t="str">
        <x:v>金币＋元宝</x:v>
      </x:c>
      <x:c r="K302" s="38" t="str">
        <x:v>金币</x:v>
      </x:c>
      <x:c r="L302" s="38" t="str">
        <x:v>待经济反算</x:v>
      </x:c>
      <x:c r="M302" s="38" t="str">
        <x:v>待经济反算</x:v>
      </x:c>
      <x:c r="N302" s="38" t="str">
        <x:v>是</x:v>
      </x:c>
      <x:c r="O302" s="38" t="str">
        <x:v>否</x:v>
      </x:c>
      <x:c r="P302" s="38" t="str">
        <x:v>否</x:v>
      </x:c>
      <x:c r="Q302" s="38" t="str">
        <x:v>是</x:v>
      </x:c>
      <x:c r="R302" s="38" t="str">
        <x:v>是</x:v>
      </x:c>
      <x:c r="S302" s="38" t="str">
        <x:v>不进入玩家摆摊；通过交易物间接流通</x:v>
      </x:c>
      <x:c r="T302" s="38" t="str">
        <x:v>货币本身不可回收</x:v>
      </x:c>
      <x:c r="U302" s="38" t="str">
        <x:v>沿用现行货币账户</x:v>
      </x:c>
      <x:c r="V302" s="38" t="str">
        <x:v>结构已确认；数量待经济反算</x:v>
      </x:c>
      <x:c r="W302" s="39" t="str"/>
    </x:row>
    <x:row r="303" ht="42" customHeight="1">
      <x:c r="A303" s="37" t="str">
        <x:v>CON-C07-AOE-LV4-0299</x:v>
      </x:c>
      <x:c r="B303" s="38" t="str">
        <x:v>配方输入</x:v>
      </x:c>
      <x:c r="C303" s="38" t="str">
        <x:v>C07-AOE-LV4</x:v>
      </x:c>
      <x:c r="D303" s="38" t="str">
        <x:v>C07</x:v>
      </x:c>
      <x:c r="E303" s="38" t="str">
        <x:v>CUR-YUANBAO</x:v>
      </x:c>
      <x:c r="F303" s="38" t="str">
        <x:v>元宝</x:v>
      </x:c>
      <x:c r="G303" s="38" t="str"/>
      <x:c r="H303" s="38" t="str">
        <x:v>金币/元宝/灵符</x:v>
      </x:c>
      <x:c r="I303" s="38" t="str">
        <x:v>货币</x:v>
      </x:c>
      <x:c r="J303" s="38" t="str">
        <x:v>金币＋元宝</x:v>
      </x:c>
      <x:c r="K303" s="38" t="str">
        <x:v>元宝</x:v>
      </x:c>
      <x:c r="L303" s="38" t="str">
        <x:v>待经济反算</x:v>
      </x:c>
      <x:c r="M303" s="38" t="str">
        <x:v>待经济反算</x:v>
      </x:c>
      <x:c r="N303" s="38" t="str">
        <x:v>是</x:v>
      </x:c>
      <x:c r="O303" s="38" t="str">
        <x:v>否</x:v>
      </x:c>
      <x:c r="P303" s="38" t="str">
        <x:v>否</x:v>
      </x:c>
      <x:c r="Q303" s="38" t="str">
        <x:v>是</x:v>
      </x:c>
      <x:c r="R303" s="38" t="str">
        <x:v>是</x:v>
      </x:c>
      <x:c r="S303" s="38" t="str">
        <x:v>不进入玩家摆摊；通过交易物间接流通</x:v>
      </x:c>
      <x:c r="T303" s="38" t="str">
        <x:v>货币本身不可回收</x:v>
      </x:c>
      <x:c r="U303" s="38" t="str">
        <x:v>沿用现行货币账户</x:v>
      </x:c>
      <x:c r="V303" s="38" t="str">
        <x:v>结构已确认；数量待经济反算</x:v>
      </x:c>
      <x:c r="W303" s="39" t="str"/>
    </x:row>
    <x:row r="304" ht="42" customHeight="1">
      <x:c r="A304" s="37" t="str">
        <x:v>CON-C09-AOE-LV5-0300</x:v>
      </x:c>
      <x:c r="B304" s="38" t="str">
        <x:v>配方输入</x:v>
      </x:c>
      <x:c r="C304" s="38" t="str">
        <x:v>C09-AOE-LV5</x:v>
      </x:c>
      <x:c r="D304" s="38" t="str">
        <x:v>C09</x:v>
      </x:c>
      <x:c r="E304" s="38" t="str">
        <x:v>OUT-68B764297B22</x:v>
      </x:c>
      <x:c r="F304" s="38" t="str">
        <x:v>群星之核LV4</x:v>
      </x:c>
      <x:c r="G304" s="38" t="str"/>
      <x:c r="H304" s="38" t="str">
        <x:v>基础件/前置</x:v>
      </x:c>
      <x:c r="I304" s="38" t="str">
        <x:v>基础件/前置</x:v>
      </x:c>
      <x:c r="J304" s="38" t="str">
        <x:v>群星之核LV4</x:v>
      </x:c>
      <x:c r="K304" s="38" t="str">
        <x:v>群星之核LV4</x:v>
      </x:c>
      <x:c r="L304" s="38" t="str">
        <x:v>待经济反算</x:v>
      </x:c>
      <x:c r="M304" s="38" t="str">
        <x:v>待经济反算</x:v>
      </x:c>
      <x:c r="N304" s="38" t="str">
        <x:v>是</x:v>
      </x:c>
      <x:c r="O304" s="38" t="str">
        <x:v>否</x:v>
      </x:c>
      <x:c r="P304" s="38" t="str">
        <x:v>否</x:v>
      </x:c>
      <x:c r="Q304" s="38" t="str">
        <x:v>是</x:v>
      </x:c>
      <x:c r="R304" s="38" t="str">
        <x:v>是</x:v>
      </x:c>
      <x:c r="S304" s="38" t="str">
        <x:v>成品可交易</x:v>
      </x:c>
      <x:c r="T304" s="38" t="str">
        <x:v>禁止回收</x:v>
      </x:c>
      <x:c r="U304" s="38" t="str">
        <x:v>成品可交易</x:v>
      </x:c>
      <x:c r="V304" s="38" t="str">
        <x:v>结构已确认；数量待经济反算</x:v>
      </x:c>
      <x:c r="W304" s="39" t="str"/>
    </x:row>
    <x:row r="305" ht="42" customHeight="1">
      <x:c r="A305" s="37" t="str">
        <x:v>CON-C09-AOE-LV5-0301</x:v>
      </x:c>
      <x:c r="B305" s="38" t="str">
        <x:v>配方输入</x:v>
      </x:c>
      <x:c r="C305" s="38" t="str">
        <x:v>C09-AOE-LV5</x:v>
      </x:c>
      <x:c r="D305" s="38" t="str">
        <x:v>C09</x:v>
      </x:c>
      <x:c r="E305" s="38" t="str">
        <x:v>EL-MAT-C09-COM</x:v>
      </x:c>
      <x:c r="F305" s="38" t="str">
        <x:v>黄金叶脉</x:v>
      </x:c>
      <x:c r="G305" s="38" t="str"/>
      <x:c r="H305" s="38" t="str">
        <x:v>高产通用材料</x:v>
      </x:c>
      <x:c r="I305" s="38" t="str">
        <x:v>高产通用材料</x:v>
      </x:c>
      <x:c r="J305" s="38" t="str">
        <x:v>黄金叶脉</x:v>
      </x:c>
      <x:c r="K305" s="38" t="str">
        <x:v>黄金叶脉</x:v>
      </x:c>
      <x:c r="L305" s="38" t="str">
        <x:v>待经济反算</x:v>
      </x:c>
      <x:c r="M305" s="38" t="str">
        <x:v>待经济反算</x:v>
      </x:c>
      <x:c r="N305" s="38" t="str">
        <x:v>是</x:v>
      </x:c>
      <x:c r="O305" s="38" t="str">
        <x:v>否</x:v>
      </x:c>
      <x:c r="P305" s="38" t="str">
        <x:v>否</x:v>
      </x:c>
      <x:c r="Q305" s="38" t="str">
        <x:v>是</x:v>
      </x:c>
      <x:c r="R305" s="38" t="str">
        <x:v>是</x:v>
      </x:c>
      <x:c r="S305" s="38" t="str">
        <x:v>可交易</x:v>
      </x:c>
      <x:c r="T305" s="38" t="str">
        <x:v>R9档金币／元宝主回收口</x:v>
      </x:c>
      <x:c r="U305" s="38" t="str">
        <x:v>产出实物默认不绑定，按现行材料脚本</x:v>
      </x:c>
      <x:c r="V305" s="38" t="str">
        <x:v>结构已确认；数量待经济反算</x:v>
      </x:c>
      <x:c r="W305" s="39" t="str"/>
    </x:row>
    <x:row r="306" ht="42" customHeight="1">
      <x:c r="A306" s="37" t="str">
        <x:v>CON-C09-AOE-LV5-0302</x:v>
      </x:c>
      <x:c r="B306" s="38" t="str">
        <x:v>配方输入</x:v>
      </x:c>
      <x:c r="C306" s="38" t="str">
        <x:v>C09-AOE-LV5</x:v>
      </x:c>
      <x:c r="D306" s="38" t="str">
        <x:v>C09</x:v>
      </x:c>
      <x:c r="E306" s="38" t="str">
        <x:v>EL-MAT-C09-Q03</x:v>
      </x:c>
      <x:c r="F306" s="38" t="str">
        <x:v>裁文蜡封</x:v>
      </x:c>
      <x:c r="G306" s="38" t="str"/>
      <x:c r="H306" s="38" t="str">
        <x:v>稀有/证物材料</x:v>
      </x:c>
      <x:c r="I306" s="38" t="str">
        <x:v>稀有/证物材料</x:v>
      </x:c>
      <x:c r="J306" s="38" t="str">
        <x:v>裁文蜡封＋黄金律印</x:v>
      </x:c>
      <x:c r="K306" s="38" t="str">
        <x:v>裁文蜡封</x:v>
      </x:c>
      <x:c r="L306" s="38" t="str">
        <x:v>待经济反算</x:v>
      </x:c>
      <x:c r="M306" s="38" t="str">
        <x:v>待经济反算</x:v>
      </x:c>
      <x:c r="N306" s="38" t="str">
        <x:v>是</x:v>
      </x:c>
      <x:c r="O306" s="38" t="str">
        <x:v>否</x:v>
      </x:c>
      <x:c r="P306" s="38" t="str">
        <x:v>否</x:v>
      </x:c>
      <x:c r="Q306" s="38" t="str">
        <x:v>是</x:v>
      </x:c>
      <x:c r="R306" s="38" t="str">
        <x:v>是</x:v>
      </x:c>
      <x:c r="S306" s="38" t="str">
        <x:v>可交易</x:v>
      </x:c>
      <x:c r="T306" s="38" t="str">
        <x:v>不作为自动回收主材</x:v>
      </x:c>
      <x:c r="U306" s="38" t="str">
        <x:v>产出实物默认不绑定，按现行材料脚本</x:v>
      </x:c>
      <x:c r="V306" s="38" t="str">
        <x:v>结构已确认；数量待经济反算</x:v>
      </x:c>
      <x:c r="W306" s="39" t="str"/>
    </x:row>
    <x:row r="307" ht="42" customHeight="1">
      <x:c r="A307" s="37" t="str">
        <x:v>CON-C09-AOE-LV5-0303</x:v>
      </x:c>
      <x:c r="B307" s="38" t="str">
        <x:v>配方输入</x:v>
      </x:c>
      <x:c r="C307" s="38" t="str">
        <x:v>C09-AOE-LV5</x:v>
      </x:c>
      <x:c r="D307" s="38" t="str">
        <x:v>C09</x:v>
      </x:c>
      <x:c r="E307" s="38" t="str">
        <x:v>EL-MAT-C09-MARK</x:v>
      </x:c>
      <x:c r="F307" s="38" t="str">
        <x:v>黄金律印</x:v>
      </x:c>
      <x:c r="G307" s="38" t="str"/>
      <x:c r="H307" s="38" t="str">
        <x:v>稀有/证物材料</x:v>
      </x:c>
      <x:c r="I307" s="38" t="str">
        <x:v>稀有/证物材料</x:v>
      </x:c>
      <x:c r="J307" s="38" t="str">
        <x:v>裁文蜡封＋黄金律印</x:v>
      </x:c>
      <x:c r="K307" s="38" t="str">
        <x:v>黄金律印</x:v>
      </x:c>
      <x:c r="L307" s="38" t="str">
        <x:v>待经济反算</x:v>
      </x:c>
      <x:c r="M307" s="38" t="str">
        <x:v>待经济反算</x:v>
      </x:c>
      <x:c r="N307" s="38" t="str">
        <x:v>是</x:v>
      </x:c>
      <x:c r="O307" s="38" t="str">
        <x:v>否</x:v>
      </x:c>
      <x:c r="P307" s="38" t="str">
        <x:v>否</x:v>
      </x:c>
      <x:c r="Q307" s="38" t="str">
        <x:v>是</x:v>
      </x:c>
      <x:c r="R307" s="38" t="str">
        <x:v>是</x:v>
      </x:c>
      <x:c r="S307" s="38" t="str">
        <x:v>可交易</x:v>
      </x:c>
      <x:c r="T307" s="38" t="str">
        <x:v>不作为自动回收主材</x:v>
      </x:c>
      <x:c r="U307" s="38" t="str">
        <x:v>产出实物默认不绑定，按现行材料脚本</x:v>
      </x:c>
      <x:c r="V307" s="38" t="str">
        <x:v>结构已确认；数量待经济反算</x:v>
      </x:c>
      <x:c r="W307" s="39" t="str"/>
    </x:row>
    <x:row r="308" ht="42" customHeight="1">
      <x:c r="A308" s="37" t="str">
        <x:v>CON-C09-AOE-LV5-0304</x:v>
      </x:c>
      <x:c r="B308" s="38" t="str">
        <x:v>配方输入</x:v>
      </x:c>
      <x:c r="C308" s="38" t="str">
        <x:v>C09-AOE-LV5</x:v>
      </x:c>
      <x:c r="D308" s="38" t="str">
        <x:v>C09</x:v>
      </x:c>
      <x:c r="E308" s="38" t="str">
        <x:v>CUR-YUANBAO</x:v>
      </x:c>
      <x:c r="F308" s="38" t="str">
        <x:v>元宝</x:v>
      </x:c>
      <x:c r="G308" s="38" t="str"/>
      <x:c r="H308" s="38" t="str">
        <x:v>金币/元宝/灵符</x:v>
      </x:c>
      <x:c r="I308" s="38" t="str">
        <x:v>货币</x:v>
      </x:c>
      <x:c r="J308" s="38" t="str">
        <x:v>元宝</x:v>
      </x:c>
      <x:c r="K308" s="38" t="str">
        <x:v>元宝</x:v>
      </x:c>
      <x:c r="L308" s="38" t="str">
        <x:v>待经济反算</x:v>
      </x:c>
      <x:c r="M308" s="38" t="str">
        <x:v>待经济反算</x:v>
      </x:c>
      <x:c r="N308" s="38" t="str">
        <x:v>是</x:v>
      </x:c>
      <x:c r="O308" s="38" t="str">
        <x:v>否</x:v>
      </x:c>
      <x:c r="P308" s="38" t="str">
        <x:v>否</x:v>
      </x:c>
      <x:c r="Q308" s="38" t="str">
        <x:v>是</x:v>
      </x:c>
      <x:c r="R308" s="38" t="str">
        <x:v>是</x:v>
      </x:c>
      <x:c r="S308" s="38" t="str">
        <x:v>不进入玩家摆摊；通过交易物间接流通</x:v>
      </x:c>
      <x:c r="T308" s="38" t="str">
        <x:v>货币本身不可回收</x:v>
      </x:c>
      <x:c r="U308" s="38" t="str">
        <x:v>沿用现行货币账户</x:v>
      </x:c>
      <x:c r="V308" s="38" t="str">
        <x:v>结构已确认；数量待经济反算</x:v>
      </x:c>
      <x:c r="W308" s="39" t="str"/>
    </x:row>
    <x:row r="309" ht="42" customHeight="1">
      <x:c r="A309" s="37" t="str">
        <x:v>CON-C04-REBIRTH-01-0305</x:v>
      </x:c>
      <x:c r="B309" s="38" t="str">
        <x:v>配方输入</x:v>
      </x:c>
      <x:c r="C309" s="38" t="str">
        <x:v>C04-REBIRTH-01</x:v>
      </x:c>
      <x:c r="D309" s="38" t="str">
        <x:v>C04</x:v>
      </x:c>
      <x:c r="E309" s="38" t="str">
        <x:v>REQ-5DD56CBC6271</x:v>
      </x:c>
      <x:c r="F309" s="38" t="str">
        <x:v>角色等级与前置条件</x:v>
      </x:c>
      <x:c r="G309" s="38" t="str"/>
      <x:c r="H309" s="38" t="str">
        <x:v>基础件/前置</x:v>
      </x:c>
      <x:c r="I309" s="38" t="str">
        <x:v>基础件/前置</x:v>
      </x:c>
      <x:c r="J309" s="38" t="str">
        <x:v>角色等级与前置条件</x:v>
      </x:c>
      <x:c r="K309" s="38" t="str">
        <x:v>角色等级与前置条件</x:v>
      </x:c>
      <x:c r="L309" s="38" t="str">
        <x:v>待经济反算</x:v>
      </x:c>
      <x:c r="M309" s="38" t="str">
        <x:v>待经济反算</x:v>
      </x:c>
      <x:c r="N309" s="38" t="str">
        <x:v>否</x:v>
      </x:c>
      <x:c r="O309" s="38" t="str">
        <x:v>是</x:v>
      </x:c>
      <x:c r="P309" s="38" t="str">
        <x:v>否</x:v>
      </x:c>
      <x:c r="Q309" s="38" t="str">
        <x:v>是</x:v>
      </x:c>
      <x:c r="R309" s="38" t="str">
        <x:v>是</x:v>
      </x:c>
      <x:c r="S309" s="38" t="str">
        <x:v>不可交易</x:v>
      </x:c>
      <x:c r="T309" s="38" t="str">
        <x:v>不适用</x:v>
      </x:c>
      <x:c r="U309" s="38" t="str">
        <x:v>角色状态</x:v>
      </x:c>
      <x:c r="V309" s="38" t="str">
        <x:v>结构已确认；数量待经济反算</x:v>
      </x:c>
      <x:c r="W309" s="39" t="str"/>
    </x:row>
    <x:row r="310" ht="42" customHeight="1">
      <x:c r="A310" s="37" t="str">
        <x:v>CON-C04-REBIRTH-01-0306</x:v>
      </x:c>
      <x:c r="B310" s="38" t="str">
        <x:v>配方输入</x:v>
      </x:c>
      <x:c r="C310" s="38" t="str">
        <x:v>C04-REBIRTH-01</x:v>
      </x:c>
      <x:c r="D310" s="38" t="str">
        <x:v>C04</x:v>
      </x:c>
      <x:c r="E310" s="38" t="str">
        <x:v>EL-MAT-C04-COM</x:v>
      </x:c>
      <x:c r="F310" s="38" t="str">
        <x:v>湖盐结晶</x:v>
      </x:c>
      <x:c r="G310" s="38" t="str"/>
      <x:c r="H310" s="38" t="str">
        <x:v>高产通用材料</x:v>
      </x:c>
      <x:c r="I310" s="38" t="str">
        <x:v>高产通用材料</x:v>
      </x:c>
      <x:c r="J310" s="38" t="str">
        <x:v>湖盐结晶</x:v>
      </x:c>
      <x:c r="K310" s="38" t="str">
        <x:v>湖盐结晶</x:v>
      </x:c>
      <x:c r="L310" s="38" t="str">
        <x:v>待经济反算</x:v>
      </x:c>
      <x:c r="M310" s="38" t="str">
        <x:v>待经济反算</x:v>
      </x:c>
      <x:c r="N310" s="38" t="str">
        <x:v>是</x:v>
      </x:c>
      <x:c r="O310" s="38" t="str">
        <x:v>否</x:v>
      </x:c>
      <x:c r="P310" s="38" t="str">
        <x:v>否</x:v>
      </x:c>
      <x:c r="Q310" s="38" t="str">
        <x:v>是</x:v>
      </x:c>
      <x:c r="R310" s="38" t="str">
        <x:v>是</x:v>
      </x:c>
      <x:c r="S310" s="38" t="str">
        <x:v>可交易</x:v>
      </x:c>
      <x:c r="T310" s="38" t="str">
        <x:v>R4档金币／元宝主回收口</x:v>
      </x:c>
      <x:c r="U310" s="38" t="str">
        <x:v>产出实物默认不绑定，按现行材料脚本</x:v>
      </x:c>
      <x:c r="V310" s="38" t="str">
        <x:v>结构已确认；数量待经济反算</x:v>
      </x:c>
      <x:c r="W310" s="39" t="str"/>
    </x:row>
    <x:row r="311" ht="42" customHeight="1">
      <x:c r="A311" s="37" t="str">
        <x:v>CON-C04-REBIRTH-01-0307</x:v>
      </x:c>
      <x:c r="B311" s="38" t="str">
        <x:v>配方输入</x:v>
      </x:c>
      <x:c r="C311" s="38" t="str">
        <x:v>C04-REBIRTH-01</x:v>
      </x:c>
      <x:c r="D311" s="38" t="str">
        <x:v>C04</x:v>
      </x:c>
      <x:c r="E311" s="38" t="str">
        <x:v>EL-MAT-C04-Q01</x:v>
      </x:c>
      <x:c r="F311" s="38" t="str">
        <x:v>雾潮银鳞</x:v>
      </x:c>
      <x:c r="G311" s="38" t="str"/>
      <x:c r="H311" s="38" t="str">
        <x:v>稀有/证物材料</x:v>
      </x:c>
      <x:c r="I311" s="38" t="str">
        <x:v>稀有/证物材料</x:v>
      </x:c>
      <x:c r="J311" s="38" t="str">
        <x:v>雾潮银鳞＋幽船铆钉＋沉湖王印</x:v>
      </x:c>
      <x:c r="K311" s="38" t="str">
        <x:v>雾潮银鳞</x:v>
      </x:c>
      <x:c r="L311" s="38" t="str">
        <x:v>待经济反算</x:v>
      </x:c>
      <x:c r="M311" s="38" t="str">
        <x:v>待经济反算</x:v>
      </x:c>
      <x:c r="N311" s="38" t="str">
        <x:v>是</x:v>
      </x:c>
      <x:c r="O311" s="38" t="str">
        <x:v>否</x:v>
      </x:c>
      <x:c r="P311" s="38" t="str">
        <x:v>否</x:v>
      </x:c>
      <x:c r="Q311" s="38" t="str">
        <x:v>是</x:v>
      </x:c>
      <x:c r="R311" s="38" t="str">
        <x:v>是</x:v>
      </x:c>
      <x:c r="S311" s="38" t="str">
        <x:v>可交易</x:v>
      </x:c>
      <x:c r="T311" s="38" t="str">
        <x:v>不作为自动回收主材</x:v>
      </x:c>
      <x:c r="U311" s="38" t="str">
        <x:v>产出实物默认不绑定，按现行材料脚本</x:v>
      </x:c>
      <x:c r="V311" s="38" t="str">
        <x:v>结构已确认；数量待经济反算</x:v>
      </x:c>
      <x:c r="W311" s="39" t="str"/>
    </x:row>
    <x:row r="312" ht="42" customHeight="1">
      <x:c r="A312" s="37" t="str">
        <x:v>CON-C04-REBIRTH-01-0308</x:v>
      </x:c>
      <x:c r="B312" s="38" t="str">
        <x:v>配方输入</x:v>
      </x:c>
      <x:c r="C312" s="38" t="str">
        <x:v>C04-REBIRTH-01</x:v>
      </x:c>
      <x:c r="D312" s="38" t="str">
        <x:v>C04</x:v>
      </x:c>
      <x:c r="E312" s="38" t="str">
        <x:v>EL-MAT-C04-RARE</x:v>
      </x:c>
      <x:c r="F312" s="38" t="str">
        <x:v>幽船铆钉</x:v>
      </x:c>
      <x:c r="G312" s="38" t="str"/>
      <x:c r="H312" s="38" t="str">
        <x:v>稀有/证物材料</x:v>
      </x:c>
      <x:c r="I312" s="38" t="str">
        <x:v>稀有/证物材料</x:v>
      </x:c>
      <x:c r="J312" s="38" t="str">
        <x:v>雾潮银鳞＋幽船铆钉＋沉湖王印</x:v>
      </x:c>
      <x:c r="K312" s="38" t="str">
        <x:v>幽船铆钉</x:v>
      </x:c>
      <x:c r="L312" s="38" t="str">
        <x:v>待经济反算</x:v>
      </x:c>
      <x:c r="M312" s="38" t="str">
        <x:v>待经济反算</x:v>
      </x:c>
      <x:c r="N312" s="38" t="str">
        <x:v>是</x:v>
      </x:c>
      <x:c r="O312" s="38" t="str">
        <x:v>否</x:v>
      </x:c>
      <x:c r="P312" s="38" t="str">
        <x:v>否</x:v>
      </x:c>
      <x:c r="Q312" s="38" t="str">
        <x:v>是</x:v>
      </x:c>
      <x:c r="R312" s="38" t="str">
        <x:v>是</x:v>
      </x:c>
      <x:c r="S312" s="38" t="str">
        <x:v>可交易</x:v>
      </x:c>
      <x:c r="T312" s="38" t="str">
        <x:v>不作为自动回收主材</x:v>
      </x:c>
      <x:c r="U312" s="38" t="str">
        <x:v>产出实物默认不绑定，按现行材料脚本</x:v>
      </x:c>
      <x:c r="V312" s="38" t="str">
        <x:v>结构已确认；数量待经济反算</x:v>
      </x:c>
      <x:c r="W312" s="39" t="str"/>
    </x:row>
    <x:row r="313" ht="42" customHeight="1">
      <x:c r="A313" s="37" t="str">
        <x:v>CON-C04-REBIRTH-01-0309</x:v>
      </x:c>
      <x:c r="B313" s="38" t="str">
        <x:v>配方输入</x:v>
      </x:c>
      <x:c r="C313" s="38" t="str">
        <x:v>C04-REBIRTH-01</x:v>
      </x:c>
      <x:c r="D313" s="38" t="str">
        <x:v>C04</x:v>
      </x:c>
      <x:c r="E313" s="38" t="str">
        <x:v>EL-MAT-C04-MARK</x:v>
      </x:c>
      <x:c r="F313" s="38" t="str">
        <x:v>沉湖王印</x:v>
      </x:c>
      <x:c r="G313" s="38" t="str"/>
      <x:c r="H313" s="38" t="str">
        <x:v>稀有/证物材料</x:v>
      </x:c>
      <x:c r="I313" s="38" t="str">
        <x:v>稀有/证物材料</x:v>
      </x:c>
      <x:c r="J313" s="38" t="str">
        <x:v>雾潮银鳞＋幽船铆钉＋沉湖王印</x:v>
      </x:c>
      <x:c r="K313" s="38" t="str">
        <x:v>沉湖王印</x:v>
      </x:c>
      <x:c r="L313" s="38" t="str">
        <x:v>待经济反算</x:v>
      </x:c>
      <x:c r="M313" s="38" t="str">
        <x:v>待经济反算</x:v>
      </x:c>
      <x:c r="N313" s="38" t="str">
        <x:v>是</x:v>
      </x:c>
      <x:c r="O313" s="38" t="str">
        <x:v>否</x:v>
      </x:c>
      <x:c r="P313" s="38" t="str">
        <x:v>否</x:v>
      </x:c>
      <x:c r="Q313" s="38" t="str">
        <x:v>是</x:v>
      </x:c>
      <x:c r="R313" s="38" t="str">
        <x:v>是</x:v>
      </x:c>
      <x:c r="S313" s="38" t="str">
        <x:v>可交易</x:v>
      </x:c>
      <x:c r="T313" s="38" t="str">
        <x:v>不作为自动回收主材</x:v>
      </x:c>
      <x:c r="U313" s="38" t="str">
        <x:v>产出实物默认不绑定，按现行材料脚本</x:v>
      </x:c>
      <x:c r="V313" s="38" t="str">
        <x:v>结构已确认；数量待经济反算</x:v>
      </x:c>
      <x:c r="W313" s="39" t="str"/>
    </x:row>
    <x:row r="314" ht="42" customHeight="1">
      <x:c r="A314" s="37" t="str">
        <x:v>CON-C04-REBIRTH-01-0310</x:v>
      </x:c>
      <x:c r="B314" s="38" t="str">
        <x:v>配方输入</x:v>
      </x:c>
      <x:c r="C314" s="38" t="str">
        <x:v>C04-REBIRTH-01</x:v>
      </x:c>
      <x:c r="D314" s="38" t="str">
        <x:v>C04</x:v>
      </x:c>
      <x:c r="E314" s="38" t="str">
        <x:v>CUR-SMALL-RUNE</x:v>
      </x:c>
      <x:c r="F314" s="38" t="str">
        <x:v>小卢恩</x:v>
      </x:c>
      <x:c r="G314" s="38" t="str"/>
      <x:c r="H314" s="38" t="str">
        <x:v>全局材料</x:v>
      </x:c>
      <x:c r="I314" s="38" t="str">
        <x:v>全局材料</x:v>
      </x:c>
      <x:c r="J314" s="38" t="str">
        <x:v>小卢恩</x:v>
      </x:c>
      <x:c r="K314" s="38" t="str">
        <x:v>小卢恩</x:v>
      </x:c>
      <x:c r="L314" s="38" t="str">
        <x:v>待经济反算</x:v>
      </x:c>
      <x:c r="M314" s="38" t="str">
        <x:v>待经济反算</x:v>
      </x:c>
      <x:c r="N314" s="38" t="str">
        <x:v>是</x:v>
      </x:c>
      <x:c r="O314" s="38" t="str">
        <x:v>否</x:v>
      </x:c>
      <x:c r="P314" s="38" t="str">
        <x:v>否</x:v>
      </x:c>
      <x:c r="Q314" s="38" t="str">
        <x:v>是</x:v>
      </x:c>
      <x:c r="R314" s="38" t="str">
        <x:v>是</x:v>
      </x:c>
      <x:c r="S314" s="38" t="str">
        <x:v>不进入玩家摆摊；通过交易物间接流通</x:v>
      </x:c>
      <x:c r="T314" s="38" t="str">
        <x:v>货币本身不可回收</x:v>
      </x:c>
      <x:c r="U314" s="38" t="str">
        <x:v>沿用现行货币账户</x:v>
      </x:c>
      <x:c r="V314" s="38" t="str">
        <x:v>结构已确认；数量待经济反算</x:v>
      </x:c>
      <x:c r="W314" s="39" t="str"/>
    </x:row>
    <x:row r="315" ht="42" customHeight="1">
      <x:c r="A315" s="37" t="str">
        <x:v>CON-C04-REBIRTH-01-0311</x:v>
      </x:c>
      <x:c r="B315" s="38" t="str">
        <x:v>配方输入</x:v>
      </x:c>
      <x:c r="C315" s="38" t="str">
        <x:v>C04-REBIRTH-01</x:v>
      </x:c>
      <x:c r="D315" s="38" t="str">
        <x:v>C04</x:v>
      </x:c>
      <x:c r="E315" s="38" t="str">
        <x:v>CUR-GOLD</x:v>
      </x:c>
      <x:c r="F315" s="38" t="str">
        <x:v>金币</x:v>
      </x:c>
      <x:c r="G315" s="38" t="str"/>
      <x:c r="H315" s="38" t="str">
        <x:v>金币/元宝/灵符</x:v>
      </x:c>
      <x:c r="I315" s="38" t="str">
        <x:v>货币</x:v>
      </x:c>
      <x:c r="J315" s="38" t="str">
        <x:v>金币＋元宝</x:v>
      </x:c>
      <x:c r="K315" s="38" t="str">
        <x:v>金币</x:v>
      </x:c>
      <x:c r="L315" s="38" t="str">
        <x:v>待经济反算</x:v>
      </x:c>
      <x:c r="M315" s="38" t="str">
        <x:v>待经济反算</x:v>
      </x:c>
      <x:c r="N315" s="38" t="str">
        <x:v>是</x:v>
      </x:c>
      <x:c r="O315" s="38" t="str">
        <x:v>否</x:v>
      </x:c>
      <x:c r="P315" s="38" t="str">
        <x:v>否</x:v>
      </x:c>
      <x:c r="Q315" s="38" t="str">
        <x:v>是</x:v>
      </x:c>
      <x:c r="R315" s="38" t="str">
        <x:v>是</x:v>
      </x:c>
      <x:c r="S315" s="38" t="str">
        <x:v>不进入玩家摆摊；通过交易物间接流通</x:v>
      </x:c>
      <x:c r="T315" s="38" t="str">
        <x:v>货币本身不可回收</x:v>
      </x:c>
      <x:c r="U315" s="38" t="str">
        <x:v>沿用现行货币账户</x:v>
      </x:c>
      <x:c r="V315" s="38" t="str">
        <x:v>结构已确认；数量待经济反算</x:v>
      </x:c>
      <x:c r="W315" s="39" t="str"/>
    </x:row>
    <x:row r="316" ht="42" customHeight="1">
      <x:c r="A316" s="37" t="str">
        <x:v>CON-C04-REBIRTH-01-0312</x:v>
      </x:c>
      <x:c r="B316" s="38" t="str">
        <x:v>配方输入</x:v>
      </x:c>
      <x:c r="C316" s="38" t="str">
        <x:v>C04-REBIRTH-01</x:v>
      </x:c>
      <x:c r="D316" s="38" t="str">
        <x:v>C04</x:v>
      </x:c>
      <x:c r="E316" s="38" t="str">
        <x:v>CUR-YUANBAO</x:v>
      </x:c>
      <x:c r="F316" s="38" t="str">
        <x:v>元宝</x:v>
      </x:c>
      <x:c r="G316" s="38" t="str"/>
      <x:c r="H316" s="38" t="str">
        <x:v>金币/元宝/灵符</x:v>
      </x:c>
      <x:c r="I316" s="38" t="str">
        <x:v>货币</x:v>
      </x:c>
      <x:c r="J316" s="38" t="str">
        <x:v>金币＋元宝</x:v>
      </x:c>
      <x:c r="K316" s="38" t="str">
        <x:v>元宝</x:v>
      </x:c>
      <x:c r="L316" s="38" t="str">
        <x:v>待经济反算</x:v>
      </x:c>
      <x:c r="M316" s="38" t="str">
        <x:v>待经济反算</x:v>
      </x:c>
      <x:c r="N316" s="38" t="str">
        <x:v>是</x:v>
      </x:c>
      <x:c r="O316" s="38" t="str">
        <x:v>否</x:v>
      </x:c>
      <x:c r="P316" s="38" t="str">
        <x:v>否</x:v>
      </x:c>
      <x:c r="Q316" s="38" t="str">
        <x:v>是</x:v>
      </x:c>
      <x:c r="R316" s="38" t="str">
        <x:v>是</x:v>
      </x:c>
      <x:c r="S316" s="38" t="str">
        <x:v>不进入玩家摆摊；通过交易物间接流通</x:v>
      </x:c>
      <x:c r="T316" s="38" t="str">
        <x:v>货币本身不可回收</x:v>
      </x:c>
      <x:c r="U316" s="38" t="str">
        <x:v>沿用现行货币账户</x:v>
      </x:c>
      <x:c r="V316" s="38" t="str">
        <x:v>结构已确认；数量待经济反算</x:v>
      </x:c>
      <x:c r="W316" s="39" t="str"/>
    </x:row>
    <x:row r="317" ht="42" customHeight="1">
      <x:c r="A317" s="37" t="str">
        <x:v>CON-C04-REBIRTH-02-0313</x:v>
      </x:c>
      <x:c r="B317" s="38" t="str">
        <x:v>配方输入</x:v>
      </x:c>
      <x:c r="C317" s="38" t="str">
        <x:v>C04-REBIRTH-02</x:v>
      </x:c>
      <x:c r="D317" s="38" t="str">
        <x:v>C04</x:v>
      </x:c>
      <x:c r="E317" s="38" t="str">
        <x:v>REQ-A4BB72B143C5</x:v>
      </x:c>
      <x:c r="F317" s="38" t="str">
        <x:v>第1转</x:v>
      </x:c>
      <x:c r="G317" s="38" t="str"/>
      <x:c r="H317" s="38" t="str">
        <x:v>基础件/前置</x:v>
      </x:c>
      <x:c r="I317" s="38" t="str">
        <x:v>基础件/前置</x:v>
      </x:c>
      <x:c r="J317" s="38" t="str">
        <x:v>第1转</x:v>
      </x:c>
      <x:c r="K317" s="38" t="str">
        <x:v>第1转</x:v>
      </x:c>
      <x:c r="L317" s="38" t="str">
        <x:v>待经济反算</x:v>
      </x:c>
      <x:c r="M317" s="38" t="str">
        <x:v>待经济反算</x:v>
      </x:c>
      <x:c r="N317" s="38" t="str">
        <x:v>否</x:v>
      </x:c>
      <x:c r="O317" s="38" t="str">
        <x:v>是</x:v>
      </x:c>
      <x:c r="P317" s="38" t="str">
        <x:v>否</x:v>
      </x:c>
      <x:c r="Q317" s="38" t="str">
        <x:v>是</x:v>
      </x:c>
      <x:c r="R317" s="38" t="str">
        <x:v>是</x:v>
      </x:c>
      <x:c r="S317" s="38" t="str">
        <x:v>不可交易</x:v>
      </x:c>
      <x:c r="T317" s="38" t="str">
        <x:v>不适用</x:v>
      </x:c>
      <x:c r="U317" s="38" t="str">
        <x:v>角色状态</x:v>
      </x:c>
      <x:c r="V317" s="38" t="str">
        <x:v>结构已确认；数量待经济反算</x:v>
      </x:c>
      <x:c r="W317" s="39" t="str"/>
    </x:row>
    <x:row r="318" ht="42" customHeight="1">
      <x:c r="A318" s="37" t="str">
        <x:v>CON-C04-REBIRTH-02-0314</x:v>
      </x:c>
      <x:c r="B318" s="38" t="str">
        <x:v>配方输入</x:v>
      </x:c>
      <x:c r="C318" s="38" t="str">
        <x:v>C04-REBIRTH-02</x:v>
      </x:c>
      <x:c r="D318" s="38" t="str">
        <x:v>C04</x:v>
      </x:c>
      <x:c r="E318" s="38" t="str">
        <x:v>EL-MAT-C04-COM</x:v>
      </x:c>
      <x:c r="F318" s="38" t="str">
        <x:v>湖盐结晶</x:v>
      </x:c>
      <x:c r="G318" s="38" t="str"/>
      <x:c r="H318" s="38" t="str">
        <x:v>高产通用材料</x:v>
      </x:c>
      <x:c r="I318" s="38" t="str">
        <x:v>高产通用材料</x:v>
      </x:c>
      <x:c r="J318" s="38" t="str">
        <x:v>湖盐结晶</x:v>
      </x:c>
      <x:c r="K318" s="38" t="str">
        <x:v>湖盐结晶</x:v>
      </x:c>
      <x:c r="L318" s="38" t="str">
        <x:v>待经济反算</x:v>
      </x:c>
      <x:c r="M318" s="38" t="str">
        <x:v>待经济反算</x:v>
      </x:c>
      <x:c r="N318" s="38" t="str">
        <x:v>是</x:v>
      </x:c>
      <x:c r="O318" s="38" t="str">
        <x:v>否</x:v>
      </x:c>
      <x:c r="P318" s="38" t="str">
        <x:v>否</x:v>
      </x:c>
      <x:c r="Q318" s="38" t="str">
        <x:v>是</x:v>
      </x:c>
      <x:c r="R318" s="38" t="str">
        <x:v>是</x:v>
      </x:c>
      <x:c r="S318" s="38" t="str">
        <x:v>可交易</x:v>
      </x:c>
      <x:c r="T318" s="38" t="str">
        <x:v>R4档金币／元宝主回收口</x:v>
      </x:c>
      <x:c r="U318" s="38" t="str">
        <x:v>产出实物默认不绑定，按现行材料脚本</x:v>
      </x:c>
      <x:c r="V318" s="38" t="str">
        <x:v>结构已确认；数量待经济反算</x:v>
      </x:c>
      <x:c r="W318" s="39" t="str"/>
    </x:row>
    <x:row r="319" ht="42" customHeight="1">
      <x:c r="A319" s="37" t="str">
        <x:v>CON-C04-REBIRTH-02-0315</x:v>
      </x:c>
      <x:c r="B319" s="38" t="str">
        <x:v>配方输入</x:v>
      </x:c>
      <x:c r="C319" s="38" t="str">
        <x:v>C04-REBIRTH-02</x:v>
      </x:c>
      <x:c r="D319" s="38" t="str">
        <x:v>C04</x:v>
      </x:c>
      <x:c r="E319" s="38" t="str">
        <x:v>EL-MAT-C04-Q01</x:v>
      </x:c>
      <x:c r="F319" s="38" t="str">
        <x:v>雾潮银鳞</x:v>
      </x:c>
      <x:c r="G319" s="38" t="str"/>
      <x:c r="H319" s="38" t="str">
        <x:v>稀有/证物材料</x:v>
      </x:c>
      <x:c r="I319" s="38" t="str">
        <x:v>稀有/证物材料</x:v>
      </x:c>
      <x:c r="J319" s="38" t="str">
        <x:v>雾潮银鳞＋幽船铆钉＋沉湖王印</x:v>
      </x:c>
      <x:c r="K319" s="38" t="str">
        <x:v>雾潮银鳞</x:v>
      </x:c>
      <x:c r="L319" s="38" t="str">
        <x:v>待经济反算</x:v>
      </x:c>
      <x:c r="M319" s="38" t="str">
        <x:v>待经济反算</x:v>
      </x:c>
      <x:c r="N319" s="38" t="str">
        <x:v>是</x:v>
      </x:c>
      <x:c r="O319" s="38" t="str">
        <x:v>否</x:v>
      </x:c>
      <x:c r="P319" s="38" t="str">
        <x:v>否</x:v>
      </x:c>
      <x:c r="Q319" s="38" t="str">
        <x:v>是</x:v>
      </x:c>
      <x:c r="R319" s="38" t="str">
        <x:v>是</x:v>
      </x:c>
      <x:c r="S319" s="38" t="str">
        <x:v>可交易</x:v>
      </x:c>
      <x:c r="T319" s="38" t="str">
        <x:v>不作为自动回收主材</x:v>
      </x:c>
      <x:c r="U319" s="38" t="str">
        <x:v>产出实物默认不绑定，按现行材料脚本</x:v>
      </x:c>
      <x:c r="V319" s="38" t="str">
        <x:v>结构已确认；数量待经济反算</x:v>
      </x:c>
      <x:c r="W319" s="39" t="str"/>
    </x:row>
    <x:row r="320" ht="42" customHeight="1">
      <x:c r="A320" s="37" t="str">
        <x:v>CON-C04-REBIRTH-02-0316</x:v>
      </x:c>
      <x:c r="B320" s="38" t="str">
        <x:v>配方输入</x:v>
      </x:c>
      <x:c r="C320" s="38" t="str">
        <x:v>C04-REBIRTH-02</x:v>
      </x:c>
      <x:c r="D320" s="38" t="str">
        <x:v>C04</x:v>
      </x:c>
      <x:c r="E320" s="38" t="str">
        <x:v>EL-MAT-C04-RARE</x:v>
      </x:c>
      <x:c r="F320" s="38" t="str">
        <x:v>幽船铆钉</x:v>
      </x:c>
      <x:c r="G320" s="38" t="str"/>
      <x:c r="H320" s="38" t="str">
        <x:v>稀有/证物材料</x:v>
      </x:c>
      <x:c r="I320" s="38" t="str">
        <x:v>稀有/证物材料</x:v>
      </x:c>
      <x:c r="J320" s="38" t="str">
        <x:v>雾潮银鳞＋幽船铆钉＋沉湖王印</x:v>
      </x:c>
      <x:c r="K320" s="38" t="str">
        <x:v>幽船铆钉</x:v>
      </x:c>
      <x:c r="L320" s="38" t="str">
        <x:v>待经济反算</x:v>
      </x:c>
      <x:c r="M320" s="38" t="str">
        <x:v>待经济反算</x:v>
      </x:c>
      <x:c r="N320" s="38" t="str">
        <x:v>是</x:v>
      </x:c>
      <x:c r="O320" s="38" t="str">
        <x:v>否</x:v>
      </x:c>
      <x:c r="P320" s="38" t="str">
        <x:v>否</x:v>
      </x:c>
      <x:c r="Q320" s="38" t="str">
        <x:v>是</x:v>
      </x:c>
      <x:c r="R320" s="38" t="str">
        <x:v>是</x:v>
      </x:c>
      <x:c r="S320" s="38" t="str">
        <x:v>可交易</x:v>
      </x:c>
      <x:c r="T320" s="38" t="str">
        <x:v>不作为自动回收主材</x:v>
      </x:c>
      <x:c r="U320" s="38" t="str">
        <x:v>产出实物默认不绑定，按现行材料脚本</x:v>
      </x:c>
      <x:c r="V320" s="38" t="str">
        <x:v>结构已确认；数量待经济反算</x:v>
      </x:c>
      <x:c r="W320" s="39" t="str"/>
    </x:row>
    <x:row r="321" ht="42" customHeight="1">
      <x:c r="A321" s="37" t="str">
        <x:v>CON-C04-REBIRTH-02-0317</x:v>
      </x:c>
      <x:c r="B321" s="38" t="str">
        <x:v>配方输入</x:v>
      </x:c>
      <x:c r="C321" s="38" t="str">
        <x:v>C04-REBIRTH-02</x:v>
      </x:c>
      <x:c r="D321" s="38" t="str">
        <x:v>C04</x:v>
      </x:c>
      <x:c r="E321" s="38" t="str">
        <x:v>EL-MAT-C04-MARK</x:v>
      </x:c>
      <x:c r="F321" s="38" t="str">
        <x:v>沉湖王印</x:v>
      </x:c>
      <x:c r="G321" s="38" t="str"/>
      <x:c r="H321" s="38" t="str">
        <x:v>稀有/证物材料</x:v>
      </x:c>
      <x:c r="I321" s="38" t="str">
        <x:v>稀有/证物材料</x:v>
      </x:c>
      <x:c r="J321" s="38" t="str">
        <x:v>雾潮银鳞＋幽船铆钉＋沉湖王印</x:v>
      </x:c>
      <x:c r="K321" s="38" t="str">
        <x:v>沉湖王印</x:v>
      </x:c>
      <x:c r="L321" s="38" t="str">
        <x:v>待经济反算</x:v>
      </x:c>
      <x:c r="M321" s="38" t="str">
        <x:v>待经济反算</x:v>
      </x:c>
      <x:c r="N321" s="38" t="str">
        <x:v>是</x:v>
      </x:c>
      <x:c r="O321" s="38" t="str">
        <x:v>否</x:v>
      </x:c>
      <x:c r="P321" s="38" t="str">
        <x:v>否</x:v>
      </x:c>
      <x:c r="Q321" s="38" t="str">
        <x:v>是</x:v>
      </x:c>
      <x:c r="R321" s="38" t="str">
        <x:v>是</x:v>
      </x:c>
      <x:c r="S321" s="38" t="str">
        <x:v>可交易</x:v>
      </x:c>
      <x:c r="T321" s="38" t="str">
        <x:v>不作为自动回收主材</x:v>
      </x:c>
      <x:c r="U321" s="38" t="str">
        <x:v>产出实物默认不绑定，按现行材料脚本</x:v>
      </x:c>
      <x:c r="V321" s="38" t="str">
        <x:v>结构已确认；数量待经济反算</x:v>
      </x:c>
      <x:c r="W321" s="39" t="str"/>
    </x:row>
    <x:row r="322" ht="42" customHeight="1">
      <x:c r="A322" s="37" t="str">
        <x:v>CON-C04-REBIRTH-02-0318</x:v>
      </x:c>
      <x:c r="B322" s="38" t="str">
        <x:v>配方输入</x:v>
      </x:c>
      <x:c r="C322" s="38" t="str">
        <x:v>C04-REBIRTH-02</x:v>
      </x:c>
      <x:c r="D322" s="38" t="str">
        <x:v>C04</x:v>
      </x:c>
      <x:c r="E322" s="38" t="str">
        <x:v>CUR-SMALL-RUNE</x:v>
      </x:c>
      <x:c r="F322" s="38" t="str">
        <x:v>小卢恩</x:v>
      </x:c>
      <x:c r="G322" s="38" t="str"/>
      <x:c r="H322" s="38" t="str">
        <x:v>全局材料</x:v>
      </x:c>
      <x:c r="I322" s="38" t="str">
        <x:v>全局材料</x:v>
      </x:c>
      <x:c r="J322" s="38" t="str">
        <x:v>小卢恩</x:v>
      </x:c>
      <x:c r="K322" s="38" t="str">
        <x:v>小卢恩</x:v>
      </x:c>
      <x:c r="L322" s="38" t="str">
        <x:v>待经济反算</x:v>
      </x:c>
      <x:c r="M322" s="38" t="str">
        <x:v>待经济反算</x:v>
      </x:c>
      <x:c r="N322" s="38" t="str">
        <x:v>是</x:v>
      </x:c>
      <x:c r="O322" s="38" t="str">
        <x:v>否</x:v>
      </x:c>
      <x:c r="P322" s="38" t="str">
        <x:v>否</x:v>
      </x:c>
      <x:c r="Q322" s="38" t="str">
        <x:v>是</x:v>
      </x:c>
      <x:c r="R322" s="38" t="str">
        <x:v>是</x:v>
      </x:c>
      <x:c r="S322" s="38" t="str">
        <x:v>不进入玩家摆摊；通过交易物间接流通</x:v>
      </x:c>
      <x:c r="T322" s="38" t="str">
        <x:v>货币本身不可回收</x:v>
      </x:c>
      <x:c r="U322" s="38" t="str">
        <x:v>沿用现行货币账户</x:v>
      </x:c>
      <x:c r="V322" s="38" t="str">
        <x:v>结构已确认；数量待经济反算</x:v>
      </x:c>
      <x:c r="W322" s="39" t="str"/>
    </x:row>
    <x:row r="323" ht="42" customHeight="1">
      <x:c r="A323" s="37" t="str">
        <x:v>CON-C04-REBIRTH-02-0319</x:v>
      </x:c>
      <x:c r="B323" s="38" t="str">
        <x:v>配方输入</x:v>
      </x:c>
      <x:c r="C323" s="38" t="str">
        <x:v>C04-REBIRTH-02</x:v>
      </x:c>
      <x:c r="D323" s="38" t="str">
        <x:v>C04</x:v>
      </x:c>
      <x:c r="E323" s="38" t="str">
        <x:v>CUR-GOLD</x:v>
      </x:c>
      <x:c r="F323" s="38" t="str">
        <x:v>金币</x:v>
      </x:c>
      <x:c r="G323" s="38" t="str"/>
      <x:c r="H323" s="38" t="str">
        <x:v>金币/元宝/灵符</x:v>
      </x:c>
      <x:c r="I323" s="38" t="str">
        <x:v>货币</x:v>
      </x:c>
      <x:c r="J323" s="38" t="str">
        <x:v>金币＋元宝</x:v>
      </x:c>
      <x:c r="K323" s="38" t="str">
        <x:v>金币</x:v>
      </x:c>
      <x:c r="L323" s="38" t="str">
        <x:v>待经济反算</x:v>
      </x:c>
      <x:c r="M323" s="38" t="str">
        <x:v>待经济反算</x:v>
      </x:c>
      <x:c r="N323" s="38" t="str">
        <x:v>是</x:v>
      </x:c>
      <x:c r="O323" s="38" t="str">
        <x:v>否</x:v>
      </x:c>
      <x:c r="P323" s="38" t="str">
        <x:v>否</x:v>
      </x:c>
      <x:c r="Q323" s="38" t="str">
        <x:v>是</x:v>
      </x:c>
      <x:c r="R323" s="38" t="str">
        <x:v>是</x:v>
      </x:c>
      <x:c r="S323" s="38" t="str">
        <x:v>不进入玩家摆摊；通过交易物间接流通</x:v>
      </x:c>
      <x:c r="T323" s="38" t="str">
        <x:v>货币本身不可回收</x:v>
      </x:c>
      <x:c r="U323" s="38" t="str">
        <x:v>沿用现行货币账户</x:v>
      </x:c>
      <x:c r="V323" s="38" t="str">
        <x:v>结构已确认；数量待经济反算</x:v>
      </x:c>
      <x:c r="W323" s="39" t="str"/>
    </x:row>
    <x:row r="324" ht="42" customHeight="1">
      <x:c r="A324" s="37" t="str">
        <x:v>CON-C04-REBIRTH-02-0320</x:v>
      </x:c>
      <x:c r="B324" s="38" t="str">
        <x:v>配方输入</x:v>
      </x:c>
      <x:c r="C324" s="38" t="str">
        <x:v>C04-REBIRTH-02</x:v>
      </x:c>
      <x:c r="D324" s="38" t="str">
        <x:v>C04</x:v>
      </x:c>
      <x:c r="E324" s="38" t="str">
        <x:v>CUR-YUANBAO</x:v>
      </x:c>
      <x:c r="F324" s="38" t="str">
        <x:v>元宝</x:v>
      </x:c>
      <x:c r="G324" s="38" t="str"/>
      <x:c r="H324" s="38" t="str">
        <x:v>金币/元宝/灵符</x:v>
      </x:c>
      <x:c r="I324" s="38" t="str">
        <x:v>货币</x:v>
      </x:c>
      <x:c r="J324" s="38" t="str">
        <x:v>金币＋元宝</x:v>
      </x:c>
      <x:c r="K324" s="38" t="str">
        <x:v>元宝</x:v>
      </x:c>
      <x:c r="L324" s="38" t="str">
        <x:v>待经济反算</x:v>
      </x:c>
      <x:c r="M324" s="38" t="str">
        <x:v>待经济反算</x:v>
      </x:c>
      <x:c r="N324" s="38" t="str">
        <x:v>是</x:v>
      </x:c>
      <x:c r="O324" s="38" t="str">
        <x:v>否</x:v>
      </x:c>
      <x:c r="P324" s="38" t="str">
        <x:v>否</x:v>
      </x:c>
      <x:c r="Q324" s="38" t="str">
        <x:v>是</x:v>
      </x:c>
      <x:c r="R324" s="38" t="str">
        <x:v>是</x:v>
      </x:c>
      <x:c r="S324" s="38" t="str">
        <x:v>不进入玩家摆摊；通过交易物间接流通</x:v>
      </x:c>
      <x:c r="T324" s="38" t="str">
        <x:v>货币本身不可回收</x:v>
      </x:c>
      <x:c r="U324" s="38" t="str">
        <x:v>沿用现行货币账户</x:v>
      </x:c>
      <x:c r="V324" s="38" t="str">
        <x:v>结构已确认；数量待经济反算</x:v>
      </x:c>
      <x:c r="W324" s="39" t="str"/>
    </x:row>
    <x:row r="325" ht="42" customHeight="1">
      <x:c r="A325" s="37" t="str">
        <x:v>CON-C04-REBIRTH-03-0321</x:v>
      </x:c>
      <x:c r="B325" s="38" t="str">
        <x:v>配方输入</x:v>
      </x:c>
      <x:c r="C325" s="38" t="str">
        <x:v>C04-REBIRTH-03</x:v>
      </x:c>
      <x:c r="D325" s="38" t="str">
        <x:v>C04</x:v>
      </x:c>
      <x:c r="E325" s="38" t="str">
        <x:v>REQ-AB28C51404F5</x:v>
      </x:c>
      <x:c r="F325" s="38" t="str">
        <x:v>第2转</x:v>
      </x:c>
      <x:c r="G325" s="38" t="str"/>
      <x:c r="H325" s="38" t="str">
        <x:v>基础件/前置</x:v>
      </x:c>
      <x:c r="I325" s="38" t="str">
        <x:v>基础件/前置</x:v>
      </x:c>
      <x:c r="J325" s="38" t="str">
        <x:v>第2转</x:v>
      </x:c>
      <x:c r="K325" s="38" t="str">
        <x:v>第2转</x:v>
      </x:c>
      <x:c r="L325" s="38" t="str">
        <x:v>待经济反算</x:v>
      </x:c>
      <x:c r="M325" s="38" t="str">
        <x:v>待经济反算</x:v>
      </x:c>
      <x:c r="N325" s="38" t="str">
        <x:v>否</x:v>
      </x:c>
      <x:c r="O325" s="38" t="str">
        <x:v>是</x:v>
      </x:c>
      <x:c r="P325" s="38" t="str">
        <x:v>否</x:v>
      </x:c>
      <x:c r="Q325" s="38" t="str">
        <x:v>是</x:v>
      </x:c>
      <x:c r="R325" s="38" t="str">
        <x:v>是</x:v>
      </x:c>
      <x:c r="S325" s="38" t="str">
        <x:v>不可交易</x:v>
      </x:c>
      <x:c r="T325" s="38" t="str">
        <x:v>不适用</x:v>
      </x:c>
      <x:c r="U325" s="38" t="str">
        <x:v>角色状态</x:v>
      </x:c>
      <x:c r="V325" s="38" t="str">
        <x:v>结构已确认；数量待经济反算</x:v>
      </x:c>
      <x:c r="W325" s="39" t="str"/>
    </x:row>
    <x:row r="326" ht="42" customHeight="1">
      <x:c r="A326" s="37" t="str">
        <x:v>CON-C04-REBIRTH-03-0322</x:v>
      </x:c>
      <x:c r="B326" s="38" t="str">
        <x:v>配方输入</x:v>
      </x:c>
      <x:c r="C326" s="38" t="str">
        <x:v>C04-REBIRTH-03</x:v>
      </x:c>
      <x:c r="D326" s="38" t="str">
        <x:v>C04</x:v>
      </x:c>
      <x:c r="E326" s="38" t="str">
        <x:v>EL-MAT-C04-COM</x:v>
      </x:c>
      <x:c r="F326" s="38" t="str">
        <x:v>湖盐结晶</x:v>
      </x:c>
      <x:c r="G326" s="38" t="str"/>
      <x:c r="H326" s="38" t="str">
        <x:v>高产通用材料</x:v>
      </x:c>
      <x:c r="I326" s="38" t="str">
        <x:v>高产通用材料</x:v>
      </x:c>
      <x:c r="J326" s="38" t="str">
        <x:v>湖盐结晶</x:v>
      </x:c>
      <x:c r="K326" s="38" t="str">
        <x:v>湖盐结晶</x:v>
      </x:c>
      <x:c r="L326" s="38" t="str">
        <x:v>待经济反算</x:v>
      </x:c>
      <x:c r="M326" s="38" t="str">
        <x:v>待经济反算</x:v>
      </x:c>
      <x:c r="N326" s="38" t="str">
        <x:v>是</x:v>
      </x:c>
      <x:c r="O326" s="38" t="str">
        <x:v>否</x:v>
      </x:c>
      <x:c r="P326" s="38" t="str">
        <x:v>否</x:v>
      </x:c>
      <x:c r="Q326" s="38" t="str">
        <x:v>是</x:v>
      </x:c>
      <x:c r="R326" s="38" t="str">
        <x:v>是</x:v>
      </x:c>
      <x:c r="S326" s="38" t="str">
        <x:v>可交易</x:v>
      </x:c>
      <x:c r="T326" s="38" t="str">
        <x:v>R4档金币／元宝主回收口</x:v>
      </x:c>
      <x:c r="U326" s="38" t="str">
        <x:v>产出实物默认不绑定，按现行材料脚本</x:v>
      </x:c>
      <x:c r="V326" s="38" t="str">
        <x:v>结构已确认；数量待经济反算</x:v>
      </x:c>
      <x:c r="W326" s="39" t="str"/>
    </x:row>
    <x:row r="327" ht="42" customHeight="1">
      <x:c r="A327" s="37" t="str">
        <x:v>CON-C04-REBIRTH-03-0323</x:v>
      </x:c>
      <x:c r="B327" s="38" t="str">
        <x:v>配方输入</x:v>
      </x:c>
      <x:c r="C327" s="38" t="str">
        <x:v>C04-REBIRTH-03</x:v>
      </x:c>
      <x:c r="D327" s="38" t="str">
        <x:v>C04</x:v>
      </x:c>
      <x:c r="E327" s="38" t="str">
        <x:v>EL-MAT-C04-Q01</x:v>
      </x:c>
      <x:c r="F327" s="38" t="str">
        <x:v>雾潮银鳞</x:v>
      </x:c>
      <x:c r="G327" s="38" t="str"/>
      <x:c r="H327" s="38" t="str">
        <x:v>稀有/证物材料</x:v>
      </x:c>
      <x:c r="I327" s="38" t="str">
        <x:v>稀有/证物材料</x:v>
      </x:c>
      <x:c r="J327" s="38" t="str">
        <x:v>雾潮银鳞＋幽船铆钉＋沉湖王印</x:v>
      </x:c>
      <x:c r="K327" s="38" t="str">
        <x:v>雾潮银鳞</x:v>
      </x:c>
      <x:c r="L327" s="38" t="str">
        <x:v>待经济反算</x:v>
      </x:c>
      <x:c r="M327" s="38" t="str">
        <x:v>待经济反算</x:v>
      </x:c>
      <x:c r="N327" s="38" t="str">
        <x:v>是</x:v>
      </x:c>
      <x:c r="O327" s="38" t="str">
        <x:v>否</x:v>
      </x:c>
      <x:c r="P327" s="38" t="str">
        <x:v>否</x:v>
      </x:c>
      <x:c r="Q327" s="38" t="str">
        <x:v>是</x:v>
      </x:c>
      <x:c r="R327" s="38" t="str">
        <x:v>是</x:v>
      </x:c>
      <x:c r="S327" s="38" t="str">
        <x:v>可交易</x:v>
      </x:c>
      <x:c r="T327" s="38" t="str">
        <x:v>不作为自动回收主材</x:v>
      </x:c>
      <x:c r="U327" s="38" t="str">
        <x:v>产出实物默认不绑定，按现行材料脚本</x:v>
      </x:c>
      <x:c r="V327" s="38" t="str">
        <x:v>结构已确认；数量待经济反算</x:v>
      </x:c>
      <x:c r="W327" s="39" t="str"/>
    </x:row>
    <x:row r="328" ht="42" customHeight="1">
      <x:c r="A328" s="37" t="str">
        <x:v>CON-C04-REBIRTH-03-0324</x:v>
      </x:c>
      <x:c r="B328" s="38" t="str">
        <x:v>配方输入</x:v>
      </x:c>
      <x:c r="C328" s="38" t="str">
        <x:v>C04-REBIRTH-03</x:v>
      </x:c>
      <x:c r="D328" s="38" t="str">
        <x:v>C04</x:v>
      </x:c>
      <x:c r="E328" s="38" t="str">
        <x:v>EL-MAT-C04-RARE</x:v>
      </x:c>
      <x:c r="F328" s="38" t="str">
        <x:v>幽船铆钉</x:v>
      </x:c>
      <x:c r="G328" s="38" t="str"/>
      <x:c r="H328" s="38" t="str">
        <x:v>稀有/证物材料</x:v>
      </x:c>
      <x:c r="I328" s="38" t="str">
        <x:v>稀有/证物材料</x:v>
      </x:c>
      <x:c r="J328" s="38" t="str">
        <x:v>雾潮银鳞＋幽船铆钉＋沉湖王印</x:v>
      </x:c>
      <x:c r="K328" s="38" t="str">
        <x:v>幽船铆钉</x:v>
      </x:c>
      <x:c r="L328" s="38" t="str">
        <x:v>待经济反算</x:v>
      </x:c>
      <x:c r="M328" s="38" t="str">
        <x:v>待经济反算</x:v>
      </x:c>
      <x:c r="N328" s="38" t="str">
        <x:v>是</x:v>
      </x:c>
      <x:c r="O328" s="38" t="str">
        <x:v>否</x:v>
      </x:c>
      <x:c r="P328" s="38" t="str">
        <x:v>否</x:v>
      </x:c>
      <x:c r="Q328" s="38" t="str">
        <x:v>是</x:v>
      </x:c>
      <x:c r="R328" s="38" t="str">
        <x:v>是</x:v>
      </x:c>
      <x:c r="S328" s="38" t="str">
        <x:v>可交易</x:v>
      </x:c>
      <x:c r="T328" s="38" t="str">
        <x:v>不作为自动回收主材</x:v>
      </x:c>
      <x:c r="U328" s="38" t="str">
        <x:v>产出实物默认不绑定，按现行材料脚本</x:v>
      </x:c>
      <x:c r="V328" s="38" t="str">
        <x:v>结构已确认；数量待经济反算</x:v>
      </x:c>
      <x:c r="W328" s="39" t="str"/>
    </x:row>
    <x:row r="329" ht="42" customHeight="1">
      <x:c r="A329" s="37" t="str">
        <x:v>CON-C04-REBIRTH-03-0325</x:v>
      </x:c>
      <x:c r="B329" s="38" t="str">
        <x:v>配方输入</x:v>
      </x:c>
      <x:c r="C329" s="38" t="str">
        <x:v>C04-REBIRTH-03</x:v>
      </x:c>
      <x:c r="D329" s="38" t="str">
        <x:v>C04</x:v>
      </x:c>
      <x:c r="E329" s="38" t="str">
        <x:v>EL-MAT-C04-MARK</x:v>
      </x:c>
      <x:c r="F329" s="38" t="str">
        <x:v>沉湖王印</x:v>
      </x:c>
      <x:c r="G329" s="38" t="str"/>
      <x:c r="H329" s="38" t="str">
        <x:v>稀有/证物材料</x:v>
      </x:c>
      <x:c r="I329" s="38" t="str">
        <x:v>稀有/证物材料</x:v>
      </x:c>
      <x:c r="J329" s="38" t="str">
        <x:v>雾潮银鳞＋幽船铆钉＋沉湖王印</x:v>
      </x:c>
      <x:c r="K329" s="38" t="str">
        <x:v>沉湖王印</x:v>
      </x:c>
      <x:c r="L329" s="38" t="str">
        <x:v>待经济反算</x:v>
      </x:c>
      <x:c r="M329" s="38" t="str">
        <x:v>待经济反算</x:v>
      </x:c>
      <x:c r="N329" s="38" t="str">
        <x:v>是</x:v>
      </x:c>
      <x:c r="O329" s="38" t="str">
        <x:v>否</x:v>
      </x:c>
      <x:c r="P329" s="38" t="str">
        <x:v>否</x:v>
      </x:c>
      <x:c r="Q329" s="38" t="str">
        <x:v>是</x:v>
      </x:c>
      <x:c r="R329" s="38" t="str">
        <x:v>是</x:v>
      </x:c>
      <x:c r="S329" s="38" t="str">
        <x:v>可交易</x:v>
      </x:c>
      <x:c r="T329" s="38" t="str">
        <x:v>不作为自动回收主材</x:v>
      </x:c>
      <x:c r="U329" s="38" t="str">
        <x:v>产出实物默认不绑定，按现行材料脚本</x:v>
      </x:c>
      <x:c r="V329" s="38" t="str">
        <x:v>结构已确认；数量待经济反算</x:v>
      </x:c>
      <x:c r="W329" s="39" t="str"/>
    </x:row>
    <x:row r="330" ht="42" customHeight="1">
      <x:c r="A330" s="37" t="str">
        <x:v>CON-C04-REBIRTH-03-0326</x:v>
      </x:c>
      <x:c r="B330" s="38" t="str">
        <x:v>配方输入</x:v>
      </x:c>
      <x:c r="C330" s="38" t="str">
        <x:v>C04-REBIRTH-03</x:v>
      </x:c>
      <x:c r="D330" s="38" t="str">
        <x:v>C04</x:v>
      </x:c>
      <x:c r="E330" s="38" t="str">
        <x:v>CUR-SMALL-RUNE</x:v>
      </x:c>
      <x:c r="F330" s="38" t="str">
        <x:v>小卢恩</x:v>
      </x:c>
      <x:c r="G330" s="38" t="str"/>
      <x:c r="H330" s="38" t="str">
        <x:v>全局材料</x:v>
      </x:c>
      <x:c r="I330" s="38" t="str">
        <x:v>全局材料</x:v>
      </x:c>
      <x:c r="J330" s="38" t="str">
        <x:v>小卢恩</x:v>
      </x:c>
      <x:c r="K330" s="38" t="str">
        <x:v>小卢恩</x:v>
      </x:c>
      <x:c r="L330" s="38" t="str">
        <x:v>待经济反算</x:v>
      </x:c>
      <x:c r="M330" s="38" t="str">
        <x:v>待经济反算</x:v>
      </x:c>
      <x:c r="N330" s="38" t="str">
        <x:v>是</x:v>
      </x:c>
      <x:c r="O330" s="38" t="str">
        <x:v>否</x:v>
      </x:c>
      <x:c r="P330" s="38" t="str">
        <x:v>否</x:v>
      </x:c>
      <x:c r="Q330" s="38" t="str">
        <x:v>是</x:v>
      </x:c>
      <x:c r="R330" s="38" t="str">
        <x:v>是</x:v>
      </x:c>
      <x:c r="S330" s="38" t="str">
        <x:v>不进入玩家摆摊；通过交易物间接流通</x:v>
      </x:c>
      <x:c r="T330" s="38" t="str">
        <x:v>货币本身不可回收</x:v>
      </x:c>
      <x:c r="U330" s="38" t="str">
        <x:v>沿用现行货币账户</x:v>
      </x:c>
      <x:c r="V330" s="38" t="str">
        <x:v>结构已确认；数量待经济反算</x:v>
      </x:c>
      <x:c r="W330" s="39" t="str"/>
    </x:row>
    <x:row r="331" ht="42" customHeight="1">
      <x:c r="A331" s="37" t="str">
        <x:v>CON-C04-REBIRTH-03-0327</x:v>
      </x:c>
      <x:c r="B331" s="38" t="str">
        <x:v>配方输入</x:v>
      </x:c>
      <x:c r="C331" s="38" t="str">
        <x:v>C04-REBIRTH-03</x:v>
      </x:c>
      <x:c r="D331" s="38" t="str">
        <x:v>C04</x:v>
      </x:c>
      <x:c r="E331" s="38" t="str">
        <x:v>CUR-GOLD</x:v>
      </x:c>
      <x:c r="F331" s="38" t="str">
        <x:v>金币</x:v>
      </x:c>
      <x:c r="G331" s="38" t="str"/>
      <x:c r="H331" s="38" t="str">
        <x:v>金币/元宝/灵符</x:v>
      </x:c>
      <x:c r="I331" s="38" t="str">
        <x:v>货币</x:v>
      </x:c>
      <x:c r="J331" s="38" t="str">
        <x:v>金币＋元宝</x:v>
      </x:c>
      <x:c r="K331" s="38" t="str">
        <x:v>金币</x:v>
      </x:c>
      <x:c r="L331" s="38" t="str">
        <x:v>待经济反算</x:v>
      </x:c>
      <x:c r="M331" s="38" t="str">
        <x:v>待经济反算</x:v>
      </x:c>
      <x:c r="N331" s="38" t="str">
        <x:v>是</x:v>
      </x:c>
      <x:c r="O331" s="38" t="str">
        <x:v>否</x:v>
      </x:c>
      <x:c r="P331" s="38" t="str">
        <x:v>否</x:v>
      </x:c>
      <x:c r="Q331" s="38" t="str">
        <x:v>是</x:v>
      </x:c>
      <x:c r="R331" s="38" t="str">
        <x:v>是</x:v>
      </x:c>
      <x:c r="S331" s="38" t="str">
        <x:v>不进入玩家摆摊；通过交易物间接流通</x:v>
      </x:c>
      <x:c r="T331" s="38" t="str">
        <x:v>货币本身不可回收</x:v>
      </x:c>
      <x:c r="U331" s="38" t="str">
        <x:v>沿用现行货币账户</x:v>
      </x:c>
      <x:c r="V331" s="38" t="str">
        <x:v>结构已确认；数量待经济反算</x:v>
      </x:c>
      <x:c r="W331" s="39" t="str"/>
    </x:row>
    <x:row r="332" ht="42" customHeight="1">
      <x:c r="A332" s="37" t="str">
        <x:v>CON-C04-REBIRTH-03-0328</x:v>
      </x:c>
      <x:c r="B332" s="38" t="str">
        <x:v>配方输入</x:v>
      </x:c>
      <x:c r="C332" s="38" t="str">
        <x:v>C04-REBIRTH-03</x:v>
      </x:c>
      <x:c r="D332" s="38" t="str">
        <x:v>C04</x:v>
      </x:c>
      <x:c r="E332" s="38" t="str">
        <x:v>CUR-YUANBAO</x:v>
      </x:c>
      <x:c r="F332" s="38" t="str">
        <x:v>元宝</x:v>
      </x:c>
      <x:c r="G332" s="38" t="str"/>
      <x:c r="H332" s="38" t="str">
        <x:v>金币/元宝/灵符</x:v>
      </x:c>
      <x:c r="I332" s="38" t="str">
        <x:v>货币</x:v>
      </x:c>
      <x:c r="J332" s="38" t="str">
        <x:v>金币＋元宝</x:v>
      </x:c>
      <x:c r="K332" s="38" t="str">
        <x:v>元宝</x:v>
      </x:c>
      <x:c r="L332" s="38" t="str">
        <x:v>待经济反算</x:v>
      </x:c>
      <x:c r="M332" s="38" t="str">
        <x:v>待经济反算</x:v>
      </x:c>
      <x:c r="N332" s="38" t="str">
        <x:v>是</x:v>
      </x:c>
      <x:c r="O332" s="38" t="str">
        <x:v>否</x:v>
      </x:c>
      <x:c r="P332" s="38" t="str">
        <x:v>否</x:v>
      </x:c>
      <x:c r="Q332" s="38" t="str">
        <x:v>是</x:v>
      </x:c>
      <x:c r="R332" s="38" t="str">
        <x:v>是</x:v>
      </x:c>
      <x:c r="S332" s="38" t="str">
        <x:v>不进入玩家摆摊；通过交易物间接流通</x:v>
      </x:c>
      <x:c r="T332" s="38" t="str">
        <x:v>货币本身不可回收</x:v>
      </x:c>
      <x:c r="U332" s="38" t="str">
        <x:v>沿用现行货币账户</x:v>
      </x:c>
      <x:c r="V332" s="38" t="str">
        <x:v>结构已确认；数量待经济反算</x:v>
      </x:c>
      <x:c r="W332" s="39" t="str"/>
    </x:row>
    <x:row r="333" ht="42" customHeight="1">
      <x:c r="A333" s="37" t="str">
        <x:v>CON-C04-REBIRTH-04-0329</x:v>
      </x:c>
      <x:c r="B333" s="38" t="str">
        <x:v>配方输入</x:v>
      </x:c>
      <x:c r="C333" s="38" t="str">
        <x:v>C04-REBIRTH-04</x:v>
      </x:c>
      <x:c r="D333" s="38" t="str">
        <x:v>C04</x:v>
      </x:c>
      <x:c r="E333" s="38" t="str">
        <x:v>REQ-5CD3B8650B15</x:v>
      </x:c>
      <x:c r="F333" s="38" t="str">
        <x:v>第3转</x:v>
      </x:c>
      <x:c r="G333" s="38" t="str"/>
      <x:c r="H333" s="38" t="str">
        <x:v>基础件/前置</x:v>
      </x:c>
      <x:c r="I333" s="38" t="str">
        <x:v>基础件/前置</x:v>
      </x:c>
      <x:c r="J333" s="38" t="str">
        <x:v>第3转</x:v>
      </x:c>
      <x:c r="K333" s="38" t="str">
        <x:v>第3转</x:v>
      </x:c>
      <x:c r="L333" s="38" t="str">
        <x:v>待经济反算</x:v>
      </x:c>
      <x:c r="M333" s="38" t="str">
        <x:v>待经济反算</x:v>
      </x:c>
      <x:c r="N333" s="38" t="str">
        <x:v>否</x:v>
      </x:c>
      <x:c r="O333" s="38" t="str">
        <x:v>是</x:v>
      </x:c>
      <x:c r="P333" s="38" t="str">
        <x:v>否</x:v>
      </x:c>
      <x:c r="Q333" s="38" t="str">
        <x:v>是</x:v>
      </x:c>
      <x:c r="R333" s="38" t="str">
        <x:v>是</x:v>
      </x:c>
      <x:c r="S333" s="38" t="str">
        <x:v>不可交易</x:v>
      </x:c>
      <x:c r="T333" s="38" t="str">
        <x:v>不适用</x:v>
      </x:c>
      <x:c r="U333" s="38" t="str">
        <x:v>角色状态</x:v>
      </x:c>
      <x:c r="V333" s="38" t="str">
        <x:v>结构已确认；数量待经济反算</x:v>
      </x:c>
      <x:c r="W333" s="39" t="str"/>
    </x:row>
    <x:row r="334" ht="42" customHeight="1">
      <x:c r="A334" s="37" t="str">
        <x:v>CON-C04-REBIRTH-04-0330</x:v>
      </x:c>
      <x:c r="B334" s="38" t="str">
        <x:v>配方输入</x:v>
      </x:c>
      <x:c r="C334" s="38" t="str">
        <x:v>C04-REBIRTH-04</x:v>
      </x:c>
      <x:c r="D334" s="38" t="str">
        <x:v>C04</x:v>
      </x:c>
      <x:c r="E334" s="38" t="str">
        <x:v>EL-MAT-C04-COM</x:v>
      </x:c>
      <x:c r="F334" s="38" t="str">
        <x:v>湖盐结晶</x:v>
      </x:c>
      <x:c r="G334" s="38" t="str"/>
      <x:c r="H334" s="38" t="str">
        <x:v>高产通用材料</x:v>
      </x:c>
      <x:c r="I334" s="38" t="str">
        <x:v>高产通用材料</x:v>
      </x:c>
      <x:c r="J334" s="38" t="str">
        <x:v>湖盐结晶</x:v>
      </x:c>
      <x:c r="K334" s="38" t="str">
        <x:v>湖盐结晶</x:v>
      </x:c>
      <x:c r="L334" s="38" t="str">
        <x:v>待经济反算</x:v>
      </x:c>
      <x:c r="M334" s="38" t="str">
        <x:v>待经济反算</x:v>
      </x:c>
      <x:c r="N334" s="38" t="str">
        <x:v>是</x:v>
      </x:c>
      <x:c r="O334" s="38" t="str">
        <x:v>否</x:v>
      </x:c>
      <x:c r="P334" s="38" t="str">
        <x:v>否</x:v>
      </x:c>
      <x:c r="Q334" s="38" t="str">
        <x:v>是</x:v>
      </x:c>
      <x:c r="R334" s="38" t="str">
        <x:v>是</x:v>
      </x:c>
      <x:c r="S334" s="38" t="str">
        <x:v>可交易</x:v>
      </x:c>
      <x:c r="T334" s="38" t="str">
        <x:v>R4档金币／元宝主回收口</x:v>
      </x:c>
      <x:c r="U334" s="38" t="str">
        <x:v>产出实物默认不绑定，按现行材料脚本</x:v>
      </x:c>
      <x:c r="V334" s="38" t="str">
        <x:v>结构已确认；数量待经济反算</x:v>
      </x:c>
      <x:c r="W334" s="39" t="str"/>
    </x:row>
    <x:row r="335" ht="42" customHeight="1">
      <x:c r="A335" s="37" t="str">
        <x:v>CON-C04-REBIRTH-04-0331</x:v>
      </x:c>
      <x:c r="B335" s="38" t="str">
        <x:v>配方输入</x:v>
      </x:c>
      <x:c r="C335" s="38" t="str">
        <x:v>C04-REBIRTH-04</x:v>
      </x:c>
      <x:c r="D335" s="38" t="str">
        <x:v>C04</x:v>
      </x:c>
      <x:c r="E335" s="38" t="str">
        <x:v>EL-MAT-C04-Q01</x:v>
      </x:c>
      <x:c r="F335" s="38" t="str">
        <x:v>雾潮银鳞</x:v>
      </x:c>
      <x:c r="G335" s="38" t="str"/>
      <x:c r="H335" s="38" t="str">
        <x:v>稀有/证物材料</x:v>
      </x:c>
      <x:c r="I335" s="38" t="str">
        <x:v>稀有/证物材料</x:v>
      </x:c>
      <x:c r="J335" s="38" t="str">
        <x:v>雾潮银鳞＋幽船铆钉＋沉湖王印</x:v>
      </x:c>
      <x:c r="K335" s="38" t="str">
        <x:v>雾潮银鳞</x:v>
      </x:c>
      <x:c r="L335" s="38" t="str">
        <x:v>待经济反算</x:v>
      </x:c>
      <x:c r="M335" s="38" t="str">
        <x:v>待经济反算</x:v>
      </x:c>
      <x:c r="N335" s="38" t="str">
        <x:v>是</x:v>
      </x:c>
      <x:c r="O335" s="38" t="str">
        <x:v>否</x:v>
      </x:c>
      <x:c r="P335" s="38" t="str">
        <x:v>否</x:v>
      </x:c>
      <x:c r="Q335" s="38" t="str">
        <x:v>是</x:v>
      </x:c>
      <x:c r="R335" s="38" t="str">
        <x:v>是</x:v>
      </x:c>
      <x:c r="S335" s="38" t="str">
        <x:v>可交易</x:v>
      </x:c>
      <x:c r="T335" s="38" t="str">
        <x:v>不作为自动回收主材</x:v>
      </x:c>
      <x:c r="U335" s="38" t="str">
        <x:v>产出实物默认不绑定，按现行材料脚本</x:v>
      </x:c>
      <x:c r="V335" s="38" t="str">
        <x:v>结构已确认；数量待经济反算</x:v>
      </x:c>
      <x:c r="W335" s="39" t="str"/>
    </x:row>
    <x:row r="336" ht="42" customHeight="1">
      <x:c r="A336" s="37" t="str">
        <x:v>CON-C04-REBIRTH-04-0332</x:v>
      </x:c>
      <x:c r="B336" s="38" t="str">
        <x:v>配方输入</x:v>
      </x:c>
      <x:c r="C336" s="38" t="str">
        <x:v>C04-REBIRTH-04</x:v>
      </x:c>
      <x:c r="D336" s="38" t="str">
        <x:v>C04</x:v>
      </x:c>
      <x:c r="E336" s="38" t="str">
        <x:v>EL-MAT-C04-RARE</x:v>
      </x:c>
      <x:c r="F336" s="38" t="str">
        <x:v>幽船铆钉</x:v>
      </x:c>
      <x:c r="G336" s="38" t="str"/>
      <x:c r="H336" s="38" t="str">
        <x:v>稀有/证物材料</x:v>
      </x:c>
      <x:c r="I336" s="38" t="str">
        <x:v>稀有/证物材料</x:v>
      </x:c>
      <x:c r="J336" s="38" t="str">
        <x:v>雾潮银鳞＋幽船铆钉＋沉湖王印</x:v>
      </x:c>
      <x:c r="K336" s="38" t="str">
        <x:v>幽船铆钉</x:v>
      </x:c>
      <x:c r="L336" s="38" t="str">
        <x:v>待经济反算</x:v>
      </x:c>
      <x:c r="M336" s="38" t="str">
        <x:v>待经济反算</x:v>
      </x:c>
      <x:c r="N336" s="38" t="str">
        <x:v>是</x:v>
      </x:c>
      <x:c r="O336" s="38" t="str">
        <x:v>否</x:v>
      </x:c>
      <x:c r="P336" s="38" t="str">
        <x:v>否</x:v>
      </x:c>
      <x:c r="Q336" s="38" t="str">
        <x:v>是</x:v>
      </x:c>
      <x:c r="R336" s="38" t="str">
        <x:v>是</x:v>
      </x:c>
      <x:c r="S336" s="38" t="str">
        <x:v>可交易</x:v>
      </x:c>
      <x:c r="T336" s="38" t="str">
        <x:v>不作为自动回收主材</x:v>
      </x:c>
      <x:c r="U336" s="38" t="str">
        <x:v>产出实物默认不绑定，按现行材料脚本</x:v>
      </x:c>
      <x:c r="V336" s="38" t="str">
        <x:v>结构已确认；数量待经济反算</x:v>
      </x:c>
      <x:c r="W336" s="39" t="str"/>
    </x:row>
    <x:row r="337" ht="42" customHeight="1">
      <x:c r="A337" s="37" t="str">
        <x:v>CON-C04-REBIRTH-04-0333</x:v>
      </x:c>
      <x:c r="B337" s="38" t="str">
        <x:v>配方输入</x:v>
      </x:c>
      <x:c r="C337" s="38" t="str">
        <x:v>C04-REBIRTH-04</x:v>
      </x:c>
      <x:c r="D337" s="38" t="str">
        <x:v>C04</x:v>
      </x:c>
      <x:c r="E337" s="38" t="str">
        <x:v>EL-MAT-C04-MARK</x:v>
      </x:c>
      <x:c r="F337" s="38" t="str">
        <x:v>沉湖王印</x:v>
      </x:c>
      <x:c r="G337" s="38" t="str"/>
      <x:c r="H337" s="38" t="str">
        <x:v>稀有/证物材料</x:v>
      </x:c>
      <x:c r="I337" s="38" t="str">
        <x:v>稀有/证物材料</x:v>
      </x:c>
      <x:c r="J337" s="38" t="str">
        <x:v>雾潮银鳞＋幽船铆钉＋沉湖王印</x:v>
      </x:c>
      <x:c r="K337" s="38" t="str">
        <x:v>沉湖王印</x:v>
      </x:c>
      <x:c r="L337" s="38" t="str">
        <x:v>待经济反算</x:v>
      </x:c>
      <x:c r="M337" s="38" t="str">
        <x:v>待经济反算</x:v>
      </x:c>
      <x:c r="N337" s="38" t="str">
        <x:v>是</x:v>
      </x:c>
      <x:c r="O337" s="38" t="str">
        <x:v>否</x:v>
      </x:c>
      <x:c r="P337" s="38" t="str">
        <x:v>否</x:v>
      </x:c>
      <x:c r="Q337" s="38" t="str">
        <x:v>是</x:v>
      </x:c>
      <x:c r="R337" s="38" t="str">
        <x:v>是</x:v>
      </x:c>
      <x:c r="S337" s="38" t="str">
        <x:v>可交易</x:v>
      </x:c>
      <x:c r="T337" s="38" t="str">
        <x:v>不作为自动回收主材</x:v>
      </x:c>
      <x:c r="U337" s="38" t="str">
        <x:v>产出实物默认不绑定，按现行材料脚本</x:v>
      </x:c>
      <x:c r="V337" s="38" t="str">
        <x:v>结构已确认；数量待经济反算</x:v>
      </x:c>
      <x:c r="W337" s="39" t="str"/>
    </x:row>
    <x:row r="338" ht="42" customHeight="1">
      <x:c r="A338" s="37" t="str">
        <x:v>CON-C04-REBIRTH-04-0334</x:v>
      </x:c>
      <x:c r="B338" s="38" t="str">
        <x:v>配方输入</x:v>
      </x:c>
      <x:c r="C338" s="38" t="str">
        <x:v>C04-REBIRTH-04</x:v>
      </x:c>
      <x:c r="D338" s="38" t="str">
        <x:v>C04</x:v>
      </x:c>
      <x:c r="E338" s="38" t="str">
        <x:v>CUR-SMALL-RUNE</x:v>
      </x:c>
      <x:c r="F338" s="38" t="str">
        <x:v>小卢恩</x:v>
      </x:c>
      <x:c r="G338" s="38" t="str"/>
      <x:c r="H338" s="38" t="str">
        <x:v>全局材料</x:v>
      </x:c>
      <x:c r="I338" s="38" t="str">
        <x:v>全局材料</x:v>
      </x:c>
      <x:c r="J338" s="38" t="str">
        <x:v>小卢恩</x:v>
      </x:c>
      <x:c r="K338" s="38" t="str">
        <x:v>小卢恩</x:v>
      </x:c>
      <x:c r="L338" s="38" t="str">
        <x:v>待经济反算</x:v>
      </x:c>
      <x:c r="M338" s="38" t="str">
        <x:v>待经济反算</x:v>
      </x:c>
      <x:c r="N338" s="38" t="str">
        <x:v>是</x:v>
      </x:c>
      <x:c r="O338" s="38" t="str">
        <x:v>否</x:v>
      </x:c>
      <x:c r="P338" s="38" t="str">
        <x:v>否</x:v>
      </x:c>
      <x:c r="Q338" s="38" t="str">
        <x:v>是</x:v>
      </x:c>
      <x:c r="R338" s="38" t="str">
        <x:v>是</x:v>
      </x:c>
      <x:c r="S338" s="38" t="str">
        <x:v>不进入玩家摆摊；通过交易物间接流通</x:v>
      </x:c>
      <x:c r="T338" s="38" t="str">
        <x:v>货币本身不可回收</x:v>
      </x:c>
      <x:c r="U338" s="38" t="str">
        <x:v>沿用现行货币账户</x:v>
      </x:c>
      <x:c r="V338" s="38" t="str">
        <x:v>结构已确认；数量待经济反算</x:v>
      </x:c>
      <x:c r="W338" s="39" t="str"/>
    </x:row>
    <x:row r="339" ht="42" customHeight="1">
      <x:c r="A339" s="37" t="str">
        <x:v>CON-C04-REBIRTH-04-0335</x:v>
      </x:c>
      <x:c r="B339" s="38" t="str">
        <x:v>配方输入</x:v>
      </x:c>
      <x:c r="C339" s="38" t="str">
        <x:v>C04-REBIRTH-04</x:v>
      </x:c>
      <x:c r="D339" s="38" t="str">
        <x:v>C04</x:v>
      </x:c>
      <x:c r="E339" s="38" t="str">
        <x:v>CUR-GOLD</x:v>
      </x:c>
      <x:c r="F339" s="38" t="str">
        <x:v>金币</x:v>
      </x:c>
      <x:c r="G339" s="38" t="str"/>
      <x:c r="H339" s="38" t="str">
        <x:v>金币/元宝/灵符</x:v>
      </x:c>
      <x:c r="I339" s="38" t="str">
        <x:v>货币</x:v>
      </x:c>
      <x:c r="J339" s="38" t="str">
        <x:v>金币＋元宝</x:v>
      </x:c>
      <x:c r="K339" s="38" t="str">
        <x:v>金币</x:v>
      </x:c>
      <x:c r="L339" s="38" t="str">
        <x:v>待经济反算</x:v>
      </x:c>
      <x:c r="M339" s="38" t="str">
        <x:v>待经济反算</x:v>
      </x:c>
      <x:c r="N339" s="38" t="str">
        <x:v>是</x:v>
      </x:c>
      <x:c r="O339" s="38" t="str">
        <x:v>否</x:v>
      </x:c>
      <x:c r="P339" s="38" t="str">
        <x:v>否</x:v>
      </x:c>
      <x:c r="Q339" s="38" t="str">
        <x:v>是</x:v>
      </x:c>
      <x:c r="R339" s="38" t="str">
        <x:v>是</x:v>
      </x:c>
      <x:c r="S339" s="38" t="str">
        <x:v>不进入玩家摆摊；通过交易物间接流通</x:v>
      </x:c>
      <x:c r="T339" s="38" t="str">
        <x:v>货币本身不可回收</x:v>
      </x:c>
      <x:c r="U339" s="38" t="str">
        <x:v>沿用现行货币账户</x:v>
      </x:c>
      <x:c r="V339" s="38" t="str">
        <x:v>结构已确认；数量待经济反算</x:v>
      </x:c>
      <x:c r="W339" s="39" t="str"/>
    </x:row>
    <x:row r="340" ht="42" customHeight="1">
      <x:c r="A340" s="37" t="str">
        <x:v>CON-C04-REBIRTH-04-0336</x:v>
      </x:c>
      <x:c r="B340" s="38" t="str">
        <x:v>配方输入</x:v>
      </x:c>
      <x:c r="C340" s="38" t="str">
        <x:v>C04-REBIRTH-04</x:v>
      </x:c>
      <x:c r="D340" s="38" t="str">
        <x:v>C04</x:v>
      </x:c>
      <x:c r="E340" s="38" t="str">
        <x:v>CUR-YUANBAO</x:v>
      </x:c>
      <x:c r="F340" s="38" t="str">
        <x:v>元宝</x:v>
      </x:c>
      <x:c r="G340" s="38" t="str"/>
      <x:c r="H340" s="38" t="str">
        <x:v>金币/元宝/灵符</x:v>
      </x:c>
      <x:c r="I340" s="38" t="str">
        <x:v>货币</x:v>
      </x:c>
      <x:c r="J340" s="38" t="str">
        <x:v>金币＋元宝</x:v>
      </x:c>
      <x:c r="K340" s="38" t="str">
        <x:v>元宝</x:v>
      </x:c>
      <x:c r="L340" s="38" t="str">
        <x:v>待经济反算</x:v>
      </x:c>
      <x:c r="M340" s="38" t="str">
        <x:v>待经济反算</x:v>
      </x:c>
      <x:c r="N340" s="38" t="str">
        <x:v>是</x:v>
      </x:c>
      <x:c r="O340" s="38" t="str">
        <x:v>否</x:v>
      </x:c>
      <x:c r="P340" s="38" t="str">
        <x:v>否</x:v>
      </x:c>
      <x:c r="Q340" s="38" t="str">
        <x:v>是</x:v>
      </x:c>
      <x:c r="R340" s="38" t="str">
        <x:v>是</x:v>
      </x:c>
      <x:c r="S340" s="38" t="str">
        <x:v>不进入玩家摆摊；通过交易物间接流通</x:v>
      </x:c>
      <x:c r="T340" s="38" t="str">
        <x:v>货币本身不可回收</x:v>
      </x:c>
      <x:c r="U340" s="38" t="str">
        <x:v>沿用现行货币账户</x:v>
      </x:c>
      <x:c r="V340" s="38" t="str">
        <x:v>结构已确认；数量待经济反算</x:v>
      </x:c>
      <x:c r="W340" s="39" t="str"/>
    </x:row>
    <x:row r="341" ht="42" customHeight="1">
      <x:c r="A341" s="37" t="str">
        <x:v>CON-C04-REBIRTH-05-0337</x:v>
      </x:c>
      <x:c r="B341" s="38" t="str">
        <x:v>配方输入</x:v>
      </x:c>
      <x:c r="C341" s="38" t="str">
        <x:v>C04-REBIRTH-05</x:v>
      </x:c>
      <x:c r="D341" s="38" t="str">
        <x:v>C04</x:v>
      </x:c>
      <x:c r="E341" s="38" t="str">
        <x:v>REQ-5D5F26888AFC</x:v>
      </x:c>
      <x:c r="F341" s="38" t="str">
        <x:v>第4转</x:v>
      </x:c>
      <x:c r="G341" s="38" t="str"/>
      <x:c r="H341" s="38" t="str">
        <x:v>基础件/前置</x:v>
      </x:c>
      <x:c r="I341" s="38" t="str">
        <x:v>基础件/前置</x:v>
      </x:c>
      <x:c r="J341" s="38" t="str">
        <x:v>第4转</x:v>
      </x:c>
      <x:c r="K341" s="38" t="str">
        <x:v>第4转</x:v>
      </x:c>
      <x:c r="L341" s="38" t="str">
        <x:v>待经济反算</x:v>
      </x:c>
      <x:c r="M341" s="38" t="str">
        <x:v>待经济反算</x:v>
      </x:c>
      <x:c r="N341" s="38" t="str">
        <x:v>否</x:v>
      </x:c>
      <x:c r="O341" s="38" t="str">
        <x:v>是</x:v>
      </x:c>
      <x:c r="P341" s="38" t="str">
        <x:v>否</x:v>
      </x:c>
      <x:c r="Q341" s="38" t="str">
        <x:v>是</x:v>
      </x:c>
      <x:c r="R341" s="38" t="str">
        <x:v>是</x:v>
      </x:c>
      <x:c r="S341" s="38" t="str">
        <x:v>不可交易</x:v>
      </x:c>
      <x:c r="T341" s="38" t="str">
        <x:v>不适用</x:v>
      </x:c>
      <x:c r="U341" s="38" t="str">
        <x:v>角色状态</x:v>
      </x:c>
      <x:c r="V341" s="38" t="str">
        <x:v>结构已确认；数量待经济反算</x:v>
      </x:c>
      <x:c r="W341" s="39" t="str"/>
    </x:row>
    <x:row r="342" ht="42" customHeight="1">
      <x:c r="A342" s="37" t="str">
        <x:v>CON-C04-REBIRTH-05-0338</x:v>
      </x:c>
      <x:c r="B342" s="38" t="str">
        <x:v>配方输入</x:v>
      </x:c>
      <x:c r="C342" s="38" t="str">
        <x:v>C04-REBIRTH-05</x:v>
      </x:c>
      <x:c r="D342" s="38" t="str">
        <x:v>C04</x:v>
      </x:c>
      <x:c r="E342" s="38" t="str">
        <x:v>EL-MAT-C04-COM</x:v>
      </x:c>
      <x:c r="F342" s="38" t="str">
        <x:v>湖盐结晶</x:v>
      </x:c>
      <x:c r="G342" s="38" t="str"/>
      <x:c r="H342" s="38" t="str">
        <x:v>高产通用材料</x:v>
      </x:c>
      <x:c r="I342" s="38" t="str">
        <x:v>高产通用材料</x:v>
      </x:c>
      <x:c r="J342" s="38" t="str">
        <x:v>湖盐结晶</x:v>
      </x:c>
      <x:c r="K342" s="38" t="str">
        <x:v>湖盐结晶</x:v>
      </x:c>
      <x:c r="L342" s="38" t="str">
        <x:v>待经济反算</x:v>
      </x:c>
      <x:c r="M342" s="38" t="str">
        <x:v>待经济反算</x:v>
      </x:c>
      <x:c r="N342" s="38" t="str">
        <x:v>是</x:v>
      </x:c>
      <x:c r="O342" s="38" t="str">
        <x:v>否</x:v>
      </x:c>
      <x:c r="P342" s="38" t="str">
        <x:v>否</x:v>
      </x:c>
      <x:c r="Q342" s="38" t="str">
        <x:v>是</x:v>
      </x:c>
      <x:c r="R342" s="38" t="str">
        <x:v>是</x:v>
      </x:c>
      <x:c r="S342" s="38" t="str">
        <x:v>可交易</x:v>
      </x:c>
      <x:c r="T342" s="38" t="str">
        <x:v>R4档金币／元宝主回收口</x:v>
      </x:c>
      <x:c r="U342" s="38" t="str">
        <x:v>产出实物默认不绑定，按现行材料脚本</x:v>
      </x:c>
      <x:c r="V342" s="38" t="str">
        <x:v>结构已确认；数量待经济反算</x:v>
      </x:c>
      <x:c r="W342" s="39" t="str"/>
    </x:row>
    <x:row r="343" ht="42" customHeight="1">
      <x:c r="A343" s="37" t="str">
        <x:v>CON-C04-REBIRTH-05-0339</x:v>
      </x:c>
      <x:c r="B343" s="38" t="str">
        <x:v>配方输入</x:v>
      </x:c>
      <x:c r="C343" s="38" t="str">
        <x:v>C04-REBIRTH-05</x:v>
      </x:c>
      <x:c r="D343" s="38" t="str">
        <x:v>C04</x:v>
      </x:c>
      <x:c r="E343" s="38" t="str">
        <x:v>EL-MAT-C04-Q01</x:v>
      </x:c>
      <x:c r="F343" s="38" t="str">
        <x:v>雾潮银鳞</x:v>
      </x:c>
      <x:c r="G343" s="38" t="str"/>
      <x:c r="H343" s="38" t="str">
        <x:v>稀有/证物材料</x:v>
      </x:c>
      <x:c r="I343" s="38" t="str">
        <x:v>稀有/证物材料</x:v>
      </x:c>
      <x:c r="J343" s="38" t="str">
        <x:v>雾潮银鳞＋幽船铆钉＋沉湖王印</x:v>
      </x:c>
      <x:c r="K343" s="38" t="str">
        <x:v>雾潮银鳞</x:v>
      </x:c>
      <x:c r="L343" s="38" t="str">
        <x:v>待经济反算</x:v>
      </x:c>
      <x:c r="M343" s="38" t="str">
        <x:v>待经济反算</x:v>
      </x:c>
      <x:c r="N343" s="38" t="str">
        <x:v>是</x:v>
      </x:c>
      <x:c r="O343" s="38" t="str">
        <x:v>否</x:v>
      </x:c>
      <x:c r="P343" s="38" t="str">
        <x:v>否</x:v>
      </x:c>
      <x:c r="Q343" s="38" t="str">
        <x:v>是</x:v>
      </x:c>
      <x:c r="R343" s="38" t="str">
        <x:v>是</x:v>
      </x:c>
      <x:c r="S343" s="38" t="str">
        <x:v>可交易</x:v>
      </x:c>
      <x:c r="T343" s="38" t="str">
        <x:v>不作为自动回收主材</x:v>
      </x:c>
      <x:c r="U343" s="38" t="str">
        <x:v>产出实物默认不绑定，按现行材料脚本</x:v>
      </x:c>
      <x:c r="V343" s="38" t="str">
        <x:v>结构已确认；数量待经济反算</x:v>
      </x:c>
      <x:c r="W343" s="39" t="str"/>
    </x:row>
    <x:row r="344" ht="42" customHeight="1">
      <x:c r="A344" s="37" t="str">
        <x:v>CON-C04-REBIRTH-05-0340</x:v>
      </x:c>
      <x:c r="B344" s="38" t="str">
        <x:v>配方输入</x:v>
      </x:c>
      <x:c r="C344" s="38" t="str">
        <x:v>C04-REBIRTH-05</x:v>
      </x:c>
      <x:c r="D344" s="38" t="str">
        <x:v>C04</x:v>
      </x:c>
      <x:c r="E344" s="38" t="str">
        <x:v>EL-MAT-C04-RARE</x:v>
      </x:c>
      <x:c r="F344" s="38" t="str">
        <x:v>幽船铆钉</x:v>
      </x:c>
      <x:c r="G344" s="38" t="str"/>
      <x:c r="H344" s="38" t="str">
        <x:v>稀有/证物材料</x:v>
      </x:c>
      <x:c r="I344" s="38" t="str">
        <x:v>稀有/证物材料</x:v>
      </x:c>
      <x:c r="J344" s="38" t="str">
        <x:v>雾潮银鳞＋幽船铆钉＋沉湖王印</x:v>
      </x:c>
      <x:c r="K344" s="38" t="str">
        <x:v>幽船铆钉</x:v>
      </x:c>
      <x:c r="L344" s="38" t="str">
        <x:v>待经济反算</x:v>
      </x:c>
      <x:c r="M344" s="38" t="str">
        <x:v>待经济反算</x:v>
      </x:c>
      <x:c r="N344" s="38" t="str">
        <x:v>是</x:v>
      </x:c>
      <x:c r="O344" s="38" t="str">
        <x:v>否</x:v>
      </x:c>
      <x:c r="P344" s="38" t="str">
        <x:v>否</x:v>
      </x:c>
      <x:c r="Q344" s="38" t="str">
        <x:v>是</x:v>
      </x:c>
      <x:c r="R344" s="38" t="str">
        <x:v>是</x:v>
      </x:c>
      <x:c r="S344" s="38" t="str">
        <x:v>可交易</x:v>
      </x:c>
      <x:c r="T344" s="38" t="str">
        <x:v>不作为自动回收主材</x:v>
      </x:c>
      <x:c r="U344" s="38" t="str">
        <x:v>产出实物默认不绑定，按现行材料脚本</x:v>
      </x:c>
      <x:c r="V344" s="38" t="str">
        <x:v>结构已确认；数量待经济反算</x:v>
      </x:c>
      <x:c r="W344" s="39" t="str"/>
    </x:row>
    <x:row r="345" ht="42" customHeight="1">
      <x:c r="A345" s="37" t="str">
        <x:v>CON-C04-REBIRTH-05-0341</x:v>
      </x:c>
      <x:c r="B345" s="38" t="str">
        <x:v>配方输入</x:v>
      </x:c>
      <x:c r="C345" s="38" t="str">
        <x:v>C04-REBIRTH-05</x:v>
      </x:c>
      <x:c r="D345" s="38" t="str">
        <x:v>C04</x:v>
      </x:c>
      <x:c r="E345" s="38" t="str">
        <x:v>EL-MAT-C04-MARK</x:v>
      </x:c>
      <x:c r="F345" s="38" t="str">
        <x:v>沉湖王印</x:v>
      </x:c>
      <x:c r="G345" s="38" t="str"/>
      <x:c r="H345" s="38" t="str">
        <x:v>稀有/证物材料</x:v>
      </x:c>
      <x:c r="I345" s="38" t="str">
        <x:v>稀有/证物材料</x:v>
      </x:c>
      <x:c r="J345" s="38" t="str">
        <x:v>雾潮银鳞＋幽船铆钉＋沉湖王印</x:v>
      </x:c>
      <x:c r="K345" s="38" t="str">
        <x:v>沉湖王印</x:v>
      </x:c>
      <x:c r="L345" s="38" t="str">
        <x:v>待经济反算</x:v>
      </x:c>
      <x:c r="M345" s="38" t="str">
        <x:v>待经济反算</x:v>
      </x:c>
      <x:c r="N345" s="38" t="str">
        <x:v>是</x:v>
      </x:c>
      <x:c r="O345" s="38" t="str">
        <x:v>否</x:v>
      </x:c>
      <x:c r="P345" s="38" t="str">
        <x:v>否</x:v>
      </x:c>
      <x:c r="Q345" s="38" t="str">
        <x:v>是</x:v>
      </x:c>
      <x:c r="R345" s="38" t="str">
        <x:v>是</x:v>
      </x:c>
      <x:c r="S345" s="38" t="str">
        <x:v>可交易</x:v>
      </x:c>
      <x:c r="T345" s="38" t="str">
        <x:v>不作为自动回收主材</x:v>
      </x:c>
      <x:c r="U345" s="38" t="str">
        <x:v>产出实物默认不绑定，按现行材料脚本</x:v>
      </x:c>
      <x:c r="V345" s="38" t="str">
        <x:v>结构已确认；数量待经济反算</x:v>
      </x:c>
      <x:c r="W345" s="39" t="str"/>
    </x:row>
    <x:row r="346" ht="42" customHeight="1">
      <x:c r="A346" s="37" t="str">
        <x:v>CON-C04-REBIRTH-05-0342</x:v>
      </x:c>
      <x:c r="B346" s="38" t="str">
        <x:v>配方输入</x:v>
      </x:c>
      <x:c r="C346" s="38" t="str">
        <x:v>C04-REBIRTH-05</x:v>
      </x:c>
      <x:c r="D346" s="38" t="str">
        <x:v>C04</x:v>
      </x:c>
      <x:c r="E346" s="38" t="str">
        <x:v>CUR-SMALL-RUNE</x:v>
      </x:c>
      <x:c r="F346" s="38" t="str">
        <x:v>小卢恩</x:v>
      </x:c>
      <x:c r="G346" s="38" t="str"/>
      <x:c r="H346" s="38" t="str">
        <x:v>全局材料</x:v>
      </x:c>
      <x:c r="I346" s="38" t="str">
        <x:v>全局材料</x:v>
      </x:c>
      <x:c r="J346" s="38" t="str">
        <x:v>小卢恩</x:v>
      </x:c>
      <x:c r="K346" s="38" t="str">
        <x:v>小卢恩</x:v>
      </x:c>
      <x:c r="L346" s="38" t="str">
        <x:v>待经济反算</x:v>
      </x:c>
      <x:c r="M346" s="38" t="str">
        <x:v>待经济反算</x:v>
      </x:c>
      <x:c r="N346" s="38" t="str">
        <x:v>是</x:v>
      </x:c>
      <x:c r="O346" s="38" t="str">
        <x:v>否</x:v>
      </x:c>
      <x:c r="P346" s="38" t="str">
        <x:v>否</x:v>
      </x:c>
      <x:c r="Q346" s="38" t="str">
        <x:v>是</x:v>
      </x:c>
      <x:c r="R346" s="38" t="str">
        <x:v>是</x:v>
      </x:c>
      <x:c r="S346" s="38" t="str">
        <x:v>不进入玩家摆摊；通过交易物间接流通</x:v>
      </x:c>
      <x:c r="T346" s="38" t="str">
        <x:v>货币本身不可回收</x:v>
      </x:c>
      <x:c r="U346" s="38" t="str">
        <x:v>沿用现行货币账户</x:v>
      </x:c>
      <x:c r="V346" s="38" t="str">
        <x:v>结构已确认；数量待经济反算</x:v>
      </x:c>
      <x:c r="W346" s="39" t="str"/>
    </x:row>
    <x:row r="347" ht="42" customHeight="1">
      <x:c r="A347" s="37" t="str">
        <x:v>CON-C04-REBIRTH-05-0343</x:v>
      </x:c>
      <x:c r="B347" s="38" t="str">
        <x:v>配方输入</x:v>
      </x:c>
      <x:c r="C347" s="38" t="str">
        <x:v>C04-REBIRTH-05</x:v>
      </x:c>
      <x:c r="D347" s="38" t="str">
        <x:v>C04</x:v>
      </x:c>
      <x:c r="E347" s="38" t="str">
        <x:v>CUR-GOLD</x:v>
      </x:c>
      <x:c r="F347" s="38" t="str">
        <x:v>金币</x:v>
      </x:c>
      <x:c r="G347" s="38" t="str"/>
      <x:c r="H347" s="38" t="str">
        <x:v>金币/元宝/灵符</x:v>
      </x:c>
      <x:c r="I347" s="38" t="str">
        <x:v>货币</x:v>
      </x:c>
      <x:c r="J347" s="38" t="str">
        <x:v>金币＋元宝</x:v>
      </x:c>
      <x:c r="K347" s="38" t="str">
        <x:v>金币</x:v>
      </x:c>
      <x:c r="L347" s="38" t="str">
        <x:v>待经济反算</x:v>
      </x:c>
      <x:c r="M347" s="38" t="str">
        <x:v>待经济反算</x:v>
      </x:c>
      <x:c r="N347" s="38" t="str">
        <x:v>是</x:v>
      </x:c>
      <x:c r="O347" s="38" t="str">
        <x:v>否</x:v>
      </x:c>
      <x:c r="P347" s="38" t="str">
        <x:v>否</x:v>
      </x:c>
      <x:c r="Q347" s="38" t="str">
        <x:v>是</x:v>
      </x:c>
      <x:c r="R347" s="38" t="str">
        <x:v>是</x:v>
      </x:c>
      <x:c r="S347" s="38" t="str">
        <x:v>不进入玩家摆摊；通过交易物间接流通</x:v>
      </x:c>
      <x:c r="T347" s="38" t="str">
        <x:v>货币本身不可回收</x:v>
      </x:c>
      <x:c r="U347" s="38" t="str">
        <x:v>沿用现行货币账户</x:v>
      </x:c>
      <x:c r="V347" s="38" t="str">
        <x:v>结构已确认；数量待经济反算</x:v>
      </x:c>
      <x:c r="W347" s="39" t="str"/>
    </x:row>
    <x:row r="348" ht="42" customHeight="1">
      <x:c r="A348" s="37" t="str">
        <x:v>CON-C04-REBIRTH-05-0344</x:v>
      </x:c>
      <x:c r="B348" s="38" t="str">
        <x:v>配方输入</x:v>
      </x:c>
      <x:c r="C348" s="38" t="str">
        <x:v>C04-REBIRTH-05</x:v>
      </x:c>
      <x:c r="D348" s="38" t="str">
        <x:v>C04</x:v>
      </x:c>
      <x:c r="E348" s="38" t="str">
        <x:v>CUR-YUANBAO</x:v>
      </x:c>
      <x:c r="F348" s="38" t="str">
        <x:v>元宝</x:v>
      </x:c>
      <x:c r="G348" s="38" t="str"/>
      <x:c r="H348" s="38" t="str">
        <x:v>金币/元宝/灵符</x:v>
      </x:c>
      <x:c r="I348" s="38" t="str">
        <x:v>货币</x:v>
      </x:c>
      <x:c r="J348" s="38" t="str">
        <x:v>金币＋元宝</x:v>
      </x:c>
      <x:c r="K348" s="38" t="str">
        <x:v>元宝</x:v>
      </x:c>
      <x:c r="L348" s="38" t="str">
        <x:v>待经济反算</x:v>
      </x:c>
      <x:c r="M348" s="38" t="str">
        <x:v>待经济反算</x:v>
      </x:c>
      <x:c r="N348" s="38" t="str">
        <x:v>是</x:v>
      </x:c>
      <x:c r="O348" s="38" t="str">
        <x:v>否</x:v>
      </x:c>
      <x:c r="P348" s="38" t="str">
        <x:v>否</x:v>
      </x:c>
      <x:c r="Q348" s="38" t="str">
        <x:v>是</x:v>
      </x:c>
      <x:c r="R348" s="38" t="str">
        <x:v>是</x:v>
      </x:c>
      <x:c r="S348" s="38" t="str">
        <x:v>不进入玩家摆摊；通过交易物间接流通</x:v>
      </x:c>
      <x:c r="T348" s="38" t="str">
        <x:v>货币本身不可回收</x:v>
      </x:c>
      <x:c r="U348" s="38" t="str">
        <x:v>沿用现行货币账户</x:v>
      </x:c>
      <x:c r="V348" s="38" t="str">
        <x:v>结构已确认；数量待经济反算</x:v>
      </x:c>
      <x:c r="W348" s="39" t="str"/>
    </x:row>
    <x:row r="349" ht="42" customHeight="1">
      <x:c r="A349" s="37" t="str">
        <x:v>CON-C06-REBIRTH-06-0345</x:v>
      </x:c>
      <x:c r="B349" s="38" t="str">
        <x:v>配方输入</x:v>
      </x:c>
      <x:c r="C349" s="38" t="str">
        <x:v>C06-REBIRTH-06</x:v>
      </x:c>
      <x:c r="D349" s="38" t="str">
        <x:v>C06</x:v>
      </x:c>
      <x:c r="E349" s="38" t="str">
        <x:v>REQ-1D700D1FD989</x:v>
      </x:c>
      <x:c r="F349" s="38" t="str">
        <x:v>第5转</x:v>
      </x:c>
      <x:c r="G349" s="38" t="str"/>
      <x:c r="H349" s="38" t="str">
        <x:v>基础件/前置</x:v>
      </x:c>
      <x:c r="I349" s="38" t="str">
        <x:v>基础件/前置</x:v>
      </x:c>
      <x:c r="J349" s="38" t="str">
        <x:v>第5转</x:v>
      </x:c>
      <x:c r="K349" s="38" t="str">
        <x:v>第5转</x:v>
      </x:c>
      <x:c r="L349" s="38" t="str">
        <x:v>待经济反算</x:v>
      </x:c>
      <x:c r="M349" s="38" t="str">
        <x:v>待经济反算</x:v>
      </x:c>
      <x:c r="N349" s="38" t="str">
        <x:v>否</x:v>
      </x:c>
      <x:c r="O349" s="38" t="str">
        <x:v>是</x:v>
      </x:c>
      <x:c r="P349" s="38" t="str">
        <x:v>否</x:v>
      </x:c>
      <x:c r="Q349" s="38" t="str">
        <x:v>是</x:v>
      </x:c>
      <x:c r="R349" s="38" t="str">
        <x:v>是</x:v>
      </x:c>
      <x:c r="S349" s="38" t="str">
        <x:v>不可交易</x:v>
      </x:c>
      <x:c r="T349" s="38" t="str">
        <x:v>不适用</x:v>
      </x:c>
      <x:c r="U349" s="38" t="str">
        <x:v>角色状态</x:v>
      </x:c>
      <x:c r="V349" s="38" t="str">
        <x:v>结构已确认；数量待经济反算</x:v>
      </x:c>
      <x:c r="W349" s="39" t="str"/>
    </x:row>
    <x:row r="350" ht="42" customHeight="1">
      <x:c r="A350" s="37" t="str">
        <x:v>CON-C06-REBIRTH-06-0346</x:v>
      </x:c>
      <x:c r="B350" s="38" t="str">
        <x:v>配方输入</x:v>
      </x:c>
      <x:c r="C350" s="38" t="str">
        <x:v>C06-REBIRTH-06</x:v>
      </x:c>
      <x:c r="D350" s="38" t="str">
        <x:v>C06</x:v>
      </x:c>
      <x:c r="E350" s="38" t="str">
        <x:v>EL-MAT-C06-COM</x:v>
      </x:c>
      <x:c r="F350" s="38" t="str">
        <x:v>猩红矿渣</x:v>
      </x:c>
      <x:c r="G350" s="38" t="str"/>
      <x:c r="H350" s="38" t="str">
        <x:v>高产通用材料</x:v>
      </x:c>
      <x:c r="I350" s="38" t="str">
        <x:v>高产通用材料</x:v>
      </x:c>
      <x:c r="J350" s="38" t="str">
        <x:v>猩红矿渣</x:v>
      </x:c>
      <x:c r="K350" s="38" t="str">
        <x:v>猩红矿渣</x:v>
      </x:c>
      <x:c r="L350" s="38" t="str">
        <x:v>待经济反算</x:v>
      </x:c>
      <x:c r="M350" s="38" t="str">
        <x:v>待经济反算</x:v>
      </x:c>
      <x:c r="N350" s="38" t="str">
        <x:v>是</x:v>
      </x:c>
      <x:c r="O350" s="38" t="str">
        <x:v>否</x:v>
      </x:c>
      <x:c r="P350" s="38" t="str">
        <x:v>否</x:v>
      </x:c>
      <x:c r="Q350" s="38" t="str">
        <x:v>是</x:v>
      </x:c>
      <x:c r="R350" s="38" t="str">
        <x:v>是</x:v>
      </x:c>
      <x:c r="S350" s="38" t="str">
        <x:v>可交易</x:v>
      </x:c>
      <x:c r="T350" s="38" t="str">
        <x:v>R6档金币／元宝主回收口</x:v>
      </x:c>
      <x:c r="U350" s="38" t="str">
        <x:v>产出实物默认不绑定，按现行材料脚本</x:v>
      </x:c>
      <x:c r="V350" s="38" t="str">
        <x:v>结构已确认；数量待经济反算</x:v>
      </x:c>
      <x:c r="W350" s="39" t="str"/>
    </x:row>
    <x:row r="351" ht="42" customHeight="1">
      <x:c r="A351" s="37" t="str">
        <x:v>CON-C06-REBIRTH-06-0347</x:v>
      </x:c>
      <x:c r="B351" s="38" t="str">
        <x:v>配方输入</x:v>
      </x:c>
      <x:c r="C351" s="38" t="str">
        <x:v>C06-REBIRTH-06</x:v>
      </x:c>
      <x:c r="D351" s="38" t="str">
        <x:v>C06</x:v>
      </x:c>
      <x:c r="E351" s="38" t="str">
        <x:v>EL-MAT-C06-Q02</x:v>
      </x:c>
      <x:c r="F351" s="38" t="str">
        <x:v>净火腺囊</x:v>
      </x:c>
      <x:c r="G351" s="38" t="str"/>
      <x:c r="H351" s="38" t="str">
        <x:v>稀有/证物材料</x:v>
      </x:c>
      <x:c r="I351" s="38" t="str">
        <x:v>稀有/证物材料</x:v>
      </x:c>
      <x:c r="J351" s="38" t="str">
        <x:v>净火腺囊＋龙火鳞＋红狮战印</x:v>
      </x:c>
      <x:c r="K351" s="38" t="str">
        <x:v>净火腺囊</x:v>
      </x:c>
      <x:c r="L351" s="38" t="str">
        <x:v>待经济反算</x:v>
      </x:c>
      <x:c r="M351" s="38" t="str">
        <x:v>待经济反算</x:v>
      </x:c>
      <x:c r="N351" s="38" t="str">
        <x:v>是</x:v>
      </x:c>
      <x:c r="O351" s="38" t="str">
        <x:v>否</x:v>
      </x:c>
      <x:c r="P351" s="38" t="str">
        <x:v>否</x:v>
      </x:c>
      <x:c r="Q351" s="38" t="str">
        <x:v>是</x:v>
      </x:c>
      <x:c r="R351" s="38" t="str">
        <x:v>是</x:v>
      </x:c>
      <x:c r="S351" s="38" t="str">
        <x:v>可交易</x:v>
      </x:c>
      <x:c r="T351" s="38" t="str">
        <x:v>不作为自动回收主材</x:v>
      </x:c>
      <x:c r="U351" s="38" t="str">
        <x:v>产出实物默认不绑定，按现行材料脚本</x:v>
      </x:c>
      <x:c r="V351" s="38" t="str">
        <x:v>结构已确认；数量待经济反算</x:v>
      </x:c>
      <x:c r="W351" s="39" t="str"/>
    </x:row>
    <x:row r="352" ht="42" customHeight="1">
      <x:c r="A352" s="37" t="str">
        <x:v>CON-C06-REBIRTH-06-0348</x:v>
      </x:c>
      <x:c r="B352" s="38" t="str">
        <x:v>配方输入</x:v>
      </x:c>
      <x:c r="C352" s="38" t="str">
        <x:v>C06-REBIRTH-06</x:v>
      </x:c>
      <x:c r="D352" s="38" t="str">
        <x:v>C06</x:v>
      </x:c>
      <x:c r="E352" s="38" t="str">
        <x:v>EL-MAT-C06-RARE</x:v>
      </x:c>
      <x:c r="F352" s="38" t="str">
        <x:v>龙火鳞</x:v>
      </x:c>
      <x:c r="G352" s="38" t="str"/>
      <x:c r="H352" s="38" t="str">
        <x:v>稀有/证物材料</x:v>
      </x:c>
      <x:c r="I352" s="38" t="str">
        <x:v>稀有/证物材料</x:v>
      </x:c>
      <x:c r="J352" s="38" t="str">
        <x:v>净火腺囊＋龙火鳞＋红狮战印</x:v>
      </x:c>
      <x:c r="K352" s="38" t="str">
        <x:v>龙火鳞</x:v>
      </x:c>
      <x:c r="L352" s="38" t="str">
        <x:v>待经济反算</x:v>
      </x:c>
      <x:c r="M352" s="38" t="str">
        <x:v>待经济反算</x:v>
      </x:c>
      <x:c r="N352" s="38" t="str">
        <x:v>是</x:v>
      </x:c>
      <x:c r="O352" s="38" t="str">
        <x:v>否</x:v>
      </x:c>
      <x:c r="P352" s="38" t="str">
        <x:v>否</x:v>
      </x:c>
      <x:c r="Q352" s="38" t="str">
        <x:v>是</x:v>
      </x:c>
      <x:c r="R352" s="38" t="str">
        <x:v>是</x:v>
      </x:c>
      <x:c r="S352" s="38" t="str">
        <x:v>可交易</x:v>
      </x:c>
      <x:c r="T352" s="38" t="str">
        <x:v>不作为自动回收主材</x:v>
      </x:c>
      <x:c r="U352" s="38" t="str">
        <x:v>产出实物默认不绑定，按现行材料脚本</x:v>
      </x:c>
      <x:c r="V352" s="38" t="str">
        <x:v>结构已确认；数量待经济反算</x:v>
      </x:c>
      <x:c r="W352" s="39" t="str"/>
    </x:row>
    <x:row r="353" ht="42" customHeight="1">
      <x:c r="A353" s="37" t="str">
        <x:v>CON-C06-REBIRTH-06-0349</x:v>
      </x:c>
      <x:c r="B353" s="38" t="str">
        <x:v>配方输入</x:v>
      </x:c>
      <x:c r="C353" s="38" t="str">
        <x:v>C06-REBIRTH-06</x:v>
      </x:c>
      <x:c r="D353" s="38" t="str">
        <x:v>C06</x:v>
      </x:c>
      <x:c r="E353" s="38" t="str">
        <x:v>EL-MAT-C06-MARK</x:v>
      </x:c>
      <x:c r="F353" s="38" t="str">
        <x:v>红狮战印</x:v>
      </x:c>
      <x:c r="G353" s="38" t="str"/>
      <x:c r="H353" s="38" t="str">
        <x:v>稀有/证物材料</x:v>
      </x:c>
      <x:c r="I353" s="38" t="str">
        <x:v>稀有/证物材料</x:v>
      </x:c>
      <x:c r="J353" s="38" t="str">
        <x:v>净火腺囊＋龙火鳞＋红狮战印</x:v>
      </x:c>
      <x:c r="K353" s="38" t="str">
        <x:v>红狮战印</x:v>
      </x:c>
      <x:c r="L353" s="38" t="str">
        <x:v>待经济反算</x:v>
      </x:c>
      <x:c r="M353" s="38" t="str">
        <x:v>待经济反算</x:v>
      </x:c>
      <x:c r="N353" s="38" t="str">
        <x:v>是</x:v>
      </x:c>
      <x:c r="O353" s="38" t="str">
        <x:v>否</x:v>
      </x:c>
      <x:c r="P353" s="38" t="str">
        <x:v>否</x:v>
      </x:c>
      <x:c r="Q353" s="38" t="str">
        <x:v>是</x:v>
      </x:c>
      <x:c r="R353" s="38" t="str">
        <x:v>是</x:v>
      </x:c>
      <x:c r="S353" s="38" t="str">
        <x:v>可交易</x:v>
      </x:c>
      <x:c r="T353" s="38" t="str">
        <x:v>不作为自动回收主材</x:v>
      </x:c>
      <x:c r="U353" s="38" t="str">
        <x:v>产出实物默认不绑定，按现行材料脚本</x:v>
      </x:c>
      <x:c r="V353" s="38" t="str">
        <x:v>结构已确认；数量待经济反算</x:v>
      </x:c>
      <x:c r="W353" s="39" t="str"/>
    </x:row>
    <x:row r="354" ht="42" customHeight="1">
      <x:c r="A354" s="37" t="str">
        <x:v>CON-C06-REBIRTH-06-0350</x:v>
      </x:c>
      <x:c r="B354" s="38" t="str">
        <x:v>配方输入</x:v>
      </x:c>
      <x:c r="C354" s="38" t="str">
        <x:v>C06-REBIRTH-06</x:v>
      </x:c>
      <x:c r="D354" s="38" t="str">
        <x:v>C06</x:v>
      </x:c>
      <x:c r="E354" s="38"/>
      <x:c r="F354" s="38" t="str">
        <x:v>小卢恩／大卢恩</x:v>
      </x:c>
      <x:c r="G354" s="38" t="str">
        <x:v>CUR-SMALL-RUNE、CUR-LARGE-RUNE</x:v>
      </x:c>
      <x:c r="H354" s="38" t="str">
        <x:v>全局材料</x:v>
      </x:c>
      <x:c r="I354" s="38" t="str">
        <x:v>全局材料</x:v>
      </x:c>
      <x:c r="J354" s="38" t="str">
        <x:v>小卢恩／大卢恩</x:v>
      </x:c>
      <x:c r="K354" s="38" t="str">
        <x:v>小卢恩／大卢恩</x:v>
      </x:c>
      <x:c r="L354" s="38" t="str">
        <x:v>待经济反算</x:v>
      </x:c>
      <x:c r="M354" s="38" t="str">
        <x:v>待经济反算</x:v>
      </x:c>
      <x:c r="N354" s="38" t="str">
        <x:v>是</x:v>
      </x:c>
      <x:c r="O354" s="38" t="str">
        <x:v>否</x:v>
      </x:c>
      <x:c r="P354" s="38" t="str">
        <x:v>是</x:v>
      </x:c>
      <x:c r="Q354" s="38" t="str">
        <x:v>是</x:v>
      </x:c>
      <x:c r="R354" s="38" t="str">
        <x:v>是</x:v>
      </x:c>
      <x:c r="S354" s="38" t="str">
        <x:v>需人工语义确认</x:v>
      </x:c>
      <x:c r="T354" s="38" t="str">
        <x:v>需人工语义确认</x:v>
      </x:c>
      <x:c r="U354" s="38" t="str">
        <x:v>角色绑定</x:v>
      </x:c>
      <x:c r="V354" s="38" t="str">
        <x:v>需人工语义确认；不得按同时消耗自动拆分</x:v>
      </x:c>
      <x:c r="W354" s="39" t="str"/>
    </x:row>
    <x:row r="355" ht="42" customHeight="1">
      <x:c r="A355" s="37" t="str">
        <x:v>CON-C06-REBIRTH-06-0351</x:v>
      </x:c>
      <x:c r="B355" s="38" t="str">
        <x:v>配方输入</x:v>
      </x:c>
      <x:c r="C355" s="38" t="str">
        <x:v>C06-REBIRTH-06</x:v>
      </x:c>
      <x:c r="D355" s="38" t="str">
        <x:v>C06</x:v>
      </x:c>
      <x:c r="E355" s="38" t="str">
        <x:v>CUR-GOLD</x:v>
      </x:c>
      <x:c r="F355" s="38" t="str">
        <x:v>金币</x:v>
      </x:c>
      <x:c r="G355" s="38" t="str"/>
      <x:c r="H355" s="38" t="str">
        <x:v>金币/元宝/灵符</x:v>
      </x:c>
      <x:c r="I355" s="38" t="str">
        <x:v>货币</x:v>
      </x:c>
      <x:c r="J355" s="38" t="str">
        <x:v>金币</x:v>
      </x:c>
      <x:c r="K355" s="38" t="str">
        <x:v>金币</x:v>
      </x:c>
      <x:c r="L355" s="38" t="str">
        <x:v>待经济反算</x:v>
      </x:c>
      <x:c r="M355" s="38" t="str">
        <x:v>待经济反算</x:v>
      </x:c>
      <x:c r="N355" s="38" t="str">
        <x:v>是</x:v>
      </x:c>
      <x:c r="O355" s="38" t="str">
        <x:v>否</x:v>
      </x:c>
      <x:c r="P355" s="38" t="str">
        <x:v>否</x:v>
      </x:c>
      <x:c r="Q355" s="38" t="str">
        <x:v>是</x:v>
      </x:c>
      <x:c r="R355" s="38" t="str">
        <x:v>是</x:v>
      </x:c>
      <x:c r="S355" s="38" t="str">
        <x:v>不进入玩家摆摊；通过交易物间接流通</x:v>
      </x:c>
      <x:c r="T355" s="38" t="str">
        <x:v>货币本身不可回收</x:v>
      </x:c>
      <x:c r="U355" s="38" t="str">
        <x:v>沿用现行货币账户</x:v>
      </x:c>
      <x:c r="V355" s="38" t="str">
        <x:v>结构已确认；数量待经济反算</x:v>
      </x:c>
      <x:c r="W355" s="39" t="str"/>
    </x:row>
    <x:row r="356" ht="42" customHeight="1">
      <x:c r="A356" s="37" t="str">
        <x:v>CON-C06-REBIRTH-07-0352</x:v>
      </x:c>
      <x:c r="B356" s="38" t="str">
        <x:v>配方输入</x:v>
      </x:c>
      <x:c r="C356" s="38" t="str">
        <x:v>C06-REBIRTH-07</x:v>
      </x:c>
      <x:c r="D356" s="38" t="str">
        <x:v>C06</x:v>
      </x:c>
      <x:c r="E356" s="38" t="str">
        <x:v>REQ-24A7867ADA3D</x:v>
      </x:c>
      <x:c r="F356" s="38" t="str">
        <x:v>第6转</x:v>
      </x:c>
      <x:c r="G356" s="38" t="str"/>
      <x:c r="H356" s="38" t="str">
        <x:v>基础件/前置</x:v>
      </x:c>
      <x:c r="I356" s="38" t="str">
        <x:v>基础件/前置</x:v>
      </x:c>
      <x:c r="J356" s="38" t="str">
        <x:v>第6转</x:v>
      </x:c>
      <x:c r="K356" s="38" t="str">
        <x:v>第6转</x:v>
      </x:c>
      <x:c r="L356" s="38" t="str">
        <x:v>待经济反算</x:v>
      </x:c>
      <x:c r="M356" s="38" t="str">
        <x:v>待经济反算</x:v>
      </x:c>
      <x:c r="N356" s="38" t="str">
        <x:v>否</x:v>
      </x:c>
      <x:c r="O356" s="38" t="str">
        <x:v>是</x:v>
      </x:c>
      <x:c r="P356" s="38" t="str">
        <x:v>否</x:v>
      </x:c>
      <x:c r="Q356" s="38" t="str">
        <x:v>是</x:v>
      </x:c>
      <x:c r="R356" s="38" t="str">
        <x:v>是</x:v>
      </x:c>
      <x:c r="S356" s="38" t="str">
        <x:v>不可交易</x:v>
      </x:c>
      <x:c r="T356" s="38" t="str">
        <x:v>不适用</x:v>
      </x:c>
      <x:c r="U356" s="38" t="str">
        <x:v>角色状态</x:v>
      </x:c>
      <x:c r="V356" s="38" t="str">
        <x:v>结构已确认；数量待经济反算</x:v>
      </x:c>
      <x:c r="W356" s="39" t="str"/>
    </x:row>
    <x:row r="357" ht="42" customHeight="1">
      <x:c r="A357" s="37" t="str">
        <x:v>CON-C06-REBIRTH-07-0353</x:v>
      </x:c>
      <x:c r="B357" s="38" t="str">
        <x:v>配方输入</x:v>
      </x:c>
      <x:c r="C357" s="38" t="str">
        <x:v>C06-REBIRTH-07</x:v>
      </x:c>
      <x:c r="D357" s="38" t="str">
        <x:v>C06</x:v>
      </x:c>
      <x:c r="E357" s="38" t="str">
        <x:v>EL-MAT-C06-COM</x:v>
      </x:c>
      <x:c r="F357" s="38" t="str">
        <x:v>猩红矿渣</x:v>
      </x:c>
      <x:c r="G357" s="38" t="str"/>
      <x:c r="H357" s="38" t="str">
        <x:v>高产通用材料</x:v>
      </x:c>
      <x:c r="I357" s="38" t="str">
        <x:v>高产通用材料</x:v>
      </x:c>
      <x:c r="J357" s="38" t="str">
        <x:v>猩红矿渣</x:v>
      </x:c>
      <x:c r="K357" s="38" t="str">
        <x:v>猩红矿渣</x:v>
      </x:c>
      <x:c r="L357" s="38" t="str">
        <x:v>待经济反算</x:v>
      </x:c>
      <x:c r="M357" s="38" t="str">
        <x:v>待经济反算</x:v>
      </x:c>
      <x:c r="N357" s="38" t="str">
        <x:v>是</x:v>
      </x:c>
      <x:c r="O357" s="38" t="str">
        <x:v>否</x:v>
      </x:c>
      <x:c r="P357" s="38" t="str">
        <x:v>否</x:v>
      </x:c>
      <x:c r="Q357" s="38" t="str">
        <x:v>是</x:v>
      </x:c>
      <x:c r="R357" s="38" t="str">
        <x:v>是</x:v>
      </x:c>
      <x:c r="S357" s="38" t="str">
        <x:v>可交易</x:v>
      </x:c>
      <x:c r="T357" s="38" t="str">
        <x:v>R6档金币／元宝主回收口</x:v>
      </x:c>
      <x:c r="U357" s="38" t="str">
        <x:v>产出实物默认不绑定，按现行材料脚本</x:v>
      </x:c>
      <x:c r="V357" s="38" t="str">
        <x:v>结构已确认；数量待经济反算</x:v>
      </x:c>
      <x:c r="W357" s="39" t="str"/>
    </x:row>
    <x:row r="358" ht="42" customHeight="1">
      <x:c r="A358" s="37" t="str">
        <x:v>CON-C06-REBIRTH-07-0354</x:v>
      </x:c>
      <x:c r="B358" s="38" t="str">
        <x:v>配方输入</x:v>
      </x:c>
      <x:c r="C358" s="38" t="str">
        <x:v>C06-REBIRTH-07</x:v>
      </x:c>
      <x:c r="D358" s="38" t="str">
        <x:v>C06</x:v>
      </x:c>
      <x:c r="E358" s="38" t="str">
        <x:v>EL-MAT-C06-Q02</x:v>
      </x:c>
      <x:c r="F358" s="38" t="str">
        <x:v>净火腺囊</x:v>
      </x:c>
      <x:c r="G358" s="38" t="str"/>
      <x:c r="H358" s="38" t="str">
        <x:v>稀有/证物材料</x:v>
      </x:c>
      <x:c r="I358" s="38" t="str">
        <x:v>稀有/证物材料</x:v>
      </x:c>
      <x:c r="J358" s="38" t="str">
        <x:v>净火腺囊＋龙火鳞＋红狮战印</x:v>
      </x:c>
      <x:c r="K358" s="38" t="str">
        <x:v>净火腺囊</x:v>
      </x:c>
      <x:c r="L358" s="38" t="str">
        <x:v>待经济反算</x:v>
      </x:c>
      <x:c r="M358" s="38" t="str">
        <x:v>待经济反算</x:v>
      </x:c>
      <x:c r="N358" s="38" t="str">
        <x:v>是</x:v>
      </x:c>
      <x:c r="O358" s="38" t="str">
        <x:v>否</x:v>
      </x:c>
      <x:c r="P358" s="38" t="str">
        <x:v>否</x:v>
      </x:c>
      <x:c r="Q358" s="38" t="str">
        <x:v>是</x:v>
      </x:c>
      <x:c r="R358" s="38" t="str">
        <x:v>是</x:v>
      </x:c>
      <x:c r="S358" s="38" t="str">
        <x:v>可交易</x:v>
      </x:c>
      <x:c r="T358" s="38" t="str">
        <x:v>不作为自动回收主材</x:v>
      </x:c>
      <x:c r="U358" s="38" t="str">
        <x:v>产出实物默认不绑定，按现行材料脚本</x:v>
      </x:c>
      <x:c r="V358" s="38" t="str">
        <x:v>结构已确认；数量待经济反算</x:v>
      </x:c>
      <x:c r="W358" s="39" t="str"/>
    </x:row>
    <x:row r="359" ht="42" customHeight="1">
      <x:c r="A359" s="37" t="str">
        <x:v>CON-C06-REBIRTH-07-0355</x:v>
      </x:c>
      <x:c r="B359" s="38" t="str">
        <x:v>配方输入</x:v>
      </x:c>
      <x:c r="C359" s="38" t="str">
        <x:v>C06-REBIRTH-07</x:v>
      </x:c>
      <x:c r="D359" s="38" t="str">
        <x:v>C06</x:v>
      </x:c>
      <x:c r="E359" s="38" t="str">
        <x:v>EL-MAT-C06-RARE</x:v>
      </x:c>
      <x:c r="F359" s="38" t="str">
        <x:v>龙火鳞</x:v>
      </x:c>
      <x:c r="G359" s="38" t="str"/>
      <x:c r="H359" s="38" t="str">
        <x:v>稀有/证物材料</x:v>
      </x:c>
      <x:c r="I359" s="38" t="str">
        <x:v>稀有/证物材料</x:v>
      </x:c>
      <x:c r="J359" s="38" t="str">
        <x:v>净火腺囊＋龙火鳞＋红狮战印</x:v>
      </x:c>
      <x:c r="K359" s="38" t="str">
        <x:v>龙火鳞</x:v>
      </x:c>
      <x:c r="L359" s="38" t="str">
        <x:v>待经济反算</x:v>
      </x:c>
      <x:c r="M359" s="38" t="str">
        <x:v>待经济反算</x:v>
      </x:c>
      <x:c r="N359" s="38" t="str">
        <x:v>是</x:v>
      </x:c>
      <x:c r="O359" s="38" t="str">
        <x:v>否</x:v>
      </x:c>
      <x:c r="P359" s="38" t="str">
        <x:v>否</x:v>
      </x:c>
      <x:c r="Q359" s="38" t="str">
        <x:v>是</x:v>
      </x:c>
      <x:c r="R359" s="38" t="str">
        <x:v>是</x:v>
      </x:c>
      <x:c r="S359" s="38" t="str">
        <x:v>可交易</x:v>
      </x:c>
      <x:c r="T359" s="38" t="str">
        <x:v>不作为自动回收主材</x:v>
      </x:c>
      <x:c r="U359" s="38" t="str">
        <x:v>产出实物默认不绑定，按现行材料脚本</x:v>
      </x:c>
      <x:c r="V359" s="38" t="str">
        <x:v>结构已确认；数量待经济反算</x:v>
      </x:c>
      <x:c r="W359" s="39" t="str"/>
    </x:row>
    <x:row r="360" ht="42" customHeight="1">
      <x:c r="A360" s="37" t="str">
        <x:v>CON-C06-REBIRTH-07-0356</x:v>
      </x:c>
      <x:c r="B360" s="38" t="str">
        <x:v>配方输入</x:v>
      </x:c>
      <x:c r="C360" s="38" t="str">
        <x:v>C06-REBIRTH-07</x:v>
      </x:c>
      <x:c r="D360" s="38" t="str">
        <x:v>C06</x:v>
      </x:c>
      <x:c r="E360" s="38" t="str">
        <x:v>EL-MAT-C06-MARK</x:v>
      </x:c>
      <x:c r="F360" s="38" t="str">
        <x:v>红狮战印</x:v>
      </x:c>
      <x:c r="G360" s="38" t="str"/>
      <x:c r="H360" s="38" t="str">
        <x:v>稀有/证物材料</x:v>
      </x:c>
      <x:c r="I360" s="38" t="str">
        <x:v>稀有/证物材料</x:v>
      </x:c>
      <x:c r="J360" s="38" t="str">
        <x:v>净火腺囊＋龙火鳞＋红狮战印</x:v>
      </x:c>
      <x:c r="K360" s="38" t="str">
        <x:v>红狮战印</x:v>
      </x:c>
      <x:c r="L360" s="38" t="str">
        <x:v>待经济反算</x:v>
      </x:c>
      <x:c r="M360" s="38" t="str">
        <x:v>待经济反算</x:v>
      </x:c>
      <x:c r="N360" s="38" t="str">
        <x:v>是</x:v>
      </x:c>
      <x:c r="O360" s="38" t="str">
        <x:v>否</x:v>
      </x:c>
      <x:c r="P360" s="38" t="str">
        <x:v>否</x:v>
      </x:c>
      <x:c r="Q360" s="38" t="str">
        <x:v>是</x:v>
      </x:c>
      <x:c r="R360" s="38" t="str">
        <x:v>是</x:v>
      </x:c>
      <x:c r="S360" s="38" t="str">
        <x:v>可交易</x:v>
      </x:c>
      <x:c r="T360" s="38" t="str">
        <x:v>不作为自动回收主材</x:v>
      </x:c>
      <x:c r="U360" s="38" t="str">
        <x:v>产出实物默认不绑定，按现行材料脚本</x:v>
      </x:c>
      <x:c r="V360" s="38" t="str">
        <x:v>结构已确认；数量待经济反算</x:v>
      </x:c>
      <x:c r="W360" s="39" t="str"/>
    </x:row>
    <x:row r="361" ht="42" customHeight="1">
      <x:c r="A361" s="37" t="str">
        <x:v>CON-C06-REBIRTH-07-0357</x:v>
      </x:c>
      <x:c r="B361" s="38" t="str">
        <x:v>配方输入</x:v>
      </x:c>
      <x:c r="C361" s="38" t="str">
        <x:v>C06-REBIRTH-07</x:v>
      </x:c>
      <x:c r="D361" s="38" t="str">
        <x:v>C06</x:v>
      </x:c>
      <x:c r="E361" s="38"/>
      <x:c r="F361" s="38" t="str">
        <x:v>小卢恩／大卢恩</x:v>
      </x:c>
      <x:c r="G361" s="38" t="str">
        <x:v>CUR-SMALL-RUNE、CUR-LARGE-RUNE</x:v>
      </x:c>
      <x:c r="H361" s="38" t="str">
        <x:v>全局材料</x:v>
      </x:c>
      <x:c r="I361" s="38" t="str">
        <x:v>全局材料</x:v>
      </x:c>
      <x:c r="J361" s="38" t="str">
        <x:v>小卢恩／大卢恩</x:v>
      </x:c>
      <x:c r="K361" s="38" t="str">
        <x:v>小卢恩／大卢恩</x:v>
      </x:c>
      <x:c r="L361" s="38" t="str">
        <x:v>待经济反算</x:v>
      </x:c>
      <x:c r="M361" s="38" t="str">
        <x:v>待经济反算</x:v>
      </x:c>
      <x:c r="N361" s="38" t="str">
        <x:v>是</x:v>
      </x:c>
      <x:c r="O361" s="38" t="str">
        <x:v>否</x:v>
      </x:c>
      <x:c r="P361" s="38" t="str">
        <x:v>是</x:v>
      </x:c>
      <x:c r="Q361" s="38" t="str">
        <x:v>是</x:v>
      </x:c>
      <x:c r="R361" s="38" t="str">
        <x:v>是</x:v>
      </x:c>
      <x:c r="S361" s="38" t="str">
        <x:v>需人工语义确认</x:v>
      </x:c>
      <x:c r="T361" s="38" t="str">
        <x:v>需人工语义确认</x:v>
      </x:c>
      <x:c r="U361" s="38" t="str">
        <x:v>角色绑定</x:v>
      </x:c>
      <x:c r="V361" s="38" t="str">
        <x:v>需人工语义确认；不得按同时消耗自动拆分</x:v>
      </x:c>
      <x:c r="W361" s="39" t="str"/>
    </x:row>
    <x:row r="362" ht="42" customHeight="1">
      <x:c r="A362" s="37" t="str">
        <x:v>CON-C06-REBIRTH-07-0358</x:v>
      </x:c>
      <x:c r="B362" s="38" t="str">
        <x:v>配方输入</x:v>
      </x:c>
      <x:c r="C362" s="38" t="str">
        <x:v>C06-REBIRTH-07</x:v>
      </x:c>
      <x:c r="D362" s="38" t="str">
        <x:v>C06</x:v>
      </x:c>
      <x:c r="E362" s="38" t="str">
        <x:v>CUR-GOLD</x:v>
      </x:c>
      <x:c r="F362" s="38" t="str">
        <x:v>金币</x:v>
      </x:c>
      <x:c r="G362" s="38" t="str"/>
      <x:c r="H362" s="38" t="str">
        <x:v>金币/元宝/灵符</x:v>
      </x:c>
      <x:c r="I362" s="38" t="str">
        <x:v>货币</x:v>
      </x:c>
      <x:c r="J362" s="38" t="str">
        <x:v>金币</x:v>
      </x:c>
      <x:c r="K362" s="38" t="str">
        <x:v>金币</x:v>
      </x:c>
      <x:c r="L362" s="38" t="str">
        <x:v>待经济反算</x:v>
      </x:c>
      <x:c r="M362" s="38" t="str">
        <x:v>待经济反算</x:v>
      </x:c>
      <x:c r="N362" s="38" t="str">
        <x:v>是</x:v>
      </x:c>
      <x:c r="O362" s="38" t="str">
        <x:v>否</x:v>
      </x:c>
      <x:c r="P362" s="38" t="str">
        <x:v>否</x:v>
      </x:c>
      <x:c r="Q362" s="38" t="str">
        <x:v>是</x:v>
      </x:c>
      <x:c r="R362" s="38" t="str">
        <x:v>是</x:v>
      </x:c>
      <x:c r="S362" s="38" t="str">
        <x:v>不进入玩家摆摊；通过交易物间接流通</x:v>
      </x:c>
      <x:c r="T362" s="38" t="str">
        <x:v>货币本身不可回收</x:v>
      </x:c>
      <x:c r="U362" s="38" t="str">
        <x:v>沿用现行货币账户</x:v>
      </x:c>
      <x:c r="V362" s="38" t="str">
        <x:v>结构已确认；数量待经济反算</x:v>
      </x:c>
      <x:c r="W362" s="39" t="str"/>
    </x:row>
    <x:row r="363" ht="42" customHeight="1">
      <x:c r="A363" s="37" t="str">
        <x:v>CON-C06-REBIRTH-08-0359</x:v>
      </x:c>
      <x:c r="B363" s="38" t="str">
        <x:v>配方输入</x:v>
      </x:c>
      <x:c r="C363" s="38" t="str">
        <x:v>C06-REBIRTH-08</x:v>
      </x:c>
      <x:c r="D363" s="38" t="str">
        <x:v>C06</x:v>
      </x:c>
      <x:c r="E363" s="38" t="str">
        <x:v>REQ-55F7A0ACF1E6</x:v>
      </x:c>
      <x:c r="F363" s="38" t="str">
        <x:v>第7转</x:v>
      </x:c>
      <x:c r="G363" s="38" t="str"/>
      <x:c r="H363" s="38" t="str">
        <x:v>基础件/前置</x:v>
      </x:c>
      <x:c r="I363" s="38" t="str">
        <x:v>基础件/前置</x:v>
      </x:c>
      <x:c r="J363" s="38" t="str">
        <x:v>第7转</x:v>
      </x:c>
      <x:c r="K363" s="38" t="str">
        <x:v>第7转</x:v>
      </x:c>
      <x:c r="L363" s="38" t="str">
        <x:v>待经济反算</x:v>
      </x:c>
      <x:c r="M363" s="38" t="str">
        <x:v>待经济反算</x:v>
      </x:c>
      <x:c r="N363" s="38" t="str">
        <x:v>否</x:v>
      </x:c>
      <x:c r="O363" s="38" t="str">
        <x:v>是</x:v>
      </x:c>
      <x:c r="P363" s="38" t="str">
        <x:v>否</x:v>
      </x:c>
      <x:c r="Q363" s="38" t="str">
        <x:v>是</x:v>
      </x:c>
      <x:c r="R363" s="38" t="str">
        <x:v>是</x:v>
      </x:c>
      <x:c r="S363" s="38" t="str">
        <x:v>不可交易</x:v>
      </x:c>
      <x:c r="T363" s="38" t="str">
        <x:v>不适用</x:v>
      </x:c>
      <x:c r="U363" s="38" t="str">
        <x:v>角色状态</x:v>
      </x:c>
      <x:c r="V363" s="38" t="str">
        <x:v>结构已确认；数量待经济反算</x:v>
      </x:c>
      <x:c r="W363" s="39" t="str"/>
    </x:row>
    <x:row r="364" ht="42" customHeight="1">
      <x:c r="A364" s="37" t="str">
        <x:v>CON-C06-REBIRTH-08-0360</x:v>
      </x:c>
      <x:c r="B364" s="38" t="str">
        <x:v>配方输入</x:v>
      </x:c>
      <x:c r="C364" s="38" t="str">
        <x:v>C06-REBIRTH-08</x:v>
      </x:c>
      <x:c r="D364" s="38" t="str">
        <x:v>C06</x:v>
      </x:c>
      <x:c r="E364" s="38" t="str">
        <x:v>EL-MAT-C06-COM</x:v>
      </x:c>
      <x:c r="F364" s="38" t="str">
        <x:v>猩红矿渣</x:v>
      </x:c>
      <x:c r="G364" s="38" t="str"/>
      <x:c r="H364" s="38" t="str">
        <x:v>高产通用材料</x:v>
      </x:c>
      <x:c r="I364" s="38" t="str">
        <x:v>高产通用材料</x:v>
      </x:c>
      <x:c r="J364" s="38" t="str">
        <x:v>猩红矿渣</x:v>
      </x:c>
      <x:c r="K364" s="38" t="str">
        <x:v>猩红矿渣</x:v>
      </x:c>
      <x:c r="L364" s="38" t="str">
        <x:v>待经济反算</x:v>
      </x:c>
      <x:c r="M364" s="38" t="str">
        <x:v>待经济反算</x:v>
      </x:c>
      <x:c r="N364" s="38" t="str">
        <x:v>是</x:v>
      </x:c>
      <x:c r="O364" s="38" t="str">
        <x:v>否</x:v>
      </x:c>
      <x:c r="P364" s="38" t="str">
        <x:v>否</x:v>
      </x:c>
      <x:c r="Q364" s="38" t="str">
        <x:v>是</x:v>
      </x:c>
      <x:c r="R364" s="38" t="str">
        <x:v>是</x:v>
      </x:c>
      <x:c r="S364" s="38" t="str">
        <x:v>可交易</x:v>
      </x:c>
      <x:c r="T364" s="38" t="str">
        <x:v>R6档金币／元宝主回收口</x:v>
      </x:c>
      <x:c r="U364" s="38" t="str">
        <x:v>产出实物默认不绑定，按现行材料脚本</x:v>
      </x:c>
      <x:c r="V364" s="38" t="str">
        <x:v>结构已确认；数量待经济反算</x:v>
      </x:c>
      <x:c r="W364" s="39" t="str"/>
    </x:row>
    <x:row r="365" ht="42" customHeight="1">
      <x:c r="A365" s="37" t="str">
        <x:v>CON-C06-REBIRTH-08-0361</x:v>
      </x:c>
      <x:c r="B365" s="38" t="str">
        <x:v>配方输入</x:v>
      </x:c>
      <x:c r="C365" s="38" t="str">
        <x:v>C06-REBIRTH-08</x:v>
      </x:c>
      <x:c r="D365" s="38" t="str">
        <x:v>C06</x:v>
      </x:c>
      <x:c r="E365" s="38" t="str">
        <x:v>EL-MAT-C06-Q02</x:v>
      </x:c>
      <x:c r="F365" s="38" t="str">
        <x:v>净火腺囊</x:v>
      </x:c>
      <x:c r="G365" s="38" t="str"/>
      <x:c r="H365" s="38" t="str">
        <x:v>稀有/证物材料</x:v>
      </x:c>
      <x:c r="I365" s="38" t="str">
        <x:v>稀有/证物材料</x:v>
      </x:c>
      <x:c r="J365" s="38" t="str">
        <x:v>净火腺囊＋龙火鳞＋红狮战印</x:v>
      </x:c>
      <x:c r="K365" s="38" t="str">
        <x:v>净火腺囊</x:v>
      </x:c>
      <x:c r="L365" s="38" t="str">
        <x:v>待经济反算</x:v>
      </x:c>
      <x:c r="M365" s="38" t="str">
        <x:v>待经济反算</x:v>
      </x:c>
      <x:c r="N365" s="38" t="str">
        <x:v>是</x:v>
      </x:c>
      <x:c r="O365" s="38" t="str">
        <x:v>否</x:v>
      </x:c>
      <x:c r="P365" s="38" t="str">
        <x:v>否</x:v>
      </x:c>
      <x:c r="Q365" s="38" t="str">
        <x:v>是</x:v>
      </x:c>
      <x:c r="R365" s="38" t="str">
        <x:v>是</x:v>
      </x:c>
      <x:c r="S365" s="38" t="str">
        <x:v>可交易</x:v>
      </x:c>
      <x:c r="T365" s="38" t="str">
        <x:v>不作为自动回收主材</x:v>
      </x:c>
      <x:c r="U365" s="38" t="str">
        <x:v>产出实物默认不绑定，按现行材料脚本</x:v>
      </x:c>
      <x:c r="V365" s="38" t="str">
        <x:v>结构已确认；数量待经济反算</x:v>
      </x:c>
      <x:c r="W365" s="39" t="str"/>
    </x:row>
    <x:row r="366" ht="42" customHeight="1">
      <x:c r="A366" s="37" t="str">
        <x:v>CON-C06-REBIRTH-08-0362</x:v>
      </x:c>
      <x:c r="B366" s="38" t="str">
        <x:v>配方输入</x:v>
      </x:c>
      <x:c r="C366" s="38" t="str">
        <x:v>C06-REBIRTH-08</x:v>
      </x:c>
      <x:c r="D366" s="38" t="str">
        <x:v>C06</x:v>
      </x:c>
      <x:c r="E366" s="38" t="str">
        <x:v>EL-MAT-C06-RARE</x:v>
      </x:c>
      <x:c r="F366" s="38" t="str">
        <x:v>龙火鳞</x:v>
      </x:c>
      <x:c r="G366" s="38" t="str"/>
      <x:c r="H366" s="38" t="str">
        <x:v>稀有/证物材料</x:v>
      </x:c>
      <x:c r="I366" s="38" t="str">
        <x:v>稀有/证物材料</x:v>
      </x:c>
      <x:c r="J366" s="38" t="str">
        <x:v>净火腺囊＋龙火鳞＋红狮战印</x:v>
      </x:c>
      <x:c r="K366" s="38" t="str">
        <x:v>龙火鳞</x:v>
      </x:c>
      <x:c r="L366" s="38" t="str">
        <x:v>待经济反算</x:v>
      </x:c>
      <x:c r="M366" s="38" t="str">
        <x:v>待经济反算</x:v>
      </x:c>
      <x:c r="N366" s="38" t="str">
        <x:v>是</x:v>
      </x:c>
      <x:c r="O366" s="38" t="str">
        <x:v>否</x:v>
      </x:c>
      <x:c r="P366" s="38" t="str">
        <x:v>否</x:v>
      </x:c>
      <x:c r="Q366" s="38" t="str">
        <x:v>是</x:v>
      </x:c>
      <x:c r="R366" s="38" t="str">
        <x:v>是</x:v>
      </x:c>
      <x:c r="S366" s="38" t="str">
        <x:v>可交易</x:v>
      </x:c>
      <x:c r="T366" s="38" t="str">
        <x:v>不作为自动回收主材</x:v>
      </x:c>
      <x:c r="U366" s="38" t="str">
        <x:v>产出实物默认不绑定，按现行材料脚本</x:v>
      </x:c>
      <x:c r="V366" s="38" t="str">
        <x:v>结构已确认；数量待经济反算</x:v>
      </x:c>
      <x:c r="W366" s="39" t="str"/>
    </x:row>
    <x:row r="367" ht="42" customHeight="1">
      <x:c r="A367" s="37" t="str">
        <x:v>CON-C06-REBIRTH-08-0363</x:v>
      </x:c>
      <x:c r="B367" s="38" t="str">
        <x:v>配方输入</x:v>
      </x:c>
      <x:c r="C367" s="38" t="str">
        <x:v>C06-REBIRTH-08</x:v>
      </x:c>
      <x:c r="D367" s="38" t="str">
        <x:v>C06</x:v>
      </x:c>
      <x:c r="E367" s="38" t="str">
        <x:v>EL-MAT-C06-MARK</x:v>
      </x:c>
      <x:c r="F367" s="38" t="str">
        <x:v>红狮战印</x:v>
      </x:c>
      <x:c r="G367" s="38" t="str"/>
      <x:c r="H367" s="38" t="str">
        <x:v>稀有/证物材料</x:v>
      </x:c>
      <x:c r="I367" s="38" t="str">
        <x:v>稀有/证物材料</x:v>
      </x:c>
      <x:c r="J367" s="38" t="str">
        <x:v>净火腺囊＋龙火鳞＋红狮战印</x:v>
      </x:c>
      <x:c r="K367" s="38" t="str">
        <x:v>红狮战印</x:v>
      </x:c>
      <x:c r="L367" s="38" t="str">
        <x:v>待经济反算</x:v>
      </x:c>
      <x:c r="M367" s="38" t="str">
        <x:v>待经济反算</x:v>
      </x:c>
      <x:c r="N367" s="38" t="str">
        <x:v>是</x:v>
      </x:c>
      <x:c r="O367" s="38" t="str">
        <x:v>否</x:v>
      </x:c>
      <x:c r="P367" s="38" t="str">
        <x:v>否</x:v>
      </x:c>
      <x:c r="Q367" s="38" t="str">
        <x:v>是</x:v>
      </x:c>
      <x:c r="R367" s="38" t="str">
        <x:v>是</x:v>
      </x:c>
      <x:c r="S367" s="38" t="str">
        <x:v>可交易</x:v>
      </x:c>
      <x:c r="T367" s="38" t="str">
        <x:v>不作为自动回收主材</x:v>
      </x:c>
      <x:c r="U367" s="38" t="str">
        <x:v>产出实物默认不绑定，按现行材料脚本</x:v>
      </x:c>
      <x:c r="V367" s="38" t="str">
        <x:v>结构已确认；数量待经济反算</x:v>
      </x:c>
      <x:c r="W367" s="39" t="str"/>
    </x:row>
    <x:row r="368" ht="42" customHeight="1">
      <x:c r="A368" s="37" t="str">
        <x:v>CON-C06-REBIRTH-08-0364</x:v>
      </x:c>
      <x:c r="B368" s="38" t="str">
        <x:v>配方输入</x:v>
      </x:c>
      <x:c r="C368" s="38" t="str">
        <x:v>C06-REBIRTH-08</x:v>
      </x:c>
      <x:c r="D368" s="38" t="str">
        <x:v>C06</x:v>
      </x:c>
      <x:c r="E368" s="38"/>
      <x:c r="F368" s="38" t="str">
        <x:v>小卢恩／大卢恩</x:v>
      </x:c>
      <x:c r="G368" s="38" t="str">
        <x:v>CUR-SMALL-RUNE、CUR-LARGE-RUNE</x:v>
      </x:c>
      <x:c r="H368" s="38" t="str">
        <x:v>全局材料</x:v>
      </x:c>
      <x:c r="I368" s="38" t="str">
        <x:v>全局材料</x:v>
      </x:c>
      <x:c r="J368" s="38" t="str">
        <x:v>小卢恩／大卢恩</x:v>
      </x:c>
      <x:c r="K368" s="38" t="str">
        <x:v>小卢恩／大卢恩</x:v>
      </x:c>
      <x:c r="L368" s="38" t="str">
        <x:v>待经济反算</x:v>
      </x:c>
      <x:c r="M368" s="38" t="str">
        <x:v>待经济反算</x:v>
      </x:c>
      <x:c r="N368" s="38" t="str">
        <x:v>是</x:v>
      </x:c>
      <x:c r="O368" s="38" t="str">
        <x:v>否</x:v>
      </x:c>
      <x:c r="P368" s="38" t="str">
        <x:v>是</x:v>
      </x:c>
      <x:c r="Q368" s="38" t="str">
        <x:v>是</x:v>
      </x:c>
      <x:c r="R368" s="38" t="str">
        <x:v>是</x:v>
      </x:c>
      <x:c r="S368" s="38" t="str">
        <x:v>需人工语义确认</x:v>
      </x:c>
      <x:c r="T368" s="38" t="str">
        <x:v>需人工语义确认</x:v>
      </x:c>
      <x:c r="U368" s="38" t="str">
        <x:v>角色绑定</x:v>
      </x:c>
      <x:c r="V368" s="38" t="str">
        <x:v>需人工语义确认；不得按同时消耗自动拆分</x:v>
      </x:c>
      <x:c r="W368" s="39" t="str"/>
    </x:row>
    <x:row r="369" ht="42" customHeight="1">
      <x:c r="A369" s="37" t="str">
        <x:v>CON-C06-REBIRTH-08-0365</x:v>
      </x:c>
      <x:c r="B369" s="38" t="str">
        <x:v>配方输入</x:v>
      </x:c>
      <x:c r="C369" s="38" t="str">
        <x:v>C06-REBIRTH-08</x:v>
      </x:c>
      <x:c r="D369" s="38" t="str">
        <x:v>C06</x:v>
      </x:c>
      <x:c r="E369" s="38" t="str">
        <x:v>CUR-GOLD</x:v>
      </x:c>
      <x:c r="F369" s="38" t="str">
        <x:v>金币</x:v>
      </x:c>
      <x:c r="G369" s="38" t="str"/>
      <x:c r="H369" s="38" t="str">
        <x:v>金币/元宝/灵符</x:v>
      </x:c>
      <x:c r="I369" s="38" t="str">
        <x:v>货币</x:v>
      </x:c>
      <x:c r="J369" s="38" t="str">
        <x:v>金币</x:v>
      </x:c>
      <x:c r="K369" s="38" t="str">
        <x:v>金币</x:v>
      </x:c>
      <x:c r="L369" s="38" t="str">
        <x:v>待经济反算</x:v>
      </x:c>
      <x:c r="M369" s="38" t="str">
        <x:v>待经济反算</x:v>
      </x:c>
      <x:c r="N369" s="38" t="str">
        <x:v>是</x:v>
      </x:c>
      <x:c r="O369" s="38" t="str">
        <x:v>否</x:v>
      </x:c>
      <x:c r="P369" s="38" t="str">
        <x:v>否</x:v>
      </x:c>
      <x:c r="Q369" s="38" t="str">
        <x:v>是</x:v>
      </x:c>
      <x:c r="R369" s="38" t="str">
        <x:v>是</x:v>
      </x:c>
      <x:c r="S369" s="38" t="str">
        <x:v>不进入玩家摆摊；通过交易物间接流通</x:v>
      </x:c>
      <x:c r="T369" s="38" t="str">
        <x:v>货币本身不可回收</x:v>
      </x:c>
      <x:c r="U369" s="38" t="str">
        <x:v>沿用现行货币账户</x:v>
      </x:c>
      <x:c r="V369" s="38" t="str">
        <x:v>结构已确认；数量待经济反算</x:v>
      </x:c>
      <x:c r="W369" s="39" t="str"/>
    </x:row>
    <x:row r="370" ht="42" customHeight="1">
      <x:c r="A370" s="37" t="str">
        <x:v>CON-C06-REBIRTH-09-0366</x:v>
      </x:c>
      <x:c r="B370" s="38" t="str">
        <x:v>配方输入</x:v>
      </x:c>
      <x:c r="C370" s="38" t="str">
        <x:v>C06-REBIRTH-09</x:v>
      </x:c>
      <x:c r="D370" s="38" t="str">
        <x:v>C06</x:v>
      </x:c>
      <x:c r="E370" s="38" t="str">
        <x:v>REQ-86D4EC93D335</x:v>
      </x:c>
      <x:c r="F370" s="38" t="str">
        <x:v>第8转</x:v>
      </x:c>
      <x:c r="G370" s="38" t="str"/>
      <x:c r="H370" s="38" t="str">
        <x:v>基础件/前置</x:v>
      </x:c>
      <x:c r="I370" s="38" t="str">
        <x:v>基础件/前置</x:v>
      </x:c>
      <x:c r="J370" s="38" t="str">
        <x:v>第8转</x:v>
      </x:c>
      <x:c r="K370" s="38" t="str">
        <x:v>第8转</x:v>
      </x:c>
      <x:c r="L370" s="38" t="str">
        <x:v>待经济反算</x:v>
      </x:c>
      <x:c r="M370" s="38" t="str">
        <x:v>待经济反算</x:v>
      </x:c>
      <x:c r="N370" s="38" t="str">
        <x:v>否</x:v>
      </x:c>
      <x:c r="O370" s="38" t="str">
        <x:v>是</x:v>
      </x:c>
      <x:c r="P370" s="38" t="str">
        <x:v>否</x:v>
      </x:c>
      <x:c r="Q370" s="38" t="str">
        <x:v>是</x:v>
      </x:c>
      <x:c r="R370" s="38" t="str">
        <x:v>是</x:v>
      </x:c>
      <x:c r="S370" s="38" t="str">
        <x:v>不可交易</x:v>
      </x:c>
      <x:c r="T370" s="38" t="str">
        <x:v>不适用</x:v>
      </x:c>
      <x:c r="U370" s="38" t="str">
        <x:v>角色状态</x:v>
      </x:c>
      <x:c r="V370" s="38" t="str">
        <x:v>结构已确认；数量待经济反算</x:v>
      </x:c>
      <x:c r="W370" s="39" t="str"/>
    </x:row>
    <x:row r="371" ht="42" customHeight="1">
      <x:c r="A371" s="37" t="str">
        <x:v>CON-C06-REBIRTH-09-0367</x:v>
      </x:c>
      <x:c r="B371" s="38" t="str">
        <x:v>配方输入</x:v>
      </x:c>
      <x:c r="C371" s="38" t="str">
        <x:v>C06-REBIRTH-09</x:v>
      </x:c>
      <x:c r="D371" s="38" t="str">
        <x:v>C06</x:v>
      </x:c>
      <x:c r="E371" s="38" t="str">
        <x:v>EL-MAT-C06-COM</x:v>
      </x:c>
      <x:c r="F371" s="38" t="str">
        <x:v>猩红矿渣</x:v>
      </x:c>
      <x:c r="G371" s="38" t="str"/>
      <x:c r="H371" s="38" t="str">
        <x:v>高产通用材料</x:v>
      </x:c>
      <x:c r="I371" s="38" t="str">
        <x:v>高产通用材料</x:v>
      </x:c>
      <x:c r="J371" s="38" t="str">
        <x:v>猩红矿渣</x:v>
      </x:c>
      <x:c r="K371" s="38" t="str">
        <x:v>猩红矿渣</x:v>
      </x:c>
      <x:c r="L371" s="38" t="str">
        <x:v>待经济反算</x:v>
      </x:c>
      <x:c r="M371" s="38" t="str">
        <x:v>待经济反算</x:v>
      </x:c>
      <x:c r="N371" s="38" t="str">
        <x:v>是</x:v>
      </x:c>
      <x:c r="O371" s="38" t="str">
        <x:v>否</x:v>
      </x:c>
      <x:c r="P371" s="38" t="str">
        <x:v>否</x:v>
      </x:c>
      <x:c r="Q371" s="38" t="str">
        <x:v>是</x:v>
      </x:c>
      <x:c r="R371" s="38" t="str">
        <x:v>是</x:v>
      </x:c>
      <x:c r="S371" s="38" t="str">
        <x:v>可交易</x:v>
      </x:c>
      <x:c r="T371" s="38" t="str">
        <x:v>R6档金币／元宝主回收口</x:v>
      </x:c>
      <x:c r="U371" s="38" t="str">
        <x:v>产出实物默认不绑定，按现行材料脚本</x:v>
      </x:c>
      <x:c r="V371" s="38" t="str">
        <x:v>结构已确认；数量待经济反算</x:v>
      </x:c>
      <x:c r="W371" s="39" t="str"/>
    </x:row>
    <x:row r="372" ht="42" customHeight="1">
      <x:c r="A372" s="37" t="str">
        <x:v>CON-C06-REBIRTH-09-0368</x:v>
      </x:c>
      <x:c r="B372" s="38" t="str">
        <x:v>配方输入</x:v>
      </x:c>
      <x:c r="C372" s="38" t="str">
        <x:v>C06-REBIRTH-09</x:v>
      </x:c>
      <x:c r="D372" s="38" t="str">
        <x:v>C06</x:v>
      </x:c>
      <x:c r="E372" s="38" t="str">
        <x:v>EL-MAT-C06-Q02</x:v>
      </x:c>
      <x:c r="F372" s="38" t="str">
        <x:v>净火腺囊</x:v>
      </x:c>
      <x:c r="G372" s="38" t="str"/>
      <x:c r="H372" s="38" t="str">
        <x:v>稀有/证物材料</x:v>
      </x:c>
      <x:c r="I372" s="38" t="str">
        <x:v>稀有/证物材料</x:v>
      </x:c>
      <x:c r="J372" s="38" t="str">
        <x:v>净火腺囊＋龙火鳞＋红狮战印</x:v>
      </x:c>
      <x:c r="K372" s="38" t="str">
        <x:v>净火腺囊</x:v>
      </x:c>
      <x:c r="L372" s="38" t="str">
        <x:v>待经济反算</x:v>
      </x:c>
      <x:c r="M372" s="38" t="str">
        <x:v>待经济反算</x:v>
      </x:c>
      <x:c r="N372" s="38" t="str">
        <x:v>是</x:v>
      </x:c>
      <x:c r="O372" s="38" t="str">
        <x:v>否</x:v>
      </x:c>
      <x:c r="P372" s="38" t="str">
        <x:v>否</x:v>
      </x:c>
      <x:c r="Q372" s="38" t="str">
        <x:v>是</x:v>
      </x:c>
      <x:c r="R372" s="38" t="str">
        <x:v>是</x:v>
      </x:c>
      <x:c r="S372" s="38" t="str">
        <x:v>可交易</x:v>
      </x:c>
      <x:c r="T372" s="38" t="str">
        <x:v>不作为自动回收主材</x:v>
      </x:c>
      <x:c r="U372" s="38" t="str">
        <x:v>产出实物默认不绑定，按现行材料脚本</x:v>
      </x:c>
      <x:c r="V372" s="38" t="str">
        <x:v>结构已确认；数量待经济反算</x:v>
      </x:c>
      <x:c r="W372" s="39" t="str"/>
    </x:row>
    <x:row r="373" ht="42" customHeight="1">
      <x:c r="A373" s="37" t="str">
        <x:v>CON-C06-REBIRTH-09-0369</x:v>
      </x:c>
      <x:c r="B373" s="38" t="str">
        <x:v>配方输入</x:v>
      </x:c>
      <x:c r="C373" s="38" t="str">
        <x:v>C06-REBIRTH-09</x:v>
      </x:c>
      <x:c r="D373" s="38" t="str">
        <x:v>C06</x:v>
      </x:c>
      <x:c r="E373" s="38" t="str">
        <x:v>EL-MAT-C06-RARE</x:v>
      </x:c>
      <x:c r="F373" s="38" t="str">
        <x:v>龙火鳞</x:v>
      </x:c>
      <x:c r="G373" s="38" t="str"/>
      <x:c r="H373" s="38" t="str">
        <x:v>稀有/证物材料</x:v>
      </x:c>
      <x:c r="I373" s="38" t="str">
        <x:v>稀有/证物材料</x:v>
      </x:c>
      <x:c r="J373" s="38" t="str">
        <x:v>净火腺囊＋龙火鳞＋红狮战印</x:v>
      </x:c>
      <x:c r="K373" s="38" t="str">
        <x:v>龙火鳞</x:v>
      </x:c>
      <x:c r="L373" s="38" t="str">
        <x:v>待经济反算</x:v>
      </x:c>
      <x:c r="M373" s="38" t="str">
        <x:v>待经济反算</x:v>
      </x:c>
      <x:c r="N373" s="38" t="str">
        <x:v>是</x:v>
      </x:c>
      <x:c r="O373" s="38" t="str">
        <x:v>否</x:v>
      </x:c>
      <x:c r="P373" s="38" t="str">
        <x:v>否</x:v>
      </x:c>
      <x:c r="Q373" s="38" t="str">
        <x:v>是</x:v>
      </x:c>
      <x:c r="R373" s="38" t="str">
        <x:v>是</x:v>
      </x:c>
      <x:c r="S373" s="38" t="str">
        <x:v>可交易</x:v>
      </x:c>
      <x:c r="T373" s="38" t="str">
        <x:v>不作为自动回收主材</x:v>
      </x:c>
      <x:c r="U373" s="38" t="str">
        <x:v>产出实物默认不绑定，按现行材料脚本</x:v>
      </x:c>
      <x:c r="V373" s="38" t="str">
        <x:v>结构已确认；数量待经济反算</x:v>
      </x:c>
      <x:c r="W373" s="39" t="str"/>
    </x:row>
    <x:row r="374" ht="42" customHeight="1">
      <x:c r="A374" s="37" t="str">
        <x:v>CON-C06-REBIRTH-09-0370</x:v>
      </x:c>
      <x:c r="B374" s="38" t="str">
        <x:v>配方输入</x:v>
      </x:c>
      <x:c r="C374" s="38" t="str">
        <x:v>C06-REBIRTH-09</x:v>
      </x:c>
      <x:c r="D374" s="38" t="str">
        <x:v>C06</x:v>
      </x:c>
      <x:c r="E374" s="38" t="str">
        <x:v>EL-MAT-C06-MARK</x:v>
      </x:c>
      <x:c r="F374" s="38" t="str">
        <x:v>红狮战印</x:v>
      </x:c>
      <x:c r="G374" s="38" t="str"/>
      <x:c r="H374" s="38" t="str">
        <x:v>稀有/证物材料</x:v>
      </x:c>
      <x:c r="I374" s="38" t="str">
        <x:v>稀有/证物材料</x:v>
      </x:c>
      <x:c r="J374" s="38" t="str">
        <x:v>净火腺囊＋龙火鳞＋红狮战印</x:v>
      </x:c>
      <x:c r="K374" s="38" t="str">
        <x:v>红狮战印</x:v>
      </x:c>
      <x:c r="L374" s="38" t="str">
        <x:v>待经济反算</x:v>
      </x:c>
      <x:c r="M374" s="38" t="str">
        <x:v>待经济反算</x:v>
      </x:c>
      <x:c r="N374" s="38" t="str">
        <x:v>是</x:v>
      </x:c>
      <x:c r="O374" s="38" t="str">
        <x:v>否</x:v>
      </x:c>
      <x:c r="P374" s="38" t="str">
        <x:v>否</x:v>
      </x:c>
      <x:c r="Q374" s="38" t="str">
        <x:v>是</x:v>
      </x:c>
      <x:c r="R374" s="38" t="str">
        <x:v>是</x:v>
      </x:c>
      <x:c r="S374" s="38" t="str">
        <x:v>可交易</x:v>
      </x:c>
      <x:c r="T374" s="38" t="str">
        <x:v>不作为自动回收主材</x:v>
      </x:c>
      <x:c r="U374" s="38" t="str">
        <x:v>产出实物默认不绑定，按现行材料脚本</x:v>
      </x:c>
      <x:c r="V374" s="38" t="str">
        <x:v>结构已确认；数量待经济反算</x:v>
      </x:c>
      <x:c r="W374" s="39" t="str"/>
    </x:row>
    <x:row r="375" ht="42" customHeight="1">
      <x:c r="A375" s="37" t="str">
        <x:v>CON-C06-REBIRTH-09-0371</x:v>
      </x:c>
      <x:c r="B375" s="38" t="str">
        <x:v>配方输入</x:v>
      </x:c>
      <x:c r="C375" s="38" t="str">
        <x:v>C06-REBIRTH-09</x:v>
      </x:c>
      <x:c r="D375" s="38" t="str">
        <x:v>C06</x:v>
      </x:c>
      <x:c r="E375" s="38"/>
      <x:c r="F375" s="38" t="str">
        <x:v>小卢恩／大卢恩</x:v>
      </x:c>
      <x:c r="G375" s="38" t="str">
        <x:v>CUR-SMALL-RUNE、CUR-LARGE-RUNE</x:v>
      </x:c>
      <x:c r="H375" s="38" t="str">
        <x:v>全局材料</x:v>
      </x:c>
      <x:c r="I375" s="38" t="str">
        <x:v>全局材料</x:v>
      </x:c>
      <x:c r="J375" s="38" t="str">
        <x:v>小卢恩／大卢恩</x:v>
      </x:c>
      <x:c r="K375" s="38" t="str">
        <x:v>小卢恩／大卢恩</x:v>
      </x:c>
      <x:c r="L375" s="38" t="str">
        <x:v>待经济反算</x:v>
      </x:c>
      <x:c r="M375" s="38" t="str">
        <x:v>待经济反算</x:v>
      </x:c>
      <x:c r="N375" s="38" t="str">
        <x:v>是</x:v>
      </x:c>
      <x:c r="O375" s="38" t="str">
        <x:v>否</x:v>
      </x:c>
      <x:c r="P375" s="38" t="str">
        <x:v>是</x:v>
      </x:c>
      <x:c r="Q375" s="38" t="str">
        <x:v>是</x:v>
      </x:c>
      <x:c r="R375" s="38" t="str">
        <x:v>是</x:v>
      </x:c>
      <x:c r="S375" s="38" t="str">
        <x:v>需人工语义确认</x:v>
      </x:c>
      <x:c r="T375" s="38" t="str">
        <x:v>需人工语义确认</x:v>
      </x:c>
      <x:c r="U375" s="38" t="str">
        <x:v>角色绑定</x:v>
      </x:c>
      <x:c r="V375" s="38" t="str">
        <x:v>需人工语义确认；不得按同时消耗自动拆分</x:v>
      </x:c>
      <x:c r="W375" s="39" t="str"/>
    </x:row>
    <x:row r="376" ht="42" customHeight="1">
      <x:c r="A376" s="37" t="str">
        <x:v>CON-C06-REBIRTH-09-0372</x:v>
      </x:c>
      <x:c r="B376" s="38" t="str">
        <x:v>配方输入</x:v>
      </x:c>
      <x:c r="C376" s="38" t="str">
        <x:v>C06-REBIRTH-09</x:v>
      </x:c>
      <x:c r="D376" s="38" t="str">
        <x:v>C06</x:v>
      </x:c>
      <x:c r="E376" s="38" t="str">
        <x:v>CUR-GOLD</x:v>
      </x:c>
      <x:c r="F376" s="38" t="str">
        <x:v>金币</x:v>
      </x:c>
      <x:c r="G376" s="38" t="str"/>
      <x:c r="H376" s="38" t="str">
        <x:v>金币/元宝/灵符</x:v>
      </x:c>
      <x:c r="I376" s="38" t="str">
        <x:v>货币</x:v>
      </x:c>
      <x:c r="J376" s="38" t="str">
        <x:v>金币</x:v>
      </x:c>
      <x:c r="K376" s="38" t="str">
        <x:v>金币</x:v>
      </x:c>
      <x:c r="L376" s="38" t="str">
        <x:v>待经济反算</x:v>
      </x:c>
      <x:c r="M376" s="38" t="str">
        <x:v>待经济反算</x:v>
      </x:c>
      <x:c r="N376" s="38" t="str">
        <x:v>是</x:v>
      </x:c>
      <x:c r="O376" s="38" t="str">
        <x:v>否</x:v>
      </x:c>
      <x:c r="P376" s="38" t="str">
        <x:v>否</x:v>
      </x:c>
      <x:c r="Q376" s="38" t="str">
        <x:v>是</x:v>
      </x:c>
      <x:c r="R376" s="38" t="str">
        <x:v>是</x:v>
      </x:c>
      <x:c r="S376" s="38" t="str">
        <x:v>不进入玩家摆摊；通过交易物间接流通</x:v>
      </x:c>
      <x:c r="T376" s="38" t="str">
        <x:v>货币本身不可回收</x:v>
      </x:c>
      <x:c r="U376" s="38" t="str">
        <x:v>沿用现行货币账户</x:v>
      </x:c>
      <x:c r="V376" s="38" t="str">
        <x:v>结构已确认；数量待经济反算</x:v>
      </x:c>
      <x:c r="W376" s="39" t="str"/>
    </x:row>
    <x:row r="377" ht="42" customHeight="1">
      <x:c r="A377" s="37" t="str">
        <x:v>CON-C06-REBIRTH-10-0373</x:v>
      </x:c>
      <x:c r="B377" s="38" t="str">
        <x:v>配方输入</x:v>
      </x:c>
      <x:c r="C377" s="38" t="str">
        <x:v>C06-REBIRTH-10</x:v>
      </x:c>
      <x:c r="D377" s="38" t="str">
        <x:v>C06</x:v>
      </x:c>
      <x:c r="E377" s="38" t="str">
        <x:v>REQ-B4D88C4B2780</x:v>
      </x:c>
      <x:c r="F377" s="38" t="str">
        <x:v>第9转</x:v>
      </x:c>
      <x:c r="G377" s="38" t="str"/>
      <x:c r="H377" s="38" t="str">
        <x:v>基础件/前置</x:v>
      </x:c>
      <x:c r="I377" s="38" t="str">
        <x:v>基础件/前置</x:v>
      </x:c>
      <x:c r="J377" s="38" t="str">
        <x:v>第9转</x:v>
      </x:c>
      <x:c r="K377" s="38" t="str">
        <x:v>第9转</x:v>
      </x:c>
      <x:c r="L377" s="38" t="str">
        <x:v>待经济反算</x:v>
      </x:c>
      <x:c r="M377" s="38" t="str">
        <x:v>待经济反算</x:v>
      </x:c>
      <x:c r="N377" s="38" t="str">
        <x:v>否</x:v>
      </x:c>
      <x:c r="O377" s="38" t="str">
        <x:v>是</x:v>
      </x:c>
      <x:c r="P377" s="38" t="str">
        <x:v>否</x:v>
      </x:c>
      <x:c r="Q377" s="38" t="str">
        <x:v>是</x:v>
      </x:c>
      <x:c r="R377" s="38" t="str">
        <x:v>是</x:v>
      </x:c>
      <x:c r="S377" s="38" t="str">
        <x:v>不可交易</x:v>
      </x:c>
      <x:c r="T377" s="38" t="str">
        <x:v>不适用</x:v>
      </x:c>
      <x:c r="U377" s="38" t="str">
        <x:v>角色状态</x:v>
      </x:c>
      <x:c r="V377" s="38" t="str">
        <x:v>结构已确认；数量待经济反算</x:v>
      </x:c>
      <x:c r="W377" s="39" t="str"/>
    </x:row>
    <x:row r="378" ht="42" customHeight="1">
      <x:c r="A378" s="37" t="str">
        <x:v>CON-C06-REBIRTH-10-0374</x:v>
      </x:c>
      <x:c r="B378" s="38" t="str">
        <x:v>配方输入</x:v>
      </x:c>
      <x:c r="C378" s="38" t="str">
        <x:v>C06-REBIRTH-10</x:v>
      </x:c>
      <x:c r="D378" s="38" t="str">
        <x:v>C06</x:v>
      </x:c>
      <x:c r="E378" s="38" t="str">
        <x:v>EL-MAT-C06-COM</x:v>
      </x:c>
      <x:c r="F378" s="38" t="str">
        <x:v>猩红矿渣</x:v>
      </x:c>
      <x:c r="G378" s="38" t="str"/>
      <x:c r="H378" s="38" t="str">
        <x:v>高产通用材料</x:v>
      </x:c>
      <x:c r="I378" s="38" t="str">
        <x:v>高产通用材料</x:v>
      </x:c>
      <x:c r="J378" s="38" t="str">
        <x:v>猩红矿渣</x:v>
      </x:c>
      <x:c r="K378" s="38" t="str">
        <x:v>猩红矿渣</x:v>
      </x:c>
      <x:c r="L378" s="38" t="str">
        <x:v>待经济反算</x:v>
      </x:c>
      <x:c r="M378" s="38" t="str">
        <x:v>待经济反算</x:v>
      </x:c>
      <x:c r="N378" s="38" t="str">
        <x:v>是</x:v>
      </x:c>
      <x:c r="O378" s="38" t="str">
        <x:v>否</x:v>
      </x:c>
      <x:c r="P378" s="38" t="str">
        <x:v>否</x:v>
      </x:c>
      <x:c r="Q378" s="38" t="str">
        <x:v>是</x:v>
      </x:c>
      <x:c r="R378" s="38" t="str">
        <x:v>是</x:v>
      </x:c>
      <x:c r="S378" s="38" t="str">
        <x:v>可交易</x:v>
      </x:c>
      <x:c r="T378" s="38" t="str">
        <x:v>R6档金币／元宝主回收口</x:v>
      </x:c>
      <x:c r="U378" s="38" t="str">
        <x:v>产出实物默认不绑定，按现行材料脚本</x:v>
      </x:c>
      <x:c r="V378" s="38" t="str">
        <x:v>结构已确认；数量待经济反算</x:v>
      </x:c>
      <x:c r="W378" s="39" t="str"/>
    </x:row>
    <x:row r="379" ht="42" customHeight="1">
      <x:c r="A379" s="37" t="str">
        <x:v>CON-C06-REBIRTH-10-0375</x:v>
      </x:c>
      <x:c r="B379" s="38" t="str">
        <x:v>配方输入</x:v>
      </x:c>
      <x:c r="C379" s="38" t="str">
        <x:v>C06-REBIRTH-10</x:v>
      </x:c>
      <x:c r="D379" s="38" t="str">
        <x:v>C06</x:v>
      </x:c>
      <x:c r="E379" s="38" t="str">
        <x:v>EL-MAT-C06-Q02</x:v>
      </x:c>
      <x:c r="F379" s="38" t="str">
        <x:v>净火腺囊</x:v>
      </x:c>
      <x:c r="G379" s="38" t="str"/>
      <x:c r="H379" s="38" t="str">
        <x:v>稀有/证物材料</x:v>
      </x:c>
      <x:c r="I379" s="38" t="str">
        <x:v>稀有/证物材料</x:v>
      </x:c>
      <x:c r="J379" s="38" t="str">
        <x:v>净火腺囊＋龙火鳞＋红狮战印</x:v>
      </x:c>
      <x:c r="K379" s="38" t="str">
        <x:v>净火腺囊</x:v>
      </x:c>
      <x:c r="L379" s="38" t="str">
        <x:v>待经济反算</x:v>
      </x:c>
      <x:c r="M379" s="38" t="str">
        <x:v>待经济反算</x:v>
      </x:c>
      <x:c r="N379" s="38" t="str">
        <x:v>是</x:v>
      </x:c>
      <x:c r="O379" s="38" t="str">
        <x:v>否</x:v>
      </x:c>
      <x:c r="P379" s="38" t="str">
        <x:v>否</x:v>
      </x:c>
      <x:c r="Q379" s="38" t="str">
        <x:v>是</x:v>
      </x:c>
      <x:c r="R379" s="38" t="str">
        <x:v>是</x:v>
      </x:c>
      <x:c r="S379" s="38" t="str">
        <x:v>可交易</x:v>
      </x:c>
      <x:c r="T379" s="38" t="str">
        <x:v>不作为自动回收主材</x:v>
      </x:c>
      <x:c r="U379" s="38" t="str">
        <x:v>产出实物默认不绑定，按现行材料脚本</x:v>
      </x:c>
      <x:c r="V379" s="38" t="str">
        <x:v>结构已确认；数量待经济反算</x:v>
      </x:c>
      <x:c r="W379" s="39" t="str"/>
    </x:row>
    <x:row r="380" ht="42" customHeight="1">
      <x:c r="A380" s="37" t="str">
        <x:v>CON-C06-REBIRTH-10-0376</x:v>
      </x:c>
      <x:c r="B380" s="38" t="str">
        <x:v>配方输入</x:v>
      </x:c>
      <x:c r="C380" s="38" t="str">
        <x:v>C06-REBIRTH-10</x:v>
      </x:c>
      <x:c r="D380" s="38" t="str">
        <x:v>C06</x:v>
      </x:c>
      <x:c r="E380" s="38" t="str">
        <x:v>EL-MAT-C06-RARE</x:v>
      </x:c>
      <x:c r="F380" s="38" t="str">
        <x:v>龙火鳞</x:v>
      </x:c>
      <x:c r="G380" s="38" t="str"/>
      <x:c r="H380" s="38" t="str">
        <x:v>稀有/证物材料</x:v>
      </x:c>
      <x:c r="I380" s="38" t="str">
        <x:v>稀有/证物材料</x:v>
      </x:c>
      <x:c r="J380" s="38" t="str">
        <x:v>净火腺囊＋龙火鳞＋红狮战印</x:v>
      </x:c>
      <x:c r="K380" s="38" t="str">
        <x:v>龙火鳞</x:v>
      </x:c>
      <x:c r="L380" s="38" t="str">
        <x:v>待经济反算</x:v>
      </x:c>
      <x:c r="M380" s="38" t="str">
        <x:v>待经济反算</x:v>
      </x:c>
      <x:c r="N380" s="38" t="str">
        <x:v>是</x:v>
      </x:c>
      <x:c r="O380" s="38" t="str">
        <x:v>否</x:v>
      </x:c>
      <x:c r="P380" s="38" t="str">
        <x:v>否</x:v>
      </x:c>
      <x:c r="Q380" s="38" t="str">
        <x:v>是</x:v>
      </x:c>
      <x:c r="R380" s="38" t="str">
        <x:v>是</x:v>
      </x:c>
      <x:c r="S380" s="38" t="str">
        <x:v>可交易</x:v>
      </x:c>
      <x:c r="T380" s="38" t="str">
        <x:v>不作为自动回收主材</x:v>
      </x:c>
      <x:c r="U380" s="38" t="str">
        <x:v>产出实物默认不绑定，按现行材料脚本</x:v>
      </x:c>
      <x:c r="V380" s="38" t="str">
        <x:v>结构已确认；数量待经济反算</x:v>
      </x:c>
      <x:c r="W380" s="39" t="str"/>
    </x:row>
    <x:row r="381" ht="42" customHeight="1">
      <x:c r="A381" s="37" t="str">
        <x:v>CON-C06-REBIRTH-10-0377</x:v>
      </x:c>
      <x:c r="B381" s="38" t="str">
        <x:v>配方输入</x:v>
      </x:c>
      <x:c r="C381" s="38" t="str">
        <x:v>C06-REBIRTH-10</x:v>
      </x:c>
      <x:c r="D381" s="38" t="str">
        <x:v>C06</x:v>
      </x:c>
      <x:c r="E381" s="38" t="str">
        <x:v>EL-MAT-C06-MARK</x:v>
      </x:c>
      <x:c r="F381" s="38" t="str">
        <x:v>红狮战印</x:v>
      </x:c>
      <x:c r="G381" s="38" t="str"/>
      <x:c r="H381" s="38" t="str">
        <x:v>稀有/证物材料</x:v>
      </x:c>
      <x:c r="I381" s="38" t="str">
        <x:v>稀有/证物材料</x:v>
      </x:c>
      <x:c r="J381" s="38" t="str">
        <x:v>净火腺囊＋龙火鳞＋红狮战印</x:v>
      </x:c>
      <x:c r="K381" s="38" t="str">
        <x:v>红狮战印</x:v>
      </x:c>
      <x:c r="L381" s="38" t="str">
        <x:v>待经济反算</x:v>
      </x:c>
      <x:c r="M381" s="38" t="str">
        <x:v>待经济反算</x:v>
      </x:c>
      <x:c r="N381" s="38" t="str">
        <x:v>是</x:v>
      </x:c>
      <x:c r="O381" s="38" t="str">
        <x:v>否</x:v>
      </x:c>
      <x:c r="P381" s="38" t="str">
        <x:v>否</x:v>
      </x:c>
      <x:c r="Q381" s="38" t="str">
        <x:v>是</x:v>
      </x:c>
      <x:c r="R381" s="38" t="str">
        <x:v>是</x:v>
      </x:c>
      <x:c r="S381" s="38" t="str">
        <x:v>可交易</x:v>
      </x:c>
      <x:c r="T381" s="38" t="str">
        <x:v>不作为自动回收主材</x:v>
      </x:c>
      <x:c r="U381" s="38" t="str">
        <x:v>产出实物默认不绑定，按现行材料脚本</x:v>
      </x:c>
      <x:c r="V381" s="38" t="str">
        <x:v>结构已确认；数量待经济反算</x:v>
      </x:c>
      <x:c r="W381" s="39" t="str"/>
    </x:row>
    <x:row r="382" ht="42" customHeight="1">
      <x:c r="A382" s="37" t="str">
        <x:v>CON-C06-REBIRTH-10-0378</x:v>
      </x:c>
      <x:c r="B382" s="38" t="str">
        <x:v>配方输入</x:v>
      </x:c>
      <x:c r="C382" s="38" t="str">
        <x:v>C06-REBIRTH-10</x:v>
      </x:c>
      <x:c r="D382" s="38" t="str">
        <x:v>C06</x:v>
      </x:c>
      <x:c r="E382" s="38"/>
      <x:c r="F382" s="38" t="str">
        <x:v>小卢恩／大卢恩</x:v>
      </x:c>
      <x:c r="G382" s="38" t="str">
        <x:v>CUR-SMALL-RUNE、CUR-LARGE-RUNE</x:v>
      </x:c>
      <x:c r="H382" s="38" t="str">
        <x:v>全局材料</x:v>
      </x:c>
      <x:c r="I382" s="38" t="str">
        <x:v>全局材料</x:v>
      </x:c>
      <x:c r="J382" s="38" t="str">
        <x:v>小卢恩／大卢恩</x:v>
      </x:c>
      <x:c r="K382" s="38" t="str">
        <x:v>小卢恩／大卢恩</x:v>
      </x:c>
      <x:c r="L382" s="38" t="str">
        <x:v>待经济反算</x:v>
      </x:c>
      <x:c r="M382" s="38" t="str">
        <x:v>待经济反算</x:v>
      </x:c>
      <x:c r="N382" s="38" t="str">
        <x:v>是</x:v>
      </x:c>
      <x:c r="O382" s="38" t="str">
        <x:v>否</x:v>
      </x:c>
      <x:c r="P382" s="38" t="str">
        <x:v>是</x:v>
      </x:c>
      <x:c r="Q382" s="38" t="str">
        <x:v>是</x:v>
      </x:c>
      <x:c r="R382" s="38" t="str">
        <x:v>是</x:v>
      </x:c>
      <x:c r="S382" s="38" t="str">
        <x:v>需人工语义确认</x:v>
      </x:c>
      <x:c r="T382" s="38" t="str">
        <x:v>需人工语义确认</x:v>
      </x:c>
      <x:c r="U382" s="38" t="str">
        <x:v>角色绑定</x:v>
      </x:c>
      <x:c r="V382" s="38" t="str">
        <x:v>需人工语义确认；不得按同时消耗自动拆分</x:v>
      </x:c>
      <x:c r="W382" s="39" t="str"/>
    </x:row>
    <x:row r="383" ht="42" customHeight="1">
      <x:c r="A383" s="37" t="str">
        <x:v>CON-C06-REBIRTH-10-0379</x:v>
      </x:c>
      <x:c r="B383" s="38" t="str">
        <x:v>配方输入</x:v>
      </x:c>
      <x:c r="C383" s="38" t="str">
        <x:v>C06-REBIRTH-10</x:v>
      </x:c>
      <x:c r="D383" s="38" t="str">
        <x:v>C06</x:v>
      </x:c>
      <x:c r="E383" s="38" t="str">
        <x:v>CUR-GOLD</x:v>
      </x:c>
      <x:c r="F383" s="38" t="str">
        <x:v>金币</x:v>
      </x:c>
      <x:c r="G383" s="38" t="str"/>
      <x:c r="H383" s="38" t="str">
        <x:v>金币/元宝/灵符</x:v>
      </x:c>
      <x:c r="I383" s="38" t="str">
        <x:v>货币</x:v>
      </x:c>
      <x:c r="J383" s="38" t="str">
        <x:v>金币</x:v>
      </x:c>
      <x:c r="K383" s="38" t="str">
        <x:v>金币</x:v>
      </x:c>
      <x:c r="L383" s="38" t="str">
        <x:v>待经济反算</x:v>
      </x:c>
      <x:c r="M383" s="38" t="str">
        <x:v>待经济反算</x:v>
      </x:c>
      <x:c r="N383" s="38" t="str">
        <x:v>是</x:v>
      </x:c>
      <x:c r="O383" s="38" t="str">
        <x:v>否</x:v>
      </x:c>
      <x:c r="P383" s="38" t="str">
        <x:v>否</x:v>
      </x:c>
      <x:c r="Q383" s="38" t="str">
        <x:v>是</x:v>
      </x:c>
      <x:c r="R383" s="38" t="str">
        <x:v>是</x:v>
      </x:c>
      <x:c r="S383" s="38" t="str">
        <x:v>不进入玩家摆摊；通过交易物间接流通</x:v>
      </x:c>
      <x:c r="T383" s="38" t="str">
        <x:v>货币本身不可回收</x:v>
      </x:c>
      <x:c r="U383" s="38" t="str">
        <x:v>沿用现行货币账户</x:v>
      </x:c>
      <x:c r="V383" s="38" t="str">
        <x:v>结构已确认；数量待经济反算</x:v>
      </x:c>
      <x:c r="W383" s="39" t="str"/>
    </x:row>
    <x:row r="384" ht="42" customHeight="1">
      <x:c r="A384" s="37" t="str">
        <x:v>CON-C08-REBIRTH-11-0380</x:v>
      </x:c>
      <x:c r="B384" s="38" t="str">
        <x:v>配方输入</x:v>
      </x:c>
      <x:c r="C384" s="38" t="str">
        <x:v>C08-REBIRTH-11</x:v>
      </x:c>
      <x:c r="D384" s="38" t="str">
        <x:v>C08</x:v>
      </x:c>
      <x:c r="E384" s="38" t="str">
        <x:v>REQ-7A2AB9174225</x:v>
      </x:c>
      <x:c r="F384" s="38" t="str">
        <x:v>第10转</x:v>
      </x:c>
      <x:c r="G384" s="38" t="str"/>
      <x:c r="H384" s="38" t="str">
        <x:v>基础件/前置</x:v>
      </x:c>
      <x:c r="I384" s="38" t="str">
        <x:v>基础件/前置</x:v>
      </x:c>
      <x:c r="J384" s="38" t="str">
        <x:v>第10转</x:v>
      </x:c>
      <x:c r="K384" s="38" t="str">
        <x:v>第10转</x:v>
      </x:c>
      <x:c r="L384" s="38" t="str">
        <x:v>待经济反算</x:v>
      </x:c>
      <x:c r="M384" s="38" t="str">
        <x:v>待经济反算</x:v>
      </x:c>
      <x:c r="N384" s="38" t="str">
        <x:v>否</x:v>
      </x:c>
      <x:c r="O384" s="38" t="str">
        <x:v>是</x:v>
      </x:c>
      <x:c r="P384" s="38" t="str">
        <x:v>否</x:v>
      </x:c>
      <x:c r="Q384" s="38" t="str">
        <x:v>是</x:v>
      </x:c>
      <x:c r="R384" s="38" t="str">
        <x:v>是</x:v>
      </x:c>
      <x:c r="S384" s="38" t="str">
        <x:v>不可交易</x:v>
      </x:c>
      <x:c r="T384" s="38" t="str">
        <x:v>不适用</x:v>
      </x:c>
      <x:c r="U384" s="38" t="str">
        <x:v>角色状态</x:v>
      </x:c>
      <x:c r="V384" s="38" t="str">
        <x:v>结构已确认；数量待经济反算</x:v>
      </x:c>
      <x:c r="W384" s="39" t="str"/>
    </x:row>
    <x:row r="385" ht="42" customHeight="1">
      <x:c r="A385" s="37" t="str">
        <x:v>CON-C08-REBIRTH-11-0381</x:v>
      </x:c>
      <x:c r="B385" s="38" t="str">
        <x:v>配方输入</x:v>
      </x:c>
      <x:c r="C385" s="38" t="str">
        <x:v>C08-REBIRTH-11</x:v>
      </x:c>
      <x:c r="D385" s="38" t="str">
        <x:v>C08</x:v>
      </x:c>
      <x:c r="E385" s="38" t="str">
        <x:v>EL-MAT-C08-COM</x:v>
      </x:c>
      <x:c r="F385" s="38" t="str">
        <x:v>霜脊铁</x:v>
      </x:c>
      <x:c r="G385" s="38" t="str"/>
      <x:c r="H385" s="38" t="str">
        <x:v>高产通用材料</x:v>
      </x:c>
      <x:c r="I385" s="38" t="str">
        <x:v>高产通用材料</x:v>
      </x:c>
      <x:c r="J385" s="38" t="str">
        <x:v>霜脊铁</x:v>
      </x:c>
      <x:c r="K385" s="38" t="str">
        <x:v>霜脊铁</x:v>
      </x:c>
      <x:c r="L385" s="38" t="str">
        <x:v>待经济反算</x:v>
      </x:c>
      <x:c r="M385" s="38" t="str">
        <x:v>待经济反算</x:v>
      </x:c>
      <x:c r="N385" s="38" t="str">
        <x:v>是</x:v>
      </x:c>
      <x:c r="O385" s="38" t="str">
        <x:v>否</x:v>
      </x:c>
      <x:c r="P385" s="38" t="str">
        <x:v>否</x:v>
      </x:c>
      <x:c r="Q385" s="38" t="str">
        <x:v>是</x:v>
      </x:c>
      <x:c r="R385" s="38" t="str">
        <x:v>是</x:v>
      </x:c>
      <x:c r="S385" s="38" t="str">
        <x:v>可交易</x:v>
      </x:c>
      <x:c r="T385" s="38" t="str">
        <x:v>R8档金币／元宝主回收口</x:v>
      </x:c>
      <x:c r="U385" s="38" t="str">
        <x:v>产出实物默认不绑定，按现行材料脚本</x:v>
      </x:c>
      <x:c r="V385" s="38" t="str">
        <x:v>结构已确认；数量待经济反算</x:v>
      </x:c>
      <x:c r="W385" s="39" t="str"/>
    </x:row>
    <x:row r="386" ht="42" customHeight="1">
      <x:c r="A386" s="37" t="str">
        <x:v>CON-C08-REBIRTH-11-0382</x:v>
      </x:c>
      <x:c r="B386" s="38" t="str">
        <x:v>配方输入</x:v>
      </x:c>
      <x:c r="C386" s="38" t="str">
        <x:v>C08-REBIRTH-11</x:v>
      </x:c>
      <x:c r="D386" s="38" t="str">
        <x:v>C08</x:v>
      </x:c>
      <x:c r="E386" s="38" t="str">
        <x:v>EL-MAT-C08-Q02</x:v>
      </x:c>
      <x:c r="F386" s="38" t="str">
        <x:v>裂峰号角片</x:v>
      </x:c>
      <x:c r="G386" s="38" t="str"/>
      <x:c r="H386" s="38" t="str">
        <x:v>稀有/证物材料</x:v>
      </x:c>
      <x:c r="I386" s="38" t="str">
        <x:v>稀有/证物材料</x:v>
      </x:c>
      <x:c r="J386" s="38" t="str">
        <x:v>裂峰号角片＋巨人火种＋巨人火印</x:v>
      </x:c>
      <x:c r="K386" s="38" t="str">
        <x:v>裂峰号角片</x:v>
      </x:c>
      <x:c r="L386" s="38" t="str">
        <x:v>待经济反算</x:v>
      </x:c>
      <x:c r="M386" s="38" t="str">
        <x:v>待经济反算</x:v>
      </x:c>
      <x:c r="N386" s="38" t="str">
        <x:v>是</x:v>
      </x:c>
      <x:c r="O386" s="38" t="str">
        <x:v>否</x:v>
      </x:c>
      <x:c r="P386" s="38" t="str">
        <x:v>否</x:v>
      </x:c>
      <x:c r="Q386" s="38" t="str">
        <x:v>是</x:v>
      </x:c>
      <x:c r="R386" s="38" t="str">
        <x:v>是</x:v>
      </x:c>
      <x:c r="S386" s="38" t="str">
        <x:v>可交易</x:v>
      </x:c>
      <x:c r="T386" s="38" t="str">
        <x:v>不作为自动回收主材</x:v>
      </x:c>
      <x:c r="U386" s="38" t="str">
        <x:v>产出实物默认不绑定，按现行材料脚本</x:v>
      </x:c>
      <x:c r="V386" s="38" t="str">
        <x:v>结构已确认；数量待经济反算</x:v>
      </x:c>
      <x:c r="W386" s="39" t="str"/>
    </x:row>
    <x:row r="387" ht="42" customHeight="1">
      <x:c r="A387" s="37" t="str">
        <x:v>CON-C08-REBIRTH-11-0383</x:v>
      </x:c>
      <x:c r="B387" s="38" t="str">
        <x:v>配方输入</x:v>
      </x:c>
      <x:c r="C387" s="38" t="str">
        <x:v>C08-REBIRTH-11</x:v>
      </x:c>
      <x:c r="D387" s="38" t="str">
        <x:v>C08</x:v>
      </x:c>
      <x:c r="E387" s="38" t="str">
        <x:v>EL-MAT-C08-RARE</x:v>
      </x:c>
      <x:c r="F387" s="38" t="str">
        <x:v>巨人火种</x:v>
      </x:c>
      <x:c r="G387" s="38" t="str"/>
      <x:c r="H387" s="38" t="str">
        <x:v>稀有/证物材料</x:v>
      </x:c>
      <x:c r="I387" s="38" t="str">
        <x:v>稀有/证物材料</x:v>
      </x:c>
      <x:c r="J387" s="38" t="str">
        <x:v>裂峰号角片＋巨人火种＋巨人火印</x:v>
      </x:c>
      <x:c r="K387" s="38" t="str">
        <x:v>巨人火种</x:v>
      </x:c>
      <x:c r="L387" s="38" t="str">
        <x:v>待经济反算</x:v>
      </x:c>
      <x:c r="M387" s="38" t="str">
        <x:v>待经济反算</x:v>
      </x:c>
      <x:c r="N387" s="38" t="str">
        <x:v>是</x:v>
      </x:c>
      <x:c r="O387" s="38" t="str">
        <x:v>否</x:v>
      </x:c>
      <x:c r="P387" s="38" t="str">
        <x:v>否</x:v>
      </x:c>
      <x:c r="Q387" s="38" t="str">
        <x:v>是</x:v>
      </x:c>
      <x:c r="R387" s="38" t="str">
        <x:v>是</x:v>
      </x:c>
      <x:c r="S387" s="38" t="str">
        <x:v>可交易</x:v>
      </x:c>
      <x:c r="T387" s="38" t="str">
        <x:v>不作为自动回收主材</x:v>
      </x:c>
      <x:c r="U387" s="38" t="str">
        <x:v>产出实物默认不绑定，按现行材料脚本</x:v>
      </x:c>
      <x:c r="V387" s="38" t="str">
        <x:v>结构已确认；数量待经济反算</x:v>
      </x:c>
      <x:c r="W387" s="39" t="str"/>
    </x:row>
    <x:row r="388" ht="42" customHeight="1">
      <x:c r="A388" s="37" t="str">
        <x:v>CON-C08-REBIRTH-11-0384</x:v>
      </x:c>
      <x:c r="B388" s="38" t="str">
        <x:v>配方输入</x:v>
      </x:c>
      <x:c r="C388" s="38" t="str">
        <x:v>C08-REBIRTH-11</x:v>
      </x:c>
      <x:c r="D388" s="38" t="str">
        <x:v>C08</x:v>
      </x:c>
      <x:c r="E388" s="38" t="str">
        <x:v>EL-MAT-C08-MARK</x:v>
      </x:c>
      <x:c r="F388" s="38" t="str">
        <x:v>巨人火印</x:v>
      </x:c>
      <x:c r="G388" s="38" t="str"/>
      <x:c r="H388" s="38" t="str">
        <x:v>稀有/证物材料</x:v>
      </x:c>
      <x:c r="I388" s="38" t="str">
        <x:v>稀有/证物材料</x:v>
      </x:c>
      <x:c r="J388" s="38" t="str">
        <x:v>裂峰号角片＋巨人火种＋巨人火印</x:v>
      </x:c>
      <x:c r="K388" s="38" t="str">
        <x:v>巨人火印</x:v>
      </x:c>
      <x:c r="L388" s="38" t="str">
        <x:v>待经济反算</x:v>
      </x:c>
      <x:c r="M388" s="38" t="str">
        <x:v>待经济反算</x:v>
      </x:c>
      <x:c r="N388" s="38" t="str">
        <x:v>是</x:v>
      </x:c>
      <x:c r="O388" s="38" t="str">
        <x:v>否</x:v>
      </x:c>
      <x:c r="P388" s="38" t="str">
        <x:v>否</x:v>
      </x:c>
      <x:c r="Q388" s="38" t="str">
        <x:v>是</x:v>
      </x:c>
      <x:c r="R388" s="38" t="str">
        <x:v>是</x:v>
      </x:c>
      <x:c r="S388" s="38" t="str">
        <x:v>可交易</x:v>
      </x:c>
      <x:c r="T388" s="38" t="str">
        <x:v>不作为自动回收主材</x:v>
      </x:c>
      <x:c r="U388" s="38" t="str">
        <x:v>产出实物默认不绑定，按现行材料脚本</x:v>
      </x:c>
      <x:c r="V388" s="38" t="str">
        <x:v>结构已确认；数量待经济反算</x:v>
      </x:c>
      <x:c r="W388" s="39" t="str"/>
    </x:row>
    <x:row r="389" ht="42" customHeight="1">
      <x:c r="A389" s="37" t="str">
        <x:v>CON-C08-REBIRTH-11-0385</x:v>
      </x:c>
      <x:c r="B389" s="38" t="str">
        <x:v>配方输入</x:v>
      </x:c>
      <x:c r="C389" s="38" t="str">
        <x:v>C08-REBIRTH-11</x:v>
      </x:c>
      <x:c r="D389" s="38" t="str">
        <x:v>C08</x:v>
      </x:c>
      <x:c r="E389" s="38" t="str">
        <x:v>CUR-LARGE-RUNE</x:v>
      </x:c>
      <x:c r="F389" s="38" t="str">
        <x:v>大卢恩</x:v>
      </x:c>
      <x:c r="G389" s="38" t="str"/>
      <x:c r="H389" s="38" t="str">
        <x:v>全局材料</x:v>
      </x:c>
      <x:c r="I389" s="38" t="str">
        <x:v>全局材料</x:v>
      </x:c>
      <x:c r="J389" s="38" t="str">
        <x:v>大卢恩</x:v>
      </x:c>
      <x:c r="K389" s="38" t="str">
        <x:v>大卢恩</x:v>
      </x:c>
      <x:c r="L389" s="38" t="str">
        <x:v>待经济反算</x:v>
      </x:c>
      <x:c r="M389" s="38" t="str">
        <x:v>待经济反算</x:v>
      </x:c>
      <x:c r="N389" s="38" t="str">
        <x:v>是</x:v>
      </x:c>
      <x:c r="O389" s="38" t="str">
        <x:v>否</x:v>
      </x:c>
      <x:c r="P389" s="38" t="str">
        <x:v>否</x:v>
      </x:c>
      <x:c r="Q389" s="38" t="str">
        <x:v>是</x:v>
      </x:c>
      <x:c r="R389" s="38" t="str">
        <x:v>是</x:v>
      </x:c>
      <x:c r="S389" s="38" t="str">
        <x:v>不进入玩家摆摊；通过交易物间接流通</x:v>
      </x:c>
      <x:c r="T389" s="38" t="str">
        <x:v>货币本身不可回收</x:v>
      </x:c>
      <x:c r="U389" s="38" t="str">
        <x:v>沿用现行货币账户</x:v>
      </x:c>
      <x:c r="V389" s="38" t="str">
        <x:v>结构已确认；数量待经济反算</x:v>
      </x:c>
      <x:c r="W389" s="39" t="str"/>
    </x:row>
    <x:row r="390" ht="42" customHeight="1">
      <x:c r="A390" s="37" t="str">
        <x:v>CON-C08-REBIRTH-11-0386</x:v>
      </x:c>
      <x:c r="B390" s="38" t="str">
        <x:v>配方输入</x:v>
      </x:c>
      <x:c r="C390" s="38" t="str">
        <x:v>C08-REBIRTH-11</x:v>
      </x:c>
      <x:c r="D390" s="38" t="str">
        <x:v>C08</x:v>
      </x:c>
      <x:c r="E390" s="38" t="str">
        <x:v>CUR-GOLD</x:v>
      </x:c>
      <x:c r="F390" s="38" t="str">
        <x:v>金币</x:v>
      </x:c>
      <x:c r="G390" s="38" t="str"/>
      <x:c r="H390" s="38" t="str">
        <x:v>金币/元宝/灵符</x:v>
      </x:c>
      <x:c r="I390" s="38" t="str">
        <x:v>货币</x:v>
      </x:c>
      <x:c r="J390" s="38" t="str">
        <x:v>金币＋元宝</x:v>
      </x:c>
      <x:c r="K390" s="38" t="str">
        <x:v>金币</x:v>
      </x:c>
      <x:c r="L390" s="38" t="str">
        <x:v>待经济反算</x:v>
      </x:c>
      <x:c r="M390" s="38" t="str">
        <x:v>待经济反算</x:v>
      </x:c>
      <x:c r="N390" s="38" t="str">
        <x:v>是</x:v>
      </x:c>
      <x:c r="O390" s="38" t="str">
        <x:v>否</x:v>
      </x:c>
      <x:c r="P390" s="38" t="str">
        <x:v>否</x:v>
      </x:c>
      <x:c r="Q390" s="38" t="str">
        <x:v>是</x:v>
      </x:c>
      <x:c r="R390" s="38" t="str">
        <x:v>是</x:v>
      </x:c>
      <x:c r="S390" s="38" t="str">
        <x:v>不进入玩家摆摊；通过交易物间接流通</x:v>
      </x:c>
      <x:c r="T390" s="38" t="str">
        <x:v>货币本身不可回收</x:v>
      </x:c>
      <x:c r="U390" s="38" t="str">
        <x:v>沿用现行货币账户</x:v>
      </x:c>
      <x:c r="V390" s="38" t="str">
        <x:v>结构已确认；数量待经济反算</x:v>
      </x:c>
      <x:c r="W390" s="39" t="str"/>
    </x:row>
    <x:row r="391" ht="42" customHeight="1">
      <x:c r="A391" s="37" t="str">
        <x:v>CON-C08-REBIRTH-11-0387</x:v>
      </x:c>
      <x:c r="B391" s="38" t="str">
        <x:v>配方输入</x:v>
      </x:c>
      <x:c r="C391" s="38" t="str">
        <x:v>C08-REBIRTH-11</x:v>
      </x:c>
      <x:c r="D391" s="38" t="str">
        <x:v>C08</x:v>
      </x:c>
      <x:c r="E391" s="38" t="str">
        <x:v>CUR-YUANBAO</x:v>
      </x:c>
      <x:c r="F391" s="38" t="str">
        <x:v>元宝</x:v>
      </x:c>
      <x:c r="G391" s="38" t="str"/>
      <x:c r="H391" s="38" t="str">
        <x:v>金币/元宝/灵符</x:v>
      </x:c>
      <x:c r="I391" s="38" t="str">
        <x:v>货币</x:v>
      </x:c>
      <x:c r="J391" s="38" t="str">
        <x:v>金币＋元宝</x:v>
      </x:c>
      <x:c r="K391" s="38" t="str">
        <x:v>元宝</x:v>
      </x:c>
      <x:c r="L391" s="38" t="str">
        <x:v>待经济反算</x:v>
      </x:c>
      <x:c r="M391" s="38" t="str">
        <x:v>待经济反算</x:v>
      </x:c>
      <x:c r="N391" s="38" t="str">
        <x:v>是</x:v>
      </x:c>
      <x:c r="O391" s="38" t="str">
        <x:v>否</x:v>
      </x:c>
      <x:c r="P391" s="38" t="str">
        <x:v>否</x:v>
      </x:c>
      <x:c r="Q391" s="38" t="str">
        <x:v>是</x:v>
      </x:c>
      <x:c r="R391" s="38" t="str">
        <x:v>是</x:v>
      </x:c>
      <x:c r="S391" s="38" t="str">
        <x:v>不进入玩家摆摊；通过交易物间接流通</x:v>
      </x:c>
      <x:c r="T391" s="38" t="str">
        <x:v>货币本身不可回收</x:v>
      </x:c>
      <x:c r="U391" s="38" t="str">
        <x:v>沿用现行货币账户</x:v>
      </x:c>
      <x:c r="V391" s="38" t="str">
        <x:v>结构已确认；数量待经济反算</x:v>
      </x:c>
      <x:c r="W391" s="39" t="str"/>
    </x:row>
    <x:row r="392" ht="42" customHeight="1">
      <x:c r="A392" s="37" t="str">
        <x:v>CON-C08-REBIRTH-12-0388</x:v>
      </x:c>
      <x:c r="B392" s="38" t="str">
        <x:v>配方输入</x:v>
      </x:c>
      <x:c r="C392" s="38" t="str">
        <x:v>C08-REBIRTH-12</x:v>
      </x:c>
      <x:c r="D392" s="38" t="str">
        <x:v>C08</x:v>
      </x:c>
      <x:c r="E392" s="38" t="str">
        <x:v>REQ-661050E96CA3</x:v>
      </x:c>
      <x:c r="F392" s="38" t="str">
        <x:v>第11转</x:v>
      </x:c>
      <x:c r="G392" s="38" t="str"/>
      <x:c r="H392" s="38" t="str">
        <x:v>基础件/前置</x:v>
      </x:c>
      <x:c r="I392" s="38" t="str">
        <x:v>基础件/前置</x:v>
      </x:c>
      <x:c r="J392" s="38" t="str">
        <x:v>第11转</x:v>
      </x:c>
      <x:c r="K392" s="38" t="str">
        <x:v>第11转</x:v>
      </x:c>
      <x:c r="L392" s="38" t="str">
        <x:v>待经济反算</x:v>
      </x:c>
      <x:c r="M392" s="38" t="str">
        <x:v>待经济反算</x:v>
      </x:c>
      <x:c r="N392" s="38" t="str">
        <x:v>否</x:v>
      </x:c>
      <x:c r="O392" s="38" t="str">
        <x:v>是</x:v>
      </x:c>
      <x:c r="P392" s="38" t="str">
        <x:v>否</x:v>
      </x:c>
      <x:c r="Q392" s="38" t="str">
        <x:v>是</x:v>
      </x:c>
      <x:c r="R392" s="38" t="str">
        <x:v>是</x:v>
      </x:c>
      <x:c r="S392" s="38" t="str">
        <x:v>不可交易</x:v>
      </x:c>
      <x:c r="T392" s="38" t="str">
        <x:v>不适用</x:v>
      </x:c>
      <x:c r="U392" s="38" t="str">
        <x:v>角色状态</x:v>
      </x:c>
      <x:c r="V392" s="38" t="str">
        <x:v>结构已确认；数量待经济反算</x:v>
      </x:c>
      <x:c r="W392" s="39" t="str"/>
    </x:row>
    <x:row r="393" ht="42" customHeight="1">
      <x:c r="A393" s="37" t="str">
        <x:v>CON-C08-REBIRTH-12-0389</x:v>
      </x:c>
      <x:c r="B393" s="38" t="str">
        <x:v>配方输入</x:v>
      </x:c>
      <x:c r="C393" s="38" t="str">
        <x:v>C08-REBIRTH-12</x:v>
      </x:c>
      <x:c r="D393" s="38" t="str">
        <x:v>C08</x:v>
      </x:c>
      <x:c r="E393" s="38" t="str">
        <x:v>EL-MAT-C08-COM</x:v>
      </x:c>
      <x:c r="F393" s="38" t="str">
        <x:v>霜脊铁</x:v>
      </x:c>
      <x:c r="G393" s="38" t="str"/>
      <x:c r="H393" s="38" t="str">
        <x:v>高产通用材料</x:v>
      </x:c>
      <x:c r="I393" s="38" t="str">
        <x:v>高产通用材料</x:v>
      </x:c>
      <x:c r="J393" s="38" t="str">
        <x:v>霜脊铁</x:v>
      </x:c>
      <x:c r="K393" s="38" t="str">
        <x:v>霜脊铁</x:v>
      </x:c>
      <x:c r="L393" s="38" t="str">
        <x:v>待经济反算</x:v>
      </x:c>
      <x:c r="M393" s="38" t="str">
        <x:v>待经济反算</x:v>
      </x:c>
      <x:c r="N393" s="38" t="str">
        <x:v>是</x:v>
      </x:c>
      <x:c r="O393" s="38" t="str">
        <x:v>否</x:v>
      </x:c>
      <x:c r="P393" s="38" t="str">
        <x:v>否</x:v>
      </x:c>
      <x:c r="Q393" s="38" t="str">
        <x:v>是</x:v>
      </x:c>
      <x:c r="R393" s="38" t="str">
        <x:v>是</x:v>
      </x:c>
      <x:c r="S393" s="38" t="str">
        <x:v>可交易</x:v>
      </x:c>
      <x:c r="T393" s="38" t="str">
        <x:v>R8档金币／元宝主回收口</x:v>
      </x:c>
      <x:c r="U393" s="38" t="str">
        <x:v>产出实物默认不绑定，按现行材料脚本</x:v>
      </x:c>
      <x:c r="V393" s="38" t="str">
        <x:v>结构已确认；数量待经济反算</x:v>
      </x:c>
      <x:c r="W393" s="39" t="str"/>
    </x:row>
    <x:row r="394" ht="42" customHeight="1">
      <x:c r="A394" s="37" t="str">
        <x:v>CON-C08-REBIRTH-12-0390</x:v>
      </x:c>
      <x:c r="B394" s="38" t="str">
        <x:v>配方输入</x:v>
      </x:c>
      <x:c r="C394" s="38" t="str">
        <x:v>C08-REBIRTH-12</x:v>
      </x:c>
      <x:c r="D394" s="38" t="str">
        <x:v>C08</x:v>
      </x:c>
      <x:c r="E394" s="38" t="str">
        <x:v>EL-MAT-C08-Q02</x:v>
      </x:c>
      <x:c r="F394" s="38" t="str">
        <x:v>裂峰号角片</x:v>
      </x:c>
      <x:c r="G394" s="38" t="str"/>
      <x:c r="H394" s="38" t="str">
        <x:v>稀有/证物材料</x:v>
      </x:c>
      <x:c r="I394" s="38" t="str">
        <x:v>稀有/证物材料</x:v>
      </x:c>
      <x:c r="J394" s="38" t="str">
        <x:v>裂峰号角片＋巨人火种＋巨人火印</x:v>
      </x:c>
      <x:c r="K394" s="38" t="str">
        <x:v>裂峰号角片</x:v>
      </x:c>
      <x:c r="L394" s="38" t="str">
        <x:v>待经济反算</x:v>
      </x:c>
      <x:c r="M394" s="38" t="str">
        <x:v>待经济反算</x:v>
      </x:c>
      <x:c r="N394" s="38" t="str">
        <x:v>是</x:v>
      </x:c>
      <x:c r="O394" s="38" t="str">
        <x:v>否</x:v>
      </x:c>
      <x:c r="P394" s="38" t="str">
        <x:v>否</x:v>
      </x:c>
      <x:c r="Q394" s="38" t="str">
        <x:v>是</x:v>
      </x:c>
      <x:c r="R394" s="38" t="str">
        <x:v>是</x:v>
      </x:c>
      <x:c r="S394" s="38" t="str">
        <x:v>可交易</x:v>
      </x:c>
      <x:c r="T394" s="38" t="str">
        <x:v>不作为自动回收主材</x:v>
      </x:c>
      <x:c r="U394" s="38" t="str">
        <x:v>产出实物默认不绑定，按现行材料脚本</x:v>
      </x:c>
      <x:c r="V394" s="38" t="str">
        <x:v>结构已确认；数量待经济反算</x:v>
      </x:c>
      <x:c r="W394" s="39" t="str"/>
    </x:row>
    <x:row r="395" ht="42" customHeight="1">
      <x:c r="A395" s="37" t="str">
        <x:v>CON-C08-REBIRTH-12-0391</x:v>
      </x:c>
      <x:c r="B395" s="38" t="str">
        <x:v>配方输入</x:v>
      </x:c>
      <x:c r="C395" s="38" t="str">
        <x:v>C08-REBIRTH-12</x:v>
      </x:c>
      <x:c r="D395" s="38" t="str">
        <x:v>C08</x:v>
      </x:c>
      <x:c r="E395" s="38" t="str">
        <x:v>EL-MAT-C08-RARE</x:v>
      </x:c>
      <x:c r="F395" s="38" t="str">
        <x:v>巨人火种</x:v>
      </x:c>
      <x:c r="G395" s="38" t="str"/>
      <x:c r="H395" s="38" t="str">
        <x:v>稀有/证物材料</x:v>
      </x:c>
      <x:c r="I395" s="38" t="str">
        <x:v>稀有/证物材料</x:v>
      </x:c>
      <x:c r="J395" s="38" t="str">
        <x:v>裂峰号角片＋巨人火种＋巨人火印</x:v>
      </x:c>
      <x:c r="K395" s="38" t="str">
        <x:v>巨人火种</x:v>
      </x:c>
      <x:c r="L395" s="38" t="str">
        <x:v>待经济反算</x:v>
      </x:c>
      <x:c r="M395" s="38" t="str">
        <x:v>待经济反算</x:v>
      </x:c>
      <x:c r="N395" s="38" t="str">
        <x:v>是</x:v>
      </x:c>
      <x:c r="O395" s="38" t="str">
        <x:v>否</x:v>
      </x:c>
      <x:c r="P395" s="38" t="str">
        <x:v>否</x:v>
      </x:c>
      <x:c r="Q395" s="38" t="str">
        <x:v>是</x:v>
      </x:c>
      <x:c r="R395" s="38" t="str">
        <x:v>是</x:v>
      </x:c>
      <x:c r="S395" s="38" t="str">
        <x:v>可交易</x:v>
      </x:c>
      <x:c r="T395" s="38" t="str">
        <x:v>不作为自动回收主材</x:v>
      </x:c>
      <x:c r="U395" s="38" t="str">
        <x:v>产出实物默认不绑定，按现行材料脚本</x:v>
      </x:c>
      <x:c r="V395" s="38" t="str">
        <x:v>结构已确认；数量待经济反算</x:v>
      </x:c>
      <x:c r="W395" s="39" t="str"/>
    </x:row>
    <x:row r="396" ht="42" customHeight="1">
      <x:c r="A396" s="37" t="str">
        <x:v>CON-C08-REBIRTH-12-0392</x:v>
      </x:c>
      <x:c r="B396" s="38" t="str">
        <x:v>配方输入</x:v>
      </x:c>
      <x:c r="C396" s="38" t="str">
        <x:v>C08-REBIRTH-12</x:v>
      </x:c>
      <x:c r="D396" s="38" t="str">
        <x:v>C08</x:v>
      </x:c>
      <x:c r="E396" s="38" t="str">
        <x:v>EL-MAT-C08-MARK</x:v>
      </x:c>
      <x:c r="F396" s="38" t="str">
        <x:v>巨人火印</x:v>
      </x:c>
      <x:c r="G396" s="38" t="str"/>
      <x:c r="H396" s="38" t="str">
        <x:v>稀有/证物材料</x:v>
      </x:c>
      <x:c r="I396" s="38" t="str">
        <x:v>稀有/证物材料</x:v>
      </x:c>
      <x:c r="J396" s="38" t="str">
        <x:v>裂峰号角片＋巨人火种＋巨人火印</x:v>
      </x:c>
      <x:c r="K396" s="38" t="str">
        <x:v>巨人火印</x:v>
      </x:c>
      <x:c r="L396" s="38" t="str">
        <x:v>待经济反算</x:v>
      </x:c>
      <x:c r="M396" s="38" t="str">
        <x:v>待经济反算</x:v>
      </x:c>
      <x:c r="N396" s="38" t="str">
        <x:v>是</x:v>
      </x:c>
      <x:c r="O396" s="38" t="str">
        <x:v>否</x:v>
      </x:c>
      <x:c r="P396" s="38" t="str">
        <x:v>否</x:v>
      </x:c>
      <x:c r="Q396" s="38" t="str">
        <x:v>是</x:v>
      </x:c>
      <x:c r="R396" s="38" t="str">
        <x:v>是</x:v>
      </x:c>
      <x:c r="S396" s="38" t="str">
        <x:v>可交易</x:v>
      </x:c>
      <x:c r="T396" s="38" t="str">
        <x:v>不作为自动回收主材</x:v>
      </x:c>
      <x:c r="U396" s="38" t="str">
        <x:v>产出实物默认不绑定，按现行材料脚本</x:v>
      </x:c>
      <x:c r="V396" s="38" t="str">
        <x:v>结构已确认；数量待经济反算</x:v>
      </x:c>
      <x:c r="W396" s="39" t="str"/>
    </x:row>
    <x:row r="397" ht="42" customHeight="1">
      <x:c r="A397" s="37" t="str">
        <x:v>CON-C08-REBIRTH-12-0393</x:v>
      </x:c>
      <x:c r="B397" s="38" t="str">
        <x:v>配方输入</x:v>
      </x:c>
      <x:c r="C397" s="38" t="str">
        <x:v>C08-REBIRTH-12</x:v>
      </x:c>
      <x:c r="D397" s="38" t="str">
        <x:v>C08</x:v>
      </x:c>
      <x:c r="E397" s="38" t="str">
        <x:v>CUR-LARGE-RUNE</x:v>
      </x:c>
      <x:c r="F397" s="38" t="str">
        <x:v>大卢恩</x:v>
      </x:c>
      <x:c r="G397" s="38" t="str"/>
      <x:c r="H397" s="38" t="str">
        <x:v>全局材料</x:v>
      </x:c>
      <x:c r="I397" s="38" t="str">
        <x:v>全局材料</x:v>
      </x:c>
      <x:c r="J397" s="38" t="str">
        <x:v>大卢恩</x:v>
      </x:c>
      <x:c r="K397" s="38" t="str">
        <x:v>大卢恩</x:v>
      </x:c>
      <x:c r="L397" s="38" t="str">
        <x:v>待经济反算</x:v>
      </x:c>
      <x:c r="M397" s="38" t="str">
        <x:v>待经济反算</x:v>
      </x:c>
      <x:c r="N397" s="38" t="str">
        <x:v>是</x:v>
      </x:c>
      <x:c r="O397" s="38" t="str">
        <x:v>否</x:v>
      </x:c>
      <x:c r="P397" s="38" t="str">
        <x:v>否</x:v>
      </x:c>
      <x:c r="Q397" s="38" t="str">
        <x:v>是</x:v>
      </x:c>
      <x:c r="R397" s="38" t="str">
        <x:v>是</x:v>
      </x:c>
      <x:c r="S397" s="38" t="str">
        <x:v>不进入玩家摆摊；通过交易物间接流通</x:v>
      </x:c>
      <x:c r="T397" s="38" t="str">
        <x:v>货币本身不可回收</x:v>
      </x:c>
      <x:c r="U397" s="38" t="str">
        <x:v>沿用现行货币账户</x:v>
      </x:c>
      <x:c r="V397" s="38" t="str">
        <x:v>结构已确认；数量待经济反算</x:v>
      </x:c>
      <x:c r="W397" s="39" t="str"/>
    </x:row>
    <x:row r="398" ht="42" customHeight="1">
      <x:c r="A398" s="37" t="str">
        <x:v>CON-C08-REBIRTH-12-0394</x:v>
      </x:c>
      <x:c r="B398" s="38" t="str">
        <x:v>配方输入</x:v>
      </x:c>
      <x:c r="C398" s="38" t="str">
        <x:v>C08-REBIRTH-12</x:v>
      </x:c>
      <x:c r="D398" s="38" t="str">
        <x:v>C08</x:v>
      </x:c>
      <x:c r="E398" s="38" t="str">
        <x:v>CUR-GOLD</x:v>
      </x:c>
      <x:c r="F398" s="38" t="str">
        <x:v>金币</x:v>
      </x:c>
      <x:c r="G398" s="38" t="str"/>
      <x:c r="H398" s="38" t="str">
        <x:v>金币/元宝/灵符</x:v>
      </x:c>
      <x:c r="I398" s="38" t="str">
        <x:v>货币</x:v>
      </x:c>
      <x:c r="J398" s="38" t="str">
        <x:v>金币＋元宝</x:v>
      </x:c>
      <x:c r="K398" s="38" t="str">
        <x:v>金币</x:v>
      </x:c>
      <x:c r="L398" s="38" t="str">
        <x:v>待经济反算</x:v>
      </x:c>
      <x:c r="M398" s="38" t="str">
        <x:v>待经济反算</x:v>
      </x:c>
      <x:c r="N398" s="38" t="str">
        <x:v>是</x:v>
      </x:c>
      <x:c r="O398" s="38" t="str">
        <x:v>否</x:v>
      </x:c>
      <x:c r="P398" s="38" t="str">
        <x:v>否</x:v>
      </x:c>
      <x:c r="Q398" s="38" t="str">
        <x:v>是</x:v>
      </x:c>
      <x:c r="R398" s="38" t="str">
        <x:v>是</x:v>
      </x:c>
      <x:c r="S398" s="38" t="str">
        <x:v>不进入玩家摆摊；通过交易物间接流通</x:v>
      </x:c>
      <x:c r="T398" s="38" t="str">
        <x:v>货币本身不可回收</x:v>
      </x:c>
      <x:c r="U398" s="38" t="str">
        <x:v>沿用现行货币账户</x:v>
      </x:c>
      <x:c r="V398" s="38" t="str">
        <x:v>结构已确认；数量待经济反算</x:v>
      </x:c>
      <x:c r="W398" s="39" t="str"/>
    </x:row>
    <x:row r="399" ht="42" customHeight="1">
      <x:c r="A399" s="37" t="str">
        <x:v>CON-C08-REBIRTH-12-0395</x:v>
      </x:c>
      <x:c r="B399" s="38" t="str">
        <x:v>配方输入</x:v>
      </x:c>
      <x:c r="C399" s="38" t="str">
        <x:v>C08-REBIRTH-12</x:v>
      </x:c>
      <x:c r="D399" s="38" t="str">
        <x:v>C08</x:v>
      </x:c>
      <x:c r="E399" s="38" t="str">
        <x:v>CUR-YUANBAO</x:v>
      </x:c>
      <x:c r="F399" s="38" t="str">
        <x:v>元宝</x:v>
      </x:c>
      <x:c r="G399" s="38" t="str"/>
      <x:c r="H399" s="38" t="str">
        <x:v>金币/元宝/灵符</x:v>
      </x:c>
      <x:c r="I399" s="38" t="str">
        <x:v>货币</x:v>
      </x:c>
      <x:c r="J399" s="38" t="str">
        <x:v>金币＋元宝</x:v>
      </x:c>
      <x:c r="K399" s="38" t="str">
        <x:v>元宝</x:v>
      </x:c>
      <x:c r="L399" s="38" t="str">
        <x:v>待经济反算</x:v>
      </x:c>
      <x:c r="M399" s="38" t="str">
        <x:v>待经济反算</x:v>
      </x:c>
      <x:c r="N399" s="38" t="str">
        <x:v>是</x:v>
      </x:c>
      <x:c r="O399" s="38" t="str">
        <x:v>否</x:v>
      </x:c>
      <x:c r="P399" s="38" t="str">
        <x:v>否</x:v>
      </x:c>
      <x:c r="Q399" s="38" t="str">
        <x:v>是</x:v>
      </x:c>
      <x:c r="R399" s="38" t="str">
        <x:v>是</x:v>
      </x:c>
      <x:c r="S399" s="38" t="str">
        <x:v>不进入玩家摆摊；通过交易物间接流通</x:v>
      </x:c>
      <x:c r="T399" s="38" t="str">
        <x:v>货币本身不可回收</x:v>
      </x:c>
      <x:c r="U399" s="38" t="str">
        <x:v>沿用现行货币账户</x:v>
      </x:c>
      <x:c r="V399" s="38" t="str">
        <x:v>结构已确认；数量待经济反算</x:v>
      </x:c>
      <x:c r="W399" s="39" t="str"/>
    </x:row>
    <x:row r="400" ht="42" customHeight="1">
      <x:c r="A400" s="37" t="str">
        <x:v>CON-C08-REBIRTH-13-0396</x:v>
      </x:c>
      <x:c r="B400" s="38" t="str">
        <x:v>配方输入</x:v>
      </x:c>
      <x:c r="C400" s="38" t="str">
        <x:v>C08-REBIRTH-13</x:v>
      </x:c>
      <x:c r="D400" s="38" t="str">
        <x:v>C08</x:v>
      </x:c>
      <x:c r="E400" s="38" t="str">
        <x:v>REQ-887B759BC23A</x:v>
      </x:c>
      <x:c r="F400" s="38" t="str">
        <x:v>第12转</x:v>
      </x:c>
      <x:c r="G400" s="38" t="str"/>
      <x:c r="H400" s="38" t="str">
        <x:v>基础件/前置</x:v>
      </x:c>
      <x:c r="I400" s="38" t="str">
        <x:v>基础件/前置</x:v>
      </x:c>
      <x:c r="J400" s="38" t="str">
        <x:v>第12转</x:v>
      </x:c>
      <x:c r="K400" s="38" t="str">
        <x:v>第12转</x:v>
      </x:c>
      <x:c r="L400" s="38" t="str">
        <x:v>待经济反算</x:v>
      </x:c>
      <x:c r="M400" s="38" t="str">
        <x:v>待经济反算</x:v>
      </x:c>
      <x:c r="N400" s="38" t="str">
        <x:v>否</x:v>
      </x:c>
      <x:c r="O400" s="38" t="str">
        <x:v>是</x:v>
      </x:c>
      <x:c r="P400" s="38" t="str">
        <x:v>否</x:v>
      </x:c>
      <x:c r="Q400" s="38" t="str">
        <x:v>是</x:v>
      </x:c>
      <x:c r="R400" s="38" t="str">
        <x:v>是</x:v>
      </x:c>
      <x:c r="S400" s="38" t="str">
        <x:v>不可交易</x:v>
      </x:c>
      <x:c r="T400" s="38" t="str">
        <x:v>不适用</x:v>
      </x:c>
      <x:c r="U400" s="38" t="str">
        <x:v>角色状态</x:v>
      </x:c>
      <x:c r="V400" s="38" t="str">
        <x:v>结构已确认；数量待经济反算</x:v>
      </x:c>
      <x:c r="W400" s="39" t="str"/>
    </x:row>
    <x:row r="401" ht="42" customHeight="1">
      <x:c r="A401" s="37" t="str">
        <x:v>CON-C08-REBIRTH-13-0397</x:v>
      </x:c>
      <x:c r="B401" s="38" t="str">
        <x:v>配方输入</x:v>
      </x:c>
      <x:c r="C401" s="38" t="str">
        <x:v>C08-REBIRTH-13</x:v>
      </x:c>
      <x:c r="D401" s="38" t="str">
        <x:v>C08</x:v>
      </x:c>
      <x:c r="E401" s="38" t="str">
        <x:v>EL-MAT-C08-COM</x:v>
      </x:c>
      <x:c r="F401" s="38" t="str">
        <x:v>霜脊铁</x:v>
      </x:c>
      <x:c r="G401" s="38" t="str"/>
      <x:c r="H401" s="38" t="str">
        <x:v>高产通用材料</x:v>
      </x:c>
      <x:c r="I401" s="38" t="str">
        <x:v>高产通用材料</x:v>
      </x:c>
      <x:c r="J401" s="38" t="str">
        <x:v>霜脊铁</x:v>
      </x:c>
      <x:c r="K401" s="38" t="str">
        <x:v>霜脊铁</x:v>
      </x:c>
      <x:c r="L401" s="38" t="str">
        <x:v>待经济反算</x:v>
      </x:c>
      <x:c r="M401" s="38" t="str">
        <x:v>待经济反算</x:v>
      </x:c>
      <x:c r="N401" s="38" t="str">
        <x:v>是</x:v>
      </x:c>
      <x:c r="O401" s="38" t="str">
        <x:v>否</x:v>
      </x:c>
      <x:c r="P401" s="38" t="str">
        <x:v>否</x:v>
      </x:c>
      <x:c r="Q401" s="38" t="str">
        <x:v>是</x:v>
      </x:c>
      <x:c r="R401" s="38" t="str">
        <x:v>是</x:v>
      </x:c>
      <x:c r="S401" s="38" t="str">
        <x:v>可交易</x:v>
      </x:c>
      <x:c r="T401" s="38" t="str">
        <x:v>R8档金币／元宝主回收口</x:v>
      </x:c>
      <x:c r="U401" s="38" t="str">
        <x:v>产出实物默认不绑定，按现行材料脚本</x:v>
      </x:c>
      <x:c r="V401" s="38" t="str">
        <x:v>结构已确认；数量待经济反算</x:v>
      </x:c>
      <x:c r="W401" s="39" t="str"/>
    </x:row>
    <x:row r="402" ht="42" customHeight="1">
      <x:c r="A402" s="37" t="str">
        <x:v>CON-C08-REBIRTH-13-0398</x:v>
      </x:c>
      <x:c r="B402" s="38" t="str">
        <x:v>配方输入</x:v>
      </x:c>
      <x:c r="C402" s="38" t="str">
        <x:v>C08-REBIRTH-13</x:v>
      </x:c>
      <x:c r="D402" s="38" t="str">
        <x:v>C08</x:v>
      </x:c>
      <x:c r="E402" s="38" t="str">
        <x:v>EL-MAT-C08-Q02</x:v>
      </x:c>
      <x:c r="F402" s="38" t="str">
        <x:v>裂峰号角片</x:v>
      </x:c>
      <x:c r="G402" s="38" t="str"/>
      <x:c r="H402" s="38" t="str">
        <x:v>稀有/证物材料</x:v>
      </x:c>
      <x:c r="I402" s="38" t="str">
        <x:v>稀有/证物材料</x:v>
      </x:c>
      <x:c r="J402" s="38" t="str">
        <x:v>裂峰号角片＋巨人火种＋巨人火印</x:v>
      </x:c>
      <x:c r="K402" s="38" t="str">
        <x:v>裂峰号角片</x:v>
      </x:c>
      <x:c r="L402" s="38" t="str">
        <x:v>待经济反算</x:v>
      </x:c>
      <x:c r="M402" s="38" t="str">
        <x:v>待经济反算</x:v>
      </x:c>
      <x:c r="N402" s="38" t="str">
        <x:v>是</x:v>
      </x:c>
      <x:c r="O402" s="38" t="str">
        <x:v>否</x:v>
      </x:c>
      <x:c r="P402" s="38" t="str">
        <x:v>否</x:v>
      </x:c>
      <x:c r="Q402" s="38" t="str">
        <x:v>是</x:v>
      </x:c>
      <x:c r="R402" s="38" t="str">
        <x:v>是</x:v>
      </x:c>
      <x:c r="S402" s="38" t="str">
        <x:v>可交易</x:v>
      </x:c>
      <x:c r="T402" s="38" t="str">
        <x:v>不作为自动回收主材</x:v>
      </x:c>
      <x:c r="U402" s="38" t="str">
        <x:v>产出实物默认不绑定，按现行材料脚本</x:v>
      </x:c>
      <x:c r="V402" s="38" t="str">
        <x:v>结构已确认；数量待经济反算</x:v>
      </x:c>
      <x:c r="W402" s="39" t="str"/>
    </x:row>
    <x:row r="403" ht="42" customHeight="1">
      <x:c r="A403" s="37" t="str">
        <x:v>CON-C08-REBIRTH-13-0399</x:v>
      </x:c>
      <x:c r="B403" s="38" t="str">
        <x:v>配方输入</x:v>
      </x:c>
      <x:c r="C403" s="38" t="str">
        <x:v>C08-REBIRTH-13</x:v>
      </x:c>
      <x:c r="D403" s="38" t="str">
        <x:v>C08</x:v>
      </x:c>
      <x:c r="E403" s="38" t="str">
        <x:v>EL-MAT-C08-RARE</x:v>
      </x:c>
      <x:c r="F403" s="38" t="str">
        <x:v>巨人火种</x:v>
      </x:c>
      <x:c r="G403" s="38" t="str"/>
      <x:c r="H403" s="38" t="str">
        <x:v>稀有/证物材料</x:v>
      </x:c>
      <x:c r="I403" s="38" t="str">
        <x:v>稀有/证物材料</x:v>
      </x:c>
      <x:c r="J403" s="38" t="str">
        <x:v>裂峰号角片＋巨人火种＋巨人火印</x:v>
      </x:c>
      <x:c r="K403" s="38" t="str">
        <x:v>巨人火种</x:v>
      </x:c>
      <x:c r="L403" s="38" t="str">
        <x:v>待经济反算</x:v>
      </x:c>
      <x:c r="M403" s="38" t="str">
        <x:v>待经济反算</x:v>
      </x:c>
      <x:c r="N403" s="38" t="str">
        <x:v>是</x:v>
      </x:c>
      <x:c r="O403" s="38" t="str">
        <x:v>否</x:v>
      </x:c>
      <x:c r="P403" s="38" t="str">
        <x:v>否</x:v>
      </x:c>
      <x:c r="Q403" s="38" t="str">
        <x:v>是</x:v>
      </x:c>
      <x:c r="R403" s="38" t="str">
        <x:v>是</x:v>
      </x:c>
      <x:c r="S403" s="38" t="str">
        <x:v>可交易</x:v>
      </x:c>
      <x:c r="T403" s="38" t="str">
        <x:v>不作为自动回收主材</x:v>
      </x:c>
      <x:c r="U403" s="38" t="str">
        <x:v>产出实物默认不绑定，按现行材料脚本</x:v>
      </x:c>
      <x:c r="V403" s="38" t="str">
        <x:v>结构已确认；数量待经济反算</x:v>
      </x:c>
      <x:c r="W403" s="39" t="str"/>
    </x:row>
    <x:row r="404" ht="42" customHeight="1">
      <x:c r="A404" s="37" t="str">
        <x:v>CON-C08-REBIRTH-13-0400</x:v>
      </x:c>
      <x:c r="B404" s="38" t="str">
        <x:v>配方输入</x:v>
      </x:c>
      <x:c r="C404" s="38" t="str">
        <x:v>C08-REBIRTH-13</x:v>
      </x:c>
      <x:c r="D404" s="38" t="str">
        <x:v>C08</x:v>
      </x:c>
      <x:c r="E404" s="38" t="str">
        <x:v>EL-MAT-C08-MARK</x:v>
      </x:c>
      <x:c r="F404" s="38" t="str">
        <x:v>巨人火印</x:v>
      </x:c>
      <x:c r="G404" s="38" t="str"/>
      <x:c r="H404" s="38" t="str">
        <x:v>稀有/证物材料</x:v>
      </x:c>
      <x:c r="I404" s="38" t="str">
        <x:v>稀有/证物材料</x:v>
      </x:c>
      <x:c r="J404" s="38" t="str">
        <x:v>裂峰号角片＋巨人火种＋巨人火印</x:v>
      </x:c>
      <x:c r="K404" s="38" t="str">
        <x:v>巨人火印</x:v>
      </x:c>
      <x:c r="L404" s="38" t="str">
        <x:v>待经济反算</x:v>
      </x:c>
      <x:c r="M404" s="38" t="str">
        <x:v>待经济反算</x:v>
      </x:c>
      <x:c r="N404" s="38" t="str">
        <x:v>是</x:v>
      </x:c>
      <x:c r="O404" s="38" t="str">
        <x:v>否</x:v>
      </x:c>
      <x:c r="P404" s="38" t="str">
        <x:v>否</x:v>
      </x:c>
      <x:c r="Q404" s="38" t="str">
        <x:v>是</x:v>
      </x:c>
      <x:c r="R404" s="38" t="str">
        <x:v>是</x:v>
      </x:c>
      <x:c r="S404" s="38" t="str">
        <x:v>可交易</x:v>
      </x:c>
      <x:c r="T404" s="38" t="str">
        <x:v>不作为自动回收主材</x:v>
      </x:c>
      <x:c r="U404" s="38" t="str">
        <x:v>产出实物默认不绑定，按现行材料脚本</x:v>
      </x:c>
      <x:c r="V404" s="38" t="str">
        <x:v>结构已确认；数量待经济反算</x:v>
      </x:c>
      <x:c r="W404" s="39" t="str"/>
    </x:row>
    <x:row r="405" ht="42" customHeight="1">
      <x:c r="A405" s="37" t="str">
        <x:v>CON-C08-REBIRTH-13-0401</x:v>
      </x:c>
      <x:c r="B405" s="38" t="str">
        <x:v>配方输入</x:v>
      </x:c>
      <x:c r="C405" s="38" t="str">
        <x:v>C08-REBIRTH-13</x:v>
      </x:c>
      <x:c r="D405" s="38" t="str">
        <x:v>C08</x:v>
      </x:c>
      <x:c r="E405" s="38" t="str">
        <x:v>CUR-LARGE-RUNE</x:v>
      </x:c>
      <x:c r="F405" s="38" t="str">
        <x:v>大卢恩</x:v>
      </x:c>
      <x:c r="G405" s="38" t="str"/>
      <x:c r="H405" s="38" t="str">
        <x:v>全局材料</x:v>
      </x:c>
      <x:c r="I405" s="38" t="str">
        <x:v>全局材料</x:v>
      </x:c>
      <x:c r="J405" s="38" t="str">
        <x:v>大卢恩</x:v>
      </x:c>
      <x:c r="K405" s="38" t="str">
        <x:v>大卢恩</x:v>
      </x:c>
      <x:c r="L405" s="38" t="str">
        <x:v>待经济反算</x:v>
      </x:c>
      <x:c r="M405" s="38" t="str">
        <x:v>待经济反算</x:v>
      </x:c>
      <x:c r="N405" s="38" t="str">
        <x:v>是</x:v>
      </x:c>
      <x:c r="O405" s="38" t="str">
        <x:v>否</x:v>
      </x:c>
      <x:c r="P405" s="38" t="str">
        <x:v>否</x:v>
      </x:c>
      <x:c r="Q405" s="38" t="str">
        <x:v>是</x:v>
      </x:c>
      <x:c r="R405" s="38" t="str">
        <x:v>是</x:v>
      </x:c>
      <x:c r="S405" s="38" t="str">
        <x:v>不进入玩家摆摊；通过交易物间接流通</x:v>
      </x:c>
      <x:c r="T405" s="38" t="str">
        <x:v>货币本身不可回收</x:v>
      </x:c>
      <x:c r="U405" s="38" t="str">
        <x:v>沿用现行货币账户</x:v>
      </x:c>
      <x:c r="V405" s="38" t="str">
        <x:v>结构已确认；数量待经济反算</x:v>
      </x:c>
      <x:c r="W405" s="39" t="str"/>
    </x:row>
    <x:row r="406" ht="42" customHeight="1">
      <x:c r="A406" s="37" t="str">
        <x:v>CON-C08-REBIRTH-13-0402</x:v>
      </x:c>
      <x:c r="B406" s="38" t="str">
        <x:v>配方输入</x:v>
      </x:c>
      <x:c r="C406" s="38" t="str">
        <x:v>C08-REBIRTH-13</x:v>
      </x:c>
      <x:c r="D406" s="38" t="str">
        <x:v>C08</x:v>
      </x:c>
      <x:c r="E406" s="38" t="str">
        <x:v>CUR-GOLD</x:v>
      </x:c>
      <x:c r="F406" s="38" t="str">
        <x:v>金币</x:v>
      </x:c>
      <x:c r="G406" s="38" t="str"/>
      <x:c r="H406" s="38" t="str">
        <x:v>金币/元宝/灵符</x:v>
      </x:c>
      <x:c r="I406" s="38" t="str">
        <x:v>货币</x:v>
      </x:c>
      <x:c r="J406" s="38" t="str">
        <x:v>金币＋元宝</x:v>
      </x:c>
      <x:c r="K406" s="38" t="str">
        <x:v>金币</x:v>
      </x:c>
      <x:c r="L406" s="38" t="str">
        <x:v>待经济反算</x:v>
      </x:c>
      <x:c r="M406" s="38" t="str">
        <x:v>待经济反算</x:v>
      </x:c>
      <x:c r="N406" s="38" t="str">
        <x:v>是</x:v>
      </x:c>
      <x:c r="O406" s="38" t="str">
        <x:v>否</x:v>
      </x:c>
      <x:c r="P406" s="38" t="str">
        <x:v>否</x:v>
      </x:c>
      <x:c r="Q406" s="38" t="str">
        <x:v>是</x:v>
      </x:c>
      <x:c r="R406" s="38" t="str">
        <x:v>是</x:v>
      </x:c>
      <x:c r="S406" s="38" t="str">
        <x:v>不进入玩家摆摊；通过交易物间接流通</x:v>
      </x:c>
      <x:c r="T406" s="38" t="str">
        <x:v>货币本身不可回收</x:v>
      </x:c>
      <x:c r="U406" s="38" t="str">
        <x:v>沿用现行货币账户</x:v>
      </x:c>
      <x:c r="V406" s="38" t="str">
        <x:v>结构已确认；数量待经济反算</x:v>
      </x:c>
      <x:c r="W406" s="39" t="str"/>
    </x:row>
    <x:row r="407" ht="42" customHeight="1">
      <x:c r="A407" s="37" t="str">
        <x:v>CON-C08-REBIRTH-13-0403</x:v>
      </x:c>
      <x:c r="B407" s="38" t="str">
        <x:v>配方输入</x:v>
      </x:c>
      <x:c r="C407" s="38" t="str">
        <x:v>C08-REBIRTH-13</x:v>
      </x:c>
      <x:c r="D407" s="38" t="str">
        <x:v>C08</x:v>
      </x:c>
      <x:c r="E407" s="38" t="str">
        <x:v>CUR-YUANBAO</x:v>
      </x:c>
      <x:c r="F407" s="38" t="str">
        <x:v>元宝</x:v>
      </x:c>
      <x:c r="G407" s="38" t="str"/>
      <x:c r="H407" s="38" t="str">
        <x:v>金币/元宝/灵符</x:v>
      </x:c>
      <x:c r="I407" s="38" t="str">
        <x:v>货币</x:v>
      </x:c>
      <x:c r="J407" s="38" t="str">
        <x:v>金币＋元宝</x:v>
      </x:c>
      <x:c r="K407" s="38" t="str">
        <x:v>元宝</x:v>
      </x:c>
      <x:c r="L407" s="38" t="str">
        <x:v>待经济反算</x:v>
      </x:c>
      <x:c r="M407" s="38" t="str">
        <x:v>待经济反算</x:v>
      </x:c>
      <x:c r="N407" s="38" t="str">
        <x:v>是</x:v>
      </x:c>
      <x:c r="O407" s="38" t="str">
        <x:v>否</x:v>
      </x:c>
      <x:c r="P407" s="38" t="str">
        <x:v>否</x:v>
      </x:c>
      <x:c r="Q407" s="38" t="str">
        <x:v>是</x:v>
      </x:c>
      <x:c r="R407" s="38" t="str">
        <x:v>是</x:v>
      </x:c>
      <x:c r="S407" s="38" t="str">
        <x:v>不进入玩家摆摊；通过交易物间接流通</x:v>
      </x:c>
      <x:c r="T407" s="38" t="str">
        <x:v>货币本身不可回收</x:v>
      </x:c>
      <x:c r="U407" s="38" t="str">
        <x:v>沿用现行货币账户</x:v>
      </x:c>
      <x:c r="V407" s="38" t="str">
        <x:v>结构已确认；数量待经济反算</x:v>
      </x:c>
      <x:c r="W407" s="39" t="str"/>
    </x:row>
    <x:row r="408" ht="42" customHeight="1">
      <x:c r="A408" s="37" t="str">
        <x:v>CON-C08-REBIRTH-14-0404</x:v>
      </x:c>
      <x:c r="B408" s="38" t="str">
        <x:v>配方输入</x:v>
      </x:c>
      <x:c r="C408" s="38" t="str">
        <x:v>C08-REBIRTH-14</x:v>
      </x:c>
      <x:c r="D408" s="38" t="str">
        <x:v>C08</x:v>
      </x:c>
      <x:c r="E408" s="38" t="str">
        <x:v>REQ-7ADFDCEDBE70</x:v>
      </x:c>
      <x:c r="F408" s="38" t="str">
        <x:v>第13转</x:v>
      </x:c>
      <x:c r="G408" s="38" t="str"/>
      <x:c r="H408" s="38" t="str">
        <x:v>基础件/前置</x:v>
      </x:c>
      <x:c r="I408" s="38" t="str">
        <x:v>基础件/前置</x:v>
      </x:c>
      <x:c r="J408" s="38" t="str">
        <x:v>第13转</x:v>
      </x:c>
      <x:c r="K408" s="38" t="str">
        <x:v>第13转</x:v>
      </x:c>
      <x:c r="L408" s="38" t="str">
        <x:v>待经济反算</x:v>
      </x:c>
      <x:c r="M408" s="38" t="str">
        <x:v>待经济反算</x:v>
      </x:c>
      <x:c r="N408" s="38" t="str">
        <x:v>否</x:v>
      </x:c>
      <x:c r="O408" s="38" t="str">
        <x:v>是</x:v>
      </x:c>
      <x:c r="P408" s="38" t="str">
        <x:v>否</x:v>
      </x:c>
      <x:c r="Q408" s="38" t="str">
        <x:v>是</x:v>
      </x:c>
      <x:c r="R408" s="38" t="str">
        <x:v>是</x:v>
      </x:c>
      <x:c r="S408" s="38" t="str">
        <x:v>不可交易</x:v>
      </x:c>
      <x:c r="T408" s="38" t="str">
        <x:v>不适用</x:v>
      </x:c>
      <x:c r="U408" s="38" t="str">
        <x:v>角色状态</x:v>
      </x:c>
      <x:c r="V408" s="38" t="str">
        <x:v>结构已确认；数量待经济反算</x:v>
      </x:c>
      <x:c r="W408" s="39" t="str"/>
    </x:row>
    <x:row r="409" ht="42" customHeight="1">
      <x:c r="A409" s="37" t="str">
        <x:v>CON-C08-REBIRTH-14-0405</x:v>
      </x:c>
      <x:c r="B409" s="38" t="str">
        <x:v>配方输入</x:v>
      </x:c>
      <x:c r="C409" s="38" t="str">
        <x:v>C08-REBIRTH-14</x:v>
      </x:c>
      <x:c r="D409" s="38" t="str">
        <x:v>C08</x:v>
      </x:c>
      <x:c r="E409" s="38" t="str">
        <x:v>EL-MAT-C08-COM</x:v>
      </x:c>
      <x:c r="F409" s="38" t="str">
        <x:v>霜脊铁</x:v>
      </x:c>
      <x:c r="G409" s="38" t="str"/>
      <x:c r="H409" s="38" t="str">
        <x:v>高产通用材料</x:v>
      </x:c>
      <x:c r="I409" s="38" t="str">
        <x:v>高产通用材料</x:v>
      </x:c>
      <x:c r="J409" s="38" t="str">
        <x:v>霜脊铁</x:v>
      </x:c>
      <x:c r="K409" s="38" t="str">
        <x:v>霜脊铁</x:v>
      </x:c>
      <x:c r="L409" s="38" t="str">
        <x:v>待经济反算</x:v>
      </x:c>
      <x:c r="M409" s="38" t="str">
        <x:v>待经济反算</x:v>
      </x:c>
      <x:c r="N409" s="38" t="str">
        <x:v>是</x:v>
      </x:c>
      <x:c r="O409" s="38" t="str">
        <x:v>否</x:v>
      </x:c>
      <x:c r="P409" s="38" t="str">
        <x:v>否</x:v>
      </x:c>
      <x:c r="Q409" s="38" t="str">
        <x:v>是</x:v>
      </x:c>
      <x:c r="R409" s="38" t="str">
        <x:v>是</x:v>
      </x:c>
      <x:c r="S409" s="38" t="str">
        <x:v>可交易</x:v>
      </x:c>
      <x:c r="T409" s="38" t="str">
        <x:v>R8档金币／元宝主回收口</x:v>
      </x:c>
      <x:c r="U409" s="38" t="str">
        <x:v>产出实物默认不绑定，按现行材料脚本</x:v>
      </x:c>
      <x:c r="V409" s="38" t="str">
        <x:v>结构已确认；数量待经济反算</x:v>
      </x:c>
      <x:c r="W409" s="39" t="str"/>
    </x:row>
    <x:row r="410" ht="42" customHeight="1">
      <x:c r="A410" s="37" t="str">
        <x:v>CON-C08-REBIRTH-14-0406</x:v>
      </x:c>
      <x:c r="B410" s="38" t="str">
        <x:v>配方输入</x:v>
      </x:c>
      <x:c r="C410" s="38" t="str">
        <x:v>C08-REBIRTH-14</x:v>
      </x:c>
      <x:c r="D410" s="38" t="str">
        <x:v>C08</x:v>
      </x:c>
      <x:c r="E410" s="38" t="str">
        <x:v>EL-MAT-C08-Q02</x:v>
      </x:c>
      <x:c r="F410" s="38" t="str">
        <x:v>裂峰号角片</x:v>
      </x:c>
      <x:c r="G410" s="38" t="str"/>
      <x:c r="H410" s="38" t="str">
        <x:v>稀有/证物材料</x:v>
      </x:c>
      <x:c r="I410" s="38" t="str">
        <x:v>稀有/证物材料</x:v>
      </x:c>
      <x:c r="J410" s="38" t="str">
        <x:v>裂峰号角片＋巨人火种＋巨人火印</x:v>
      </x:c>
      <x:c r="K410" s="38" t="str">
        <x:v>裂峰号角片</x:v>
      </x:c>
      <x:c r="L410" s="38" t="str">
        <x:v>待经济反算</x:v>
      </x:c>
      <x:c r="M410" s="38" t="str">
        <x:v>待经济反算</x:v>
      </x:c>
      <x:c r="N410" s="38" t="str">
        <x:v>是</x:v>
      </x:c>
      <x:c r="O410" s="38" t="str">
        <x:v>否</x:v>
      </x:c>
      <x:c r="P410" s="38" t="str">
        <x:v>否</x:v>
      </x:c>
      <x:c r="Q410" s="38" t="str">
        <x:v>是</x:v>
      </x:c>
      <x:c r="R410" s="38" t="str">
        <x:v>是</x:v>
      </x:c>
      <x:c r="S410" s="38" t="str">
        <x:v>可交易</x:v>
      </x:c>
      <x:c r="T410" s="38" t="str">
        <x:v>不作为自动回收主材</x:v>
      </x:c>
      <x:c r="U410" s="38" t="str">
        <x:v>产出实物默认不绑定，按现行材料脚本</x:v>
      </x:c>
      <x:c r="V410" s="38" t="str">
        <x:v>结构已确认；数量待经济反算</x:v>
      </x:c>
      <x:c r="W410" s="39" t="str"/>
    </x:row>
    <x:row r="411" ht="42" customHeight="1">
      <x:c r="A411" s="37" t="str">
        <x:v>CON-C08-REBIRTH-14-0407</x:v>
      </x:c>
      <x:c r="B411" s="38" t="str">
        <x:v>配方输入</x:v>
      </x:c>
      <x:c r="C411" s="38" t="str">
        <x:v>C08-REBIRTH-14</x:v>
      </x:c>
      <x:c r="D411" s="38" t="str">
        <x:v>C08</x:v>
      </x:c>
      <x:c r="E411" s="38" t="str">
        <x:v>EL-MAT-C08-RARE</x:v>
      </x:c>
      <x:c r="F411" s="38" t="str">
        <x:v>巨人火种</x:v>
      </x:c>
      <x:c r="G411" s="38" t="str"/>
      <x:c r="H411" s="38" t="str">
        <x:v>稀有/证物材料</x:v>
      </x:c>
      <x:c r="I411" s="38" t="str">
        <x:v>稀有/证物材料</x:v>
      </x:c>
      <x:c r="J411" s="38" t="str">
        <x:v>裂峰号角片＋巨人火种＋巨人火印</x:v>
      </x:c>
      <x:c r="K411" s="38" t="str">
        <x:v>巨人火种</x:v>
      </x:c>
      <x:c r="L411" s="38" t="str">
        <x:v>待经济反算</x:v>
      </x:c>
      <x:c r="M411" s="38" t="str">
        <x:v>待经济反算</x:v>
      </x:c>
      <x:c r="N411" s="38" t="str">
        <x:v>是</x:v>
      </x:c>
      <x:c r="O411" s="38" t="str">
        <x:v>否</x:v>
      </x:c>
      <x:c r="P411" s="38" t="str">
        <x:v>否</x:v>
      </x:c>
      <x:c r="Q411" s="38" t="str">
        <x:v>是</x:v>
      </x:c>
      <x:c r="R411" s="38" t="str">
        <x:v>是</x:v>
      </x:c>
      <x:c r="S411" s="38" t="str">
        <x:v>可交易</x:v>
      </x:c>
      <x:c r="T411" s="38" t="str">
        <x:v>不作为自动回收主材</x:v>
      </x:c>
      <x:c r="U411" s="38" t="str">
        <x:v>产出实物默认不绑定，按现行材料脚本</x:v>
      </x:c>
      <x:c r="V411" s="38" t="str">
        <x:v>结构已确认；数量待经济反算</x:v>
      </x:c>
      <x:c r="W411" s="39" t="str"/>
    </x:row>
    <x:row r="412" ht="42" customHeight="1">
      <x:c r="A412" s="37" t="str">
        <x:v>CON-C08-REBIRTH-14-0408</x:v>
      </x:c>
      <x:c r="B412" s="38" t="str">
        <x:v>配方输入</x:v>
      </x:c>
      <x:c r="C412" s="38" t="str">
        <x:v>C08-REBIRTH-14</x:v>
      </x:c>
      <x:c r="D412" s="38" t="str">
        <x:v>C08</x:v>
      </x:c>
      <x:c r="E412" s="38" t="str">
        <x:v>EL-MAT-C08-MARK</x:v>
      </x:c>
      <x:c r="F412" s="38" t="str">
        <x:v>巨人火印</x:v>
      </x:c>
      <x:c r="G412" s="38" t="str"/>
      <x:c r="H412" s="38" t="str">
        <x:v>稀有/证物材料</x:v>
      </x:c>
      <x:c r="I412" s="38" t="str">
        <x:v>稀有/证物材料</x:v>
      </x:c>
      <x:c r="J412" s="38" t="str">
        <x:v>裂峰号角片＋巨人火种＋巨人火印</x:v>
      </x:c>
      <x:c r="K412" s="38" t="str">
        <x:v>巨人火印</x:v>
      </x:c>
      <x:c r="L412" s="38" t="str">
        <x:v>待经济反算</x:v>
      </x:c>
      <x:c r="M412" s="38" t="str">
        <x:v>待经济反算</x:v>
      </x:c>
      <x:c r="N412" s="38" t="str">
        <x:v>是</x:v>
      </x:c>
      <x:c r="O412" s="38" t="str">
        <x:v>否</x:v>
      </x:c>
      <x:c r="P412" s="38" t="str">
        <x:v>否</x:v>
      </x:c>
      <x:c r="Q412" s="38" t="str">
        <x:v>是</x:v>
      </x:c>
      <x:c r="R412" s="38" t="str">
        <x:v>是</x:v>
      </x:c>
      <x:c r="S412" s="38" t="str">
        <x:v>可交易</x:v>
      </x:c>
      <x:c r="T412" s="38" t="str">
        <x:v>不作为自动回收主材</x:v>
      </x:c>
      <x:c r="U412" s="38" t="str">
        <x:v>产出实物默认不绑定，按现行材料脚本</x:v>
      </x:c>
      <x:c r="V412" s="38" t="str">
        <x:v>结构已确认；数量待经济反算</x:v>
      </x:c>
      <x:c r="W412" s="39" t="str"/>
    </x:row>
    <x:row r="413" ht="42" customHeight="1">
      <x:c r="A413" s="37" t="str">
        <x:v>CON-C08-REBIRTH-14-0409</x:v>
      </x:c>
      <x:c r="B413" s="38" t="str">
        <x:v>配方输入</x:v>
      </x:c>
      <x:c r="C413" s="38" t="str">
        <x:v>C08-REBIRTH-14</x:v>
      </x:c>
      <x:c r="D413" s="38" t="str">
        <x:v>C08</x:v>
      </x:c>
      <x:c r="E413" s="38" t="str">
        <x:v>CUR-LARGE-RUNE</x:v>
      </x:c>
      <x:c r="F413" s="38" t="str">
        <x:v>大卢恩</x:v>
      </x:c>
      <x:c r="G413" s="38" t="str"/>
      <x:c r="H413" s="38" t="str">
        <x:v>全局材料</x:v>
      </x:c>
      <x:c r="I413" s="38" t="str">
        <x:v>全局材料</x:v>
      </x:c>
      <x:c r="J413" s="38" t="str">
        <x:v>大卢恩</x:v>
      </x:c>
      <x:c r="K413" s="38" t="str">
        <x:v>大卢恩</x:v>
      </x:c>
      <x:c r="L413" s="38" t="str">
        <x:v>待经济反算</x:v>
      </x:c>
      <x:c r="M413" s="38" t="str">
        <x:v>待经济反算</x:v>
      </x:c>
      <x:c r="N413" s="38" t="str">
        <x:v>是</x:v>
      </x:c>
      <x:c r="O413" s="38" t="str">
        <x:v>否</x:v>
      </x:c>
      <x:c r="P413" s="38" t="str">
        <x:v>否</x:v>
      </x:c>
      <x:c r="Q413" s="38" t="str">
        <x:v>是</x:v>
      </x:c>
      <x:c r="R413" s="38" t="str">
        <x:v>是</x:v>
      </x:c>
      <x:c r="S413" s="38" t="str">
        <x:v>不进入玩家摆摊；通过交易物间接流通</x:v>
      </x:c>
      <x:c r="T413" s="38" t="str">
        <x:v>货币本身不可回收</x:v>
      </x:c>
      <x:c r="U413" s="38" t="str">
        <x:v>沿用现行货币账户</x:v>
      </x:c>
      <x:c r="V413" s="38" t="str">
        <x:v>结构已确认；数量待经济反算</x:v>
      </x:c>
      <x:c r="W413" s="39" t="str"/>
    </x:row>
    <x:row r="414" ht="42" customHeight="1">
      <x:c r="A414" s="37" t="str">
        <x:v>CON-C08-REBIRTH-14-0410</x:v>
      </x:c>
      <x:c r="B414" s="38" t="str">
        <x:v>配方输入</x:v>
      </x:c>
      <x:c r="C414" s="38" t="str">
        <x:v>C08-REBIRTH-14</x:v>
      </x:c>
      <x:c r="D414" s="38" t="str">
        <x:v>C08</x:v>
      </x:c>
      <x:c r="E414" s="38" t="str">
        <x:v>CUR-GOLD</x:v>
      </x:c>
      <x:c r="F414" s="38" t="str">
        <x:v>金币</x:v>
      </x:c>
      <x:c r="G414" s="38" t="str"/>
      <x:c r="H414" s="38" t="str">
        <x:v>金币/元宝/灵符</x:v>
      </x:c>
      <x:c r="I414" s="38" t="str">
        <x:v>货币</x:v>
      </x:c>
      <x:c r="J414" s="38" t="str">
        <x:v>金币＋元宝</x:v>
      </x:c>
      <x:c r="K414" s="38" t="str">
        <x:v>金币</x:v>
      </x:c>
      <x:c r="L414" s="38" t="str">
        <x:v>待经济反算</x:v>
      </x:c>
      <x:c r="M414" s="38" t="str">
        <x:v>待经济反算</x:v>
      </x:c>
      <x:c r="N414" s="38" t="str">
        <x:v>是</x:v>
      </x:c>
      <x:c r="O414" s="38" t="str">
        <x:v>否</x:v>
      </x:c>
      <x:c r="P414" s="38" t="str">
        <x:v>否</x:v>
      </x:c>
      <x:c r="Q414" s="38" t="str">
        <x:v>是</x:v>
      </x:c>
      <x:c r="R414" s="38" t="str">
        <x:v>是</x:v>
      </x:c>
      <x:c r="S414" s="38" t="str">
        <x:v>不进入玩家摆摊；通过交易物间接流通</x:v>
      </x:c>
      <x:c r="T414" s="38" t="str">
        <x:v>货币本身不可回收</x:v>
      </x:c>
      <x:c r="U414" s="38" t="str">
        <x:v>沿用现行货币账户</x:v>
      </x:c>
      <x:c r="V414" s="38" t="str">
        <x:v>结构已确认；数量待经济反算</x:v>
      </x:c>
      <x:c r="W414" s="39" t="str"/>
    </x:row>
    <x:row r="415" ht="42" customHeight="1">
      <x:c r="A415" s="37" t="str">
        <x:v>CON-C08-REBIRTH-14-0411</x:v>
      </x:c>
      <x:c r="B415" s="38" t="str">
        <x:v>配方输入</x:v>
      </x:c>
      <x:c r="C415" s="38" t="str">
        <x:v>C08-REBIRTH-14</x:v>
      </x:c>
      <x:c r="D415" s="38" t="str">
        <x:v>C08</x:v>
      </x:c>
      <x:c r="E415" s="38" t="str">
        <x:v>CUR-YUANBAO</x:v>
      </x:c>
      <x:c r="F415" s="38" t="str">
        <x:v>元宝</x:v>
      </x:c>
      <x:c r="G415" s="38" t="str"/>
      <x:c r="H415" s="38" t="str">
        <x:v>金币/元宝/灵符</x:v>
      </x:c>
      <x:c r="I415" s="38" t="str">
        <x:v>货币</x:v>
      </x:c>
      <x:c r="J415" s="38" t="str">
        <x:v>金币＋元宝</x:v>
      </x:c>
      <x:c r="K415" s="38" t="str">
        <x:v>元宝</x:v>
      </x:c>
      <x:c r="L415" s="38" t="str">
        <x:v>待经济反算</x:v>
      </x:c>
      <x:c r="M415" s="38" t="str">
        <x:v>待经济反算</x:v>
      </x:c>
      <x:c r="N415" s="38" t="str">
        <x:v>是</x:v>
      </x:c>
      <x:c r="O415" s="38" t="str">
        <x:v>否</x:v>
      </x:c>
      <x:c r="P415" s="38" t="str">
        <x:v>否</x:v>
      </x:c>
      <x:c r="Q415" s="38" t="str">
        <x:v>是</x:v>
      </x:c>
      <x:c r="R415" s="38" t="str">
        <x:v>是</x:v>
      </x:c>
      <x:c r="S415" s="38" t="str">
        <x:v>不进入玩家摆摊；通过交易物间接流通</x:v>
      </x:c>
      <x:c r="T415" s="38" t="str">
        <x:v>货币本身不可回收</x:v>
      </x:c>
      <x:c r="U415" s="38" t="str">
        <x:v>沿用现行货币账户</x:v>
      </x:c>
      <x:c r="V415" s="38" t="str">
        <x:v>结构已确认；数量待经济反算</x:v>
      </x:c>
      <x:c r="W415" s="39" t="str"/>
    </x:row>
    <x:row r="416" ht="42" customHeight="1">
      <x:c r="A416" s="37" t="str">
        <x:v>CON-C08-REBIRTH-15-0412</x:v>
      </x:c>
      <x:c r="B416" s="38" t="str">
        <x:v>配方输入</x:v>
      </x:c>
      <x:c r="C416" s="38" t="str">
        <x:v>C08-REBIRTH-15</x:v>
      </x:c>
      <x:c r="D416" s="38" t="str">
        <x:v>C08</x:v>
      </x:c>
      <x:c r="E416" s="38" t="str">
        <x:v>REQ-7D116170D022</x:v>
      </x:c>
      <x:c r="F416" s="38" t="str">
        <x:v>第14转</x:v>
      </x:c>
      <x:c r="G416" s="38" t="str"/>
      <x:c r="H416" s="38" t="str">
        <x:v>基础件/前置</x:v>
      </x:c>
      <x:c r="I416" s="38" t="str">
        <x:v>基础件/前置</x:v>
      </x:c>
      <x:c r="J416" s="38" t="str">
        <x:v>第14转</x:v>
      </x:c>
      <x:c r="K416" s="38" t="str">
        <x:v>第14转</x:v>
      </x:c>
      <x:c r="L416" s="38" t="str">
        <x:v>待经济反算</x:v>
      </x:c>
      <x:c r="M416" s="38" t="str">
        <x:v>待经济反算</x:v>
      </x:c>
      <x:c r="N416" s="38" t="str">
        <x:v>否</x:v>
      </x:c>
      <x:c r="O416" s="38" t="str">
        <x:v>是</x:v>
      </x:c>
      <x:c r="P416" s="38" t="str">
        <x:v>否</x:v>
      </x:c>
      <x:c r="Q416" s="38" t="str">
        <x:v>是</x:v>
      </x:c>
      <x:c r="R416" s="38" t="str">
        <x:v>是</x:v>
      </x:c>
      <x:c r="S416" s="38" t="str">
        <x:v>不可交易</x:v>
      </x:c>
      <x:c r="T416" s="38" t="str">
        <x:v>不适用</x:v>
      </x:c>
      <x:c r="U416" s="38" t="str">
        <x:v>角色状态</x:v>
      </x:c>
      <x:c r="V416" s="38" t="str">
        <x:v>结构已确认；数量待经济反算</x:v>
      </x:c>
      <x:c r="W416" s="39" t="str"/>
    </x:row>
    <x:row r="417" ht="42" customHeight="1">
      <x:c r="A417" s="37" t="str">
        <x:v>CON-C08-REBIRTH-15-0413</x:v>
      </x:c>
      <x:c r="B417" s="38" t="str">
        <x:v>配方输入</x:v>
      </x:c>
      <x:c r="C417" s="38" t="str">
        <x:v>C08-REBIRTH-15</x:v>
      </x:c>
      <x:c r="D417" s="38" t="str">
        <x:v>C08</x:v>
      </x:c>
      <x:c r="E417" s="38" t="str">
        <x:v>EL-MAT-C08-COM</x:v>
      </x:c>
      <x:c r="F417" s="38" t="str">
        <x:v>霜脊铁</x:v>
      </x:c>
      <x:c r="G417" s="38" t="str"/>
      <x:c r="H417" s="38" t="str">
        <x:v>高产通用材料</x:v>
      </x:c>
      <x:c r="I417" s="38" t="str">
        <x:v>高产通用材料</x:v>
      </x:c>
      <x:c r="J417" s="38" t="str">
        <x:v>霜脊铁</x:v>
      </x:c>
      <x:c r="K417" s="38" t="str">
        <x:v>霜脊铁</x:v>
      </x:c>
      <x:c r="L417" s="38" t="str">
        <x:v>待经济反算</x:v>
      </x:c>
      <x:c r="M417" s="38" t="str">
        <x:v>待经济反算</x:v>
      </x:c>
      <x:c r="N417" s="38" t="str">
        <x:v>是</x:v>
      </x:c>
      <x:c r="O417" s="38" t="str">
        <x:v>否</x:v>
      </x:c>
      <x:c r="P417" s="38" t="str">
        <x:v>否</x:v>
      </x:c>
      <x:c r="Q417" s="38" t="str">
        <x:v>是</x:v>
      </x:c>
      <x:c r="R417" s="38" t="str">
        <x:v>是</x:v>
      </x:c>
      <x:c r="S417" s="38" t="str">
        <x:v>可交易</x:v>
      </x:c>
      <x:c r="T417" s="38" t="str">
        <x:v>R8档金币／元宝主回收口</x:v>
      </x:c>
      <x:c r="U417" s="38" t="str">
        <x:v>产出实物默认不绑定，按现行材料脚本</x:v>
      </x:c>
      <x:c r="V417" s="38" t="str">
        <x:v>结构已确认；数量待经济反算</x:v>
      </x:c>
      <x:c r="W417" s="39" t="str"/>
    </x:row>
    <x:row r="418" ht="42" customHeight="1">
      <x:c r="A418" s="37" t="str">
        <x:v>CON-C08-REBIRTH-15-0414</x:v>
      </x:c>
      <x:c r="B418" s="38" t="str">
        <x:v>配方输入</x:v>
      </x:c>
      <x:c r="C418" s="38" t="str">
        <x:v>C08-REBIRTH-15</x:v>
      </x:c>
      <x:c r="D418" s="38" t="str">
        <x:v>C08</x:v>
      </x:c>
      <x:c r="E418" s="38" t="str">
        <x:v>EL-MAT-C08-Q02</x:v>
      </x:c>
      <x:c r="F418" s="38" t="str">
        <x:v>裂峰号角片</x:v>
      </x:c>
      <x:c r="G418" s="38" t="str"/>
      <x:c r="H418" s="38" t="str">
        <x:v>稀有/证物材料</x:v>
      </x:c>
      <x:c r="I418" s="38" t="str">
        <x:v>稀有/证物材料</x:v>
      </x:c>
      <x:c r="J418" s="38" t="str">
        <x:v>裂峰号角片＋巨人火种＋巨人火印</x:v>
      </x:c>
      <x:c r="K418" s="38" t="str">
        <x:v>裂峰号角片</x:v>
      </x:c>
      <x:c r="L418" s="38" t="str">
        <x:v>待经济反算</x:v>
      </x:c>
      <x:c r="M418" s="38" t="str">
        <x:v>待经济反算</x:v>
      </x:c>
      <x:c r="N418" s="38" t="str">
        <x:v>是</x:v>
      </x:c>
      <x:c r="O418" s="38" t="str">
        <x:v>否</x:v>
      </x:c>
      <x:c r="P418" s="38" t="str">
        <x:v>否</x:v>
      </x:c>
      <x:c r="Q418" s="38" t="str">
        <x:v>是</x:v>
      </x:c>
      <x:c r="R418" s="38" t="str">
        <x:v>是</x:v>
      </x:c>
      <x:c r="S418" s="38" t="str">
        <x:v>可交易</x:v>
      </x:c>
      <x:c r="T418" s="38" t="str">
        <x:v>不作为自动回收主材</x:v>
      </x:c>
      <x:c r="U418" s="38" t="str">
        <x:v>产出实物默认不绑定，按现行材料脚本</x:v>
      </x:c>
      <x:c r="V418" s="38" t="str">
        <x:v>结构已确认；数量待经济反算</x:v>
      </x:c>
      <x:c r="W418" s="39" t="str"/>
    </x:row>
    <x:row r="419" ht="42" customHeight="1">
      <x:c r="A419" s="37" t="str">
        <x:v>CON-C08-REBIRTH-15-0415</x:v>
      </x:c>
      <x:c r="B419" s="38" t="str">
        <x:v>配方输入</x:v>
      </x:c>
      <x:c r="C419" s="38" t="str">
        <x:v>C08-REBIRTH-15</x:v>
      </x:c>
      <x:c r="D419" s="38" t="str">
        <x:v>C08</x:v>
      </x:c>
      <x:c r="E419" s="38" t="str">
        <x:v>EL-MAT-C08-RARE</x:v>
      </x:c>
      <x:c r="F419" s="38" t="str">
        <x:v>巨人火种</x:v>
      </x:c>
      <x:c r="G419" s="38" t="str"/>
      <x:c r="H419" s="38" t="str">
        <x:v>稀有/证物材料</x:v>
      </x:c>
      <x:c r="I419" s="38" t="str">
        <x:v>稀有/证物材料</x:v>
      </x:c>
      <x:c r="J419" s="38" t="str">
        <x:v>裂峰号角片＋巨人火种＋巨人火印</x:v>
      </x:c>
      <x:c r="K419" s="38" t="str">
        <x:v>巨人火种</x:v>
      </x:c>
      <x:c r="L419" s="38" t="str">
        <x:v>待经济反算</x:v>
      </x:c>
      <x:c r="M419" s="38" t="str">
        <x:v>待经济反算</x:v>
      </x:c>
      <x:c r="N419" s="38" t="str">
        <x:v>是</x:v>
      </x:c>
      <x:c r="O419" s="38" t="str">
        <x:v>否</x:v>
      </x:c>
      <x:c r="P419" s="38" t="str">
        <x:v>否</x:v>
      </x:c>
      <x:c r="Q419" s="38" t="str">
        <x:v>是</x:v>
      </x:c>
      <x:c r="R419" s="38" t="str">
        <x:v>是</x:v>
      </x:c>
      <x:c r="S419" s="38" t="str">
        <x:v>可交易</x:v>
      </x:c>
      <x:c r="T419" s="38" t="str">
        <x:v>不作为自动回收主材</x:v>
      </x:c>
      <x:c r="U419" s="38" t="str">
        <x:v>产出实物默认不绑定，按现行材料脚本</x:v>
      </x:c>
      <x:c r="V419" s="38" t="str">
        <x:v>结构已确认；数量待经济反算</x:v>
      </x:c>
      <x:c r="W419" s="39" t="str"/>
    </x:row>
    <x:row r="420" ht="42" customHeight="1">
      <x:c r="A420" s="37" t="str">
        <x:v>CON-C08-REBIRTH-15-0416</x:v>
      </x:c>
      <x:c r="B420" s="38" t="str">
        <x:v>配方输入</x:v>
      </x:c>
      <x:c r="C420" s="38" t="str">
        <x:v>C08-REBIRTH-15</x:v>
      </x:c>
      <x:c r="D420" s="38" t="str">
        <x:v>C08</x:v>
      </x:c>
      <x:c r="E420" s="38" t="str">
        <x:v>EL-MAT-C08-MARK</x:v>
      </x:c>
      <x:c r="F420" s="38" t="str">
        <x:v>巨人火印</x:v>
      </x:c>
      <x:c r="G420" s="38" t="str"/>
      <x:c r="H420" s="38" t="str">
        <x:v>稀有/证物材料</x:v>
      </x:c>
      <x:c r="I420" s="38" t="str">
        <x:v>稀有/证物材料</x:v>
      </x:c>
      <x:c r="J420" s="38" t="str">
        <x:v>裂峰号角片＋巨人火种＋巨人火印</x:v>
      </x:c>
      <x:c r="K420" s="38" t="str">
        <x:v>巨人火印</x:v>
      </x:c>
      <x:c r="L420" s="38" t="str">
        <x:v>待经济反算</x:v>
      </x:c>
      <x:c r="M420" s="38" t="str">
        <x:v>待经济反算</x:v>
      </x:c>
      <x:c r="N420" s="38" t="str">
        <x:v>是</x:v>
      </x:c>
      <x:c r="O420" s="38" t="str">
        <x:v>否</x:v>
      </x:c>
      <x:c r="P420" s="38" t="str">
        <x:v>否</x:v>
      </x:c>
      <x:c r="Q420" s="38" t="str">
        <x:v>是</x:v>
      </x:c>
      <x:c r="R420" s="38" t="str">
        <x:v>是</x:v>
      </x:c>
      <x:c r="S420" s="38" t="str">
        <x:v>可交易</x:v>
      </x:c>
      <x:c r="T420" s="38" t="str">
        <x:v>不作为自动回收主材</x:v>
      </x:c>
      <x:c r="U420" s="38" t="str">
        <x:v>产出实物默认不绑定，按现行材料脚本</x:v>
      </x:c>
      <x:c r="V420" s="38" t="str">
        <x:v>结构已确认；数量待经济反算</x:v>
      </x:c>
      <x:c r="W420" s="39" t="str"/>
    </x:row>
    <x:row r="421" ht="42" customHeight="1">
      <x:c r="A421" s="37" t="str">
        <x:v>CON-C08-REBIRTH-15-0417</x:v>
      </x:c>
      <x:c r="B421" s="38" t="str">
        <x:v>配方输入</x:v>
      </x:c>
      <x:c r="C421" s="38" t="str">
        <x:v>C08-REBIRTH-15</x:v>
      </x:c>
      <x:c r="D421" s="38" t="str">
        <x:v>C08</x:v>
      </x:c>
      <x:c r="E421" s="38" t="str">
        <x:v>CUR-LARGE-RUNE</x:v>
      </x:c>
      <x:c r="F421" s="38" t="str">
        <x:v>大卢恩</x:v>
      </x:c>
      <x:c r="G421" s="38" t="str"/>
      <x:c r="H421" s="38" t="str">
        <x:v>全局材料</x:v>
      </x:c>
      <x:c r="I421" s="38" t="str">
        <x:v>全局材料</x:v>
      </x:c>
      <x:c r="J421" s="38" t="str">
        <x:v>大卢恩</x:v>
      </x:c>
      <x:c r="K421" s="38" t="str">
        <x:v>大卢恩</x:v>
      </x:c>
      <x:c r="L421" s="38" t="str">
        <x:v>待经济反算</x:v>
      </x:c>
      <x:c r="M421" s="38" t="str">
        <x:v>待经济反算</x:v>
      </x:c>
      <x:c r="N421" s="38" t="str">
        <x:v>是</x:v>
      </x:c>
      <x:c r="O421" s="38" t="str">
        <x:v>否</x:v>
      </x:c>
      <x:c r="P421" s="38" t="str">
        <x:v>否</x:v>
      </x:c>
      <x:c r="Q421" s="38" t="str">
        <x:v>是</x:v>
      </x:c>
      <x:c r="R421" s="38" t="str">
        <x:v>是</x:v>
      </x:c>
      <x:c r="S421" s="38" t="str">
        <x:v>不进入玩家摆摊；通过交易物间接流通</x:v>
      </x:c>
      <x:c r="T421" s="38" t="str">
        <x:v>货币本身不可回收</x:v>
      </x:c>
      <x:c r="U421" s="38" t="str">
        <x:v>沿用现行货币账户</x:v>
      </x:c>
      <x:c r="V421" s="38" t="str">
        <x:v>结构已确认；数量待经济反算</x:v>
      </x:c>
      <x:c r="W421" s="39" t="str"/>
    </x:row>
    <x:row r="422" ht="42" customHeight="1">
      <x:c r="A422" s="37" t="str">
        <x:v>CON-C08-REBIRTH-15-0418</x:v>
      </x:c>
      <x:c r="B422" s="38" t="str">
        <x:v>配方输入</x:v>
      </x:c>
      <x:c r="C422" s="38" t="str">
        <x:v>C08-REBIRTH-15</x:v>
      </x:c>
      <x:c r="D422" s="38" t="str">
        <x:v>C08</x:v>
      </x:c>
      <x:c r="E422" s="38" t="str">
        <x:v>CUR-GOLD</x:v>
      </x:c>
      <x:c r="F422" s="38" t="str">
        <x:v>金币</x:v>
      </x:c>
      <x:c r="G422" s="38" t="str"/>
      <x:c r="H422" s="38" t="str">
        <x:v>金币/元宝/灵符</x:v>
      </x:c>
      <x:c r="I422" s="38" t="str">
        <x:v>货币</x:v>
      </x:c>
      <x:c r="J422" s="38" t="str">
        <x:v>金币＋元宝</x:v>
      </x:c>
      <x:c r="K422" s="38" t="str">
        <x:v>金币</x:v>
      </x:c>
      <x:c r="L422" s="38" t="str">
        <x:v>待经济反算</x:v>
      </x:c>
      <x:c r="M422" s="38" t="str">
        <x:v>待经济反算</x:v>
      </x:c>
      <x:c r="N422" s="38" t="str">
        <x:v>是</x:v>
      </x:c>
      <x:c r="O422" s="38" t="str">
        <x:v>否</x:v>
      </x:c>
      <x:c r="P422" s="38" t="str">
        <x:v>否</x:v>
      </x:c>
      <x:c r="Q422" s="38" t="str">
        <x:v>是</x:v>
      </x:c>
      <x:c r="R422" s="38" t="str">
        <x:v>是</x:v>
      </x:c>
      <x:c r="S422" s="38" t="str">
        <x:v>不进入玩家摆摊；通过交易物间接流通</x:v>
      </x:c>
      <x:c r="T422" s="38" t="str">
        <x:v>货币本身不可回收</x:v>
      </x:c>
      <x:c r="U422" s="38" t="str">
        <x:v>沿用现行货币账户</x:v>
      </x:c>
      <x:c r="V422" s="38" t="str">
        <x:v>结构已确认；数量待经济反算</x:v>
      </x:c>
      <x:c r="W422" s="39" t="str"/>
    </x:row>
    <x:row r="423" ht="42" customHeight="1">
      <x:c r="A423" s="37" t="str">
        <x:v>CON-C08-REBIRTH-15-0419</x:v>
      </x:c>
      <x:c r="B423" s="38" t="str">
        <x:v>配方输入</x:v>
      </x:c>
      <x:c r="C423" s="38" t="str">
        <x:v>C08-REBIRTH-15</x:v>
      </x:c>
      <x:c r="D423" s="38" t="str">
        <x:v>C08</x:v>
      </x:c>
      <x:c r="E423" s="38" t="str">
        <x:v>CUR-YUANBAO</x:v>
      </x:c>
      <x:c r="F423" s="38" t="str">
        <x:v>元宝</x:v>
      </x:c>
      <x:c r="G423" s="38" t="str"/>
      <x:c r="H423" s="38" t="str">
        <x:v>金币/元宝/灵符</x:v>
      </x:c>
      <x:c r="I423" s="38" t="str">
        <x:v>货币</x:v>
      </x:c>
      <x:c r="J423" s="38" t="str">
        <x:v>金币＋元宝</x:v>
      </x:c>
      <x:c r="K423" s="38" t="str">
        <x:v>元宝</x:v>
      </x:c>
      <x:c r="L423" s="38" t="str">
        <x:v>待经济反算</x:v>
      </x:c>
      <x:c r="M423" s="38" t="str">
        <x:v>待经济反算</x:v>
      </x:c>
      <x:c r="N423" s="38" t="str">
        <x:v>是</x:v>
      </x:c>
      <x:c r="O423" s="38" t="str">
        <x:v>否</x:v>
      </x:c>
      <x:c r="P423" s="38" t="str">
        <x:v>否</x:v>
      </x:c>
      <x:c r="Q423" s="38" t="str">
        <x:v>是</x:v>
      </x:c>
      <x:c r="R423" s="38" t="str">
        <x:v>是</x:v>
      </x:c>
      <x:c r="S423" s="38" t="str">
        <x:v>不进入玩家摆摊；通过交易物间接流通</x:v>
      </x:c>
      <x:c r="T423" s="38" t="str">
        <x:v>货币本身不可回收</x:v>
      </x:c>
      <x:c r="U423" s="38" t="str">
        <x:v>沿用现行货币账户</x:v>
      </x:c>
      <x:c r="V423" s="38" t="str">
        <x:v>结构已确认；数量待经济反算</x:v>
      </x:c>
      <x:c r="W423" s="39" t="str"/>
    </x:row>
    <x:row r="424" ht="42" customHeight="1">
      <x:c r="A424" s="37" t="str">
        <x:v>CON-C10-REBIRTH-16-0420</x:v>
      </x:c>
      <x:c r="B424" s="38" t="str">
        <x:v>配方输入</x:v>
      </x:c>
      <x:c r="C424" s="38" t="str">
        <x:v>C10-REBIRTH-16</x:v>
      </x:c>
      <x:c r="D424" s="38" t="str">
        <x:v>C10</x:v>
      </x:c>
      <x:c r="E424" s="38" t="str">
        <x:v>REQ-E3D9F477DA7D</x:v>
      </x:c>
      <x:c r="F424" s="38" t="str">
        <x:v>第15转</x:v>
      </x:c>
      <x:c r="G424" s="38" t="str"/>
      <x:c r="H424" s="38" t="str">
        <x:v>基础件/前置</x:v>
      </x:c>
      <x:c r="I424" s="38" t="str">
        <x:v>基础件/前置</x:v>
      </x:c>
      <x:c r="J424" s="38" t="str">
        <x:v>第15转</x:v>
      </x:c>
      <x:c r="K424" s="38" t="str">
        <x:v>第15转</x:v>
      </x:c>
      <x:c r="L424" s="38" t="str">
        <x:v>待经济反算</x:v>
      </x:c>
      <x:c r="M424" s="38" t="str">
        <x:v>待经济反算</x:v>
      </x:c>
      <x:c r="N424" s="38" t="str">
        <x:v>否</x:v>
      </x:c>
      <x:c r="O424" s="38" t="str">
        <x:v>是</x:v>
      </x:c>
      <x:c r="P424" s="38" t="str">
        <x:v>否</x:v>
      </x:c>
      <x:c r="Q424" s="38" t="str">
        <x:v>是</x:v>
      </x:c>
      <x:c r="R424" s="38" t="str">
        <x:v>是</x:v>
      </x:c>
      <x:c r="S424" s="38" t="str">
        <x:v>不可交易</x:v>
      </x:c>
      <x:c r="T424" s="38" t="str">
        <x:v>不适用</x:v>
      </x:c>
      <x:c r="U424" s="38" t="str">
        <x:v>角色状态</x:v>
      </x:c>
      <x:c r="V424" s="38" t="str">
        <x:v>结构已确认；数量待经济反算</x:v>
      </x:c>
      <x:c r="W424" s="39" t="str"/>
    </x:row>
    <x:row r="425" ht="42" customHeight="1">
      <x:c r="A425" s="37" t="str">
        <x:v>CON-C10-REBIRTH-16-0421</x:v>
      </x:c>
      <x:c r="B425" s="38" t="str">
        <x:v>配方输入</x:v>
      </x:c>
      <x:c r="C425" s="38" t="str">
        <x:v>C10-REBIRTH-16</x:v>
      </x:c>
      <x:c r="D425" s="38" t="str">
        <x:v>C10</x:v>
      </x:c>
      <x:c r="E425" s="38" t="str">
        <x:v>EL-MAT-C10-COM</x:v>
      </x:c>
      <x:c r="F425" s="38" t="str">
        <x:v>王城金屑</x:v>
      </x:c>
      <x:c r="G425" s="38" t="str"/>
      <x:c r="H425" s="38" t="str">
        <x:v>高产通用材料</x:v>
      </x:c>
      <x:c r="I425" s="38" t="str">
        <x:v>高产通用材料</x:v>
      </x:c>
      <x:c r="J425" s="38" t="str">
        <x:v>王城金屑</x:v>
      </x:c>
      <x:c r="K425" s="38" t="str">
        <x:v>王城金屑</x:v>
      </x:c>
      <x:c r="L425" s="38" t="str">
        <x:v>待经济反算</x:v>
      </x:c>
      <x:c r="M425" s="38" t="str">
        <x:v>待经济反算</x:v>
      </x:c>
      <x:c r="N425" s="38" t="str">
        <x:v>是</x:v>
      </x:c>
      <x:c r="O425" s="38" t="str">
        <x:v>否</x:v>
      </x:c>
      <x:c r="P425" s="38" t="str">
        <x:v>否</x:v>
      </x:c>
      <x:c r="Q425" s="38" t="str">
        <x:v>是</x:v>
      </x:c>
      <x:c r="R425" s="38" t="str">
        <x:v>是</x:v>
      </x:c>
      <x:c r="S425" s="38" t="str">
        <x:v>可交易</x:v>
      </x:c>
      <x:c r="T425" s="38" t="str">
        <x:v>R10档金币／元宝主回收口</x:v>
      </x:c>
      <x:c r="U425" s="38" t="str">
        <x:v>产出实物默认不绑定，按现行材料脚本</x:v>
      </x:c>
      <x:c r="V425" s="38" t="str">
        <x:v>结构已确认；数量待经济反算</x:v>
      </x:c>
      <x:c r="W425" s="39" t="str"/>
    </x:row>
    <x:row r="426" ht="42" customHeight="1">
      <x:c r="A426" s="37" t="str">
        <x:v>CON-C10-REBIRTH-16-0422</x:v>
      </x:c>
      <x:c r="B426" s="38" t="str">
        <x:v>配方输入</x:v>
      </x:c>
      <x:c r="C426" s="38" t="str">
        <x:v>C10-REBIRTH-16</x:v>
      </x:c>
      <x:c r="D426" s="38" t="str">
        <x:v>C10</x:v>
      </x:c>
      <x:c r="E426" s="38" t="str">
        <x:v>EL-MAT-C10-RARE</x:v>
      </x:c>
      <x:c r="F426" s="38" t="str">
        <x:v>王宫律文</x:v>
      </x:c>
      <x:c r="G426" s="38" t="str"/>
      <x:c r="H426" s="38" t="str">
        <x:v>稀有/证物材料</x:v>
      </x:c>
      <x:c r="I426" s="38" t="str">
        <x:v>稀有/证物材料</x:v>
      </x:c>
      <x:c r="J426" s="38" t="str">
        <x:v>王宫律文＋王宫断冠片＋艾尔登王印</x:v>
      </x:c>
      <x:c r="K426" s="38" t="str">
        <x:v>王宫律文</x:v>
      </x:c>
      <x:c r="L426" s="38" t="str">
        <x:v>待经济反算</x:v>
      </x:c>
      <x:c r="M426" s="38" t="str">
        <x:v>待经济反算</x:v>
      </x:c>
      <x:c r="N426" s="38" t="str">
        <x:v>是</x:v>
      </x:c>
      <x:c r="O426" s="38" t="str">
        <x:v>否</x:v>
      </x:c>
      <x:c r="P426" s="38" t="str">
        <x:v>否</x:v>
      </x:c>
      <x:c r="Q426" s="38" t="str">
        <x:v>是</x:v>
      </x:c>
      <x:c r="R426" s="38" t="str">
        <x:v>是</x:v>
      </x:c>
      <x:c r="S426" s="38" t="str">
        <x:v>可交易</x:v>
      </x:c>
      <x:c r="T426" s="38" t="str">
        <x:v>不作为自动回收主材</x:v>
      </x:c>
      <x:c r="U426" s="38" t="str">
        <x:v>产出实物默认不绑定，按现行材料脚本</x:v>
      </x:c>
      <x:c r="V426" s="38" t="str">
        <x:v>结构已确认；数量待经济反算</x:v>
      </x:c>
      <x:c r="W426" s="39" t="str"/>
    </x:row>
    <x:row r="427" ht="42" customHeight="1">
      <x:c r="A427" s="37" t="str">
        <x:v>CON-C10-REBIRTH-16-0423</x:v>
      </x:c>
      <x:c r="B427" s="38" t="str">
        <x:v>配方输入</x:v>
      </x:c>
      <x:c r="C427" s="38" t="str">
        <x:v>C10-REBIRTH-16</x:v>
      </x:c>
      <x:c r="D427" s="38" t="str">
        <x:v>C10</x:v>
      </x:c>
      <x:c r="E427" s="38" t="str">
        <x:v>EL-MAT-C10-Q04</x:v>
      </x:c>
      <x:c r="F427" s="38" t="str">
        <x:v>王宫断冠片</x:v>
      </x:c>
      <x:c r="G427" s="38" t="str"/>
      <x:c r="H427" s="38" t="str">
        <x:v>稀有/证物材料</x:v>
      </x:c>
      <x:c r="I427" s="38" t="str">
        <x:v>稀有/证物材料</x:v>
      </x:c>
      <x:c r="J427" s="38" t="str">
        <x:v>王宫律文＋王宫断冠片＋艾尔登王印</x:v>
      </x:c>
      <x:c r="K427" s="38" t="str">
        <x:v>王宫断冠片</x:v>
      </x:c>
      <x:c r="L427" s="38" t="str">
        <x:v>待经济反算</x:v>
      </x:c>
      <x:c r="M427" s="38" t="str">
        <x:v>待经济反算</x:v>
      </x:c>
      <x:c r="N427" s="38" t="str">
        <x:v>是</x:v>
      </x:c>
      <x:c r="O427" s="38" t="str">
        <x:v>否</x:v>
      </x:c>
      <x:c r="P427" s="38" t="str">
        <x:v>否</x:v>
      </x:c>
      <x:c r="Q427" s="38" t="str">
        <x:v>是</x:v>
      </x:c>
      <x:c r="R427" s="38" t="str">
        <x:v>是</x:v>
      </x:c>
      <x:c r="S427" s="38" t="str">
        <x:v>可交易</x:v>
      </x:c>
      <x:c r="T427" s="38" t="str">
        <x:v>不作为自动回收主材</x:v>
      </x:c>
      <x:c r="U427" s="38" t="str">
        <x:v>产出实物默认不绑定，按现行材料脚本</x:v>
      </x:c>
      <x:c r="V427" s="38" t="str">
        <x:v>结构已确认；数量待经济反算</x:v>
      </x:c>
      <x:c r="W427" s="39" t="str"/>
    </x:row>
    <x:row r="428" ht="42" customHeight="1">
      <x:c r="A428" s="37" t="str">
        <x:v>CON-C10-REBIRTH-16-0424</x:v>
      </x:c>
      <x:c r="B428" s="38" t="str">
        <x:v>配方输入</x:v>
      </x:c>
      <x:c r="C428" s="38" t="str">
        <x:v>C10-REBIRTH-16</x:v>
      </x:c>
      <x:c r="D428" s="38" t="str">
        <x:v>C10</x:v>
      </x:c>
      <x:c r="E428" s="38" t="str">
        <x:v>EL-MAT-C10-MARK</x:v>
      </x:c>
      <x:c r="F428" s="38" t="str">
        <x:v>艾尔登王印</x:v>
      </x:c>
      <x:c r="G428" s="38" t="str"/>
      <x:c r="H428" s="38" t="str">
        <x:v>稀有/证物材料</x:v>
      </x:c>
      <x:c r="I428" s="38" t="str">
        <x:v>稀有/证物材料</x:v>
      </x:c>
      <x:c r="J428" s="38" t="str">
        <x:v>王宫律文＋王宫断冠片＋艾尔登王印</x:v>
      </x:c>
      <x:c r="K428" s="38" t="str">
        <x:v>艾尔登王印</x:v>
      </x:c>
      <x:c r="L428" s="38" t="str">
        <x:v>待经济反算</x:v>
      </x:c>
      <x:c r="M428" s="38" t="str">
        <x:v>待经济反算</x:v>
      </x:c>
      <x:c r="N428" s="38" t="str">
        <x:v>是</x:v>
      </x:c>
      <x:c r="O428" s="38" t="str">
        <x:v>否</x:v>
      </x:c>
      <x:c r="P428" s="38" t="str">
        <x:v>否</x:v>
      </x:c>
      <x:c r="Q428" s="38" t="str">
        <x:v>是</x:v>
      </x:c>
      <x:c r="R428" s="38" t="str">
        <x:v>是</x:v>
      </x:c>
      <x:c r="S428" s="38" t="str">
        <x:v>可交易</x:v>
      </x:c>
      <x:c r="T428" s="38" t="str">
        <x:v>不作为自动回收主材</x:v>
      </x:c>
      <x:c r="U428" s="38" t="str">
        <x:v>产出实物默认不绑定，按现行材料脚本</x:v>
      </x:c>
      <x:c r="V428" s="38" t="str">
        <x:v>结构已确认；数量待经济反算</x:v>
      </x:c>
      <x:c r="W428" s="39" t="str"/>
    </x:row>
    <x:row r="429" ht="42" customHeight="1">
      <x:c r="A429" s="37" t="str">
        <x:v>CON-C10-REBIRTH-16-0425</x:v>
      </x:c>
      <x:c r="B429" s="38" t="str">
        <x:v>配方输入</x:v>
      </x:c>
      <x:c r="C429" s="38" t="str">
        <x:v>C10-REBIRTH-16</x:v>
      </x:c>
      <x:c r="D429" s="38" t="str">
        <x:v>C10</x:v>
      </x:c>
      <x:c r="E429" s="38" t="str">
        <x:v>CUR-LARGE-RUNE</x:v>
      </x:c>
      <x:c r="F429" s="38" t="str">
        <x:v>大卢恩</x:v>
      </x:c>
      <x:c r="G429" s="38" t="str"/>
      <x:c r="H429" s="38" t="str">
        <x:v>全局材料</x:v>
      </x:c>
      <x:c r="I429" s="38" t="str">
        <x:v>全局材料</x:v>
      </x:c>
      <x:c r="J429" s="38" t="str">
        <x:v>大卢恩</x:v>
      </x:c>
      <x:c r="K429" s="38" t="str">
        <x:v>大卢恩</x:v>
      </x:c>
      <x:c r="L429" s="38" t="str">
        <x:v>待经济反算</x:v>
      </x:c>
      <x:c r="M429" s="38" t="str">
        <x:v>待经济反算</x:v>
      </x:c>
      <x:c r="N429" s="38" t="str">
        <x:v>是</x:v>
      </x:c>
      <x:c r="O429" s="38" t="str">
        <x:v>否</x:v>
      </x:c>
      <x:c r="P429" s="38" t="str">
        <x:v>否</x:v>
      </x:c>
      <x:c r="Q429" s="38" t="str">
        <x:v>是</x:v>
      </x:c>
      <x:c r="R429" s="38" t="str">
        <x:v>是</x:v>
      </x:c>
      <x:c r="S429" s="38" t="str">
        <x:v>不进入玩家摆摊；通过交易物间接流通</x:v>
      </x:c>
      <x:c r="T429" s="38" t="str">
        <x:v>货币本身不可回收</x:v>
      </x:c>
      <x:c r="U429" s="38" t="str">
        <x:v>沿用现行货币账户</x:v>
      </x:c>
      <x:c r="V429" s="38" t="str">
        <x:v>结构已确认；数量待经济反算</x:v>
      </x:c>
      <x:c r="W429" s="39" t="str"/>
    </x:row>
    <x:row r="430" ht="42" customHeight="1">
      <x:c r="A430" s="37" t="str">
        <x:v>CON-C10-REBIRTH-16-0426</x:v>
      </x:c>
      <x:c r="B430" s="38" t="str">
        <x:v>配方输入</x:v>
      </x:c>
      <x:c r="C430" s="38" t="str">
        <x:v>C10-REBIRTH-16</x:v>
      </x:c>
      <x:c r="D430" s="38" t="str">
        <x:v>C10</x:v>
      </x:c>
      <x:c r="E430" s="38" t="str">
        <x:v>CUR-GOLD</x:v>
      </x:c>
      <x:c r="F430" s="38" t="str">
        <x:v>金币</x:v>
      </x:c>
      <x:c r="G430" s="38" t="str"/>
      <x:c r="H430" s="38" t="str">
        <x:v>金币/元宝/灵符</x:v>
      </x:c>
      <x:c r="I430" s="38" t="str">
        <x:v>货币</x:v>
      </x:c>
      <x:c r="J430" s="38" t="str">
        <x:v>金币＋元宝</x:v>
      </x:c>
      <x:c r="K430" s="38" t="str">
        <x:v>金币</x:v>
      </x:c>
      <x:c r="L430" s="38" t="str">
        <x:v>待经济反算</x:v>
      </x:c>
      <x:c r="M430" s="38" t="str">
        <x:v>待经济反算</x:v>
      </x:c>
      <x:c r="N430" s="38" t="str">
        <x:v>是</x:v>
      </x:c>
      <x:c r="O430" s="38" t="str">
        <x:v>否</x:v>
      </x:c>
      <x:c r="P430" s="38" t="str">
        <x:v>否</x:v>
      </x:c>
      <x:c r="Q430" s="38" t="str">
        <x:v>是</x:v>
      </x:c>
      <x:c r="R430" s="38" t="str">
        <x:v>是</x:v>
      </x:c>
      <x:c r="S430" s="38" t="str">
        <x:v>不进入玩家摆摊；通过交易物间接流通</x:v>
      </x:c>
      <x:c r="T430" s="38" t="str">
        <x:v>货币本身不可回收</x:v>
      </x:c>
      <x:c r="U430" s="38" t="str">
        <x:v>沿用现行货币账户</x:v>
      </x:c>
      <x:c r="V430" s="38" t="str">
        <x:v>结构已确认；数量待经济反算</x:v>
      </x:c>
      <x:c r="W430" s="39" t="str"/>
    </x:row>
    <x:row r="431" ht="42" customHeight="1">
      <x:c r="A431" s="37" t="str">
        <x:v>CON-C10-REBIRTH-16-0427</x:v>
      </x:c>
      <x:c r="B431" s="38" t="str">
        <x:v>配方输入</x:v>
      </x:c>
      <x:c r="C431" s="38" t="str">
        <x:v>C10-REBIRTH-16</x:v>
      </x:c>
      <x:c r="D431" s="38" t="str">
        <x:v>C10</x:v>
      </x:c>
      <x:c r="E431" s="38" t="str">
        <x:v>CUR-YUANBAO</x:v>
      </x:c>
      <x:c r="F431" s="38" t="str">
        <x:v>元宝</x:v>
      </x:c>
      <x:c r="G431" s="38" t="str"/>
      <x:c r="H431" s="38" t="str">
        <x:v>金币/元宝/灵符</x:v>
      </x:c>
      <x:c r="I431" s="38" t="str">
        <x:v>货币</x:v>
      </x:c>
      <x:c r="J431" s="38" t="str">
        <x:v>金币＋元宝</x:v>
      </x:c>
      <x:c r="K431" s="38" t="str">
        <x:v>元宝</x:v>
      </x:c>
      <x:c r="L431" s="38" t="str">
        <x:v>待经济反算</x:v>
      </x:c>
      <x:c r="M431" s="38" t="str">
        <x:v>待经济反算</x:v>
      </x:c>
      <x:c r="N431" s="38" t="str">
        <x:v>是</x:v>
      </x:c>
      <x:c r="O431" s="38" t="str">
        <x:v>否</x:v>
      </x:c>
      <x:c r="P431" s="38" t="str">
        <x:v>否</x:v>
      </x:c>
      <x:c r="Q431" s="38" t="str">
        <x:v>是</x:v>
      </x:c>
      <x:c r="R431" s="38" t="str">
        <x:v>是</x:v>
      </x:c>
      <x:c r="S431" s="38" t="str">
        <x:v>不进入玩家摆摊；通过交易物间接流通</x:v>
      </x:c>
      <x:c r="T431" s="38" t="str">
        <x:v>货币本身不可回收</x:v>
      </x:c>
      <x:c r="U431" s="38" t="str">
        <x:v>沿用现行货币账户</x:v>
      </x:c>
      <x:c r="V431" s="38" t="str">
        <x:v>结构已确认；数量待经济反算</x:v>
      </x:c>
      <x:c r="W431" s="39" t="str"/>
    </x:row>
    <x:row r="432" ht="42" customHeight="1">
      <x:c r="A432" s="37" t="str">
        <x:v>CON-C10-REBIRTH-17-0428</x:v>
      </x:c>
      <x:c r="B432" s="38" t="str">
        <x:v>配方输入</x:v>
      </x:c>
      <x:c r="C432" s="38" t="str">
        <x:v>C10-REBIRTH-17</x:v>
      </x:c>
      <x:c r="D432" s="38" t="str">
        <x:v>C10</x:v>
      </x:c>
      <x:c r="E432" s="38" t="str">
        <x:v>REQ-C0427E5E2BFD</x:v>
      </x:c>
      <x:c r="F432" s="38" t="str">
        <x:v>第16转</x:v>
      </x:c>
      <x:c r="G432" s="38" t="str"/>
      <x:c r="H432" s="38" t="str">
        <x:v>基础件/前置</x:v>
      </x:c>
      <x:c r="I432" s="38" t="str">
        <x:v>基础件/前置</x:v>
      </x:c>
      <x:c r="J432" s="38" t="str">
        <x:v>第16转</x:v>
      </x:c>
      <x:c r="K432" s="38" t="str">
        <x:v>第16转</x:v>
      </x:c>
      <x:c r="L432" s="38" t="str">
        <x:v>待经济反算</x:v>
      </x:c>
      <x:c r="M432" s="38" t="str">
        <x:v>待经济反算</x:v>
      </x:c>
      <x:c r="N432" s="38" t="str">
        <x:v>否</x:v>
      </x:c>
      <x:c r="O432" s="38" t="str">
        <x:v>是</x:v>
      </x:c>
      <x:c r="P432" s="38" t="str">
        <x:v>否</x:v>
      </x:c>
      <x:c r="Q432" s="38" t="str">
        <x:v>是</x:v>
      </x:c>
      <x:c r="R432" s="38" t="str">
        <x:v>是</x:v>
      </x:c>
      <x:c r="S432" s="38" t="str">
        <x:v>不可交易</x:v>
      </x:c>
      <x:c r="T432" s="38" t="str">
        <x:v>不适用</x:v>
      </x:c>
      <x:c r="U432" s="38" t="str">
        <x:v>角色状态</x:v>
      </x:c>
      <x:c r="V432" s="38" t="str">
        <x:v>结构已确认；数量待经济反算</x:v>
      </x:c>
      <x:c r="W432" s="39" t="str"/>
    </x:row>
    <x:row r="433" ht="42" customHeight="1">
      <x:c r="A433" s="37" t="str">
        <x:v>CON-C10-REBIRTH-17-0429</x:v>
      </x:c>
      <x:c r="B433" s="38" t="str">
        <x:v>配方输入</x:v>
      </x:c>
      <x:c r="C433" s="38" t="str">
        <x:v>C10-REBIRTH-17</x:v>
      </x:c>
      <x:c r="D433" s="38" t="str">
        <x:v>C10</x:v>
      </x:c>
      <x:c r="E433" s="38" t="str">
        <x:v>EL-MAT-C10-COM</x:v>
      </x:c>
      <x:c r="F433" s="38" t="str">
        <x:v>王城金屑</x:v>
      </x:c>
      <x:c r="G433" s="38" t="str"/>
      <x:c r="H433" s="38" t="str">
        <x:v>高产通用材料</x:v>
      </x:c>
      <x:c r="I433" s="38" t="str">
        <x:v>高产通用材料</x:v>
      </x:c>
      <x:c r="J433" s="38" t="str">
        <x:v>王城金屑</x:v>
      </x:c>
      <x:c r="K433" s="38" t="str">
        <x:v>王城金屑</x:v>
      </x:c>
      <x:c r="L433" s="38" t="str">
        <x:v>待经济反算</x:v>
      </x:c>
      <x:c r="M433" s="38" t="str">
        <x:v>待经济反算</x:v>
      </x:c>
      <x:c r="N433" s="38" t="str">
        <x:v>是</x:v>
      </x:c>
      <x:c r="O433" s="38" t="str">
        <x:v>否</x:v>
      </x:c>
      <x:c r="P433" s="38" t="str">
        <x:v>否</x:v>
      </x:c>
      <x:c r="Q433" s="38" t="str">
        <x:v>是</x:v>
      </x:c>
      <x:c r="R433" s="38" t="str">
        <x:v>是</x:v>
      </x:c>
      <x:c r="S433" s="38" t="str">
        <x:v>可交易</x:v>
      </x:c>
      <x:c r="T433" s="38" t="str">
        <x:v>R10档金币／元宝主回收口</x:v>
      </x:c>
      <x:c r="U433" s="38" t="str">
        <x:v>产出实物默认不绑定，按现行材料脚本</x:v>
      </x:c>
      <x:c r="V433" s="38" t="str">
        <x:v>结构已确认；数量待经济反算</x:v>
      </x:c>
      <x:c r="W433" s="39" t="str"/>
    </x:row>
    <x:row r="434" ht="42" customHeight="1">
      <x:c r="A434" s="37" t="str">
        <x:v>CON-C10-REBIRTH-17-0430</x:v>
      </x:c>
      <x:c r="B434" s="38" t="str">
        <x:v>配方输入</x:v>
      </x:c>
      <x:c r="C434" s="38" t="str">
        <x:v>C10-REBIRTH-17</x:v>
      </x:c>
      <x:c r="D434" s="38" t="str">
        <x:v>C10</x:v>
      </x:c>
      <x:c r="E434" s="38" t="str">
        <x:v>EL-MAT-C10-RARE</x:v>
      </x:c>
      <x:c r="F434" s="38" t="str">
        <x:v>王宫律文</x:v>
      </x:c>
      <x:c r="G434" s="38" t="str"/>
      <x:c r="H434" s="38" t="str">
        <x:v>稀有/证物材料</x:v>
      </x:c>
      <x:c r="I434" s="38" t="str">
        <x:v>稀有/证物材料</x:v>
      </x:c>
      <x:c r="J434" s="38" t="str">
        <x:v>王宫律文＋王宫断冠片＋艾尔登王印</x:v>
      </x:c>
      <x:c r="K434" s="38" t="str">
        <x:v>王宫律文</x:v>
      </x:c>
      <x:c r="L434" s="38" t="str">
        <x:v>待经济反算</x:v>
      </x:c>
      <x:c r="M434" s="38" t="str">
        <x:v>待经济反算</x:v>
      </x:c>
      <x:c r="N434" s="38" t="str">
        <x:v>是</x:v>
      </x:c>
      <x:c r="O434" s="38" t="str">
        <x:v>否</x:v>
      </x:c>
      <x:c r="P434" s="38" t="str">
        <x:v>否</x:v>
      </x:c>
      <x:c r="Q434" s="38" t="str">
        <x:v>是</x:v>
      </x:c>
      <x:c r="R434" s="38" t="str">
        <x:v>是</x:v>
      </x:c>
      <x:c r="S434" s="38" t="str">
        <x:v>可交易</x:v>
      </x:c>
      <x:c r="T434" s="38" t="str">
        <x:v>不作为自动回收主材</x:v>
      </x:c>
      <x:c r="U434" s="38" t="str">
        <x:v>产出实物默认不绑定，按现行材料脚本</x:v>
      </x:c>
      <x:c r="V434" s="38" t="str">
        <x:v>结构已确认；数量待经济反算</x:v>
      </x:c>
      <x:c r="W434" s="39" t="str"/>
    </x:row>
    <x:row r="435" ht="42" customHeight="1">
      <x:c r="A435" s="37" t="str">
        <x:v>CON-C10-REBIRTH-17-0431</x:v>
      </x:c>
      <x:c r="B435" s="38" t="str">
        <x:v>配方输入</x:v>
      </x:c>
      <x:c r="C435" s="38" t="str">
        <x:v>C10-REBIRTH-17</x:v>
      </x:c>
      <x:c r="D435" s="38" t="str">
        <x:v>C10</x:v>
      </x:c>
      <x:c r="E435" s="38" t="str">
        <x:v>EL-MAT-C10-Q04</x:v>
      </x:c>
      <x:c r="F435" s="38" t="str">
        <x:v>王宫断冠片</x:v>
      </x:c>
      <x:c r="G435" s="38" t="str"/>
      <x:c r="H435" s="38" t="str">
        <x:v>稀有/证物材料</x:v>
      </x:c>
      <x:c r="I435" s="38" t="str">
        <x:v>稀有/证物材料</x:v>
      </x:c>
      <x:c r="J435" s="38" t="str">
        <x:v>王宫律文＋王宫断冠片＋艾尔登王印</x:v>
      </x:c>
      <x:c r="K435" s="38" t="str">
        <x:v>王宫断冠片</x:v>
      </x:c>
      <x:c r="L435" s="38" t="str">
        <x:v>待经济反算</x:v>
      </x:c>
      <x:c r="M435" s="38" t="str">
        <x:v>待经济反算</x:v>
      </x:c>
      <x:c r="N435" s="38" t="str">
        <x:v>是</x:v>
      </x:c>
      <x:c r="O435" s="38" t="str">
        <x:v>否</x:v>
      </x:c>
      <x:c r="P435" s="38" t="str">
        <x:v>否</x:v>
      </x:c>
      <x:c r="Q435" s="38" t="str">
        <x:v>是</x:v>
      </x:c>
      <x:c r="R435" s="38" t="str">
        <x:v>是</x:v>
      </x:c>
      <x:c r="S435" s="38" t="str">
        <x:v>可交易</x:v>
      </x:c>
      <x:c r="T435" s="38" t="str">
        <x:v>不作为自动回收主材</x:v>
      </x:c>
      <x:c r="U435" s="38" t="str">
        <x:v>产出实物默认不绑定，按现行材料脚本</x:v>
      </x:c>
      <x:c r="V435" s="38" t="str">
        <x:v>结构已确认；数量待经济反算</x:v>
      </x:c>
      <x:c r="W435" s="39" t="str"/>
    </x:row>
    <x:row r="436" ht="42" customHeight="1">
      <x:c r="A436" s="37" t="str">
        <x:v>CON-C10-REBIRTH-17-0432</x:v>
      </x:c>
      <x:c r="B436" s="38" t="str">
        <x:v>配方输入</x:v>
      </x:c>
      <x:c r="C436" s="38" t="str">
        <x:v>C10-REBIRTH-17</x:v>
      </x:c>
      <x:c r="D436" s="38" t="str">
        <x:v>C10</x:v>
      </x:c>
      <x:c r="E436" s="38" t="str">
        <x:v>EL-MAT-C10-MARK</x:v>
      </x:c>
      <x:c r="F436" s="38" t="str">
        <x:v>艾尔登王印</x:v>
      </x:c>
      <x:c r="G436" s="38" t="str"/>
      <x:c r="H436" s="38" t="str">
        <x:v>稀有/证物材料</x:v>
      </x:c>
      <x:c r="I436" s="38" t="str">
        <x:v>稀有/证物材料</x:v>
      </x:c>
      <x:c r="J436" s="38" t="str">
        <x:v>王宫律文＋王宫断冠片＋艾尔登王印</x:v>
      </x:c>
      <x:c r="K436" s="38" t="str">
        <x:v>艾尔登王印</x:v>
      </x:c>
      <x:c r="L436" s="38" t="str">
        <x:v>待经济反算</x:v>
      </x:c>
      <x:c r="M436" s="38" t="str">
        <x:v>待经济反算</x:v>
      </x:c>
      <x:c r="N436" s="38" t="str">
        <x:v>是</x:v>
      </x:c>
      <x:c r="O436" s="38" t="str">
        <x:v>否</x:v>
      </x:c>
      <x:c r="P436" s="38" t="str">
        <x:v>否</x:v>
      </x:c>
      <x:c r="Q436" s="38" t="str">
        <x:v>是</x:v>
      </x:c>
      <x:c r="R436" s="38" t="str">
        <x:v>是</x:v>
      </x:c>
      <x:c r="S436" s="38" t="str">
        <x:v>可交易</x:v>
      </x:c>
      <x:c r="T436" s="38" t="str">
        <x:v>不作为自动回收主材</x:v>
      </x:c>
      <x:c r="U436" s="38" t="str">
        <x:v>产出实物默认不绑定，按现行材料脚本</x:v>
      </x:c>
      <x:c r="V436" s="38" t="str">
        <x:v>结构已确认；数量待经济反算</x:v>
      </x:c>
      <x:c r="W436" s="39" t="str"/>
    </x:row>
    <x:row r="437" ht="42" customHeight="1">
      <x:c r="A437" s="37" t="str">
        <x:v>CON-C10-REBIRTH-17-0433</x:v>
      </x:c>
      <x:c r="B437" s="38" t="str">
        <x:v>配方输入</x:v>
      </x:c>
      <x:c r="C437" s="38" t="str">
        <x:v>C10-REBIRTH-17</x:v>
      </x:c>
      <x:c r="D437" s="38" t="str">
        <x:v>C10</x:v>
      </x:c>
      <x:c r="E437" s="38" t="str">
        <x:v>CUR-LARGE-RUNE</x:v>
      </x:c>
      <x:c r="F437" s="38" t="str">
        <x:v>大卢恩</x:v>
      </x:c>
      <x:c r="G437" s="38" t="str"/>
      <x:c r="H437" s="38" t="str">
        <x:v>全局材料</x:v>
      </x:c>
      <x:c r="I437" s="38" t="str">
        <x:v>全局材料</x:v>
      </x:c>
      <x:c r="J437" s="38" t="str">
        <x:v>大卢恩</x:v>
      </x:c>
      <x:c r="K437" s="38" t="str">
        <x:v>大卢恩</x:v>
      </x:c>
      <x:c r="L437" s="38" t="str">
        <x:v>待经济反算</x:v>
      </x:c>
      <x:c r="M437" s="38" t="str">
        <x:v>待经济反算</x:v>
      </x:c>
      <x:c r="N437" s="38" t="str">
        <x:v>是</x:v>
      </x:c>
      <x:c r="O437" s="38" t="str">
        <x:v>否</x:v>
      </x:c>
      <x:c r="P437" s="38" t="str">
        <x:v>否</x:v>
      </x:c>
      <x:c r="Q437" s="38" t="str">
        <x:v>是</x:v>
      </x:c>
      <x:c r="R437" s="38" t="str">
        <x:v>是</x:v>
      </x:c>
      <x:c r="S437" s="38" t="str">
        <x:v>不进入玩家摆摊；通过交易物间接流通</x:v>
      </x:c>
      <x:c r="T437" s="38" t="str">
        <x:v>货币本身不可回收</x:v>
      </x:c>
      <x:c r="U437" s="38" t="str">
        <x:v>沿用现行货币账户</x:v>
      </x:c>
      <x:c r="V437" s="38" t="str">
        <x:v>结构已确认；数量待经济反算</x:v>
      </x:c>
      <x:c r="W437" s="39" t="str"/>
    </x:row>
    <x:row r="438" ht="42" customHeight="1">
      <x:c r="A438" s="37" t="str">
        <x:v>CON-C10-REBIRTH-17-0434</x:v>
      </x:c>
      <x:c r="B438" s="38" t="str">
        <x:v>配方输入</x:v>
      </x:c>
      <x:c r="C438" s="38" t="str">
        <x:v>C10-REBIRTH-17</x:v>
      </x:c>
      <x:c r="D438" s="38" t="str">
        <x:v>C10</x:v>
      </x:c>
      <x:c r="E438" s="38" t="str">
        <x:v>CUR-GOLD</x:v>
      </x:c>
      <x:c r="F438" s="38" t="str">
        <x:v>金币</x:v>
      </x:c>
      <x:c r="G438" s="38" t="str"/>
      <x:c r="H438" s="38" t="str">
        <x:v>金币/元宝/灵符</x:v>
      </x:c>
      <x:c r="I438" s="38" t="str">
        <x:v>货币</x:v>
      </x:c>
      <x:c r="J438" s="38" t="str">
        <x:v>金币＋元宝</x:v>
      </x:c>
      <x:c r="K438" s="38" t="str">
        <x:v>金币</x:v>
      </x:c>
      <x:c r="L438" s="38" t="str">
        <x:v>待经济反算</x:v>
      </x:c>
      <x:c r="M438" s="38" t="str">
        <x:v>待经济反算</x:v>
      </x:c>
      <x:c r="N438" s="38" t="str">
        <x:v>是</x:v>
      </x:c>
      <x:c r="O438" s="38" t="str">
        <x:v>否</x:v>
      </x:c>
      <x:c r="P438" s="38" t="str">
        <x:v>否</x:v>
      </x:c>
      <x:c r="Q438" s="38" t="str">
        <x:v>是</x:v>
      </x:c>
      <x:c r="R438" s="38" t="str">
        <x:v>是</x:v>
      </x:c>
      <x:c r="S438" s="38" t="str">
        <x:v>不进入玩家摆摊；通过交易物间接流通</x:v>
      </x:c>
      <x:c r="T438" s="38" t="str">
        <x:v>货币本身不可回收</x:v>
      </x:c>
      <x:c r="U438" s="38" t="str">
        <x:v>沿用现行货币账户</x:v>
      </x:c>
      <x:c r="V438" s="38" t="str">
        <x:v>结构已确认；数量待经济反算</x:v>
      </x:c>
      <x:c r="W438" s="39" t="str"/>
    </x:row>
    <x:row r="439" ht="42" customHeight="1">
      <x:c r="A439" s="37" t="str">
        <x:v>CON-C10-REBIRTH-17-0435</x:v>
      </x:c>
      <x:c r="B439" s="38" t="str">
        <x:v>配方输入</x:v>
      </x:c>
      <x:c r="C439" s="38" t="str">
        <x:v>C10-REBIRTH-17</x:v>
      </x:c>
      <x:c r="D439" s="38" t="str">
        <x:v>C10</x:v>
      </x:c>
      <x:c r="E439" s="38" t="str">
        <x:v>CUR-YUANBAO</x:v>
      </x:c>
      <x:c r="F439" s="38" t="str">
        <x:v>元宝</x:v>
      </x:c>
      <x:c r="G439" s="38" t="str"/>
      <x:c r="H439" s="38" t="str">
        <x:v>金币/元宝/灵符</x:v>
      </x:c>
      <x:c r="I439" s="38" t="str">
        <x:v>货币</x:v>
      </x:c>
      <x:c r="J439" s="38" t="str">
        <x:v>金币＋元宝</x:v>
      </x:c>
      <x:c r="K439" s="38" t="str">
        <x:v>元宝</x:v>
      </x:c>
      <x:c r="L439" s="38" t="str">
        <x:v>待经济反算</x:v>
      </x:c>
      <x:c r="M439" s="38" t="str">
        <x:v>待经济反算</x:v>
      </x:c>
      <x:c r="N439" s="38" t="str">
        <x:v>是</x:v>
      </x:c>
      <x:c r="O439" s="38" t="str">
        <x:v>否</x:v>
      </x:c>
      <x:c r="P439" s="38" t="str">
        <x:v>否</x:v>
      </x:c>
      <x:c r="Q439" s="38" t="str">
        <x:v>是</x:v>
      </x:c>
      <x:c r="R439" s="38" t="str">
        <x:v>是</x:v>
      </x:c>
      <x:c r="S439" s="38" t="str">
        <x:v>不进入玩家摆摊；通过交易物间接流通</x:v>
      </x:c>
      <x:c r="T439" s="38" t="str">
        <x:v>货币本身不可回收</x:v>
      </x:c>
      <x:c r="U439" s="38" t="str">
        <x:v>沿用现行货币账户</x:v>
      </x:c>
      <x:c r="V439" s="38" t="str">
        <x:v>结构已确认；数量待经济反算</x:v>
      </x:c>
      <x:c r="W439" s="39" t="str"/>
    </x:row>
    <x:row r="440" ht="42" customHeight="1">
      <x:c r="A440" s="37" t="str">
        <x:v>CON-C10-REBIRTH-18-0436</x:v>
      </x:c>
      <x:c r="B440" s="38" t="str">
        <x:v>配方输入</x:v>
      </x:c>
      <x:c r="C440" s="38" t="str">
        <x:v>C10-REBIRTH-18</x:v>
      </x:c>
      <x:c r="D440" s="38" t="str">
        <x:v>C10</x:v>
      </x:c>
      <x:c r="E440" s="38" t="str">
        <x:v>REQ-70C4C451586A</x:v>
      </x:c>
      <x:c r="F440" s="38" t="str">
        <x:v>第17转</x:v>
      </x:c>
      <x:c r="G440" s="38" t="str"/>
      <x:c r="H440" s="38" t="str">
        <x:v>基础件/前置</x:v>
      </x:c>
      <x:c r="I440" s="38" t="str">
        <x:v>基础件/前置</x:v>
      </x:c>
      <x:c r="J440" s="38" t="str">
        <x:v>第17转</x:v>
      </x:c>
      <x:c r="K440" s="38" t="str">
        <x:v>第17转</x:v>
      </x:c>
      <x:c r="L440" s="38" t="str">
        <x:v>待经济反算</x:v>
      </x:c>
      <x:c r="M440" s="38" t="str">
        <x:v>待经济反算</x:v>
      </x:c>
      <x:c r="N440" s="38" t="str">
        <x:v>否</x:v>
      </x:c>
      <x:c r="O440" s="38" t="str">
        <x:v>是</x:v>
      </x:c>
      <x:c r="P440" s="38" t="str">
        <x:v>否</x:v>
      </x:c>
      <x:c r="Q440" s="38" t="str">
        <x:v>是</x:v>
      </x:c>
      <x:c r="R440" s="38" t="str">
        <x:v>是</x:v>
      </x:c>
      <x:c r="S440" s="38" t="str">
        <x:v>不可交易</x:v>
      </x:c>
      <x:c r="T440" s="38" t="str">
        <x:v>不适用</x:v>
      </x:c>
      <x:c r="U440" s="38" t="str">
        <x:v>角色状态</x:v>
      </x:c>
      <x:c r="V440" s="38" t="str">
        <x:v>结构已确认；数量待经济反算</x:v>
      </x:c>
      <x:c r="W440" s="39" t="str"/>
    </x:row>
    <x:row r="441" ht="42" customHeight="1">
      <x:c r="A441" s="37" t="str">
        <x:v>CON-C10-REBIRTH-18-0437</x:v>
      </x:c>
      <x:c r="B441" s="38" t="str">
        <x:v>配方输入</x:v>
      </x:c>
      <x:c r="C441" s="38" t="str">
        <x:v>C10-REBIRTH-18</x:v>
      </x:c>
      <x:c r="D441" s="38" t="str">
        <x:v>C10</x:v>
      </x:c>
      <x:c r="E441" s="38" t="str">
        <x:v>EL-MAT-C10-COM</x:v>
      </x:c>
      <x:c r="F441" s="38" t="str">
        <x:v>王城金屑</x:v>
      </x:c>
      <x:c r="G441" s="38" t="str"/>
      <x:c r="H441" s="38" t="str">
        <x:v>高产通用材料</x:v>
      </x:c>
      <x:c r="I441" s="38" t="str">
        <x:v>高产通用材料</x:v>
      </x:c>
      <x:c r="J441" s="38" t="str">
        <x:v>王城金屑</x:v>
      </x:c>
      <x:c r="K441" s="38" t="str">
        <x:v>王城金屑</x:v>
      </x:c>
      <x:c r="L441" s="38" t="str">
        <x:v>待经济反算</x:v>
      </x:c>
      <x:c r="M441" s="38" t="str">
        <x:v>待经济反算</x:v>
      </x:c>
      <x:c r="N441" s="38" t="str">
        <x:v>是</x:v>
      </x:c>
      <x:c r="O441" s="38" t="str">
        <x:v>否</x:v>
      </x:c>
      <x:c r="P441" s="38" t="str">
        <x:v>否</x:v>
      </x:c>
      <x:c r="Q441" s="38" t="str">
        <x:v>是</x:v>
      </x:c>
      <x:c r="R441" s="38" t="str">
        <x:v>是</x:v>
      </x:c>
      <x:c r="S441" s="38" t="str">
        <x:v>可交易</x:v>
      </x:c>
      <x:c r="T441" s="38" t="str">
        <x:v>R10档金币／元宝主回收口</x:v>
      </x:c>
      <x:c r="U441" s="38" t="str">
        <x:v>产出实物默认不绑定，按现行材料脚本</x:v>
      </x:c>
      <x:c r="V441" s="38" t="str">
        <x:v>结构已确认；数量待经济反算</x:v>
      </x:c>
      <x:c r="W441" s="39" t="str"/>
    </x:row>
    <x:row r="442" ht="42" customHeight="1">
      <x:c r="A442" s="37" t="str">
        <x:v>CON-C10-REBIRTH-18-0438</x:v>
      </x:c>
      <x:c r="B442" s="38" t="str">
        <x:v>配方输入</x:v>
      </x:c>
      <x:c r="C442" s="38" t="str">
        <x:v>C10-REBIRTH-18</x:v>
      </x:c>
      <x:c r="D442" s="38" t="str">
        <x:v>C10</x:v>
      </x:c>
      <x:c r="E442" s="38" t="str">
        <x:v>EL-MAT-C10-RARE</x:v>
      </x:c>
      <x:c r="F442" s="38" t="str">
        <x:v>王宫律文</x:v>
      </x:c>
      <x:c r="G442" s="38" t="str"/>
      <x:c r="H442" s="38" t="str">
        <x:v>稀有/证物材料</x:v>
      </x:c>
      <x:c r="I442" s="38" t="str">
        <x:v>稀有/证物材料</x:v>
      </x:c>
      <x:c r="J442" s="38" t="str">
        <x:v>王宫律文＋王宫断冠片＋艾尔登王印</x:v>
      </x:c>
      <x:c r="K442" s="38" t="str">
        <x:v>王宫律文</x:v>
      </x:c>
      <x:c r="L442" s="38" t="str">
        <x:v>待经济反算</x:v>
      </x:c>
      <x:c r="M442" s="38" t="str">
        <x:v>待经济反算</x:v>
      </x:c>
      <x:c r="N442" s="38" t="str">
        <x:v>是</x:v>
      </x:c>
      <x:c r="O442" s="38" t="str">
        <x:v>否</x:v>
      </x:c>
      <x:c r="P442" s="38" t="str">
        <x:v>否</x:v>
      </x:c>
      <x:c r="Q442" s="38" t="str">
        <x:v>是</x:v>
      </x:c>
      <x:c r="R442" s="38" t="str">
        <x:v>是</x:v>
      </x:c>
      <x:c r="S442" s="38" t="str">
        <x:v>可交易</x:v>
      </x:c>
      <x:c r="T442" s="38" t="str">
        <x:v>不作为自动回收主材</x:v>
      </x:c>
      <x:c r="U442" s="38" t="str">
        <x:v>产出实物默认不绑定，按现行材料脚本</x:v>
      </x:c>
      <x:c r="V442" s="38" t="str">
        <x:v>结构已确认；数量待经济反算</x:v>
      </x:c>
      <x:c r="W442" s="39" t="str"/>
    </x:row>
    <x:row r="443" ht="42" customHeight="1">
      <x:c r="A443" s="37" t="str">
        <x:v>CON-C10-REBIRTH-18-0439</x:v>
      </x:c>
      <x:c r="B443" s="38" t="str">
        <x:v>配方输入</x:v>
      </x:c>
      <x:c r="C443" s="38" t="str">
        <x:v>C10-REBIRTH-18</x:v>
      </x:c>
      <x:c r="D443" s="38" t="str">
        <x:v>C10</x:v>
      </x:c>
      <x:c r="E443" s="38" t="str">
        <x:v>EL-MAT-C10-Q04</x:v>
      </x:c>
      <x:c r="F443" s="38" t="str">
        <x:v>王宫断冠片</x:v>
      </x:c>
      <x:c r="G443" s="38" t="str"/>
      <x:c r="H443" s="38" t="str">
        <x:v>稀有/证物材料</x:v>
      </x:c>
      <x:c r="I443" s="38" t="str">
        <x:v>稀有/证物材料</x:v>
      </x:c>
      <x:c r="J443" s="38" t="str">
        <x:v>王宫律文＋王宫断冠片＋艾尔登王印</x:v>
      </x:c>
      <x:c r="K443" s="38" t="str">
        <x:v>王宫断冠片</x:v>
      </x:c>
      <x:c r="L443" s="38" t="str">
        <x:v>待经济反算</x:v>
      </x:c>
      <x:c r="M443" s="38" t="str">
        <x:v>待经济反算</x:v>
      </x:c>
      <x:c r="N443" s="38" t="str">
        <x:v>是</x:v>
      </x:c>
      <x:c r="O443" s="38" t="str">
        <x:v>否</x:v>
      </x:c>
      <x:c r="P443" s="38" t="str">
        <x:v>否</x:v>
      </x:c>
      <x:c r="Q443" s="38" t="str">
        <x:v>是</x:v>
      </x:c>
      <x:c r="R443" s="38" t="str">
        <x:v>是</x:v>
      </x:c>
      <x:c r="S443" s="38" t="str">
        <x:v>可交易</x:v>
      </x:c>
      <x:c r="T443" s="38" t="str">
        <x:v>不作为自动回收主材</x:v>
      </x:c>
      <x:c r="U443" s="38" t="str">
        <x:v>产出实物默认不绑定，按现行材料脚本</x:v>
      </x:c>
      <x:c r="V443" s="38" t="str">
        <x:v>结构已确认；数量待经济反算</x:v>
      </x:c>
      <x:c r="W443" s="39" t="str"/>
    </x:row>
    <x:row r="444" ht="42" customHeight="1">
      <x:c r="A444" s="37" t="str">
        <x:v>CON-C10-REBIRTH-18-0440</x:v>
      </x:c>
      <x:c r="B444" s="38" t="str">
        <x:v>配方输入</x:v>
      </x:c>
      <x:c r="C444" s="38" t="str">
        <x:v>C10-REBIRTH-18</x:v>
      </x:c>
      <x:c r="D444" s="38" t="str">
        <x:v>C10</x:v>
      </x:c>
      <x:c r="E444" s="38" t="str">
        <x:v>EL-MAT-C10-MARK</x:v>
      </x:c>
      <x:c r="F444" s="38" t="str">
        <x:v>艾尔登王印</x:v>
      </x:c>
      <x:c r="G444" s="38" t="str"/>
      <x:c r="H444" s="38" t="str">
        <x:v>稀有/证物材料</x:v>
      </x:c>
      <x:c r="I444" s="38" t="str">
        <x:v>稀有/证物材料</x:v>
      </x:c>
      <x:c r="J444" s="38" t="str">
        <x:v>王宫律文＋王宫断冠片＋艾尔登王印</x:v>
      </x:c>
      <x:c r="K444" s="38" t="str">
        <x:v>艾尔登王印</x:v>
      </x:c>
      <x:c r="L444" s="38" t="str">
        <x:v>待经济反算</x:v>
      </x:c>
      <x:c r="M444" s="38" t="str">
        <x:v>待经济反算</x:v>
      </x:c>
      <x:c r="N444" s="38" t="str">
        <x:v>是</x:v>
      </x:c>
      <x:c r="O444" s="38" t="str">
        <x:v>否</x:v>
      </x:c>
      <x:c r="P444" s="38" t="str">
        <x:v>否</x:v>
      </x:c>
      <x:c r="Q444" s="38" t="str">
        <x:v>是</x:v>
      </x:c>
      <x:c r="R444" s="38" t="str">
        <x:v>是</x:v>
      </x:c>
      <x:c r="S444" s="38" t="str">
        <x:v>可交易</x:v>
      </x:c>
      <x:c r="T444" s="38" t="str">
        <x:v>不作为自动回收主材</x:v>
      </x:c>
      <x:c r="U444" s="38" t="str">
        <x:v>产出实物默认不绑定，按现行材料脚本</x:v>
      </x:c>
      <x:c r="V444" s="38" t="str">
        <x:v>结构已确认；数量待经济反算</x:v>
      </x:c>
      <x:c r="W444" s="39" t="str"/>
    </x:row>
    <x:row r="445" ht="42" customHeight="1">
      <x:c r="A445" s="37" t="str">
        <x:v>CON-C10-REBIRTH-18-0441</x:v>
      </x:c>
      <x:c r="B445" s="38" t="str">
        <x:v>配方输入</x:v>
      </x:c>
      <x:c r="C445" s="38" t="str">
        <x:v>C10-REBIRTH-18</x:v>
      </x:c>
      <x:c r="D445" s="38" t="str">
        <x:v>C10</x:v>
      </x:c>
      <x:c r="E445" s="38" t="str">
        <x:v>CUR-LARGE-RUNE</x:v>
      </x:c>
      <x:c r="F445" s="38" t="str">
        <x:v>大卢恩</x:v>
      </x:c>
      <x:c r="G445" s="38" t="str"/>
      <x:c r="H445" s="38" t="str">
        <x:v>全局材料</x:v>
      </x:c>
      <x:c r="I445" s="38" t="str">
        <x:v>全局材料</x:v>
      </x:c>
      <x:c r="J445" s="38" t="str">
        <x:v>大卢恩</x:v>
      </x:c>
      <x:c r="K445" s="38" t="str">
        <x:v>大卢恩</x:v>
      </x:c>
      <x:c r="L445" s="38" t="str">
        <x:v>待经济反算</x:v>
      </x:c>
      <x:c r="M445" s="38" t="str">
        <x:v>待经济反算</x:v>
      </x:c>
      <x:c r="N445" s="38" t="str">
        <x:v>是</x:v>
      </x:c>
      <x:c r="O445" s="38" t="str">
        <x:v>否</x:v>
      </x:c>
      <x:c r="P445" s="38" t="str">
        <x:v>否</x:v>
      </x:c>
      <x:c r="Q445" s="38" t="str">
        <x:v>是</x:v>
      </x:c>
      <x:c r="R445" s="38" t="str">
        <x:v>是</x:v>
      </x:c>
      <x:c r="S445" s="38" t="str">
        <x:v>不进入玩家摆摊；通过交易物间接流通</x:v>
      </x:c>
      <x:c r="T445" s="38" t="str">
        <x:v>货币本身不可回收</x:v>
      </x:c>
      <x:c r="U445" s="38" t="str">
        <x:v>沿用现行货币账户</x:v>
      </x:c>
      <x:c r="V445" s="38" t="str">
        <x:v>结构已确认；数量待经济反算</x:v>
      </x:c>
      <x:c r="W445" s="39" t="str"/>
    </x:row>
    <x:row r="446" ht="42" customHeight="1">
      <x:c r="A446" s="37" t="str">
        <x:v>CON-C10-REBIRTH-18-0442</x:v>
      </x:c>
      <x:c r="B446" s="38" t="str">
        <x:v>配方输入</x:v>
      </x:c>
      <x:c r="C446" s="38" t="str">
        <x:v>C10-REBIRTH-18</x:v>
      </x:c>
      <x:c r="D446" s="38" t="str">
        <x:v>C10</x:v>
      </x:c>
      <x:c r="E446" s="38" t="str">
        <x:v>CUR-GOLD</x:v>
      </x:c>
      <x:c r="F446" s="38" t="str">
        <x:v>金币</x:v>
      </x:c>
      <x:c r="G446" s="38" t="str"/>
      <x:c r="H446" s="38" t="str">
        <x:v>金币/元宝/灵符</x:v>
      </x:c>
      <x:c r="I446" s="38" t="str">
        <x:v>货币</x:v>
      </x:c>
      <x:c r="J446" s="38" t="str">
        <x:v>金币＋元宝</x:v>
      </x:c>
      <x:c r="K446" s="38" t="str">
        <x:v>金币</x:v>
      </x:c>
      <x:c r="L446" s="38" t="str">
        <x:v>待经济反算</x:v>
      </x:c>
      <x:c r="M446" s="38" t="str">
        <x:v>待经济反算</x:v>
      </x:c>
      <x:c r="N446" s="38" t="str">
        <x:v>是</x:v>
      </x:c>
      <x:c r="O446" s="38" t="str">
        <x:v>否</x:v>
      </x:c>
      <x:c r="P446" s="38" t="str">
        <x:v>否</x:v>
      </x:c>
      <x:c r="Q446" s="38" t="str">
        <x:v>是</x:v>
      </x:c>
      <x:c r="R446" s="38" t="str">
        <x:v>是</x:v>
      </x:c>
      <x:c r="S446" s="38" t="str">
        <x:v>不进入玩家摆摊；通过交易物间接流通</x:v>
      </x:c>
      <x:c r="T446" s="38" t="str">
        <x:v>货币本身不可回收</x:v>
      </x:c>
      <x:c r="U446" s="38" t="str">
        <x:v>沿用现行货币账户</x:v>
      </x:c>
      <x:c r="V446" s="38" t="str">
        <x:v>结构已确认；数量待经济反算</x:v>
      </x:c>
      <x:c r="W446" s="39" t="str"/>
    </x:row>
    <x:row r="447" ht="42" customHeight="1">
      <x:c r="A447" s="37" t="str">
        <x:v>CON-C10-REBIRTH-18-0443</x:v>
      </x:c>
      <x:c r="B447" s="38" t="str">
        <x:v>配方输入</x:v>
      </x:c>
      <x:c r="C447" s="38" t="str">
        <x:v>C10-REBIRTH-18</x:v>
      </x:c>
      <x:c r="D447" s="38" t="str">
        <x:v>C10</x:v>
      </x:c>
      <x:c r="E447" s="38" t="str">
        <x:v>CUR-YUANBAO</x:v>
      </x:c>
      <x:c r="F447" s="38" t="str">
        <x:v>元宝</x:v>
      </x:c>
      <x:c r="G447" s="38" t="str"/>
      <x:c r="H447" s="38" t="str">
        <x:v>金币/元宝/灵符</x:v>
      </x:c>
      <x:c r="I447" s="38" t="str">
        <x:v>货币</x:v>
      </x:c>
      <x:c r="J447" s="38" t="str">
        <x:v>金币＋元宝</x:v>
      </x:c>
      <x:c r="K447" s="38" t="str">
        <x:v>元宝</x:v>
      </x:c>
      <x:c r="L447" s="38" t="str">
        <x:v>待经济反算</x:v>
      </x:c>
      <x:c r="M447" s="38" t="str">
        <x:v>待经济反算</x:v>
      </x:c>
      <x:c r="N447" s="38" t="str">
        <x:v>是</x:v>
      </x:c>
      <x:c r="O447" s="38" t="str">
        <x:v>否</x:v>
      </x:c>
      <x:c r="P447" s="38" t="str">
        <x:v>否</x:v>
      </x:c>
      <x:c r="Q447" s="38" t="str">
        <x:v>是</x:v>
      </x:c>
      <x:c r="R447" s="38" t="str">
        <x:v>是</x:v>
      </x:c>
      <x:c r="S447" s="38" t="str">
        <x:v>不进入玩家摆摊；通过交易物间接流通</x:v>
      </x:c>
      <x:c r="T447" s="38" t="str">
        <x:v>货币本身不可回收</x:v>
      </x:c>
      <x:c r="U447" s="38" t="str">
        <x:v>沿用现行货币账户</x:v>
      </x:c>
      <x:c r="V447" s="38" t="str">
        <x:v>结构已确认；数量待经济反算</x:v>
      </x:c>
      <x:c r="W447" s="39" t="str"/>
    </x:row>
    <x:row r="448" ht="42" customHeight="1">
      <x:c r="A448" s="37" t="str">
        <x:v>CON-C10-REBIRTH-19-0444</x:v>
      </x:c>
      <x:c r="B448" s="38" t="str">
        <x:v>配方输入</x:v>
      </x:c>
      <x:c r="C448" s="38" t="str">
        <x:v>C10-REBIRTH-19</x:v>
      </x:c>
      <x:c r="D448" s="38" t="str">
        <x:v>C10</x:v>
      </x:c>
      <x:c r="E448" s="38" t="str">
        <x:v>REQ-CA3DF4A23DD9</x:v>
      </x:c>
      <x:c r="F448" s="38" t="str">
        <x:v>第18转</x:v>
      </x:c>
      <x:c r="G448" s="38" t="str"/>
      <x:c r="H448" s="38" t="str">
        <x:v>基础件/前置</x:v>
      </x:c>
      <x:c r="I448" s="38" t="str">
        <x:v>基础件/前置</x:v>
      </x:c>
      <x:c r="J448" s="38" t="str">
        <x:v>第18转</x:v>
      </x:c>
      <x:c r="K448" s="38" t="str">
        <x:v>第18转</x:v>
      </x:c>
      <x:c r="L448" s="38" t="str">
        <x:v>待经济反算</x:v>
      </x:c>
      <x:c r="M448" s="38" t="str">
        <x:v>待经济反算</x:v>
      </x:c>
      <x:c r="N448" s="38" t="str">
        <x:v>否</x:v>
      </x:c>
      <x:c r="O448" s="38" t="str">
        <x:v>是</x:v>
      </x:c>
      <x:c r="P448" s="38" t="str">
        <x:v>否</x:v>
      </x:c>
      <x:c r="Q448" s="38" t="str">
        <x:v>是</x:v>
      </x:c>
      <x:c r="R448" s="38" t="str">
        <x:v>是</x:v>
      </x:c>
      <x:c r="S448" s="38" t="str">
        <x:v>不可交易</x:v>
      </x:c>
      <x:c r="T448" s="38" t="str">
        <x:v>不适用</x:v>
      </x:c>
      <x:c r="U448" s="38" t="str">
        <x:v>角色状态</x:v>
      </x:c>
      <x:c r="V448" s="38" t="str">
        <x:v>结构已确认；数量待经济反算</x:v>
      </x:c>
      <x:c r="W448" s="39" t="str"/>
    </x:row>
    <x:row r="449" ht="42" customHeight="1">
      <x:c r="A449" s="37" t="str">
        <x:v>CON-C10-REBIRTH-19-0445</x:v>
      </x:c>
      <x:c r="B449" s="38" t="str">
        <x:v>配方输入</x:v>
      </x:c>
      <x:c r="C449" s="38" t="str">
        <x:v>C10-REBIRTH-19</x:v>
      </x:c>
      <x:c r="D449" s="38" t="str">
        <x:v>C10</x:v>
      </x:c>
      <x:c r="E449" s="38" t="str">
        <x:v>EL-MAT-C10-COM</x:v>
      </x:c>
      <x:c r="F449" s="38" t="str">
        <x:v>王城金屑</x:v>
      </x:c>
      <x:c r="G449" s="38" t="str"/>
      <x:c r="H449" s="38" t="str">
        <x:v>高产通用材料</x:v>
      </x:c>
      <x:c r="I449" s="38" t="str">
        <x:v>高产通用材料</x:v>
      </x:c>
      <x:c r="J449" s="38" t="str">
        <x:v>王城金屑</x:v>
      </x:c>
      <x:c r="K449" s="38" t="str">
        <x:v>王城金屑</x:v>
      </x:c>
      <x:c r="L449" s="38" t="str">
        <x:v>待经济反算</x:v>
      </x:c>
      <x:c r="M449" s="38" t="str">
        <x:v>待经济反算</x:v>
      </x:c>
      <x:c r="N449" s="38" t="str">
        <x:v>是</x:v>
      </x:c>
      <x:c r="O449" s="38" t="str">
        <x:v>否</x:v>
      </x:c>
      <x:c r="P449" s="38" t="str">
        <x:v>否</x:v>
      </x:c>
      <x:c r="Q449" s="38" t="str">
        <x:v>是</x:v>
      </x:c>
      <x:c r="R449" s="38" t="str">
        <x:v>是</x:v>
      </x:c>
      <x:c r="S449" s="38" t="str">
        <x:v>可交易</x:v>
      </x:c>
      <x:c r="T449" s="38" t="str">
        <x:v>R10档金币／元宝主回收口</x:v>
      </x:c>
      <x:c r="U449" s="38" t="str">
        <x:v>产出实物默认不绑定，按现行材料脚本</x:v>
      </x:c>
      <x:c r="V449" s="38" t="str">
        <x:v>结构已确认；数量待经济反算</x:v>
      </x:c>
      <x:c r="W449" s="39" t="str"/>
    </x:row>
    <x:row r="450" ht="42" customHeight="1">
      <x:c r="A450" s="37" t="str">
        <x:v>CON-C10-REBIRTH-19-0446</x:v>
      </x:c>
      <x:c r="B450" s="38" t="str">
        <x:v>配方输入</x:v>
      </x:c>
      <x:c r="C450" s="38" t="str">
        <x:v>C10-REBIRTH-19</x:v>
      </x:c>
      <x:c r="D450" s="38" t="str">
        <x:v>C10</x:v>
      </x:c>
      <x:c r="E450" s="38" t="str">
        <x:v>EL-MAT-C10-RARE</x:v>
      </x:c>
      <x:c r="F450" s="38" t="str">
        <x:v>王宫律文</x:v>
      </x:c>
      <x:c r="G450" s="38" t="str"/>
      <x:c r="H450" s="38" t="str">
        <x:v>稀有/证物材料</x:v>
      </x:c>
      <x:c r="I450" s="38" t="str">
        <x:v>稀有/证物材料</x:v>
      </x:c>
      <x:c r="J450" s="38" t="str">
        <x:v>王宫律文＋王宫断冠片＋艾尔登王印</x:v>
      </x:c>
      <x:c r="K450" s="38" t="str">
        <x:v>王宫律文</x:v>
      </x:c>
      <x:c r="L450" s="38" t="str">
        <x:v>待经济反算</x:v>
      </x:c>
      <x:c r="M450" s="38" t="str">
        <x:v>待经济反算</x:v>
      </x:c>
      <x:c r="N450" s="38" t="str">
        <x:v>是</x:v>
      </x:c>
      <x:c r="O450" s="38" t="str">
        <x:v>否</x:v>
      </x:c>
      <x:c r="P450" s="38" t="str">
        <x:v>否</x:v>
      </x:c>
      <x:c r="Q450" s="38" t="str">
        <x:v>是</x:v>
      </x:c>
      <x:c r="R450" s="38" t="str">
        <x:v>是</x:v>
      </x:c>
      <x:c r="S450" s="38" t="str">
        <x:v>可交易</x:v>
      </x:c>
      <x:c r="T450" s="38" t="str">
        <x:v>不作为自动回收主材</x:v>
      </x:c>
      <x:c r="U450" s="38" t="str">
        <x:v>产出实物默认不绑定，按现行材料脚本</x:v>
      </x:c>
      <x:c r="V450" s="38" t="str">
        <x:v>结构已确认；数量待经济反算</x:v>
      </x:c>
      <x:c r="W450" s="39" t="str"/>
    </x:row>
    <x:row r="451" ht="42" customHeight="1">
      <x:c r="A451" s="37" t="str">
        <x:v>CON-C10-REBIRTH-19-0447</x:v>
      </x:c>
      <x:c r="B451" s="38" t="str">
        <x:v>配方输入</x:v>
      </x:c>
      <x:c r="C451" s="38" t="str">
        <x:v>C10-REBIRTH-19</x:v>
      </x:c>
      <x:c r="D451" s="38" t="str">
        <x:v>C10</x:v>
      </x:c>
      <x:c r="E451" s="38" t="str">
        <x:v>EL-MAT-C10-Q04</x:v>
      </x:c>
      <x:c r="F451" s="38" t="str">
        <x:v>王宫断冠片</x:v>
      </x:c>
      <x:c r="G451" s="38" t="str"/>
      <x:c r="H451" s="38" t="str">
        <x:v>稀有/证物材料</x:v>
      </x:c>
      <x:c r="I451" s="38" t="str">
        <x:v>稀有/证物材料</x:v>
      </x:c>
      <x:c r="J451" s="38" t="str">
        <x:v>王宫律文＋王宫断冠片＋艾尔登王印</x:v>
      </x:c>
      <x:c r="K451" s="38" t="str">
        <x:v>王宫断冠片</x:v>
      </x:c>
      <x:c r="L451" s="38" t="str">
        <x:v>待经济反算</x:v>
      </x:c>
      <x:c r="M451" s="38" t="str">
        <x:v>待经济反算</x:v>
      </x:c>
      <x:c r="N451" s="38" t="str">
        <x:v>是</x:v>
      </x:c>
      <x:c r="O451" s="38" t="str">
        <x:v>否</x:v>
      </x:c>
      <x:c r="P451" s="38" t="str">
        <x:v>否</x:v>
      </x:c>
      <x:c r="Q451" s="38" t="str">
        <x:v>是</x:v>
      </x:c>
      <x:c r="R451" s="38" t="str">
        <x:v>是</x:v>
      </x:c>
      <x:c r="S451" s="38" t="str">
        <x:v>可交易</x:v>
      </x:c>
      <x:c r="T451" s="38" t="str">
        <x:v>不作为自动回收主材</x:v>
      </x:c>
      <x:c r="U451" s="38" t="str">
        <x:v>产出实物默认不绑定，按现行材料脚本</x:v>
      </x:c>
      <x:c r="V451" s="38" t="str">
        <x:v>结构已确认；数量待经济反算</x:v>
      </x:c>
      <x:c r="W451" s="39" t="str"/>
    </x:row>
    <x:row r="452" ht="42" customHeight="1">
      <x:c r="A452" s="37" t="str">
        <x:v>CON-C10-REBIRTH-19-0448</x:v>
      </x:c>
      <x:c r="B452" s="38" t="str">
        <x:v>配方输入</x:v>
      </x:c>
      <x:c r="C452" s="38" t="str">
        <x:v>C10-REBIRTH-19</x:v>
      </x:c>
      <x:c r="D452" s="38" t="str">
        <x:v>C10</x:v>
      </x:c>
      <x:c r="E452" s="38" t="str">
        <x:v>EL-MAT-C10-MARK</x:v>
      </x:c>
      <x:c r="F452" s="38" t="str">
        <x:v>艾尔登王印</x:v>
      </x:c>
      <x:c r="G452" s="38" t="str"/>
      <x:c r="H452" s="38" t="str">
        <x:v>稀有/证物材料</x:v>
      </x:c>
      <x:c r="I452" s="38" t="str">
        <x:v>稀有/证物材料</x:v>
      </x:c>
      <x:c r="J452" s="38" t="str">
        <x:v>王宫律文＋王宫断冠片＋艾尔登王印</x:v>
      </x:c>
      <x:c r="K452" s="38" t="str">
        <x:v>艾尔登王印</x:v>
      </x:c>
      <x:c r="L452" s="38" t="str">
        <x:v>待经济反算</x:v>
      </x:c>
      <x:c r="M452" s="38" t="str">
        <x:v>待经济反算</x:v>
      </x:c>
      <x:c r="N452" s="38" t="str">
        <x:v>是</x:v>
      </x:c>
      <x:c r="O452" s="38" t="str">
        <x:v>否</x:v>
      </x:c>
      <x:c r="P452" s="38" t="str">
        <x:v>否</x:v>
      </x:c>
      <x:c r="Q452" s="38" t="str">
        <x:v>是</x:v>
      </x:c>
      <x:c r="R452" s="38" t="str">
        <x:v>是</x:v>
      </x:c>
      <x:c r="S452" s="38" t="str">
        <x:v>可交易</x:v>
      </x:c>
      <x:c r="T452" s="38" t="str">
        <x:v>不作为自动回收主材</x:v>
      </x:c>
      <x:c r="U452" s="38" t="str">
        <x:v>产出实物默认不绑定，按现行材料脚本</x:v>
      </x:c>
      <x:c r="V452" s="38" t="str">
        <x:v>结构已确认；数量待经济反算</x:v>
      </x:c>
      <x:c r="W452" s="39" t="str"/>
    </x:row>
    <x:row r="453" ht="42" customHeight="1">
      <x:c r="A453" s="37" t="str">
        <x:v>CON-C10-REBIRTH-19-0449</x:v>
      </x:c>
      <x:c r="B453" s="38" t="str">
        <x:v>配方输入</x:v>
      </x:c>
      <x:c r="C453" s="38" t="str">
        <x:v>C10-REBIRTH-19</x:v>
      </x:c>
      <x:c r="D453" s="38" t="str">
        <x:v>C10</x:v>
      </x:c>
      <x:c r="E453" s="38" t="str">
        <x:v>CUR-LARGE-RUNE</x:v>
      </x:c>
      <x:c r="F453" s="38" t="str">
        <x:v>大卢恩</x:v>
      </x:c>
      <x:c r="G453" s="38" t="str"/>
      <x:c r="H453" s="38" t="str">
        <x:v>全局材料</x:v>
      </x:c>
      <x:c r="I453" s="38" t="str">
        <x:v>全局材料</x:v>
      </x:c>
      <x:c r="J453" s="38" t="str">
        <x:v>大卢恩</x:v>
      </x:c>
      <x:c r="K453" s="38" t="str">
        <x:v>大卢恩</x:v>
      </x:c>
      <x:c r="L453" s="38" t="str">
        <x:v>待经济反算</x:v>
      </x:c>
      <x:c r="M453" s="38" t="str">
        <x:v>待经济反算</x:v>
      </x:c>
      <x:c r="N453" s="38" t="str">
        <x:v>是</x:v>
      </x:c>
      <x:c r="O453" s="38" t="str">
        <x:v>否</x:v>
      </x:c>
      <x:c r="P453" s="38" t="str">
        <x:v>否</x:v>
      </x:c>
      <x:c r="Q453" s="38" t="str">
        <x:v>是</x:v>
      </x:c>
      <x:c r="R453" s="38" t="str">
        <x:v>是</x:v>
      </x:c>
      <x:c r="S453" s="38" t="str">
        <x:v>不进入玩家摆摊；通过交易物间接流通</x:v>
      </x:c>
      <x:c r="T453" s="38" t="str">
        <x:v>货币本身不可回收</x:v>
      </x:c>
      <x:c r="U453" s="38" t="str">
        <x:v>沿用现行货币账户</x:v>
      </x:c>
      <x:c r="V453" s="38" t="str">
        <x:v>结构已确认；数量待经济反算</x:v>
      </x:c>
      <x:c r="W453" s="39" t="str"/>
    </x:row>
    <x:row r="454" ht="42" customHeight="1">
      <x:c r="A454" s="37" t="str">
        <x:v>CON-C10-REBIRTH-19-0450</x:v>
      </x:c>
      <x:c r="B454" s="38" t="str">
        <x:v>配方输入</x:v>
      </x:c>
      <x:c r="C454" s="38" t="str">
        <x:v>C10-REBIRTH-19</x:v>
      </x:c>
      <x:c r="D454" s="38" t="str">
        <x:v>C10</x:v>
      </x:c>
      <x:c r="E454" s="38" t="str">
        <x:v>CUR-GOLD</x:v>
      </x:c>
      <x:c r="F454" s="38" t="str">
        <x:v>金币</x:v>
      </x:c>
      <x:c r="G454" s="38" t="str"/>
      <x:c r="H454" s="38" t="str">
        <x:v>金币/元宝/灵符</x:v>
      </x:c>
      <x:c r="I454" s="38" t="str">
        <x:v>货币</x:v>
      </x:c>
      <x:c r="J454" s="38" t="str">
        <x:v>金币＋元宝</x:v>
      </x:c>
      <x:c r="K454" s="38" t="str">
        <x:v>金币</x:v>
      </x:c>
      <x:c r="L454" s="38" t="str">
        <x:v>待经济反算</x:v>
      </x:c>
      <x:c r="M454" s="38" t="str">
        <x:v>待经济反算</x:v>
      </x:c>
      <x:c r="N454" s="38" t="str">
        <x:v>是</x:v>
      </x:c>
      <x:c r="O454" s="38" t="str">
        <x:v>否</x:v>
      </x:c>
      <x:c r="P454" s="38" t="str">
        <x:v>否</x:v>
      </x:c>
      <x:c r="Q454" s="38" t="str">
        <x:v>是</x:v>
      </x:c>
      <x:c r="R454" s="38" t="str">
        <x:v>是</x:v>
      </x:c>
      <x:c r="S454" s="38" t="str">
        <x:v>不进入玩家摆摊；通过交易物间接流通</x:v>
      </x:c>
      <x:c r="T454" s="38" t="str">
        <x:v>货币本身不可回收</x:v>
      </x:c>
      <x:c r="U454" s="38" t="str">
        <x:v>沿用现行货币账户</x:v>
      </x:c>
      <x:c r="V454" s="38" t="str">
        <x:v>结构已确认；数量待经济反算</x:v>
      </x:c>
      <x:c r="W454" s="39" t="str"/>
    </x:row>
    <x:row r="455" ht="42" customHeight="1">
      <x:c r="A455" s="37" t="str">
        <x:v>CON-C10-REBIRTH-19-0451</x:v>
      </x:c>
      <x:c r="B455" s="38" t="str">
        <x:v>配方输入</x:v>
      </x:c>
      <x:c r="C455" s="38" t="str">
        <x:v>C10-REBIRTH-19</x:v>
      </x:c>
      <x:c r="D455" s="38" t="str">
        <x:v>C10</x:v>
      </x:c>
      <x:c r="E455" s="38" t="str">
        <x:v>CUR-YUANBAO</x:v>
      </x:c>
      <x:c r="F455" s="38" t="str">
        <x:v>元宝</x:v>
      </x:c>
      <x:c r="G455" s="38" t="str"/>
      <x:c r="H455" s="38" t="str">
        <x:v>金币/元宝/灵符</x:v>
      </x:c>
      <x:c r="I455" s="38" t="str">
        <x:v>货币</x:v>
      </x:c>
      <x:c r="J455" s="38" t="str">
        <x:v>金币＋元宝</x:v>
      </x:c>
      <x:c r="K455" s="38" t="str">
        <x:v>元宝</x:v>
      </x:c>
      <x:c r="L455" s="38" t="str">
        <x:v>待经济反算</x:v>
      </x:c>
      <x:c r="M455" s="38" t="str">
        <x:v>待经济反算</x:v>
      </x:c>
      <x:c r="N455" s="38" t="str">
        <x:v>是</x:v>
      </x:c>
      <x:c r="O455" s="38" t="str">
        <x:v>否</x:v>
      </x:c>
      <x:c r="P455" s="38" t="str">
        <x:v>否</x:v>
      </x:c>
      <x:c r="Q455" s="38" t="str">
        <x:v>是</x:v>
      </x:c>
      <x:c r="R455" s="38" t="str">
        <x:v>是</x:v>
      </x:c>
      <x:c r="S455" s="38" t="str">
        <x:v>不进入玩家摆摊；通过交易物间接流通</x:v>
      </x:c>
      <x:c r="T455" s="38" t="str">
        <x:v>货币本身不可回收</x:v>
      </x:c>
      <x:c r="U455" s="38" t="str">
        <x:v>沿用现行货币账户</x:v>
      </x:c>
      <x:c r="V455" s="38" t="str">
        <x:v>结构已确认；数量待经济反算</x:v>
      </x:c>
      <x:c r="W455" s="39" t="str"/>
    </x:row>
    <x:row r="456" ht="42" customHeight="1">
      <x:c r="A456" s="37" t="str">
        <x:v>CON-C10-REBIRTH-20-0452</x:v>
      </x:c>
      <x:c r="B456" s="38" t="str">
        <x:v>配方输入</x:v>
      </x:c>
      <x:c r="C456" s="38" t="str">
        <x:v>C10-REBIRTH-20</x:v>
      </x:c>
      <x:c r="D456" s="38" t="str">
        <x:v>C10</x:v>
      </x:c>
      <x:c r="E456" s="38" t="str">
        <x:v>REQ-8FE42CA21460</x:v>
      </x:c>
      <x:c r="F456" s="38" t="str">
        <x:v>第19转</x:v>
      </x:c>
      <x:c r="G456" s="38" t="str"/>
      <x:c r="H456" s="38" t="str">
        <x:v>基础件/前置</x:v>
      </x:c>
      <x:c r="I456" s="38" t="str">
        <x:v>基础件/前置</x:v>
      </x:c>
      <x:c r="J456" s="38" t="str">
        <x:v>第19转</x:v>
      </x:c>
      <x:c r="K456" s="38" t="str">
        <x:v>第19转</x:v>
      </x:c>
      <x:c r="L456" s="38" t="str">
        <x:v>待经济反算</x:v>
      </x:c>
      <x:c r="M456" s="38" t="str">
        <x:v>待经济反算</x:v>
      </x:c>
      <x:c r="N456" s="38" t="str">
        <x:v>否</x:v>
      </x:c>
      <x:c r="O456" s="38" t="str">
        <x:v>是</x:v>
      </x:c>
      <x:c r="P456" s="38" t="str">
        <x:v>否</x:v>
      </x:c>
      <x:c r="Q456" s="38" t="str">
        <x:v>是</x:v>
      </x:c>
      <x:c r="R456" s="38" t="str">
        <x:v>是</x:v>
      </x:c>
      <x:c r="S456" s="38" t="str">
        <x:v>不可交易</x:v>
      </x:c>
      <x:c r="T456" s="38" t="str">
        <x:v>不适用</x:v>
      </x:c>
      <x:c r="U456" s="38" t="str">
        <x:v>角色状态</x:v>
      </x:c>
      <x:c r="V456" s="38" t="str">
        <x:v>结构已确认；数量待经济反算</x:v>
      </x:c>
      <x:c r="W456" s="39" t="str"/>
    </x:row>
    <x:row r="457" ht="42" customHeight="1">
      <x:c r="A457" s="37" t="str">
        <x:v>CON-C10-REBIRTH-20-0453</x:v>
      </x:c>
      <x:c r="B457" s="38" t="str">
        <x:v>配方输入</x:v>
      </x:c>
      <x:c r="C457" s="38" t="str">
        <x:v>C10-REBIRTH-20</x:v>
      </x:c>
      <x:c r="D457" s="38" t="str">
        <x:v>C10</x:v>
      </x:c>
      <x:c r="E457" s="38" t="str">
        <x:v>EL-MAT-C10-COM</x:v>
      </x:c>
      <x:c r="F457" s="38" t="str">
        <x:v>王城金屑</x:v>
      </x:c>
      <x:c r="G457" s="38" t="str"/>
      <x:c r="H457" s="38" t="str">
        <x:v>高产通用材料</x:v>
      </x:c>
      <x:c r="I457" s="38" t="str">
        <x:v>高产通用材料</x:v>
      </x:c>
      <x:c r="J457" s="38" t="str">
        <x:v>王城金屑</x:v>
      </x:c>
      <x:c r="K457" s="38" t="str">
        <x:v>王城金屑</x:v>
      </x:c>
      <x:c r="L457" s="38" t="str">
        <x:v>待经济反算</x:v>
      </x:c>
      <x:c r="M457" s="38" t="str">
        <x:v>待经济反算</x:v>
      </x:c>
      <x:c r="N457" s="38" t="str">
        <x:v>是</x:v>
      </x:c>
      <x:c r="O457" s="38" t="str">
        <x:v>否</x:v>
      </x:c>
      <x:c r="P457" s="38" t="str">
        <x:v>否</x:v>
      </x:c>
      <x:c r="Q457" s="38" t="str">
        <x:v>是</x:v>
      </x:c>
      <x:c r="R457" s="38" t="str">
        <x:v>是</x:v>
      </x:c>
      <x:c r="S457" s="38" t="str">
        <x:v>可交易</x:v>
      </x:c>
      <x:c r="T457" s="38" t="str">
        <x:v>R10档金币／元宝主回收口</x:v>
      </x:c>
      <x:c r="U457" s="38" t="str">
        <x:v>产出实物默认不绑定，按现行材料脚本</x:v>
      </x:c>
      <x:c r="V457" s="38" t="str">
        <x:v>结构已确认；数量待经济反算</x:v>
      </x:c>
      <x:c r="W457" s="39" t="str"/>
    </x:row>
    <x:row r="458" ht="42" customHeight="1">
      <x:c r="A458" s="37" t="str">
        <x:v>CON-C10-REBIRTH-20-0454</x:v>
      </x:c>
      <x:c r="B458" s="38" t="str">
        <x:v>配方输入</x:v>
      </x:c>
      <x:c r="C458" s="38" t="str">
        <x:v>C10-REBIRTH-20</x:v>
      </x:c>
      <x:c r="D458" s="38" t="str">
        <x:v>C10</x:v>
      </x:c>
      <x:c r="E458" s="38" t="str">
        <x:v>EL-MAT-C10-RARE</x:v>
      </x:c>
      <x:c r="F458" s="38" t="str">
        <x:v>王宫律文</x:v>
      </x:c>
      <x:c r="G458" s="38" t="str"/>
      <x:c r="H458" s="38" t="str">
        <x:v>稀有/证物材料</x:v>
      </x:c>
      <x:c r="I458" s="38" t="str">
        <x:v>稀有/证物材料</x:v>
      </x:c>
      <x:c r="J458" s="38" t="str">
        <x:v>王宫律文＋王宫断冠片＋艾尔登王印</x:v>
      </x:c>
      <x:c r="K458" s="38" t="str">
        <x:v>王宫律文</x:v>
      </x:c>
      <x:c r="L458" s="38" t="str">
        <x:v>待经济反算</x:v>
      </x:c>
      <x:c r="M458" s="38" t="str">
        <x:v>待经济反算</x:v>
      </x:c>
      <x:c r="N458" s="38" t="str">
        <x:v>是</x:v>
      </x:c>
      <x:c r="O458" s="38" t="str">
        <x:v>否</x:v>
      </x:c>
      <x:c r="P458" s="38" t="str">
        <x:v>否</x:v>
      </x:c>
      <x:c r="Q458" s="38" t="str">
        <x:v>是</x:v>
      </x:c>
      <x:c r="R458" s="38" t="str">
        <x:v>是</x:v>
      </x:c>
      <x:c r="S458" s="38" t="str">
        <x:v>可交易</x:v>
      </x:c>
      <x:c r="T458" s="38" t="str">
        <x:v>不作为自动回收主材</x:v>
      </x:c>
      <x:c r="U458" s="38" t="str">
        <x:v>产出实物默认不绑定，按现行材料脚本</x:v>
      </x:c>
      <x:c r="V458" s="38" t="str">
        <x:v>结构已确认；数量待经济反算</x:v>
      </x:c>
      <x:c r="W458" s="39" t="str"/>
    </x:row>
    <x:row r="459" ht="42" customHeight="1">
      <x:c r="A459" s="37" t="str">
        <x:v>CON-C10-REBIRTH-20-0455</x:v>
      </x:c>
      <x:c r="B459" s="38" t="str">
        <x:v>配方输入</x:v>
      </x:c>
      <x:c r="C459" s="38" t="str">
        <x:v>C10-REBIRTH-20</x:v>
      </x:c>
      <x:c r="D459" s="38" t="str">
        <x:v>C10</x:v>
      </x:c>
      <x:c r="E459" s="38" t="str">
        <x:v>EL-MAT-C10-Q04</x:v>
      </x:c>
      <x:c r="F459" s="38" t="str">
        <x:v>王宫断冠片</x:v>
      </x:c>
      <x:c r="G459" s="38" t="str"/>
      <x:c r="H459" s="38" t="str">
        <x:v>稀有/证物材料</x:v>
      </x:c>
      <x:c r="I459" s="38" t="str">
        <x:v>稀有/证物材料</x:v>
      </x:c>
      <x:c r="J459" s="38" t="str">
        <x:v>王宫律文＋王宫断冠片＋艾尔登王印</x:v>
      </x:c>
      <x:c r="K459" s="38" t="str">
        <x:v>王宫断冠片</x:v>
      </x:c>
      <x:c r="L459" s="38" t="str">
        <x:v>待经济反算</x:v>
      </x:c>
      <x:c r="M459" s="38" t="str">
        <x:v>待经济反算</x:v>
      </x:c>
      <x:c r="N459" s="38" t="str">
        <x:v>是</x:v>
      </x:c>
      <x:c r="O459" s="38" t="str">
        <x:v>否</x:v>
      </x:c>
      <x:c r="P459" s="38" t="str">
        <x:v>否</x:v>
      </x:c>
      <x:c r="Q459" s="38" t="str">
        <x:v>是</x:v>
      </x:c>
      <x:c r="R459" s="38" t="str">
        <x:v>是</x:v>
      </x:c>
      <x:c r="S459" s="38" t="str">
        <x:v>可交易</x:v>
      </x:c>
      <x:c r="T459" s="38" t="str">
        <x:v>不作为自动回收主材</x:v>
      </x:c>
      <x:c r="U459" s="38" t="str">
        <x:v>产出实物默认不绑定，按现行材料脚本</x:v>
      </x:c>
      <x:c r="V459" s="38" t="str">
        <x:v>结构已确认；数量待经济反算</x:v>
      </x:c>
      <x:c r="W459" s="39" t="str"/>
    </x:row>
    <x:row r="460" ht="42" customHeight="1">
      <x:c r="A460" s="37" t="str">
        <x:v>CON-C10-REBIRTH-20-0456</x:v>
      </x:c>
      <x:c r="B460" s="38" t="str">
        <x:v>配方输入</x:v>
      </x:c>
      <x:c r="C460" s="38" t="str">
        <x:v>C10-REBIRTH-20</x:v>
      </x:c>
      <x:c r="D460" s="38" t="str">
        <x:v>C10</x:v>
      </x:c>
      <x:c r="E460" s="38" t="str">
        <x:v>EL-MAT-C10-MARK</x:v>
      </x:c>
      <x:c r="F460" s="38" t="str">
        <x:v>艾尔登王印</x:v>
      </x:c>
      <x:c r="G460" s="38" t="str"/>
      <x:c r="H460" s="38" t="str">
        <x:v>稀有/证物材料</x:v>
      </x:c>
      <x:c r="I460" s="38" t="str">
        <x:v>稀有/证物材料</x:v>
      </x:c>
      <x:c r="J460" s="38" t="str">
        <x:v>王宫律文＋王宫断冠片＋艾尔登王印</x:v>
      </x:c>
      <x:c r="K460" s="38" t="str">
        <x:v>艾尔登王印</x:v>
      </x:c>
      <x:c r="L460" s="38" t="str">
        <x:v>待经济反算</x:v>
      </x:c>
      <x:c r="M460" s="38" t="str">
        <x:v>待经济反算</x:v>
      </x:c>
      <x:c r="N460" s="38" t="str">
        <x:v>是</x:v>
      </x:c>
      <x:c r="O460" s="38" t="str">
        <x:v>否</x:v>
      </x:c>
      <x:c r="P460" s="38" t="str">
        <x:v>否</x:v>
      </x:c>
      <x:c r="Q460" s="38" t="str">
        <x:v>是</x:v>
      </x:c>
      <x:c r="R460" s="38" t="str">
        <x:v>是</x:v>
      </x:c>
      <x:c r="S460" s="38" t="str">
        <x:v>可交易</x:v>
      </x:c>
      <x:c r="T460" s="38" t="str">
        <x:v>不作为自动回收主材</x:v>
      </x:c>
      <x:c r="U460" s="38" t="str">
        <x:v>产出实物默认不绑定，按现行材料脚本</x:v>
      </x:c>
      <x:c r="V460" s="38" t="str">
        <x:v>结构已确认；数量待经济反算</x:v>
      </x:c>
      <x:c r="W460" s="39" t="str"/>
    </x:row>
    <x:row r="461" ht="42" customHeight="1">
      <x:c r="A461" s="37" t="str">
        <x:v>CON-C10-REBIRTH-20-0457</x:v>
      </x:c>
      <x:c r="B461" s="38" t="str">
        <x:v>配方输入</x:v>
      </x:c>
      <x:c r="C461" s="38" t="str">
        <x:v>C10-REBIRTH-20</x:v>
      </x:c>
      <x:c r="D461" s="38" t="str">
        <x:v>C10</x:v>
      </x:c>
      <x:c r="E461" s="38" t="str">
        <x:v>CUR-LARGE-RUNE</x:v>
      </x:c>
      <x:c r="F461" s="38" t="str">
        <x:v>大卢恩</x:v>
      </x:c>
      <x:c r="G461" s="38" t="str"/>
      <x:c r="H461" s="38" t="str">
        <x:v>全局材料</x:v>
      </x:c>
      <x:c r="I461" s="38" t="str">
        <x:v>全局材料</x:v>
      </x:c>
      <x:c r="J461" s="38" t="str">
        <x:v>大卢恩</x:v>
      </x:c>
      <x:c r="K461" s="38" t="str">
        <x:v>大卢恩</x:v>
      </x:c>
      <x:c r="L461" s="38" t="str">
        <x:v>待经济反算</x:v>
      </x:c>
      <x:c r="M461" s="38" t="str">
        <x:v>待经济反算</x:v>
      </x:c>
      <x:c r="N461" s="38" t="str">
        <x:v>是</x:v>
      </x:c>
      <x:c r="O461" s="38" t="str">
        <x:v>否</x:v>
      </x:c>
      <x:c r="P461" s="38" t="str">
        <x:v>否</x:v>
      </x:c>
      <x:c r="Q461" s="38" t="str">
        <x:v>是</x:v>
      </x:c>
      <x:c r="R461" s="38" t="str">
        <x:v>是</x:v>
      </x:c>
      <x:c r="S461" s="38" t="str">
        <x:v>不进入玩家摆摊；通过交易物间接流通</x:v>
      </x:c>
      <x:c r="T461" s="38" t="str">
        <x:v>货币本身不可回收</x:v>
      </x:c>
      <x:c r="U461" s="38" t="str">
        <x:v>沿用现行货币账户</x:v>
      </x:c>
      <x:c r="V461" s="38" t="str">
        <x:v>结构已确认；数量待经济反算</x:v>
      </x:c>
      <x:c r="W461" s="39" t="str"/>
    </x:row>
    <x:row r="462" ht="42" customHeight="1">
      <x:c r="A462" s="37" t="str">
        <x:v>CON-C10-REBIRTH-20-0458</x:v>
      </x:c>
      <x:c r="B462" s="38" t="str">
        <x:v>配方输入</x:v>
      </x:c>
      <x:c r="C462" s="38" t="str">
        <x:v>C10-REBIRTH-20</x:v>
      </x:c>
      <x:c r="D462" s="38" t="str">
        <x:v>C10</x:v>
      </x:c>
      <x:c r="E462" s="38" t="str">
        <x:v>CUR-GOLD</x:v>
      </x:c>
      <x:c r="F462" s="38" t="str">
        <x:v>金币</x:v>
      </x:c>
      <x:c r="G462" s="38" t="str"/>
      <x:c r="H462" s="38" t="str">
        <x:v>金币/元宝/灵符</x:v>
      </x:c>
      <x:c r="I462" s="38" t="str">
        <x:v>货币</x:v>
      </x:c>
      <x:c r="J462" s="38" t="str">
        <x:v>金币＋元宝</x:v>
      </x:c>
      <x:c r="K462" s="38" t="str">
        <x:v>金币</x:v>
      </x:c>
      <x:c r="L462" s="38" t="str">
        <x:v>待经济反算</x:v>
      </x:c>
      <x:c r="M462" s="38" t="str">
        <x:v>待经济反算</x:v>
      </x:c>
      <x:c r="N462" s="38" t="str">
        <x:v>是</x:v>
      </x:c>
      <x:c r="O462" s="38" t="str">
        <x:v>否</x:v>
      </x:c>
      <x:c r="P462" s="38" t="str">
        <x:v>否</x:v>
      </x:c>
      <x:c r="Q462" s="38" t="str">
        <x:v>是</x:v>
      </x:c>
      <x:c r="R462" s="38" t="str">
        <x:v>是</x:v>
      </x:c>
      <x:c r="S462" s="38" t="str">
        <x:v>不进入玩家摆摊；通过交易物间接流通</x:v>
      </x:c>
      <x:c r="T462" s="38" t="str">
        <x:v>货币本身不可回收</x:v>
      </x:c>
      <x:c r="U462" s="38" t="str">
        <x:v>沿用现行货币账户</x:v>
      </x:c>
      <x:c r="V462" s="38" t="str">
        <x:v>结构已确认；数量待经济反算</x:v>
      </x:c>
      <x:c r="W462" s="39" t="str"/>
    </x:row>
    <x:row r="463" ht="42" customHeight="1">
      <x:c r="A463" s="37" t="str">
        <x:v>CON-C10-REBIRTH-20-0459</x:v>
      </x:c>
      <x:c r="B463" s="38" t="str">
        <x:v>配方输入</x:v>
      </x:c>
      <x:c r="C463" s="38" t="str">
        <x:v>C10-REBIRTH-20</x:v>
      </x:c>
      <x:c r="D463" s="38" t="str">
        <x:v>C10</x:v>
      </x:c>
      <x:c r="E463" s="38" t="str">
        <x:v>CUR-YUANBAO</x:v>
      </x:c>
      <x:c r="F463" s="38" t="str">
        <x:v>元宝</x:v>
      </x:c>
      <x:c r="G463" s="38" t="str"/>
      <x:c r="H463" s="38" t="str">
        <x:v>金币/元宝/灵符</x:v>
      </x:c>
      <x:c r="I463" s="38" t="str">
        <x:v>货币</x:v>
      </x:c>
      <x:c r="J463" s="38" t="str">
        <x:v>金币＋元宝</x:v>
      </x:c>
      <x:c r="K463" s="38" t="str">
        <x:v>元宝</x:v>
      </x:c>
      <x:c r="L463" s="38" t="str">
        <x:v>待经济反算</x:v>
      </x:c>
      <x:c r="M463" s="38" t="str">
        <x:v>待经济反算</x:v>
      </x:c>
      <x:c r="N463" s="38" t="str">
        <x:v>是</x:v>
      </x:c>
      <x:c r="O463" s="38" t="str">
        <x:v>否</x:v>
      </x:c>
      <x:c r="P463" s="38" t="str">
        <x:v>否</x:v>
      </x:c>
      <x:c r="Q463" s="38" t="str">
        <x:v>是</x:v>
      </x:c>
      <x:c r="R463" s="38" t="str">
        <x:v>是</x:v>
      </x:c>
      <x:c r="S463" s="38" t="str">
        <x:v>不进入玩家摆摊；通过交易物间接流通</x:v>
      </x:c>
      <x:c r="T463" s="38" t="str">
        <x:v>货币本身不可回收</x:v>
      </x:c>
      <x:c r="U463" s="38" t="str">
        <x:v>沿用现行货币账户</x:v>
      </x:c>
      <x:c r="V463" s="38" t="str">
        <x:v>结构已确认；数量待经济反算</x:v>
      </x:c>
      <x:c r="W463" s="39" t="str"/>
    </x:row>
    <x:row r="464" ht="42" customHeight="1">
      <x:c r="A464" s="37" t="str">
        <x:v>CON-SUG-SYS-BODY-255-SKILL</x:v>
      </x:c>
      <x:c r="B464" s="38" t="str">
        <x:v>建议系统消耗</x:v>
      </x:c>
      <x:c r="C464" s="38" t="str">
        <x:v>SYS-BODY-255-SKILL</x:v>
      </x:c>
      <x:c r="D464" s="38" t="str">
        <x:v>C02及以后</x:v>
      </x:c>
      <x:c r="E464" s="38" t="str">
        <x:v>EL-MAT-C02-BONE</x:v>
      </x:c>
      <x:c r="F464" s="38" t="str">
        <x:v>野兽骨片</x:v>
      </x:c>
      <x:c r="G464" s="38" t="str"/>
      <x:c r="H464" s="38" t="str">
        <x:v>建议新增到既有系统</x:v>
      </x:c>
      <x:c r="I464" s="38" t="str">
        <x:v>系统材料</x:v>
      </x:c>
      <x:c r="J464" s="38" t="str">
        <x:v>野兽骨片</x:v>
      </x:c>
      <x:c r="K464" s="38" t="str">
        <x:v>野兽骨片</x:v>
      </x:c>
      <x:c r="L464" s="38" t="str">
        <x:v>待经济反算</x:v>
      </x:c>
      <x:c r="M464" s="38" t="str">
        <x:v>待经济反算</x:v>
      </x:c>
      <x:c r="N464" s="38" t="str">
        <x:v>是</x:v>
      </x:c>
      <x:c r="O464" s="38" t="str">
        <x:v>否</x:v>
      </x:c>
      <x:c r="P464" s="38" t="str">
        <x:v>否</x:v>
      </x:c>
      <x:c r="Q464" s="38" t="str">
        <x:v>是</x:v>
      </x:c>
      <x:c r="R464" s="38" t="str">
        <x:v>否</x:v>
      </x:c>
      <x:c r="S464" s="38" t="str">
        <x:v>可交易</x:v>
      </x:c>
      <x:c r="T464" s="38" t="str">
        <x:v>不作为自动回收主材</x:v>
      </x:c>
      <x:c r="U464" s="38" t="str">
        <x:v>产出实物默认不绑定，按现行材料脚本</x:v>
      </x:c>
      <x:c r="V464" s="38" t="str">
        <x:v>建议接入；需回写具体系统配方/脚本映射</x:v>
      </x:c>
      <x:c r="W464" s="39" t="str">
        <x:v>255档神印/炼体与技能升级：接入255档神印/炼体曲线，并作为必要技能升级材料；不新建功能。</x:v>
      </x:c>
    </x:row>
    <x:row r="465" ht="42" customHeight="1">
      <x:c r="A465" s="37" t="str">
        <x:v>CON-SUG-SYS-SKILL-ADVANCE</x:v>
      </x:c>
      <x:c r="B465" s="38" t="str">
        <x:v>建议系统消耗</x:v>
      </x:c>
      <x:c r="C465" s="38" t="str">
        <x:v>SYS-SKILL-ADVANCE</x:v>
      </x:c>
      <x:c r="D465" s="38" t="str">
        <x:v>C02及以后</x:v>
      </x:c>
      <x:c r="E465" s="38" t="str">
        <x:v>EL-MAT-C02-OATHPAGE</x:v>
      </x:c>
      <x:c r="F465" s="38" t="str">
        <x:v>宁姆格福誓页</x:v>
      </x:c>
      <x:c r="G465" s="38" t="str"/>
      <x:c r="H465" s="38" t="str">
        <x:v>建议新增到既有系统</x:v>
      </x:c>
      <x:c r="I465" s="38" t="str">
        <x:v>系统材料</x:v>
      </x:c>
      <x:c r="J465" s="38" t="str">
        <x:v>宁姆格福誓页</x:v>
      </x:c>
      <x:c r="K465" s="38" t="str">
        <x:v>宁姆格福誓页</x:v>
      </x:c>
      <x:c r="L465" s="38" t="str">
        <x:v>待经济反算</x:v>
      </x:c>
      <x:c r="M465" s="38" t="str">
        <x:v>待经济反算</x:v>
      </x:c>
      <x:c r="N465" s="38" t="str">
        <x:v>是</x:v>
      </x:c>
      <x:c r="O465" s="38" t="str">
        <x:v>否</x:v>
      </x:c>
      <x:c r="P465" s="38" t="str">
        <x:v>否</x:v>
      </x:c>
      <x:c r="Q465" s="38" t="str">
        <x:v>是</x:v>
      </x:c>
      <x:c r="R465" s="38" t="str">
        <x:v>否</x:v>
      </x:c>
      <x:c r="S465" s="38" t="str">
        <x:v>可交易</x:v>
      </x:c>
      <x:c r="T465" s="38" t="str">
        <x:v>不作为自动回收主材</x:v>
      </x:c>
      <x:c r="U465" s="38" t="str">
        <x:v>产出实物默认不绑定，按现行材料脚本</x:v>
      </x:c>
      <x:c r="V465" s="38" t="str">
        <x:v>建议接入；需回写具体系统配方/脚本映射</x:v>
      </x:c>
      <x:c r="W465" s="39" t="str">
        <x:v>高阶技能进阶/技能领悟：作为技能页面高阶阶段材料；具体分档与数量待反算。</x:v>
      </x:c>
    </x:row>
    <x:row r="466" ht="42" customHeight="1">
      <x:c r="A466" s="37" t="str">
        <x:v>CON-SUG-SYS-REROLL-AWAKEN-C34</x:v>
      </x:c>
      <x:c r="B466" s="38" t="str">
        <x:v>建议系统消耗</x:v>
      </x:c>
      <x:c r="C466" s="38" t="str">
        <x:v>SYS-REROLL-AWAKEN-C34</x:v>
      </x:c>
      <x:c r="D466" s="38" t="str">
        <x:v>C03—C04</x:v>
      </x:c>
      <x:c r="E466" s="38" t="str">
        <x:v>EL-MAT-C03-Q02</x:v>
      </x:c>
      <x:c r="F466" s="38" t="str">
        <x:v>商队火漆</x:v>
      </x:c>
      <x:c r="G466" s="38" t="str"/>
      <x:c r="H466" s="38" t="str">
        <x:v>建议新增到既有系统</x:v>
      </x:c>
      <x:c r="I466" s="38" t="str">
        <x:v>系统材料</x:v>
      </x:c>
      <x:c r="J466" s="38" t="str">
        <x:v>商队火漆</x:v>
      </x:c>
      <x:c r="K466" s="38" t="str">
        <x:v>商队火漆</x:v>
      </x:c>
      <x:c r="L466" s="38" t="str">
        <x:v>待经济反算</x:v>
      </x:c>
      <x:c r="M466" s="38" t="str">
        <x:v>待经济反算</x:v>
      </x:c>
      <x:c r="N466" s="38" t="str">
        <x:v>是</x:v>
      </x:c>
      <x:c r="O466" s="38" t="str">
        <x:v>否</x:v>
      </x:c>
      <x:c r="P466" s="38" t="str">
        <x:v>否</x:v>
      </x:c>
      <x:c r="Q466" s="38" t="str">
        <x:v>是</x:v>
      </x:c>
      <x:c r="R466" s="38" t="str">
        <x:v>否</x:v>
      </x:c>
      <x:c r="S466" s="38" t="str">
        <x:v>可交易</x:v>
      </x:c>
      <x:c r="T466" s="38" t="str">
        <x:v>不作为自动回收主材</x:v>
      </x:c>
      <x:c r="U466" s="38" t="str">
        <x:v>产出实物默认不绑定，按现行材料脚本</x:v>
      </x:c>
      <x:c r="V466" s="38" t="str">
        <x:v>建议接入；需回写具体系统配方/脚本映射</x:v>
      </x:c>
      <x:c r="W466" s="39" t="str">
        <x:v>C3—C4普通洗练/开光高阶段：接入既有普通洗练与开光系统，不进入命格洗练。</x:v>
      </x:c>
    </x:row>
    <x:row r="467" ht="42" customHeight="1">
      <x:c r="A467" s="37" t="str">
        <x:v>CON-SUG-SYS-REROLL-AWAKEN-C56</x:v>
      </x:c>
      <x:c r="B467" s="38" t="str">
        <x:v>建议系统消耗</x:v>
      </x:c>
      <x:c r="C467" s="38" t="str">
        <x:v>SYS-REROLL-AWAKEN-C56</x:v>
      </x:c>
      <x:c r="D467" s="38" t="str">
        <x:v>C05—C06</x:v>
      </x:c>
      <x:c r="E467" s="38" t="str">
        <x:v>EL-MAT-C05-Q02</x:v>
      </x:c>
      <x:c r="F467" s="38" t="str">
        <x:v>学院封蜡</x:v>
      </x:c>
      <x:c r="G467" s="38" t="str"/>
      <x:c r="H467" s="38" t="str">
        <x:v>建议新增到既有系统</x:v>
      </x:c>
      <x:c r="I467" s="38" t="str">
        <x:v>系统材料</x:v>
      </x:c>
      <x:c r="J467" s="38" t="str">
        <x:v>学院封蜡</x:v>
      </x:c>
      <x:c r="K467" s="38" t="str">
        <x:v>学院封蜡</x:v>
      </x:c>
      <x:c r="L467" s="38" t="str">
        <x:v>待经济反算</x:v>
      </x:c>
      <x:c r="M467" s="38" t="str">
        <x:v>待经济反算</x:v>
      </x:c>
      <x:c r="N467" s="38" t="str">
        <x:v>是</x:v>
      </x:c>
      <x:c r="O467" s="38" t="str">
        <x:v>否</x:v>
      </x:c>
      <x:c r="P467" s="38" t="str">
        <x:v>否</x:v>
      </x:c>
      <x:c r="Q467" s="38" t="str">
        <x:v>是</x:v>
      </x:c>
      <x:c r="R467" s="38" t="str">
        <x:v>否</x:v>
      </x:c>
      <x:c r="S467" s="38" t="str">
        <x:v>可交易</x:v>
      </x:c>
      <x:c r="T467" s="38" t="str">
        <x:v>不作为自动回收主材</x:v>
      </x:c>
      <x:c r="U467" s="38" t="str">
        <x:v>产出实物默认不绑定，按现行材料脚本</x:v>
      </x:c>
      <x:c r="V467" s="38" t="str">
        <x:v>建议接入；需回写具体系统配方/脚本映射</x:v>
      </x:c>
      <x:c r="W467" s="39" t="str">
        <x:v>C5—C6普通洗练/开光高阶段：接入既有普通洗练与开光系统，不进入命格洗练。</x:v>
      </x:c>
    </x:row>
    <x:row r="468" ht="42" customHeight="1">
      <x:c r="A468" s="37" t="str">
        <x:v>CON-SUG-SYS-REROLL-AWAKEN-C78</x:v>
      </x:c>
      <x:c r="B468" s="38" t="str">
        <x:v>建议系统消耗</x:v>
      </x:c>
      <x:c r="C468" s="38" t="str">
        <x:v>SYS-REROLL-AWAKEN-C78</x:v>
      </x:c>
      <x:c r="D468" s="38" t="str">
        <x:v>C07—C08</x:v>
      </x:c>
      <x:c r="E468" s="38" t="str">
        <x:v>EL-MAT-C07-Q02</x:v>
      </x:c>
      <x:c r="F468" s="38" t="str">
        <x:v>冻原银角</x:v>
      </x:c>
      <x:c r="G468" s="38" t="str"/>
      <x:c r="H468" s="38" t="str">
        <x:v>建议新增到既有系统</x:v>
      </x:c>
      <x:c r="I468" s="38" t="str">
        <x:v>系统材料</x:v>
      </x:c>
      <x:c r="J468" s="38" t="str">
        <x:v>冻原银角</x:v>
      </x:c>
      <x:c r="K468" s="38" t="str">
        <x:v>冻原银角</x:v>
      </x:c>
      <x:c r="L468" s="38" t="str">
        <x:v>待经济反算</x:v>
      </x:c>
      <x:c r="M468" s="38" t="str">
        <x:v>待经济反算</x:v>
      </x:c>
      <x:c r="N468" s="38" t="str">
        <x:v>是</x:v>
      </x:c>
      <x:c r="O468" s="38" t="str">
        <x:v>否</x:v>
      </x:c>
      <x:c r="P468" s="38" t="str">
        <x:v>否</x:v>
      </x:c>
      <x:c r="Q468" s="38" t="str">
        <x:v>是</x:v>
      </x:c>
      <x:c r="R468" s="38" t="str">
        <x:v>否</x:v>
      </x:c>
      <x:c r="S468" s="38" t="str">
        <x:v>可交易</x:v>
      </x:c>
      <x:c r="T468" s="38" t="str">
        <x:v>不作为自动回收主材</x:v>
      </x:c>
      <x:c r="U468" s="38" t="str">
        <x:v>产出实物默认不绑定，按现行材料脚本</x:v>
      </x:c>
      <x:c r="V468" s="38" t="str">
        <x:v>建议接入；需回写具体系统配方/脚本映射</x:v>
      </x:c>
      <x:c r="W468" s="39" t="str">
        <x:v>C7—C8普通洗练/开光高阶段：接入既有普通洗练与开光系统，不进入命格洗练。</x:v>
      </x:c>
    </x:row>
    <x:row r="469" ht="42" customHeight="1">
      <x:c r="A469" s="37" t="str">
        <x:v>CON-SUG-SYS-REROLL-C910</x:v>
      </x:c>
      <x:c r="B469" s="38" t="str">
        <x:v>建议系统消耗</x:v>
      </x:c>
      <x:c r="C469" s="38" t="str">
        <x:v>SYS-REROLL-C910</x:v>
      </x:c>
      <x:c r="D469" s="38" t="str">
        <x:v>C09—C10</x:v>
      </x:c>
      <x:c r="E469" s="38" t="str">
        <x:v>EL-MAT-C09-Q01</x:v>
      </x:c>
      <x:c r="F469" s="38" t="str">
        <x:v>金叶驿票</x:v>
      </x:c>
      <x:c r="G469" s="38" t="str"/>
      <x:c r="H469" s="38" t="str">
        <x:v>建议新增到既有系统</x:v>
      </x:c>
      <x:c r="I469" s="38" t="str">
        <x:v>系统材料</x:v>
      </x:c>
      <x:c r="J469" s="38" t="str">
        <x:v>金叶驿票</x:v>
      </x:c>
      <x:c r="K469" s="38" t="str">
        <x:v>金叶驿票</x:v>
      </x:c>
      <x:c r="L469" s="38" t="str">
        <x:v>待经济反算</x:v>
      </x:c>
      <x:c r="M469" s="38" t="str">
        <x:v>待经济反算</x:v>
      </x:c>
      <x:c r="N469" s="38" t="str">
        <x:v>是</x:v>
      </x:c>
      <x:c r="O469" s="38" t="str">
        <x:v>否</x:v>
      </x:c>
      <x:c r="P469" s="38" t="str">
        <x:v>否</x:v>
      </x:c>
      <x:c r="Q469" s="38" t="str">
        <x:v>是</x:v>
      </x:c>
      <x:c r="R469" s="38" t="str">
        <x:v>否</x:v>
      </x:c>
      <x:c r="S469" s="38" t="str">
        <x:v>可交易</x:v>
      </x:c>
      <x:c r="T469" s="38" t="str">
        <x:v>不作为自动回收主材</x:v>
      </x:c>
      <x:c r="U469" s="38" t="str">
        <x:v>产出实物默认不绑定，按现行材料脚本</x:v>
      </x:c>
      <x:c r="V469" s="38" t="str">
        <x:v>建议接入；需回写具体系统配方/脚本映射</x:v>
      </x:c>
      <x:c r="W469" s="39" t="str">
        <x:v>C9—C10普通洗练阶段：作为既有普通洗练的后期材料。</x:v>
      </x:c>
    </x:row>
    <x:row r="470" ht="42" customHeight="1">
      <x:c r="A470" s="37" t="str">
        <x:v>CON-SUG-SYS-AWAKEN-C910</x:v>
      </x:c>
      <x:c r="B470" s="38" t="str">
        <x:v>建议系统消耗</x:v>
      </x:c>
      <x:c r="C470" s="38" t="str">
        <x:v>SYS-AWAKEN-C910</x:v>
      </x:c>
      <x:c r="D470" s="38" t="str">
        <x:v>C09—C10</x:v>
      </x:c>
      <x:c r="E470" s="38" t="str">
        <x:v>EL-MAT-C09-Q02</x:v>
      </x:c>
      <x:c r="F470" s="38" t="str">
        <x:v>矿脉灯芯</x:v>
      </x:c>
      <x:c r="G470" s="38" t="str"/>
      <x:c r="H470" s="38" t="str">
        <x:v>建议新增到既有系统</x:v>
      </x:c>
      <x:c r="I470" s="38" t="str">
        <x:v>系统材料</x:v>
      </x:c>
      <x:c r="J470" s="38" t="str">
        <x:v>矿脉灯芯</x:v>
      </x:c>
      <x:c r="K470" s="38" t="str">
        <x:v>矿脉灯芯</x:v>
      </x:c>
      <x:c r="L470" s="38" t="str">
        <x:v>待经济反算</x:v>
      </x:c>
      <x:c r="M470" s="38" t="str">
        <x:v>待经济反算</x:v>
      </x:c>
      <x:c r="N470" s="38" t="str">
        <x:v>是</x:v>
      </x:c>
      <x:c r="O470" s="38" t="str">
        <x:v>否</x:v>
      </x:c>
      <x:c r="P470" s="38" t="str">
        <x:v>否</x:v>
      </x:c>
      <x:c r="Q470" s="38" t="str">
        <x:v>是</x:v>
      </x:c>
      <x:c r="R470" s="38" t="str">
        <x:v>否</x:v>
      </x:c>
      <x:c r="S470" s="38" t="str">
        <x:v>可交易</x:v>
      </x:c>
      <x:c r="T470" s="38" t="str">
        <x:v>不作为自动回收主材</x:v>
      </x:c>
      <x:c r="U470" s="38" t="str">
        <x:v>产出实物默认不绑定，按现行材料脚本</x:v>
      </x:c>
      <x:c r="V470" s="38" t="str">
        <x:v>建议接入；需回写具体系统配方/脚本映射</x:v>
      </x:c>
      <x:c r="W470" s="39" t="str">
        <x:v>C9—C10开光阶段：作为既有开光系统的后期材料。</x:v>
      </x:c>
    </x:row>
    <x:row r="471" ht="42" customHeight="1">
      <x:c r="A471" s="37" t="str">
        <x:v>CON-COLLECT-EQ-C01</x:v>
      </x:c>
      <x:c r="B471" s="38" t="str">
        <x:v>图鉴登记</x:v>
      </x:c>
      <x:c r="C471" s="38" t="str">
        <x:v>SYS-COLLECT-EQ-C01</x:v>
      </x:c>
      <x:c r="D471" s="38" t="str">
        <x:v>C01</x:v>
      </x:c>
      <x:c r="E471" s="38" t="str">
        <x:v>COLL-C01-EXCLUSIVE-SET</x:v>
      </x:c>
      <x:c r="F471" s="38" t="str">
        <x:v>漂流群岛地图专属装备（逐件登记聚合）</x:v>
      </x:c>
      <x:c r="G471" s="38" t="str"/>
      <x:c r="H471" s="38" t="str">
        <x:v>专属装备图鉴</x:v>
      </x:c>
      <x:c r="I471" s="38" t="str">
        <x:v>逐件实物登记</x:v>
      </x:c>
      <x:c r="J471" s="38" t="str">
        <x:v>本地图/大陆专属装备</x:v>
      </x:c>
      <x:c r="K471" s="38" t="str">
        <x:v>每件专属装备</x:v>
      </x:c>
      <x:c r="L471" s="38" t="str">
        <x:v>每件实物×1</x:v>
      </x:c>
      <x:c r="M471" s="38" t="str">
        <x:v>已确认固定规则；总件数取装备清单</x:v>
      </x:c>
      <x:c r="N471" s="38" t="str">
        <x:v>是</x:v>
      </x:c>
      <x:c r="O471" s="38" t="str">
        <x:v>否</x:v>
      </x:c>
      <x:c r="P471" s="38" t="str">
        <x:v>否</x:v>
      </x:c>
      <x:c r="Q471" s="38" t="str">
        <x:v>是</x:v>
      </x:c>
      <x:c r="R471" s="38" t="str">
        <x:v>是</x:v>
      </x:c>
      <x:c r="S471" s="38" t="str">
        <x:v>登记前可交易；登记消耗实物1件</x:v>
      </x:c>
      <x:c r="T471" s="38" t="str">
        <x:v>登记与回收/分解为互斥去向，不重复计值</x:v>
      </x:c>
      <x:c r="U471" s="38" t="str">
        <x:v>登记结果角色绑定</x:v>
      </x:c>
      <x:c r="V471" s="38" t="str">
        <x:v>规则已确认；奖励数值待统一平衡</x:v>
      </x:c>
      <x:c r="W471" s="39" t="str">
        <x:v>不收金币、元宝或灵符；完成上一大陆全部收集是下一大陆A/B安全挂机的主要韧性来源。</x:v>
      </x:c>
    </x:row>
    <x:row r="472" ht="42" customHeight="1">
      <x:c r="A472" s="37" t="str">
        <x:v>CON-COLLECT-MAT-C01</x:v>
      </x:c>
      <x:c r="B472" s="38" t="str">
        <x:v>图鉴登记</x:v>
      </x:c>
      <x:c r="C472" s="38" t="str">
        <x:v>SYS-COLLECT-MAT-C01</x:v>
      </x:c>
      <x:c r="D472" s="38" t="str">
        <x:v>C01</x:v>
      </x:c>
      <x:c r="E472" s="38" t="str">
        <x:v>EL-MAT-C01-COLLECT-TBD</x:v>
      </x:c>
      <x:c r="F472" s="38" t="str">
        <x:v>C1大陆收藏材料（待命名/编码）</x:v>
      </x:c>
      <x:c r="G472" s="38" t="str"/>
      <x:c r="H472" s="38" t="str">
        <x:v>大陆材料图鉴</x:v>
      </x:c>
      <x:c r="I472" s="38" t="str">
        <x:v>大陆专属材料登记</x:v>
      </x:c>
      <x:c r="J472" s="38" t="str">
        <x:v>C1大陆收藏材料（待命名/编码）</x:v>
      </x:c>
      <x:c r="K472" s="38" t="str">
        <x:v>C1大陆收藏材料（待命名/编码）</x:v>
      </x:c>
      <x:c r="L472" s="38" t="str">
        <x:v>实物×1；货币×0</x:v>
      </x:c>
      <x:c r="M472" s="38" t="str">
        <x:v>已确认固定规则</x:v>
      </x:c>
      <x:c r="N472" s="38" t="str">
        <x:v>是</x:v>
      </x:c>
      <x:c r="O472" s="38" t="str">
        <x:v>否</x:v>
      </x:c>
      <x:c r="P472" s="38" t="str">
        <x:v>否</x:v>
      </x:c>
      <x:c r="Q472" s="38" t="str">
        <x:v>是</x:v>
      </x:c>
      <x:c r="R472" s="38" t="str">
        <x:v>否</x:v>
      </x:c>
      <x:c r="S472" s="38" t="str">
        <x:v>计划可交易</x:v>
      </x:c>
      <x:c r="T472" s="38" t="str">
        <x:v>禁止普通回收</x:v>
      </x:c>
      <x:c r="U472" s="38" t="str">
        <x:v>登记结果角色绑定</x:v>
      </x:c>
      <x:c r="V472" s="38" t="str">
        <x:v>硬缺口：材料名称/编码未定义，系统边暂不可部署</x:v>
      </x:c>
      <x:c r="W472" s="39" t="str">
        <x:v>命令/页面直接操作，不设NPC、不收货币；材料不可装备，收集价值较高。</x:v>
      </x:c>
    </x:row>
    <x:row r="473" ht="42" customHeight="1">
      <x:c r="A473" s="37" t="str">
        <x:v>CON-COLLECT-EQ-C02</x:v>
      </x:c>
      <x:c r="B473" s="38" t="str">
        <x:v>图鉴登记</x:v>
      </x:c>
      <x:c r="C473" s="38" t="str">
        <x:v>SYS-COLLECT-EQ-C02</x:v>
      </x:c>
      <x:c r="D473" s="38" t="str">
        <x:v>C02</x:v>
      </x:c>
      <x:c r="E473" s="38" t="str">
        <x:v>COLL-C02-EXCLUSIVE-SET</x:v>
      </x:c>
      <x:c r="F473" s="38" t="str">
        <x:v>宁姆格福地图专属装备（逐件登记聚合）</x:v>
      </x:c>
      <x:c r="G473" s="38" t="str"/>
      <x:c r="H473" s="38" t="str">
        <x:v>专属装备图鉴</x:v>
      </x:c>
      <x:c r="I473" s="38" t="str">
        <x:v>逐件实物登记</x:v>
      </x:c>
      <x:c r="J473" s="38" t="str">
        <x:v>本地图/大陆专属装备</x:v>
      </x:c>
      <x:c r="K473" s="38" t="str">
        <x:v>每件专属装备</x:v>
      </x:c>
      <x:c r="L473" s="38" t="str">
        <x:v>每件实物×1</x:v>
      </x:c>
      <x:c r="M473" s="38" t="str">
        <x:v>已确认固定规则；总件数取装备清单</x:v>
      </x:c>
      <x:c r="N473" s="38" t="str">
        <x:v>是</x:v>
      </x:c>
      <x:c r="O473" s="38" t="str">
        <x:v>否</x:v>
      </x:c>
      <x:c r="P473" s="38" t="str">
        <x:v>否</x:v>
      </x:c>
      <x:c r="Q473" s="38" t="str">
        <x:v>是</x:v>
      </x:c>
      <x:c r="R473" s="38" t="str">
        <x:v>是</x:v>
      </x:c>
      <x:c r="S473" s="38" t="str">
        <x:v>登记前可交易；登记消耗实物1件</x:v>
      </x:c>
      <x:c r="T473" s="38" t="str">
        <x:v>登记与回收/分解为互斥去向，不重复计值</x:v>
      </x:c>
      <x:c r="U473" s="38" t="str">
        <x:v>登记结果角色绑定</x:v>
      </x:c>
      <x:c r="V473" s="38" t="str">
        <x:v>规则已确认；奖励数值待统一平衡</x:v>
      </x:c>
      <x:c r="W473" s="39" t="str">
        <x:v>不收金币、元宝或灵符；完成上一大陆全部收集是下一大陆A/B安全挂机的主要韧性来源。</x:v>
      </x:c>
    </x:row>
    <x:row r="474" ht="42" customHeight="1">
      <x:c r="A474" s="37" t="str">
        <x:v>CON-COLLECT-MAT-C02</x:v>
      </x:c>
      <x:c r="B474" s="38" t="str">
        <x:v>图鉴登记</x:v>
      </x:c>
      <x:c r="C474" s="38" t="str">
        <x:v>SYS-COLLECT-MAT-C02</x:v>
      </x:c>
      <x:c r="D474" s="38" t="str">
        <x:v>C02</x:v>
      </x:c>
      <x:c r="E474" s="38" t="str">
        <x:v>EL-MAT-C02-COLLECT-TBD</x:v>
      </x:c>
      <x:c r="F474" s="38" t="str">
        <x:v>C2大陆收藏材料（待命名/编码）</x:v>
      </x:c>
      <x:c r="G474" s="38" t="str"/>
      <x:c r="H474" s="38" t="str">
        <x:v>大陆材料图鉴</x:v>
      </x:c>
      <x:c r="I474" s="38" t="str">
        <x:v>大陆专属材料登记</x:v>
      </x:c>
      <x:c r="J474" s="38" t="str">
        <x:v>C2大陆收藏材料（待命名/编码）</x:v>
      </x:c>
      <x:c r="K474" s="38" t="str">
        <x:v>C2大陆收藏材料（待命名/编码）</x:v>
      </x:c>
      <x:c r="L474" s="38" t="str">
        <x:v>实物×1；货币×0</x:v>
      </x:c>
      <x:c r="M474" s="38" t="str">
        <x:v>已确认固定规则</x:v>
      </x:c>
      <x:c r="N474" s="38" t="str">
        <x:v>是</x:v>
      </x:c>
      <x:c r="O474" s="38" t="str">
        <x:v>否</x:v>
      </x:c>
      <x:c r="P474" s="38" t="str">
        <x:v>否</x:v>
      </x:c>
      <x:c r="Q474" s="38" t="str">
        <x:v>是</x:v>
      </x:c>
      <x:c r="R474" s="38" t="str">
        <x:v>否</x:v>
      </x:c>
      <x:c r="S474" s="38" t="str">
        <x:v>计划可交易</x:v>
      </x:c>
      <x:c r="T474" s="38" t="str">
        <x:v>禁止普通回收</x:v>
      </x:c>
      <x:c r="U474" s="38" t="str">
        <x:v>登记结果角色绑定</x:v>
      </x:c>
      <x:c r="V474" s="38" t="str">
        <x:v>硬缺口：材料名称/编码未定义，系统边暂不可部署</x:v>
      </x:c>
      <x:c r="W474" s="39" t="str">
        <x:v>命令/页面直接操作，不设NPC、不收货币；材料不可装备，收集价值较高。</x:v>
      </x:c>
    </x:row>
    <x:row r="475" ht="42" customHeight="1">
      <x:c r="A475" s="37" t="str">
        <x:v>CON-COLLECT-EQ-C03</x:v>
      </x:c>
      <x:c r="B475" s="38" t="str">
        <x:v>图鉴登记</x:v>
      </x:c>
      <x:c r="C475" s="38" t="str">
        <x:v>SYS-COLLECT-EQ-C03</x:v>
      </x:c>
      <x:c r="D475" s="38" t="str">
        <x:v>C03</x:v>
      </x:c>
      <x:c r="E475" s="38" t="str">
        <x:v>COLL-C03-EXCLUSIVE-SET</x:v>
      </x:c>
      <x:c r="F475" s="38" t="str">
        <x:v>宁姆格福西域地图专属装备（逐件登记聚合）</x:v>
      </x:c>
      <x:c r="G475" s="38" t="str"/>
      <x:c r="H475" s="38" t="str">
        <x:v>专属装备图鉴</x:v>
      </x:c>
      <x:c r="I475" s="38" t="str">
        <x:v>逐件实物登记</x:v>
      </x:c>
      <x:c r="J475" s="38" t="str">
        <x:v>本地图/大陆专属装备</x:v>
      </x:c>
      <x:c r="K475" s="38" t="str">
        <x:v>每件专属装备</x:v>
      </x:c>
      <x:c r="L475" s="38" t="str">
        <x:v>每件实物×1</x:v>
      </x:c>
      <x:c r="M475" s="38" t="str">
        <x:v>已确认固定规则；总件数取装备清单</x:v>
      </x:c>
      <x:c r="N475" s="38" t="str">
        <x:v>是</x:v>
      </x:c>
      <x:c r="O475" s="38" t="str">
        <x:v>否</x:v>
      </x:c>
      <x:c r="P475" s="38" t="str">
        <x:v>否</x:v>
      </x:c>
      <x:c r="Q475" s="38" t="str">
        <x:v>是</x:v>
      </x:c>
      <x:c r="R475" s="38" t="str">
        <x:v>是</x:v>
      </x:c>
      <x:c r="S475" s="38" t="str">
        <x:v>登记前可交易；登记消耗实物1件</x:v>
      </x:c>
      <x:c r="T475" s="38" t="str">
        <x:v>登记与回收/分解为互斥去向，不重复计值</x:v>
      </x:c>
      <x:c r="U475" s="38" t="str">
        <x:v>登记结果角色绑定</x:v>
      </x:c>
      <x:c r="V475" s="38" t="str">
        <x:v>规则已确认；奖励数值待统一平衡</x:v>
      </x:c>
      <x:c r="W475" s="39" t="str">
        <x:v>不收金币、元宝或灵符；完成上一大陆全部收集是下一大陆A/B安全挂机的主要韧性来源。</x:v>
      </x:c>
    </x:row>
    <x:row r="476" ht="42" customHeight="1">
      <x:c r="A476" s="37" t="str">
        <x:v>CON-COLLECT-MAT-C03</x:v>
      </x:c>
      <x:c r="B476" s="38" t="str">
        <x:v>图鉴登记</x:v>
      </x:c>
      <x:c r="C476" s="38" t="str">
        <x:v>SYS-COLLECT-MAT-C03</x:v>
      </x:c>
      <x:c r="D476" s="38" t="str">
        <x:v>C03</x:v>
      </x:c>
      <x:c r="E476" s="38" t="str">
        <x:v>EL-MAT-C03-COLLECT</x:v>
      </x:c>
      <x:c r="F476" s="38" t="str">
        <x:v>西境风痕碑拓</x:v>
      </x:c>
      <x:c r="G476" s="38" t="str"/>
      <x:c r="H476" s="38" t="str">
        <x:v>大陆材料图鉴</x:v>
      </x:c>
      <x:c r="I476" s="38" t="str">
        <x:v>大陆专属材料登记</x:v>
      </x:c>
      <x:c r="J476" s="38" t="str">
        <x:v>西境风痕碑拓</x:v>
      </x:c>
      <x:c r="K476" s="38" t="str">
        <x:v>西境风痕碑拓</x:v>
      </x:c>
      <x:c r="L476" s="38" t="str">
        <x:v>实物×1；货币×0</x:v>
      </x:c>
      <x:c r="M476" s="38" t="str">
        <x:v>已确认固定规则</x:v>
      </x:c>
      <x:c r="N476" s="38" t="str">
        <x:v>是</x:v>
      </x:c>
      <x:c r="O476" s="38" t="str">
        <x:v>否</x:v>
      </x:c>
      <x:c r="P476" s="38" t="str">
        <x:v>否</x:v>
      </x:c>
      <x:c r="Q476" s="38" t="str">
        <x:v>是</x:v>
      </x:c>
      <x:c r="R476" s="38" t="str">
        <x:v>是</x:v>
      </x:c>
      <x:c r="S476" s="38" t="str">
        <x:v>可交易</x:v>
      </x:c>
      <x:c r="T476" s="38" t="str">
        <x:v>禁止普通回收</x:v>
      </x:c>
      <x:c r="U476" s="38" t="str">
        <x:v>登记结果角色绑定</x:v>
      </x:c>
      <x:c r="V476" s="38" t="str">
        <x:v>规则已确认；奖励数值待统一平衡</x:v>
      </x:c>
      <x:c r="W476" s="39" t="str">
        <x:v>命令/页面直接操作，不设NPC、不收货币；材料不可装备，收集价值较高。</x:v>
      </x:c>
    </x:row>
    <x:row r="477" ht="42" customHeight="1">
      <x:c r="A477" s="37" t="str">
        <x:v>CON-COLLECT-EQ-C04</x:v>
      </x:c>
      <x:c r="B477" s="38" t="str">
        <x:v>图鉴登记</x:v>
      </x:c>
      <x:c r="C477" s="38" t="str">
        <x:v>SYS-COLLECT-EQ-C04</x:v>
      </x:c>
      <x:c r="D477" s="38" t="str">
        <x:v>C04</x:v>
      </x:c>
      <x:c r="E477" s="38" t="str">
        <x:v>COLL-C04-EXCLUSIVE-SET</x:v>
      </x:c>
      <x:c r="F477" s="38" t="str">
        <x:v>利耶尼亚海域地图专属装备（逐件登记聚合）</x:v>
      </x:c>
      <x:c r="G477" s="38" t="str"/>
      <x:c r="H477" s="38" t="str">
        <x:v>专属装备图鉴</x:v>
      </x:c>
      <x:c r="I477" s="38" t="str">
        <x:v>逐件实物登记</x:v>
      </x:c>
      <x:c r="J477" s="38" t="str">
        <x:v>本地图/大陆专属装备</x:v>
      </x:c>
      <x:c r="K477" s="38" t="str">
        <x:v>每件专属装备</x:v>
      </x:c>
      <x:c r="L477" s="38" t="str">
        <x:v>每件实物×1</x:v>
      </x:c>
      <x:c r="M477" s="38" t="str">
        <x:v>已确认固定规则；总件数取装备清单</x:v>
      </x:c>
      <x:c r="N477" s="38" t="str">
        <x:v>是</x:v>
      </x:c>
      <x:c r="O477" s="38" t="str">
        <x:v>否</x:v>
      </x:c>
      <x:c r="P477" s="38" t="str">
        <x:v>否</x:v>
      </x:c>
      <x:c r="Q477" s="38" t="str">
        <x:v>是</x:v>
      </x:c>
      <x:c r="R477" s="38" t="str">
        <x:v>是</x:v>
      </x:c>
      <x:c r="S477" s="38" t="str">
        <x:v>登记前可交易；登记消耗实物1件</x:v>
      </x:c>
      <x:c r="T477" s="38" t="str">
        <x:v>登记与回收/分解为互斥去向，不重复计值</x:v>
      </x:c>
      <x:c r="U477" s="38" t="str">
        <x:v>登记结果角色绑定</x:v>
      </x:c>
      <x:c r="V477" s="38" t="str">
        <x:v>规则已确认；奖励数值待统一平衡</x:v>
      </x:c>
      <x:c r="W477" s="39" t="str">
        <x:v>不收金币、元宝或灵符；完成上一大陆全部收集是下一大陆A/B安全挂机的主要韧性来源。</x:v>
      </x:c>
    </x:row>
    <x:row r="478" ht="42" customHeight="1">
      <x:c r="A478" s="37" t="str">
        <x:v>CON-COLLECT-MAT-C04</x:v>
      </x:c>
      <x:c r="B478" s="38" t="str">
        <x:v>图鉴登记</x:v>
      </x:c>
      <x:c r="C478" s="38" t="str">
        <x:v>SYS-COLLECT-MAT-C04</x:v>
      </x:c>
      <x:c r="D478" s="38" t="str">
        <x:v>C04</x:v>
      </x:c>
      <x:c r="E478" s="38" t="str">
        <x:v>EL-MAT-C04-COLLECT</x:v>
      </x:c>
      <x:c r="F478" s="38" t="str">
        <x:v>月潮忆珀</x:v>
      </x:c>
      <x:c r="G478" s="38" t="str"/>
      <x:c r="H478" s="38" t="str">
        <x:v>大陆材料图鉴</x:v>
      </x:c>
      <x:c r="I478" s="38" t="str">
        <x:v>大陆专属材料登记</x:v>
      </x:c>
      <x:c r="J478" s="38" t="str">
        <x:v>月潮忆珀</x:v>
      </x:c>
      <x:c r="K478" s="38" t="str">
        <x:v>月潮忆珀</x:v>
      </x:c>
      <x:c r="L478" s="38" t="str">
        <x:v>实物×1；货币×0</x:v>
      </x:c>
      <x:c r="M478" s="38" t="str">
        <x:v>已确认固定规则</x:v>
      </x:c>
      <x:c r="N478" s="38" t="str">
        <x:v>是</x:v>
      </x:c>
      <x:c r="O478" s="38" t="str">
        <x:v>否</x:v>
      </x:c>
      <x:c r="P478" s="38" t="str">
        <x:v>否</x:v>
      </x:c>
      <x:c r="Q478" s="38" t="str">
        <x:v>是</x:v>
      </x:c>
      <x:c r="R478" s="38" t="str">
        <x:v>是</x:v>
      </x:c>
      <x:c r="S478" s="38" t="str">
        <x:v>可交易</x:v>
      </x:c>
      <x:c r="T478" s="38" t="str">
        <x:v>禁止普通回收</x:v>
      </x:c>
      <x:c r="U478" s="38" t="str">
        <x:v>登记结果角色绑定</x:v>
      </x:c>
      <x:c r="V478" s="38" t="str">
        <x:v>规则已确认；奖励数值待统一平衡</x:v>
      </x:c>
      <x:c r="W478" s="39" t="str">
        <x:v>命令/页面直接操作，不设NPC、不收货币；材料不可装备，收集价值较高。</x:v>
      </x:c>
    </x:row>
    <x:row r="479" ht="42" customHeight="1">
      <x:c r="A479" s="37" t="str">
        <x:v>CON-COLLECT-EQ-C05</x:v>
      </x:c>
      <x:c r="B479" s="38" t="str">
        <x:v>图鉴登记</x:v>
      </x:c>
      <x:c r="C479" s="38" t="str">
        <x:v>SYS-COLLECT-EQ-C05</x:v>
      </x:c>
      <x:c r="D479" s="38" t="str">
        <x:v>C05</x:v>
      </x:c>
      <x:c r="E479" s="38" t="str">
        <x:v>COLL-C05-EXCLUSIVE-SET</x:v>
      </x:c>
      <x:c r="F479" s="38" t="str">
        <x:v>湖之利耶尼亚地图专属装备（逐件登记聚合）</x:v>
      </x:c>
      <x:c r="G479" s="38" t="str"/>
      <x:c r="H479" s="38" t="str">
        <x:v>专属装备图鉴</x:v>
      </x:c>
      <x:c r="I479" s="38" t="str">
        <x:v>逐件实物登记</x:v>
      </x:c>
      <x:c r="J479" s="38" t="str">
        <x:v>本地图/大陆专属装备</x:v>
      </x:c>
      <x:c r="K479" s="38" t="str">
        <x:v>每件专属装备</x:v>
      </x:c>
      <x:c r="L479" s="38" t="str">
        <x:v>每件实物×1</x:v>
      </x:c>
      <x:c r="M479" s="38" t="str">
        <x:v>已确认固定规则；总件数取装备清单</x:v>
      </x:c>
      <x:c r="N479" s="38" t="str">
        <x:v>是</x:v>
      </x:c>
      <x:c r="O479" s="38" t="str">
        <x:v>否</x:v>
      </x:c>
      <x:c r="P479" s="38" t="str">
        <x:v>否</x:v>
      </x:c>
      <x:c r="Q479" s="38" t="str">
        <x:v>是</x:v>
      </x:c>
      <x:c r="R479" s="38" t="str">
        <x:v>是</x:v>
      </x:c>
      <x:c r="S479" s="38" t="str">
        <x:v>登记前可交易；登记消耗实物1件</x:v>
      </x:c>
      <x:c r="T479" s="38" t="str">
        <x:v>登记与回收/分解为互斥去向，不重复计值</x:v>
      </x:c>
      <x:c r="U479" s="38" t="str">
        <x:v>登记结果角色绑定</x:v>
      </x:c>
      <x:c r="V479" s="38" t="str">
        <x:v>规则已确认；奖励数值待统一平衡</x:v>
      </x:c>
      <x:c r="W479" s="39" t="str">
        <x:v>不收金币、元宝或灵符；完成上一大陆全部收集是下一大陆A/B安全挂机的主要韧性来源。</x:v>
      </x:c>
    </x:row>
    <x:row r="480" ht="42" customHeight="1">
      <x:c r="A480" s="37" t="str">
        <x:v>CON-COLLECT-MAT-C05</x:v>
      </x:c>
      <x:c r="B480" s="38" t="str">
        <x:v>图鉴登记</x:v>
      </x:c>
      <x:c r="C480" s="38" t="str">
        <x:v>SYS-COLLECT-MAT-C05</x:v>
      </x:c>
      <x:c r="D480" s="38" t="str">
        <x:v>C05</x:v>
      </x:c>
      <x:c r="E480" s="38" t="str">
        <x:v>EL-MAT-C05-COLLECT</x:v>
      </x:c>
      <x:c r="F480" s="38" t="str">
        <x:v>湖心月谱残章</x:v>
      </x:c>
      <x:c r="G480" s="38" t="str"/>
      <x:c r="H480" s="38" t="str">
        <x:v>大陆材料图鉴</x:v>
      </x:c>
      <x:c r="I480" s="38" t="str">
        <x:v>大陆专属材料登记</x:v>
      </x:c>
      <x:c r="J480" s="38" t="str">
        <x:v>湖心月谱残章</x:v>
      </x:c>
      <x:c r="K480" s="38" t="str">
        <x:v>湖心月谱残章</x:v>
      </x:c>
      <x:c r="L480" s="38" t="str">
        <x:v>实物×1；货币×0</x:v>
      </x:c>
      <x:c r="M480" s="38" t="str">
        <x:v>已确认固定规则</x:v>
      </x:c>
      <x:c r="N480" s="38" t="str">
        <x:v>是</x:v>
      </x:c>
      <x:c r="O480" s="38" t="str">
        <x:v>否</x:v>
      </x:c>
      <x:c r="P480" s="38" t="str">
        <x:v>否</x:v>
      </x:c>
      <x:c r="Q480" s="38" t="str">
        <x:v>是</x:v>
      </x:c>
      <x:c r="R480" s="38" t="str">
        <x:v>是</x:v>
      </x:c>
      <x:c r="S480" s="38" t="str">
        <x:v>可交易</x:v>
      </x:c>
      <x:c r="T480" s="38" t="str">
        <x:v>禁止普通回收</x:v>
      </x:c>
      <x:c r="U480" s="38" t="str">
        <x:v>登记结果角色绑定</x:v>
      </x:c>
      <x:c r="V480" s="38" t="str">
        <x:v>规则已确认；奖励数值待统一平衡</x:v>
      </x:c>
      <x:c r="W480" s="39" t="str">
        <x:v>命令/页面直接操作，不设NPC、不收货币；材料不可装备，收集价值较高。</x:v>
      </x:c>
    </x:row>
    <x:row r="481" ht="42" customHeight="1">
      <x:c r="A481" s="37" t="str">
        <x:v>CON-COLLECT-EQ-C06</x:v>
      </x:c>
      <x:c r="B481" s="38" t="str">
        <x:v>图鉴登记</x:v>
      </x:c>
      <x:c r="C481" s="38" t="str">
        <x:v>SYS-COLLECT-EQ-C06</x:v>
      </x:c>
      <x:c r="D481" s="38" t="str">
        <x:v>C06</x:v>
      </x:c>
      <x:c r="E481" s="38" t="str">
        <x:v>COLL-C06-EXCLUSIVE-SET</x:v>
      </x:c>
      <x:c r="F481" s="38" t="str">
        <x:v>盖利德地图专属装备（逐件登记聚合）</x:v>
      </x:c>
      <x:c r="G481" s="38" t="str"/>
      <x:c r="H481" s="38" t="str">
        <x:v>专属装备图鉴</x:v>
      </x:c>
      <x:c r="I481" s="38" t="str">
        <x:v>逐件实物登记</x:v>
      </x:c>
      <x:c r="J481" s="38" t="str">
        <x:v>本地图/大陆专属装备</x:v>
      </x:c>
      <x:c r="K481" s="38" t="str">
        <x:v>每件专属装备</x:v>
      </x:c>
      <x:c r="L481" s="38" t="str">
        <x:v>每件实物×1</x:v>
      </x:c>
      <x:c r="M481" s="38" t="str">
        <x:v>已确认固定规则；总件数取装备清单</x:v>
      </x:c>
      <x:c r="N481" s="38" t="str">
        <x:v>是</x:v>
      </x:c>
      <x:c r="O481" s="38" t="str">
        <x:v>否</x:v>
      </x:c>
      <x:c r="P481" s="38" t="str">
        <x:v>否</x:v>
      </x:c>
      <x:c r="Q481" s="38" t="str">
        <x:v>是</x:v>
      </x:c>
      <x:c r="R481" s="38" t="str">
        <x:v>是</x:v>
      </x:c>
      <x:c r="S481" s="38" t="str">
        <x:v>登记前可交易；登记消耗实物1件</x:v>
      </x:c>
      <x:c r="T481" s="38" t="str">
        <x:v>登记与回收/分解为互斥去向，不重复计值</x:v>
      </x:c>
      <x:c r="U481" s="38" t="str">
        <x:v>登记结果角色绑定</x:v>
      </x:c>
      <x:c r="V481" s="38" t="str">
        <x:v>规则已确认；奖励数值待统一平衡</x:v>
      </x:c>
      <x:c r="W481" s="39" t="str">
        <x:v>不收金币、元宝或灵符；完成上一大陆全部收集是下一大陆A/B安全挂机的主要韧性来源。</x:v>
      </x:c>
    </x:row>
    <x:row r="482" ht="42" customHeight="1">
      <x:c r="A482" s="37" t="str">
        <x:v>CON-COLLECT-MAT-C06</x:v>
      </x:c>
      <x:c r="B482" s="38" t="str">
        <x:v>图鉴登记</x:v>
      </x:c>
      <x:c r="C482" s="38" t="str">
        <x:v>SYS-COLLECT-MAT-C06</x:v>
      </x:c>
      <x:c r="D482" s="38" t="str">
        <x:v>C06</x:v>
      </x:c>
      <x:c r="E482" s="38" t="str">
        <x:v>EL-MAT-C06-COLLECT</x:v>
      </x:c>
      <x:c r="F482" s="38" t="str">
        <x:v>熔原罪火残章</x:v>
      </x:c>
      <x:c r="G482" s="38" t="str"/>
      <x:c r="H482" s="38" t="str">
        <x:v>大陆材料图鉴</x:v>
      </x:c>
      <x:c r="I482" s="38" t="str">
        <x:v>大陆专属材料登记</x:v>
      </x:c>
      <x:c r="J482" s="38" t="str">
        <x:v>熔原罪火残章</x:v>
      </x:c>
      <x:c r="K482" s="38" t="str">
        <x:v>熔原罪火残章</x:v>
      </x:c>
      <x:c r="L482" s="38" t="str">
        <x:v>实物×1；货币×0</x:v>
      </x:c>
      <x:c r="M482" s="38" t="str">
        <x:v>已确认固定规则</x:v>
      </x:c>
      <x:c r="N482" s="38" t="str">
        <x:v>是</x:v>
      </x:c>
      <x:c r="O482" s="38" t="str">
        <x:v>否</x:v>
      </x:c>
      <x:c r="P482" s="38" t="str">
        <x:v>否</x:v>
      </x:c>
      <x:c r="Q482" s="38" t="str">
        <x:v>是</x:v>
      </x:c>
      <x:c r="R482" s="38" t="str">
        <x:v>是</x:v>
      </x:c>
      <x:c r="S482" s="38" t="str">
        <x:v>可交易</x:v>
      </x:c>
      <x:c r="T482" s="38" t="str">
        <x:v>禁止普通回收</x:v>
      </x:c>
      <x:c r="U482" s="38" t="str">
        <x:v>登记结果角色绑定</x:v>
      </x:c>
      <x:c r="V482" s="38" t="str">
        <x:v>规则已确认；奖励数值待统一平衡</x:v>
      </x:c>
      <x:c r="W482" s="39" t="str">
        <x:v>命令/页面直接操作，不设NPC、不收货币；材料不可装备，收集价值较高。</x:v>
      </x:c>
    </x:row>
    <x:row r="483" ht="42" customHeight="1">
      <x:c r="A483" s="37" t="str">
        <x:v>CON-COLLECT-EQ-C07</x:v>
      </x:c>
      <x:c r="B483" s="38" t="str">
        <x:v>图鉴登记</x:v>
      </x:c>
      <x:c r="C483" s="38" t="str">
        <x:v>SYS-COLLECT-EQ-C07</x:v>
      </x:c>
      <x:c r="D483" s="38" t="str">
        <x:v>C07</x:v>
      </x:c>
      <x:c r="E483" s="38" t="str">
        <x:v>COLL-C07-EXCLUSIVE-SET</x:v>
      </x:c>
      <x:c r="F483" s="38" t="str">
        <x:v>化圣雪原地图专属装备（逐件登记聚合）</x:v>
      </x:c>
      <x:c r="G483" s="38" t="str"/>
      <x:c r="H483" s="38" t="str">
        <x:v>专属装备图鉴</x:v>
      </x:c>
      <x:c r="I483" s="38" t="str">
        <x:v>逐件实物登记</x:v>
      </x:c>
      <x:c r="J483" s="38" t="str">
        <x:v>本地图/大陆专属装备</x:v>
      </x:c>
      <x:c r="K483" s="38" t="str">
        <x:v>每件专属装备</x:v>
      </x:c>
      <x:c r="L483" s="38" t="str">
        <x:v>每件实物×1</x:v>
      </x:c>
      <x:c r="M483" s="38" t="str">
        <x:v>已确认固定规则；总件数取装备清单</x:v>
      </x:c>
      <x:c r="N483" s="38" t="str">
        <x:v>是</x:v>
      </x:c>
      <x:c r="O483" s="38" t="str">
        <x:v>否</x:v>
      </x:c>
      <x:c r="P483" s="38" t="str">
        <x:v>否</x:v>
      </x:c>
      <x:c r="Q483" s="38" t="str">
        <x:v>是</x:v>
      </x:c>
      <x:c r="R483" s="38" t="str">
        <x:v>是</x:v>
      </x:c>
      <x:c r="S483" s="38" t="str">
        <x:v>登记前可交易；登记消耗实物1件</x:v>
      </x:c>
      <x:c r="T483" s="38" t="str">
        <x:v>登记与回收/分解为互斥去向，不重复计值</x:v>
      </x:c>
      <x:c r="U483" s="38" t="str">
        <x:v>登记结果角色绑定</x:v>
      </x:c>
      <x:c r="V483" s="38" t="str">
        <x:v>规则已确认；奖励数值待统一平衡</x:v>
      </x:c>
      <x:c r="W483" s="39" t="str">
        <x:v>不收金币、元宝或灵符；完成上一大陆全部收集是下一大陆A/B安全挂机的主要韧性来源。</x:v>
      </x:c>
    </x:row>
    <x:row r="484" ht="42" customHeight="1">
      <x:c r="A484" s="37" t="str">
        <x:v>CON-COLLECT-MAT-C07</x:v>
      </x:c>
      <x:c r="B484" s="38" t="str">
        <x:v>图鉴登记</x:v>
      </x:c>
      <x:c r="C484" s="38" t="str">
        <x:v>SYS-COLLECT-MAT-C07</x:v>
      </x:c>
      <x:c r="D484" s="38" t="str">
        <x:v>C07</x:v>
      </x:c>
      <x:c r="E484" s="38" t="str">
        <x:v>EL-MAT-C07-COLLECT</x:v>
      </x:c>
      <x:c r="F484" s="38" t="str">
        <x:v>永霜朝圣痕</x:v>
      </x:c>
      <x:c r="G484" s="38" t="str"/>
      <x:c r="H484" s="38" t="str">
        <x:v>大陆材料图鉴</x:v>
      </x:c>
      <x:c r="I484" s="38" t="str">
        <x:v>大陆专属材料登记</x:v>
      </x:c>
      <x:c r="J484" s="38" t="str">
        <x:v>永霜朝圣痕</x:v>
      </x:c>
      <x:c r="K484" s="38" t="str">
        <x:v>永霜朝圣痕</x:v>
      </x:c>
      <x:c r="L484" s="38" t="str">
        <x:v>实物×1；货币×0</x:v>
      </x:c>
      <x:c r="M484" s="38" t="str">
        <x:v>已确认固定规则</x:v>
      </x:c>
      <x:c r="N484" s="38" t="str">
        <x:v>是</x:v>
      </x:c>
      <x:c r="O484" s="38" t="str">
        <x:v>否</x:v>
      </x:c>
      <x:c r="P484" s="38" t="str">
        <x:v>否</x:v>
      </x:c>
      <x:c r="Q484" s="38" t="str">
        <x:v>是</x:v>
      </x:c>
      <x:c r="R484" s="38" t="str">
        <x:v>是</x:v>
      </x:c>
      <x:c r="S484" s="38" t="str">
        <x:v>可交易</x:v>
      </x:c>
      <x:c r="T484" s="38" t="str">
        <x:v>禁止普通回收</x:v>
      </x:c>
      <x:c r="U484" s="38" t="str">
        <x:v>登记结果角色绑定</x:v>
      </x:c>
      <x:c r="V484" s="38" t="str">
        <x:v>规则已确认；奖励数值待统一平衡</x:v>
      </x:c>
      <x:c r="W484" s="39" t="str">
        <x:v>命令/页面直接操作，不设NPC、不收货币；材料不可装备，收集价值较高。</x:v>
      </x:c>
    </x:row>
    <x:row r="485" ht="42" customHeight="1">
      <x:c r="A485" s="37" t="str">
        <x:v>CON-COLLECT-EQ-C08</x:v>
      </x:c>
      <x:c r="B485" s="38" t="str">
        <x:v>图鉴登记</x:v>
      </x:c>
      <x:c r="C485" s="38" t="str">
        <x:v>SYS-COLLECT-EQ-C08</x:v>
      </x:c>
      <x:c r="D485" s="38" t="str">
        <x:v>C08</x:v>
      </x:c>
      <x:c r="E485" s="38" t="str">
        <x:v>COLL-C08-EXCLUSIVE-SET</x:v>
      </x:c>
      <x:c r="F485" s="38" t="str">
        <x:v>巨人山顶地图专属装备（逐件登记聚合）</x:v>
      </x:c>
      <x:c r="G485" s="38" t="str"/>
      <x:c r="H485" s="38" t="str">
        <x:v>专属装备图鉴</x:v>
      </x:c>
      <x:c r="I485" s="38" t="str">
        <x:v>逐件实物登记</x:v>
      </x:c>
      <x:c r="J485" s="38" t="str">
        <x:v>本地图/大陆专属装备</x:v>
      </x:c>
      <x:c r="K485" s="38" t="str">
        <x:v>每件专属装备</x:v>
      </x:c>
      <x:c r="L485" s="38" t="str">
        <x:v>每件实物×1</x:v>
      </x:c>
      <x:c r="M485" s="38" t="str">
        <x:v>已确认固定规则；总件数取装备清单</x:v>
      </x:c>
      <x:c r="N485" s="38" t="str">
        <x:v>是</x:v>
      </x:c>
      <x:c r="O485" s="38" t="str">
        <x:v>否</x:v>
      </x:c>
      <x:c r="P485" s="38" t="str">
        <x:v>否</x:v>
      </x:c>
      <x:c r="Q485" s="38" t="str">
        <x:v>是</x:v>
      </x:c>
      <x:c r="R485" s="38" t="str">
        <x:v>是</x:v>
      </x:c>
      <x:c r="S485" s="38" t="str">
        <x:v>登记前可交易；登记消耗实物1件</x:v>
      </x:c>
      <x:c r="T485" s="38" t="str">
        <x:v>登记与回收/分解为互斥去向，不重复计值</x:v>
      </x:c>
      <x:c r="U485" s="38" t="str">
        <x:v>登记结果角色绑定</x:v>
      </x:c>
      <x:c r="V485" s="38" t="str">
        <x:v>规则已确认；奖励数值待统一平衡</x:v>
      </x:c>
      <x:c r="W485" s="39" t="str">
        <x:v>不收金币、元宝或灵符；完成上一大陆全部收集是下一大陆A/B安全挂机的主要韧性来源。</x:v>
      </x:c>
    </x:row>
    <x:row r="486" ht="42" customHeight="1">
      <x:c r="A486" s="37" t="str">
        <x:v>CON-COLLECT-MAT-C08</x:v>
      </x:c>
      <x:c r="B486" s="38" t="str">
        <x:v>图鉴登记</x:v>
      </x:c>
      <x:c r="C486" s="38" t="str">
        <x:v>SYS-COLLECT-MAT-C08</x:v>
      </x:c>
      <x:c r="D486" s="38" t="str">
        <x:v>C08</x:v>
      </x:c>
      <x:c r="E486" s="38" t="str">
        <x:v>EL-MAT-C08-COLLECT</x:v>
      </x:c>
      <x:c r="F486" s="38" t="str">
        <x:v>穹霜碑珀</x:v>
      </x:c>
      <x:c r="G486" s="38" t="str"/>
      <x:c r="H486" s="38" t="str">
        <x:v>大陆材料图鉴</x:v>
      </x:c>
      <x:c r="I486" s="38" t="str">
        <x:v>大陆专属材料登记</x:v>
      </x:c>
      <x:c r="J486" s="38" t="str">
        <x:v>穹霜碑珀</x:v>
      </x:c>
      <x:c r="K486" s="38" t="str">
        <x:v>穹霜碑珀</x:v>
      </x:c>
      <x:c r="L486" s="38" t="str">
        <x:v>实物×1；货币×0</x:v>
      </x:c>
      <x:c r="M486" s="38" t="str">
        <x:v>已确认固定规则</x:v>
      </x:c>
      <x:c r="N486" s="38" t="str">
        <x:v>是</x:v>
      </x:c>
      <x:c r="O486" s="38" t="str">
        <x:v>否</x:v>
      </x:c>
      <x:c r="P486" s="38" t="str">
        <x:v>否</x:v>
      </x:c>
      <x:c r="Q486" s="38" t="str">
        <x:v>是</x:v>
      </x:c>
      <x:c r="R486" s="38" t="str">
        <x:v>是</x:v>
      </x:c>
      <x:c r="S486" s="38" t="str">
        <x:v>可交易</x:v>
      </x:c>
      <x:c r="T486" s="38" t="str">
        <x:v>禁止普通回收</x:v>
      </x:c>
      <x:c r="U486" s="38" t="str">
        <x:v>登记结果角色绑定</x:v>
      </x:c>
      <x:c r="V486" s="38" t="str">
        <x:v>规则已确认；奖励数值待统一平衡</x:v>
      </x:c>
      <x:c r="W486" s="39" t="str">
        <x:v>命令/页面直接操作，不设NPC、不收货币；材料不可装备，收集价值较高。</x:v>
      </x:c>
    </x:row>
    <x:row r="487" ht="42" customHeight="1">
      <x:c r="A487" s="37" t="str">
        <x:v>CON-COLLECT-EQ-C09</x:v>
      </x:c>
      <x:c r="B487" s="38" t="str">
        <x:v>图鉴登记</x:v>
      </x:c>
      <x:c r="C487" s="38" t="str">
        <x:v>SYS-COLLECT-EQ-C09</x:v>
      </x:c>
      <x:c r="D487" s="38" t="str">
        <x:v>C09</x:v>
      </x:c>
      <x:c r="E487" s="38" t="str">
        <x:v>COLL-C09-EXCLUSIVE-SET</x:v>
      </x:c>
      <x:c r="F487" s="38" t="str">
        <x:v>亚坛高原地图专属装备（逐件登记聚合）</x:v>
      </x:c>
      <x:c r="G487" s="38" t="str"/>
      <x:c r="H487" s="38" t="str">
        <x:v>专属装备图鉴</x:v>
      </x:c>
      <x:c r="I487" s="38" t="str">
        <x:v>逐件实物登记</x:v>
      </x:c>
      <x:c r="J487" s="38" t="str">
        <x:v>本地图/大陆专属装备</x:v>
      </x:c>
      <x:c r="K487" s="38" t="str">
        <x:v>每件专属装备</x:v>
      </x:c>
      <x:c r="L487" s="38" t="str">
        <x:v>每件实物×1</x:v>
      </x:c>
      <x:c r="M487" s="38" t="str">
        <x:v>已确认固定规则；总件数取装备清单</x:v>
      </x:c>
      <x:c r="N487" s="38" t="str">
        <x:v>是</x:v>
      </x:c>
      <x:c r="O487" s="38" t="str">
        <x:v>否</x:v>
      </x:c>
      <x:c r="P487" s="38" t="str">
        <x:v>否</x:v>
      </x:c>
      <x:c r="Q487" s="38" t="str">
        <x:v>是</x:v>
      </x:c>
      <x:c r="R487" s="38" t="str">
        <x:v>是</x:v>
      </x:c>
      <x:c r="S487" s="38" t="str">
        <x:v>登记前可交易；登记消耗实物1件</x:v>
      </x:c>
      <x:c r="T487" s="38" t="str">
        <x:v>登记与回收/分解为互斥去向，不重复计值</x:v>
      </x:c>
      <x:c r="U487" s="38" t="str">
        <x:v>登记结果角色绑定</x:v>
      </x:c>
      <x:c r="V487" s="38" t="str">
        <x:v>规则已确认；奖励数值待统一平衡</x:v>
      </x:c>
      <x:c r="W487" s="39" t="str">
        <x:v>不收金币、元宝或灵符；完成上一大陆全部收集是下一大陆A/B安全挂机的主要韧性来源。</x:v>
      </x:c>
    </x:row>
    <x:row r="488" ht="42" customHeight="1">
      <x:c r="A488" s="37" t="str">
        <x:v>CON-COLLECT-MAT-C09</x:v>
      </x:c>
      <x:c r="B488" s="38" t="str">
        <x:v>图鉴登记</x:v>
      </x:c>
      <x:c r="C488" s="38" t="str">
        <x:v>SYS-COLLECT-MAT-C09</x:v>
      </x:c>
      <x:c r="D488" s="38" t="str">
        <x:v>C09</x:v>
      </x:c>
      <x:c r="E488" s="38" t="str">
        <x:v>EL-MAT-C09-COLLECT</x:v>
      </x:c>
      <x:c r="F488" s="38" t="str">
        <x:v>古坛鎏叶髓</x:v>
      </x:c>
      <x:c r="G488" s="38" t="str"/>
      <x:c r="H488" s="38" t="str">
        <x:v>大陆材料图鉴</x:v>
      </x:c>
      <x:c r="I488" s="38" t="str">
        <x:v>大陆专属材料登记</x:v>
      </x:c>
      <x:c r="J488" s="38" t="str">
        <x:v>古坛鎏叶髓</x:v>
      </x:c>
      <x:c r="K488" s="38" t="str">
        <x:v>古坛鎏叶髓</x:v>
      </x:c>
      <x:c r="L488" s="38" t="str">
        <x:v>实物×1；货币×0</x:v>
      </x:c>
      <x:c r="M488" s="38" t="str">
        <x:v>已确认固定规则</x:v>
      </x:c>
      <x:c r="N488" s="38" t="str">
        <x:v>是</x:v>
      </x:c>
      <x:c r="O488" s="38" t="str">
        <x:v>否</x:v>
      </x:c>
      <x:c r="P488" s="38" t="str">
        <x:v>否</x:v>
      </x:c>
      <x:c r="Q488" s="38" t="str">
        <x:v>是</x:v>
      </x:c>
      <x:c r="R488" s="38" t="str">
        <x:v>是</x:v>
      </x:c>
      <x:c r="S488" s="38" t="str">
        <x:v>可交易</x:v>
      </x:c>
      <x:c r="T488" s="38" t="str">
        <x:v>禁止普通回收</x:v>
      </x:c>
      <x:c r="U488" s="38" t="str">
        <x:v>登记结果角色绑定</x:v>
      </x:c>
      <x:c r="V488" s="38" t="str">
        <x:v>规则已确认；奖励数值待统一平衡</x:v>
      </x:c>
      <x:c r="W488" s="39" t="str">
        <x:v>命令/页面直接操作，不设NPC、不收货币；材料不可装备，收集价值较高。</x:v>
      </x:c>
    </x:row>
    <x:row r="489" ht="42" customHeight="1">
      <x:c r="A489" s="37" t="str">
        <x:v>CON-COLLECT-EQ-C10</x:v>
      </x:c>
      <x:c r="B489" s="38" t="str">
        <x:v>图鉴登记</x:v>
      </x:c>
      <x:c r="C489" s="38" t="str">
        <x:v>SYS-COLLECT-EQ-C10</x:v>
      </x:c>
      <x:c r="D489" s="38" t="str">
        <x:v>C10</x:v>
      </x:c>
      <x:c r="E489" s="38" t="str">
        <x:v>COLL-C10-EXCLUSIVE-SET</x:v>
      </x:c>
      <x:c r="F489" s="38" t="str">
        <x:v>王城罗德尔地图专属装备（逐件登记聚合）</x:v>
      </x:c>
      <x:c r="G489" s="38" t="str"/>
      <x:c r="H489" s="38" t="str">
        <x:v>专属装备图鉴</x:v>
      </x:c>
      <x:c r="I489" s="38" t="str">
        <x:v>逐件实物登记</x:v>
      </x:c>
      <x:c r="J489" s="38" t="str">
        <x:v>本地图/大陆专属装备</x:v>
      </x:c>
      <x:c r="K489" s="38" t="str">
        <x:v>每件专属装备</x:v>
      </x:c>
      <x:c r="L489" s="38" t="str">
        <x:v>每件实物×1</x:v>
      </x:c>
      <x:c r="M489" s="38" t="str">
        <x:v>已确认固定规则；总件数取装备清单</x:v>
      </x:c>
      <x:c r="N489" s="38" t="str">
        <x:v>是</x:v>
      </x:c>
      <x:c r="O489" s="38" t="str">
        <x:v>否</x:v>
      </x:c>
      <x:c r="P489" s="38" t="str">
        <x:v>否</x:v>
      </x:c>
      <x:c r="Q489" s="38" t="str">
        <x:v>是</x:v>
      </x:c>
      <x:c r="R489" s="38" t="str">
        <x:v>是</x:v>
      </x:c>
      <x:c r="S489" s="38" t="str">
        <x:v>登记前可交易；登记消耗实物1件</x:v>
      </x:c>
      <x:c r="T489" s="38" t="str">
        <x:v>登记与回收/分解为互斥去向，不重复计值</x:v>
      </x:c>
      <x:c r="U489" s="38" t="str">
        <x:v>登记结果角色绑定</x:v>
      </x:c>
      <x:c r="V489" s="38" t="str">
        <x:v>规则已确认；奖励数值待统一平衡</x:v>
      </x:c>
      <x:c r="W489" s="39" t="str">
        <x:v>不收金币、元宝或灵符；完成上一大陆全部收集是下一大陆A/B安全挂机的主要韧性来源。</x:v>
      </x:c>
    </x:row>
    <x:row r="490" ht="42" customHeight="1">
      <x:c r="A490" s="40" t="str">
        <x:v>CON-COLLECT-MAT-C10</x:v>
      </x:c>
      <x:c r="B490" s="41" t="str">
        <x:v>图鉴登记</x:v>
      </x:c>
      <x:c r="C490" s="41" t="str">
        <x:v>SYS-COLLECT-MAT-C10</x:v>
      </x:c>
      <x:c r="D490" s="41" t="str">
        <x:v>C10</x:v>
      </x:c>
      <x:c r="E490" s="41" t="str">
        <x:v>EL-MAT-C10-COLLECT</x:v>
      </x:c>
      <x:c r="F490" s="41" t="str">
        <x:v>穹律鎏痕拓片</x:v>
      </x:c>
      <x:c r="G490" s="41" t="str"/>
      <x:c r="H490" s="41" t="str">
        <x:v>大陆材料图鉴</x:v>
      </x:c>
      <x:c r="I490" s="41" t="str">
        <x:v>大陆专属材料登记</x:v>
      </x:c>
      <x:c r="J490" s="41" t="str">
        <x:v>穹律鎏痕拓片</x:v>
      </x:c>
      <x:c r="K490" s="41" t="str">
        <x:v>穹律鎏痕拓片</x:v>
      </x:c>
      <x:c r="L490" s="41" t="str">
        <x:v>实物×1；货币×0</x:v>
      </x:c>
      <x:c r="M490" s="41" t="str">
        <x:v>已确认固定规则</x:v>
      </x:c>
      <x:c r="N490" s="41" t="str">
        <x:v>是</x:v>
      </x:c>
      <x:c r="O490" s="41" t="str">
        <x:v>否</x:v>
      </x:c>
      <x:c r="P490" s="41" t="str">
        <x:v>否</x:v>
      </x:c>
      <x:c r="Q490" s="41" t="str">
        <x:v>是</x:v>
      </x:c>
      <x:c r="R490" s="41" t="str">
        <x:v>是</x:v>
      </x:c>
      <x:c r="S490" s="41" t="str">
        <x:v>可交易</x:v>
      </x:c>
      <x:c r="T490" s="41" t="str">
        <x:v>禁止普通回收</x:v>
      </x:c>
      <x:c r="U490" s="41" t="str">
        <x:v>登记结果角色绑定</x:v>
      </x:c>
      <x:c r="V490" s="41" t="str">
        <x:v>规则已确认；奖励数值待统一平衡</x:v>
      </x:c>
      <x:c r="W490" s="42" t="str">
        <x:v>命令/页面直接操作，不设NPC、不收货币；材料不可装备，收集价值较高。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be13acf434e746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24" hidden="0" customWidth="1"/>
    <x:col min="5" max="5" width="26" hidden="0" customWidth="1"/>
    <x:col min="6" max="6" width="18" hidden="0" customWidth="1"/>
    <x:col min="7" max="7" width="34" hidden="0" customWidth="1"/>
    <x:col min="8" max="8" width="28" hidden="0" customWidth="1"/>
    <x:col min="9" max="9" width="18" hidden="0" customWidth="1"/>
    <x:col min="10" max="10" width="12" hidden="0" customWidth="1"/>
    <x:col min="11" max="11" width="48" hidden="0" customWidth="1"/>
    <x:col min="12" max="12" width="40" hidden="0" customWidth="1"/>
    <x:col min="13" max="13" width="42" hidden="0" customWidth="1"/>
    <x:col min="14" max="14" width="26" hidden="0" customWidth="1"/>
    <x:col min="15" max="15" width="12" hidden="0" customWidth="1"/>
    <x:col min="16" max="16" width="28" hidden="0" customWidth="1"/>
    <x:col min="17" max="17" width="22" hidden="0" customWidth="1"/>
    <x:col min="18" max="18" width="30" hidden="0" customWidth="1"/>
    <x:col min="19" max="19" width="14" hidden="0" customWidth="1"/>
    <x:col min="20" max="20" width="14" hidden="0" customWidth="1"/>
    <x:col min="21" max="21" width="46" hidden="0" customWidth="1"/>
    <x:col min="22" max="22" width="52" hidden="0" customWidth="1"/>
    <x:col min="23" max="23" width="48" hidden="0" customWidth="1"/>
  </x:cols>
  <x:sheetData>
    <x:row r="1" ht="34" customHeight="1">
      <x:c r="A1" s="4" t="str">
        <x:v>74项NPC配方与输出边界</x:v>
      </x:c>
      <x:c r="B1" s="4" t="str">
        <x:v>74项NPC配方与输出边界</x:v>
      </x:c>
      <x:c r="C1" s="4" t="str">
        <x:v>74项NPC配方与输出边界</x:v>
      </x:c>
      <x:c r="D1" s="4" t="str">
        <x:v>74项NPC配方与输出边界</x:v>
      </x:c>
      <x:c r="E1" s="4" t="str">
        <x:v>74项NPC配方与输出边界</x:v>
      </x:c>
      <x:c r="F1" s="4" t="str">
        <x:v>74项NPC配方与输出边界</x:v>
      </x:c>
      <x:c r="G1" s="4" t="str">
        <x:v>74项NPC配方与输出边界</x:v>
      </x:c>
      <x:c r="H1" s="4" t="str">
        <x:v>74项NPC配方与输出边界</x:v>
      </x:c>
      <x:c r="I1" s="4" t="str">
        <x:v>74项NPC配方与输出边界</x:v>
      </x:c>
      <x:c r="J1" s="4" t="str">
        <x:v>74项NPC配方与输出边界</x:v>
      </x:c>
      <x:c r="K1" s="4" t="str">
        <x:v>74项NPC配方与输出边界</x:v>
      </x:c>
      <x:c r="L1" s="4" t="str">
        <x:v>74项NPC配方与输出边界</x:v>
      </x:c>
      <x:c r="M1" s="4" t="str">
        <x:v>74项NPC配方与输出边界</x:v>
      </x:c>
      <x:c r="N1" s="4" t="str">
        <x:v>74项NPC配方与输出边界</x:v>
      </x:c>
      <x:c r="O1" s="4" t="str">
        <x:v>74项NPC配方与输出边界</x:v>
      </x:c>
      <x:c r="P1" s="4" t="str">
        <x:v>74项NPC配方与输出边界</x:v>
      </x:c>
      <x:c r="Q1" s="4" t="str">
        <x:v>74项NPC配方与输出边界</x:v>
      </x:c>
      <x:c r="R1" s="4" t="str">
        <x:v>74项NPC配方与输出边界</x:v>
      </x:c>
      <x:c r="S1" s="4" t="str">
        <x:v>74项NPC配方与输出边界</x:v>
      </x:c>
      <x:c r="T1" s="4" t="str">
        <x:v>74项NPC配方与输出边界</x:v>
      </x:c>
      <x:c r="U1" s="4" t="str">
        <x:v>74项NPC配方与输出边界</x:v>
      </x:c>
      <x:c r="V1" s="4" t="str">
        <x:v>74项NPC配方与输出边界</x:v>
      </x:c>
      <x:c r="W1" s="4" t="str">
        <x:v>74项NPC配方与输出边界</x:v>
      </x:c>
    </x:row>
    <x:row r="2" ht="42" customHeight="1">
      <x:c r="A2" s="8" t="str">
        <x:v>V1.0配方结构原样继承；38项合成穿戴物统一禁止回收。C10《艾尔登之王》收藏材已替换为失温熔炉楔。</x:v>
      </x:c>
      <x:c r="B2" s="8" t="str">
        <x:v>V1.0配方结构原样继承；38项合成穿戴物统一禁止回收。C10《艾尔登之王》收藏材已替换为失温熔炉楔。</x:v>
      </x:c>
      <x:c r="C2" s="8" t="str">
        <x:v>V1.0配方结构原样继承；38项合成穿戴物统一禁止回收。C10《艾尔登之王》收藏材已替换为失温熔炉楔。</x:v>
      </x:c>
      <x:c r="D2" s="8" t="str">
        <x:v>V1.0配方结构原样继承；38项合成穿戴物统一禁止回收。C10《艾尔登之王》收藏材已替换为失温熔炉楔。</x:v>
      </x:c>
      <x:c r="E2" s="8" t="str">
        <x:v>V1.0配方结构原样继承；38项合成穿戴物统一禁止回收。C10《艾尔登之王》收藏材已替换为失温熔炉楔。</x:v>
      </x:c>
      <x:c r="F2" s="8" t="str">
        <x:v>V1.0配方结构原样继承；38项合成穿戴物统一禁止回收。C10《艾尔登之王》收藏材已替换为失温熔炉楔。</x:v>
      </x:c>
      <x:c r="G2" s="8" t="str">
        <x:v>V1.0配方结构原样继承；38项合成穿戴物统一禁止回收。C10《艾尔登之王》收藏材已替换为失温熔炉楔。</x:v>
      </x:c>
      <x:c r="H2" s="8" t="str">
        <x:v>V1.0配方结构原样继承；38项合成穿戴物统一禁止回收。C10《艾尔登之王》收藏材已替换为失温熔炉楔。</x:v>
      </x:c>
      <x:c r="I2" s="8" t="str">
        <x:v>V1.0配方结构原样继承；38项合成穿戴物统一禁止回收。C10《艾尔登之王》收藏材已替换为失温熔炉楔。</x:v>
      </x:c>
      <x:c r="J2" s="8" t="str">
        <x:v>V1.0配方结构原样继承；38项合成穿戴物统一禁止回收。C10《艾尔登之王》收藏材已替换为失温熔炉楔。</x:v>
      </x:c>
      <x:c r="K2" s="8" t="str">
        <x:v>V1.0配方结构原样继承；38项合成穿戴物统一禁止回收。C10《艾尔登之王》收藏材已替换为失温熔炉楔。</x:v>
      </x:c>
      <x:c r="L2" s="8" t="str">
        <x:v>V1.0配方结构原样继承；38项合成穿戴物统一禁止回收。C10《艾尔登之王》收藏材已替换为失温熔炉楔。</x:v>
      </x:c>
      <x:c r="M2" s="8" t="str">
        <x:v>V1.0配方结构原样继承；38项合成穿戴物统一禁止回收。C10《艾尔登之王》收藏材已替换为失温熔炉楔。</x:v>
      </x:c>
      <x:c r="N2" s="8" t="str">
        <x:v>V1.0配方结构原样继承；38项合成穿戴物统一禁止回收。C10《艾尔登之王》收藏材已替换为失温熔炉楔。</x:v>
      </x:c>
      <x:c r="O2" s="8" t="str">
        <x:v>V1.0配方结构原样继承；38项合成穿戴物统一禁止回收。C10《艾尔登之王》收藏材已替换为失温熔炉楔。</x:v>
      </x:c>
      <x:c r="P2" s="8" t="str">
        <x:v>V1.0配方结构原样继承；38项合成穿戴物统一禁止回收。C10《艾尔登之王》收藏材已替换为失温熔炉楔。</x:v>
      </x:c>
      <x:c r="Q2" s="8" t="str">
        <x:v>V1.0配方结构原样继承；38项合成穿戴物统一禁止回收。C10《艾尔登之王》收藏材已替换为失温熔炉楔。</x:v>
      </x:c>
      <x:c r="R2" s="8" t="str">
        <x:v>V1.0配方结构原样继承；38项合成穿戴物统一禁止回收。C10《艾尔登之王》收藏材已替换为失温熔炉楔。</x:v>
      </x:c>
      <x:c r="S2" s="8" t="str">
        <x:v>V1.0配方结构原样继承；38项合成穿戴物统一禁止回收。C10《艾尔登之王》收藏材已替换为失温熔炉楔。</x:v>
      </x:c>
      <x:c r="T2" s="8" t="str">
        <x:v>V1.0配方结构原样继承；38项合成穿戴物统一禁止回收。C10《艾尔登之王》收藏材已替换为失温熔炉楔。</x:v>
      </x:c>
      <x:c r="U2" s="8" t="str">
        <x:v>V1.0配方结构原样继承；38项合成穿戴物统一禁止回收。C10《艾尔登之王》收藏材已替换为失温熔炉楔。</x:v>
      </x:c>
      <x:c r="V2" s="8" t="str">
        <x:v>V1.0配方结构原样继承；38项合成穿戴物统一禁止回收。C10《艾尔登之王》收藏材已替换为失温熔炉楔。</x:v>
      </x:c>
      <x:c r="W2" s="8" t="str">
        <x:v>V1.0配方结构原样继承；38项合成穿戴物统一禁止回收。C10《艾尔登之王》收藏材已替换为失温熔炉楔。</x:v>
      </x:c>
    </x:row>
    <x:row r="4" ht="32" customHeight="1">
      <x:c r="A4" s="14" t="str">
        <x:v>配方ID</x:v>
      </x:c>
      <x:c r="B4" s="14" t="str">
        <x:v>大陆ID</x:v>
      </x:c>
      <x:c r="C4" s="14" t="str">
        <x:v>大陆</x:v>
      </x:c>
      <x:c r="D4" s="14" t="str">
        <x:v>NPC ID</x:v>
      </x:c>
      <x:c r="E4" s="14" t="str">
        <x:v>NPC名称</x:v>
      </x:c>
      <x:c r="F4" s="14" t="str">
        <x:v>类别</x:v>
      </x:c>
      <x:c r="G4" s="14" t="str">
        <x:v>产物</x:v>
      </x:c>
      <x:c r="H4" s="14" t="str">
        <x:v>产物资源ID</x:v>
      </x:c>
      <x:c r="I4" s="14" t="str">
        <x:v>部位/系统</x:v>
      </x:c>
      <x:c r="J4" s="14" t="str">
        <x:v>输入边数</x:v>
      </x:c>
      <x:c r="K4" s="14" t="str">
        <x:v>输入边ID</x:v>
      </x:c>
      <x:c r="L4" s="14" t="str">
        <x:v>成功规则</x:v>
      </x:c>
      <x:c r="M4" s="14" t="str">
        <x:v>属性方向</x:v>
      </x:c>
      <x:c r="N4" s="14" t="str">
        <x:v>交易/绑定</x:v>
      </x:c>
      <x:c r="O4" s="14" t="str">
        <x:v>可回收</x:v>
      </x:c>
      <x:c r="P4" s="14" t="str">
        <x:v>回收规则</x:v>
      </x:c>
      <x:c r="Q4" s="14" t="str">
        <x:v>数量状态</x:v>
      </x:c>
      <x:c r="R4" s="14" t="str">
        <x:v>编码状态</x:v>
      </x:c>
      <x:c r="S4" s="14" t="str">
        <x:v>计入基础</x:v>
      </x:c>
      <x:c r="T4" s="14" t="str">
        <x:v>斜杠待审</x:v>
      </x:c>
      <x:c r="U4" s="14" t="str">
        <x:v>原稀有材料</x:v>
      </x:c>
      <x:c r="V4" s="14" t="str">
        <x:v>本版修订</x:v>
      </x:c>
      <x:c r="W4" s="14" t="str">
        <x:v>备注</x:v>
      </x:c>
    </x:row>
    <x:row r="5" ht="44" customHeight="1">
      <x:c r="A5" s="34" t="str">
        <x:v>CAMP-SWORD-GROWTH</x:v>
      </x:c>
      <x:c r="B5" s="35" t="str">
        <x:v>CAMP</x:v>
      </x:c>
      <x:c r="C5" s="35" t="str">
        <x:v>初始营地</x:v>
      </x:c>
      <x:c r="D5" s="35" t="str">
        <x:v>CAMP-SWORD-01</x:v>
      </x:c>
      <x:c r="E5" s="35" t="str">
        <x:v>圣律之剑成长入口</x:v>
      </x:c>
      <x:c r="F5" s="35" t="str">
        <x:v>既有成长</x:v>
      </x:c>
      <x:c r="G5" s="35" t="str">
        <x:v>圣律之剑LV1—10／圣律真言</x:v>
      </x:c>
      <x:c r="H5" s="35" t="str">
        <x:v>OUT-8EFFB0A04010</x:v>
      </x:c>
      <x:c r="I5" s="35" t="str">
        <x:v>系统成长</x:v>
      </x:c>
      <x:c r="J5" s="35" t="n">
        <x:v>2</x:v>
      </x:c>
      <x:c r="K5" s="35" t="str">
        <x:v>CON-CAMP-SWORD-GROWTH-0001、CON-CAMP-SWORD-GROWTH-0002</x:v>
      </x:c>
      <x:c r="L5" s="35" t="str">
        <x:v>100%确定成功；不失败吞料</x:v>
      </x:c>
      <x:c r="M5" s="35" t="str">
        <x:v>切割与辅助成长；不在本表改值</x:v>
      </x:c>
      <x:c r="N5" s="35" t="str">
        <x:v>角色绑定</x:v>
      </x:c>
      <x:c r="O5" s="35" t="str">
        <x:v>不适用</x:v>
      </x:c>
      <x:c r="P5" s="35" t="str">
        <x:v>不适用/沿用现有脚本</x:v>
      </x:c>
      <x:c r="Q5" s="35" t="str">
        <x:v>沿用既有值</x:v>
      </x:c>
      <x:c r="R5" s="35" t="str">
        <x:v>无需新物品编码</x:v>
      </x:c>
      <x:c r="S5" s="35" t="str">
        <x:v>是</x:v>
      </x:c>
      <x:c r="T5" s="35" t="str">
        <x:v>否</x:v>
      </x:c>
      <x:c r="U5" s="35" t="str"/>
      <x:c r="V5" s="35" t="str"/>
      <x:c r="W5" s="36" t="str">
        <x:v>只做入口登记</x:v>
      </x:c>
    </x:row>
    <x:row r="6" ht="44" customHeight="1">
      <x:c r="A6" s="37" t="str">
        <x:v>CAMP-RELIC-GROWTH</x:v>
      </x:c>
      <x:c r="B6" s="38" t="str">
        <x:v>CAMP</x:v>
      </x:c>
      <x:c r="C6" s="38" t="str">
        <x:v>初始营地</x:v>
      </x:c>
      <x:c r="D6" s="38" t="str">
        <x:v>CAMP-RELIC-01</x:v>
      </x:c>
      <x:c r="E6" s="38" t="str">
        <x:v>黄金圣物成长入口</x:v>
      </x:c>
      <x:c r="F6" s="38" t="str">
        <x:v>既有成长</x:v>
      </x:c>
      <x:c r="G6" s="38" t="str">
        <x:v>黄金圣物LV1—10／黄金之心</x:v>
      </x:c>
      <x:c r="H6" s="38" t="str">
        <x:v>OUT-37C06AA78CDB</x:v>
      </x:c>
      <x:c r="I6" s="38" t="str">
        <x:v>系统成长</x:v>
      </x:c>
      <x:c r="J6" s="38" t="n">
        <x:v>2</x:v>
      </x:c>
      <x:c r="K6" s="38" t="str">
        <x:v>CON-CAMP-RELIC-GROWTH-0003、CON-CAMP-RELIC-GROWTH-0004</x:v>
      </x:c>
      <x:c r="L6" s="38" t="str">
        <x:v>100%确定成功；不失败吞料</x:v>
      </x:c>
      <x:c r="M6" s="38" t="str">
        <x:v>复活与回血成长；不在本表改值</x:v>
      </x:c>
      <x:c r="N6" s="38" t="str">
        <x:v>角色绑定</x:v>
      </x:c>
      <x:c r="O6" s="38" t="str">
        <x:v>不适用</x:v>
      </x:c>
      <x:c r="P6" s="38" t="str">
        <x:v>不适用/沿用现有脚本</x:v>
      </x:c>
      <x:c r="Q6" s="38" t="str">
        <x:v>沿用既有值</x:v>
      </x:c>
      <x:c r="R6" s="38" t="str">
        <x:v>无需新物品编码</x:v>
      </x:c>
      <x:c r="S6" s="38" t="str">
        <x:v>是</x:v>
      </x:c>
      <x:c r="T6" s="38" t="str">
        <x:v>否</x:v>
      </x:c>
      <x:c r="U6" s="38" t="str"/>
      <x:c r="V6" s="38" t="str"/>
      <x:c r="W6" s="39" t="str">
        <x:v>只做入口登记</x:v>
      </x:c>
    </x:row>
    <x:row r="7" ht="44" customHeight="1">
      <x:c r="A7" s="37" t="str">
        <x:v>CAMP-TITLE-GROWTH</x:v>
      </x:c>
      <x:c r="B7" s="38" t="str">
        <x:v>CAMP</x:v>
      </x:c>
      <x:c r="C7" s="38" t="str">
        <x:v>初始营地</x:v>
      </x:c>
      <x:c r="D7" s="38" t="str">
        <x:v>CAMP-TITLE-01</x:v>
      </x:c>
      <x:c r="E7" s="38" t="str">
        <x:v>贯穿式称号晋升NPC</x:v>
      </x:c>
      <x:c r="F7" s="38" t="str">
        <x:v>贯穿称号</x:v>
      </x:c>
      <x:c r="G7" s="38" t="str">
        <x:v>贯穿式主线称号各阶段</x:v>
      </x:c>
      <x:c r="H7" s="38" t="str">
        <x:v>OUT-43E88E6FE7E5</x:v>
      </x:c>
      <x:c r="I7" s="38" t="str">
        <x:v>称号</x:v>
      </x:c>
      <x:c r="J7" s="38" t="n">
        <x:v>2</x:v>
      </x:c>
      <x:c r="K7" s="38" t="str">
        <x:v>CON-CAMP-TITLE-GROWTH-0005、CON-CAMP-TITLE-GROWTH-0006</x:v>
      </x:c>
      <x:c r="L7" s="38" t="str">
        <x:v>100%确定成功；不失败吞料</x:v>
      </x:c>
      <x:c r="M7" s="38" t="str">
        <x:v>基础攻魔道主来源</x:v>
      </x:c>
      <x:c r="N7" s="38" t="str">
        <x:v>角色绑定</x:v>
      </x:c>
      <x:c r="O7" s="38" t="str">
        <x:v>不适用</x:v>
      </x:c>
      <x:c r="P7" s="38" t="str">
        <x:v>不适用/沿用现有脚本</x:v>
      </x:c>
      <x:c r="Q7" s="38" t="str">
        <x:v>待全线平衡</x:v>
      </x:c>
      <x:c r="R7" s="38" t="str">
        <x:v>沿用现有称号脚本ID</x:v>
      </x:c>
      <x:c r="S7" s="38" t="str">
        <x:v>是</x:v>
      </x:c>
      <x:c r="T7" s="38" t="str">
        <x:v>是</x:v>
      </x:c>
      <x:c r="U7" s="38" t="str"/>
      <x:c r="V7" s="38" t="str"/>
      <x:c r="W7" s="39" t="str">
        <x:v>与大陆合成称号互不替代</x:v>
      </x:c>
    </x:row>
    <x:row r="8" ht="44" customHeight="1">
      <x:c r="A8" s="37" t="str">
        <x:v>C01-FATE-SINGLE</x:v>
      </x:c>
      <x:c r="B8" s="38" t="str">
        <x:v>C01</x:v>
      </x:c>
      <x:c r="C8" s="38" t="str">
        <x:v>漂流群岛</x:v>
      </x:c>
      <x:c r="D8" s="38" t="str">
        <x:v>C01-FATE-01</x:v>
      </x:c>
      <x:c r="E8" s="38" t="str">
        <x:v>司命人·玄衡</x:v>
      </x:c>
      <x:c r="F8" s="38" t="str">
        <x:v>命格洗练</x:v>
      </x:c>
      <x:c r="G8" s="38" t="str">
        <x:v>当前选中槽命格×1次</x:v>
      </x:c>
      <x:c r="H8" s="38" t="str">
        <x:v>OUT-4A6A5947EC8A</x:v>
      </x:c>
      <x:c r="I8" s="38" t="str">
        <x:v>命格第X槽</x:v>
      </x:c>
      <x:c r="J8" s="38" t="n">
        <x:v>2</x:v>
      </x:c>
      <x:c r="K8" s="38" t="str">
        <x:v>CON-C01-FATE-SINGLE-0007、CON-C01-FATE-SINGLE-0008</x:v>
      </x:c>
      <x:c r="L8" s="38" t="str">
        <x:v>随机；只洗当前槽；独立保底</x:v>
      </x:c>
      <x:c r="M8" s="38" t="str">
        <x:v>神力倍攻为主；可出现受控稀有词条</x:v>
      </x:c>
      <x:c r="N8" s="38" t="str">
        <x:v>结果角色绑定</x:v>
      </x:c>
      <x:c r="O8" s="38" t="str">
        <x:v>不适用</x:v>
      </x:c>
      <x:c r="P8" s="38" t="str">
        <x:v>不适用/沿用现有脚本</x:v>
      </x:c>
      <x:c r="Q8" s="38" t="str">
        <x:v>待经济反算</x:v>
      </x:c>
      <x:c r="R8" s="38" t="str">
        <x:v>沿用现有命格脚本</x:v>
      </x:c>
      <x:c r="S8" s="38" t="str">
        <x:v>是</x:v>
      </x:c>
      <x:c r="T8" s="38" t="str">
        <x:v>否</x:v>
      </x:c>
      <x:c r="U8" s="38" t="str"/>
      <x:c r="V8" s="38" t="str"/>
      <x:c r="W8" s="39" t="str">
        <x:v>一次洗练只作用于玩家选定的第X条</x:v>
      </x:c>
    </x:row>
    <x:row r="9" ht="44" customHeight="1">
      <x:c r="A9" s="37" t="str">
        <x:v>C01-FATE-TEN</x:v>
      </x:c>
      <x:c r="B9" s="38" t="str">
        <x:v>C01</x:v>
      </x:c>
      <x:c r="C9" s="38" t="str">
        <x:v>漂流群岛</x:v>
      </x:c>
      <x:c r="D9" s="38" t="str">
        <x:v>C01-FATE-01</x:v>
      </x:c>
      <x:c r="E9" s="38" t="str">
        <x:v>司命人·玄衡</x:v>
      </x:c>
      <x:c r="F9" s="38" t="str">
        <x:v>命格洗练</x:v>
      </x:c>
      <x:c r="G9" s="38" t="str">
        <x:v>当前选中槽命格×10次</x:v>
      </x:c>
      <x:c r="H9" s="38" t="str">
        <x:v>OUT-93B0B4B0841C</x:v>
      </x:c>
      <x:c r="I9" s="38" t="str">
        <x:v>命格第X槽</x:v>
      </x:c>
      <x:c r="J9" s="38" t="n">
        <x:v>2</x:v>
      </x:c>
      <x:c r="K9" s="38" t="str">
        <x:v>CON-C01-FATE-TEN-0009、CON-C01-FATE-TEN-0010</x:v>
      </x:c>
      <x:c r="L9" s="38" t="str">
        <x:v>随机；沿用界面20次必出红色、每10次判彩、100次必彩</x:v>
      </x:c>
      <x:c r="M9" s="38" t="str">
        <x:v>神力倍攻为主；橙色以上可带受控稀有词条</x:v>
      </x:c>
      <x:c r="N9" s="38" t="str">
        <x:v>结果角色绑定</x:v>
      </x:c>
      <x:c r="O9" s="38" t="str">
        <x:v>不适用</x:v>
      </x:c>
      <x:c r="P9" s="38" t="str">
        <x:v>不适用/沿用现有脚本</x:v>
      </x:c>
      <x:c r="Q9" s="38" t="str">
        <x:v>待经济反算</x:v>
      </x:c>
      <x:c r="R9" s="38" t="str">
        <x:v>沿用现有命格脚本</x:v>
      </x:c>
      <x:c r="S9" s="38" t="str">
        <x:v>是</x:v>
      </x:c>
      <x:c r="T9" s="38" t="str">
        <x:v>否</x:v>
      </x:c>
      <x:c r="U9" s="38" t="str"/>
      <x:c r="V9" s="38" t="str"/>
      <x:c r="W9" s="39" t="str">
        <x:v>保底数字只影响投放速度，不改命格属性预算</x:v>
      </x:c>
    </x:row>
    <x:row r="10" ht="44" customHeight="1">
      <x:c r="A10" s="37" t="str">
        <x:v>C01-FATE-SHOP</x:v>
      </x:c>
      <x:c r="B10" s="38" t="str">
        <x:v>C01</x:v>
      </x:c>
      <x:c r="C10" s="38" t="str">
        <x:v>漂流群岛</x:v>
      </x:c>
      <x:c r="D10" s="38" t="str">
        <x:v>C01-FATE-01</x:v>
      </x:c>
      <x:c r="E10" s="38" t="str">
        <x:v>司命人·玄衡</x:v>
      </x:c>
      <x:c r="F10" s="38" t="str">
        <x:v>命格商店</x:v>
      </x:c>
      <x:c r="G10" s="38" t="str">
        <x:v>神秘符文</x:v>
      </x:c>
      <x:c r="H10" s="38" t="str">
        <x:v>EL-MAT-C02-RUNE</x:v>
      </x:c>
      <x:c r="I10" s="38" t="str">
        <x:v>材料</x:v>
      </x:c>
      <x:c r="J10" s="38" t="n">
        <x:v>1</x:v>
      </x:c>
      <x:c r="K10" s="38" t="str">
        <x:v>CON-C01-FATE-SHOP-0011</x:v>
      </x:c>
      <x:c r="L10" s="38" t="str">
        <x:v>100%</x:v>
      </x:c>
      <x:c r="M10" s="38" t="str">
        <x:v>付费补充洗练次数，不直接售卖红／彩结果</x:v>
      </x:c>
      <x:c r="N10" s="38" t="str">
        <x:v>灵符购买部分绑定；怪物掉落部分可交易</x:v>
      </x:c>
      <x:c r="O10" s="38" t="str">
        <x:v>不适用</x:v>
      </x:c>
      <x:c r="P10" s="38" t="str">
        <x:v>不适用/沿用现有脚本</x:v>
      </x:c>
      <x:c r="Q10" s="38" t="str">
        <x:v>待付费节奏反算</x:v>
      </x:c>
      <x:c r="R10" s="38" t="str">
        <x:v>沿用Idx 802</x:v>
      </x:c>
      <x:c r="S10" s="38" t="str">
        <x:v>是</x:v>
      </x:c>
      <x:c r="T10" s="38" t="str">
        <x:v>否</x:v>
      </x:c>
      <x:c r="U10" s="38" t="str"/>
      <x:c r="V10" s="38" t="str"/>
      <x:c r="W10" s="39" t="str">
        <x:v>若引擎不能同名区分绑定，商店直接增加绑定洗练计数</x:v>
      </x:c>
    </x:row>
    <x:row r="11" ht="44" customHeight="1">
      <x:c r="A11" s="37" t="str">
        <x:v>C01-FATE-SLOT</x:v>
      </x:c>
      <x:c r="B11" s="38" t="str">
        <x:v>C01</x:v>
      </x:c>
      <x:c r="C11" s="38" t="str">
        <x:v>漂流群岛</x:v>
      </x:c>
      <x:c r="D11" s="38" t="str">
        <x:v>C01-FATE-01</x:v>
      </x:c>
      <x:c r="E11" s="38" t="str">
        <x:v>司命人·玄衡</x:v>
      </x:c>
      <x:c r="F11" s="38" t="str">
        <x:v>命格槽位</x:v>
      </x:c>
      <x:c r="G11" s="38" t="str">
        <x:v>命格槽位1—8</x:v>
      </x:c>
      <x:c r="H11" s="38" t="str">
        <x:v>OUT-495C4B18D818</x:v>
      </x:c>
      <x:c r="I11" s="38" t="str">
        <x:v>命格</x:v>
      </x:c>
      <x:c r="J11" s="38" t="n">
        <x:v>1</x:v>
      </x:c>
      <x:c r="K11" s="38" t="str">
        <x:v>CON-C01-FATE-SLOT-0012</x:v>
      </x:c>
      <x:c r="L11" s="38" t="str">
        <x:v>满足条件即开启</x:v>
      </x:c>
      <x:c r="M11" s="38" t="str">
        <x:v>开放可洗词条数量，不直接给属性</x:v>
      </x:c>
      <x:c r="N11" s="38" t="str">
        <x:v>角色绑定</x:v>
      </x:c>
      <x:c r="O11" s="38" t="str">
        <x:v>不适用</x:v>
      </x:c>
      <x:c r="P11" s="38" t="str">
        <x:v>不适用/沿用现有脚本</x:v>
      </x:c>
      <x:c r="Q11" s="38" t="str">
        <x:v>沿用现有脚本条件</x:v>
      </x:c>
      <x:c r="R11" s="38" t="str">
        <x:v>沿用现有命格脚本</x:v>
      </x:c>
      <x:c r="S11" s="38" t="str">
        <x:v>是</x:v>
      </x:c>
      <x:c r="T11" s="38" t="str">
        <x:v>是</x:v>
      </x:c>
      <x:c r="U11" s="38" t="str"/>
      <x:c r="V11" s="38" t="str"/>
      <x:c r="W11" s="39" t="str">
        <x:v>不额外发明槽位材料</x:v>
      </x:c>
    </x:row>
    <x:row r="12" ht="44" customHeight="1">
      <x:c r="A12" s="37" t="str">
        <x:v>C02-ASH-NORMAL</x:v>
      </x:c>
      <x:c r="B12" s="38" t="str">
        <x:v>C02</x:v>
      </x:c>
      <x:c r="C12" s="38" t="str">
        <x:v>宁姆格福</x:v>
      </x:c>
      <x:c r="D12" s="38" t="str">
        <x:v>C02-ASH-01</x:v>
      </x:c>
      <x:c r="E12" s="38" t="str">
        <x:v>战灰刻印师·盖尔</x:v>
      </x:c>
      <x:c r="F12" s="38" t="str">
        <x:v>战灰附魔</x:v>
      </x:c>
      <x:c r="G12" s="38" t="str">
        <x:v>普通PVP战灰</x:v>
      </x:c>
      <x:c r="H12" s="38" t="str">
        <x:v>OUT-A674DD6EBD79</x:v>
      </x:c>
      <x:c r="I12" s="38" t="str">
        <x:v>武器附魔</x:v>
      </x:c>
      <x:c r="J12" s="38" t="n">
        <x:v>4</x:v>
      </x:c>
      <x:c r="K12" s="38" t="str">
        <x:v>CON-C02-ASH-NORMAL-0013、CON-C02-ASH-NORMAL-0014、CON-C02-ASH-NORMAL-0015、CON-C02-ASH-NORMAL-0016</x:v>
      </x:c>
      <x:c r="L12" s="38" t="str">
        <x:v>随机获得普通战灰；覆盖前二次确认</x:v>
      </x:c>
      <x:c r="M12" s="38" t="str">
        <x:v>大多数为PVP属性；PVE难度计算忽略</x:v>
      </x:c>
      <x:c r="N12" s="38" t="str">
        <x:v>随武器状态</x:v>
      </x:c>
      <x:c r="O12" s="38" t="str">
        <x:v>不适用</x:v>
      </x:c>
      <x:c r="P12" s="38" t="str">
        <x:v>不适用/沿用现有脚本</x:v>
      </x:c>
      <x:c r="Q12" s="38" t="str">
        <x:v>待经济反算</x:v>
      </x:c>
      <x:c r="R12" s="38" t="str">
        <x:v>沿用战灰脚本</x:v>
      </x:c>
      <x:c r="S12" s="38" t="str">
        <x:v>是</x:v>
      </x:c>
      <x:c r="T12" s="38" t="str">
        <x:v>否</x:v>
      </x:c>
      <x:c r="U12" s="38" t="str"/>
      <x:c r="V12" s="38" t="str"/>
      <x:c r="W12" s="39" t="str">
        <x:v>不计入主线TTK预算</x:v>
      </x:c>
    </x:row>
    <x:row r="13" ht="44" customHeight="1">
      <x:c r="A13" s="37" t="str">
        <x:v>C02-ASH-HIGH</x:v>
      </x:c>
      <x:c r="B13" s="38" t="str">
        <x:v>C02</x:v>
      </x:c>
      <x:c r="C13" s="38" t="str">
        <x:v>宁姆格福</x:v>
      </x:c>
      <x:c r="D13" s="38" t="str">
        <x:v>C02-ASH-01</x:v>
      </x:c>
      <x:c r="E13" s="38" t="str">
        <x:v>战灰刻印师·盖尔</x:v>
      </x:c>
      <x:c r="F13" s="38" t="str">
        <x:v>战灰附魔</x:v>
      </x:c>
      <x:c r="G13" s="38" t="str">
        <x:v>稀有PVP战灰</x:v>
      </x:c>
      <x:c r="H13" s="38" t="str">
        <x:v>OUT-502C473E9A45</x:v>
      </x:c>
      <x:c r="I13" s="38" t="str">
        <x:v>武器附魔</x:v>
      </x:c>
      <x:c r="J13" s="38" t="n">
        <x:v>6</x:v>
      </x:c>
      <x:c r="K13" s="38" t="str">
        <x:v>CON-C02-ASH-HIGH-0017、CON-C02-ASH-HIGH-0018、CON-C02-ASH-HIGH-0019、CON-C02-ASH-HIGH-0020、CON-C02-ASH-HIGH-0021、CON-C02-ASH-HIGH-0022</x:v>
      </x:c>
      <x:c r="L13" s="38" t="str">
        <x:v>随机获得高阶战灰；覆盖前二次确认</x:v>
      </x:c>
      <x:c r="M13" s="38" t="str">
        <x:v>PVP稀有效果；PVE难度计算忽略</x:v>
      </x:c>
      <x:c r="N13" s="38" t="str">
        <x:v>随武器状态</x:v>
      </x:c>
      <x:c r="O13" s="38" t="str">
        <x:v>不适用</x:v>
      </x:c>
      <x:c r="P13" s="38" t="str">
        <x:v>不适用/沿用现有脚本</x:v>
      </x:c>
      <x:c r="Q13" s="38" t="str">
        <x:v>待经济反算</x:v>
      </x:c>
      <x:c r="R13" s="38" t="str">
        <x:v>沿用战灰脚本</x:v>
      </x:c>
      <x:c r="S13" s="38" t="str">
        <x:v>是</x:v>
      </x:c>
      <x:c r="T13" s="38" t="str">
        <x:v>否</x:v>
      </x:c>
      <x:c r="U13" s="38" t="str"/>
      <x:c r="V13" s="38" t="str"/>
      <x:c r="W13" s="39" t="str"/>
    </x:row>
    <x:row r="14" ht="44" customHeight="1">
      <x:c r="A14" s="37" t="str">
        <x:v>C02-ASH-OVERWRITE</x:v>
      </x:c>
      <x:c r="B14" s="38" t="str">
        <x:v>C02</x:v>
      </x:c>
      <x:c r="C14" s="38" t="str">
        <x:v>宁姆格福</x:v>
      </x:c>
      <x:c r="D14" s="38" t="str">
        <x:v>C02-ASH-01</x:v>
      </x:c>
      <x:c r="E14" s="38" t="str">
        <x:v>战灰刻印师·盖尔</x:v>
      </x:c>
      <x:c r="F14" s="38" t="str">
        <x:v>战灰操作</x:v>
      </x:c>
      <x:c r="G14" s="38" t="str">
        <x:v>覆盖／清除战灰</x:v>
      </x:c>
      <x:c r="H14" s="38" t="str">
        <x:v>OUT-F51DB75B909A</x:v>
      </x:c>
      <x:c r="I14" s="38" t="str">
        <x:v>武器附魔</x:v>
      </x:c>
      <x:c r="J14" s="38" t="n">
        <x:v>3</x:v>
      </x:c>
      <x:c r="K14" s="38" t="str">
        <x:v>CON-C02-ASH-OVERWRITE-0023、CON-C02-ASH-OVERWRITE-0024、CON-C02-ASH-OVERWRITE-0025</x:v>
      </x:c>
      <x:c r="L14" s="38" t="str">
        <x:v>100%执行；清除前确认</x:v>
      </x:c>
      <x:c r="M14" s="38" t="str">
        <x:v>功能操作</x:v>
      </x:c>
      <x:c r="N14" s="38" t="str">
        <x:v>随武器状态</x:v>
      </x:c>
      <x:c r="O14" s="38" t="str">
        <x:v>不适用</x:v>
      </x:c>
      <x:c r="P14" s="38" t="str">
        <x:v>不适用/沿用现有脚本</x:v>
      </x:c>
      <x:c r="Q14" s="38" t="str">
        <x:v>待经济反算</x:v>
      </x:c>
      <x:c r="R14" s="38" t="str">
        <x:v>沿用战灰脚本</x:v>
      </x:c>
      <x:c r="S14" s="38" t="str">
        <x:v>是</x:v>
      </x:c>
      <x:c r="T14" s="38" t="str">
        <x:v>否</x:v>
      </x:c>
      <x:c r="U14" s="38" t="str"/>
      <x:c r="V14" s="38" t="str"/>
      <x:c r="W14" s="39" t="str"/>
    </x:row>
    <x:row r="15" ht="44" customHeight="1">
      <x:c r="A15" s="37" t="str">
        <x:v>C01-SYN-EQ-01</x:v>
      </x:c>
      <x:c r="B15" s="38" t="str">
        <x:v>C01</x:v>
      </x:c>
      <x:c r="C15" s="38" t="str">
        <x:v>漂流群岛</x:v>
      </x:c>
      <x:c r="D15" s="38" t="str">
        <x:v>C01-SYN-01</x:v>
      </x:c>
      <x:c r="E15" s="38" t="str">
        <x:v>拾荒匠·阿砾</x:v>
      </x:c>
      <x:c r="F15" s="38" t="str">
        <x:v>装备合成</x:v>
      </x:c>
      <x:c r="G15" s="38" t="str">
        <x:v>潮归秘戒</x:v>
      </x:c>
      <x:c r="H15" s="38" t="str">
        <x:v>OUT-8238FB25EDF3</x:v>
      </x:c>
      <x:c r="I15" s="38" t="str">
        <x:v>戒指</x:v>
      </x:c>
      <x:c r="J15" s="38" t="n">
        <x:v>7</x:v>
      </x:c>
      <x:c r="K15" s="38" t="str">
        <x:v>CON-C01-SYN-EQ-01-0026、CON-C01-SYN-EQ-01-0027、CON-C01-SYN-EQ-01-0028、CON-C01-SYN-EQ-01-0029、CON-C01-SYN-EQ-01-0030、CON-C01-SYN-EQ-01-0031、CON-C01-SYN-EQ-01-0032</x:v>
      </x:c>
      <x:c r="L15" s="38" t="str">
        <x:v>100%确定成功；不失败吞料</x:v>
      </x:c>
      <x:c r="M15" s="38" t="str">
        <x:v>基础攻魔道主来源；成品明显优于同期普通掉落</x:v>
      </x:c>
      <x:c r="N15" s="38" t="str">
        <x:v>成品可交易</x:v>
      </x:c>
      <x:c r="O15" s="38" t="str">
        <x:v>否</x:v>
      </x:c>
      <x:c r="P15" s="38" t="str">
        <x:v>禁止回收</x:v>
      </x:c>
      <x:c r="Q15" s="38" t="str">
        <x:v>待经济反算</x:v>
      </x:c>
      <x:c r="R15" s="38" t="str">
        <x:v>需新装备资源编码</x:v>
      </x:c>
      <x:c r="S15" s="38" t="str">
        <x:v>是</x:v>
      </x:c>
      <x:c r="T15" s="38" t="str">
        <x:v>否</x:v>
      </x:c>
      <x:c r="U15" s="38" t="str"/>
      <x:c r="V15" s="38" t="str"/>
      <x:c r="W15" s="39" t="str">
        <x:v>具体属性、数量与成品回收价后算</x:v>
      </x:c>
    </x:row>
    <x:row r="16" ht="44" customHeight="1">
      <x:c r="A16" s="37" t="str">
        <x:v>C02-SYN-EQ-01</x:v>
      </x:c>
      <x:c r="B16" s="38" t="str">
        <x:v>C02</x:v>
      </x:c>
      <x:c r="C16" s="38" t="str">
        <x:v>宁姆格福</x:v>
      </x:c>
      <x:c r="D16" s="38" t="str">
        <x:v>C02-SYN-01</x:v>
      </x:c>
      <x:c r="E16" s="38" t="str">
        <x:v>风暴工匠·洛克</x:v>
      </x:c>
      <x:c r="F16" s="38" t="str">
        <x:v>装备合成</x:v>
      </x:c>
      <x:c r="G16" s="38" t="str">
        <x:v>风暴王庭链</x:v>
      </x:c>
      <x:c r="H16" s="38" t="str">
        <x:v>OUT-F1C18A8AD991</x:v>
      </x:c>
      <x:c r="I16" s="38" t="str">
        <x:v>项链</x:v>
      </x:c>
      <x:c r="J16" s="38" t="n">
        <x:v>7</x:v>
      </x:c>
      <x:c r="K16" s="38" t="str">
        <x:v>CON-C02-SYN-EQ-01-0033、CON-C02-SYN-EQ-01-0034、CON-C02-SYN-EQ-01-0035、CON-C02-SYN-EQ-01-0036、CON-C02-SYN-EQ-01-0037、CON-C02-SYN-EQ-01-0038、CON-C02-SYN-EQ-01-0039</x:v>
      </x:c>
      <x:c r="L16" s="38" t="str">
        <x:v>100%确定成功；不失败吞料</x:v>
      </x:c>
      <x:c r="M16" s="38" t="str">
        <x:v>基础攻魔道主来源；成品明显优于同期普通掉落</x:v>
      </x:c>
      <x:c r="N16" s="38" t="str">
        <x:v>成品可交易</x:v>
      </x:c>
      <x:c r="O16" s="38" t="str">
        <x:v>否</x:v>
      </x:c>
      <x:c r="P16" s="38" t="str">
        <x:v>禁止回收</x:v>
      </x:c>
      <x:c r="Q16" s="38" t="str">
        <x:v>待经济反算</x:v>
      </x:c>
      <x:c r="R16" s="38" t="str">
        <x:v>需新装备资源编码</x:v>
      </x:c>
      <x:c r="S16" s="38" t="str">
        <x:v>是</x:v>
      </x:c>
      <x:c r="T16" s="38" t="str">
        <x:v>否</x:v>
      </x:c>
      <x:c r="U16" s="38" t="str"/>
      <x:c r="V16" s="38" t="str"/>
      <x:c r="W16" s="39" t="str">
        <x:v>具体属性、数量与成品回收价后算</x:v>
      </x:c>
    </x:row>
    <x:row r="17" ht="44" customHeight="1">
      <x:c r="A17" s="37" t="str">
        <x:v>C02-SYN-EQ-02</x:v>
      </x:c>
      <x:c r="B17" s="38" t="str">
        <x:v>C02</x:v>
      </x:c>
      <x:c r="C17" s="38" t="str">
        <x:v>宁姆格福</x:v>
      </x:c>
      <x:c r="D17" s="38" t="str">
        <x:v>C02-SYN-01</x:v>
      </x:c>
      <x:c r="E17" s="38" t="str">
        <x:v>风暴工匠·洛克</x:v>
      </x:c>
      <x:c r="F17" s="38" t="str">
        <x:v>装备合成</x:v>
      </x:c>
      <x:c r="G17" s="38" t="str">
        <x:v>百指接肢腕</x:v>
      </x:c>
      <x:c r="H17" s="38" t="str">
        <x:v>OUT-5FA94E7F968E</x:v>
      </x:c>
      <x:c r="I17" s="38" t="str">
        <x:v>手镯</x:v>
      </x:c>
      <x:c r="J17" s="38" t="n">
        <x:v>8</x:v>
      </x:c>
      <x:c r="K17" s="38" t="str">
        <x:v>CON-C02-SYN-EQ-02-0040、CON-C02-SYN-EQ-02-0041、CON-C02-SYN-EQ-02-0042、CON-C02-SYN-EQ-02-0043、CON-C02-SYN-EQ-02-0044、CON-C02-SYN-EQ-02-0045、CON-C02-SYN-EQ-02-0046、CON-C02-SYN-EQ-02-0047</x:v>
      </x:c>
      <x:c r="L17" s="38" t="str">
        <x:v>100%确定成功；不失败吞料</x:v>
      </x:c>
      <x:c r="M17" s="38" t="str">
        <x:v>基础攻魔道主来源；成品明显优于同期普通掉落</x:v>
      </x:c>
      <x:c r="N17" s="38" t="str">
        <x:v>成品可交易</x:v>
      </x:c>
      <x:c r="O17" s="38" t="str">
        <x:v>否</x:v>
      </x:c>
      <x:c r="P17" s="38" t="str">
        <x:v>禁止回收</x:v>
      </x:c>
      <x:c r="Q17" s="38" t="str">
        <x:v>待经济反算</x:v>
      </x:c>
      <x:c r="R17" s="38" t="str">
        <x:v>需新装备资源编码</x:v>
      </x:c>
      <x:c r="S17" s="38" t="str">
        <x:v>是</x:v>
      </x:c>
      <x:c r="T17" s="38" t="str">
        <x:v>否</x:v>
      </x:c>
      <x:c r="U17" s="38" t="str"/>
      <x:c r="V17" s="38" t="str"/>
      <x:c r="W17" s="39" t="str">
        <x:v>具体属性、数量与成品回收价后算</x:v>
      </x:c>
    </x:row>
    <x:row r="18" ht="44" customHeight="1">
      <x:c r="A18" s="37" t="str">
        <x:v>C03-SYN-EQ-01</x:v>
      </x:c>
      <x:c r="B18" s="38" t="str">
        <x:v>C03</x:v>
      </x:c>
      <x:c r="C18" s="38" t="str">
        <x:v>宁姆格福西域</x:v>
      </x:c>
      <x:c r="D18" s="38" t="str">
        <x:v>C03-SYN-EQ</x:v>
      </x:c>
      <x:c r="E18" s="38" t="str">
        <x:v>断路铁匠·赫恩</x:v>
      </x:c>
      <x:c r="F18" s="38" t="str">
        <x:v>装备合成</x:v>
      </x:c>
      <x:c r="G18" s="38" t="str">
        <x:v>断途战冠</x:v>
      </x:c>
      <x:c r="H18" s="38" t="str">
        <x:v>OUT-A16D00C39C87</x:v>
      </x:c>
      <x:c r="I18" s="38" t="str">
        <x:v>头盔</x:v>
      </x:c>
      <x:c r="J18" s="38" t="n">
        <x:v>7</x:v>
      </x:c>
      <x:c r="K18" s="38" t="str">
        <x:v>CON-C03-SYN-EQ-01-0048、CON-C03-SYN-EQ-01-0049、CON-C03-SYN-EQ-01-0050、CON-C03-SYN-EQ-01-0051、CON-C03-SYN-EQ-01-0052、CON-C03-SYN-EQ-01-0053、CON-C03-SYN-EQ-01-0054</x:v>
      </x:c>
      <x:c r="L18" s="38" t="str">
        <x:v>100%确定成功；不失败吞料</x:v>
      </x:c>
      <x:c r="M18" s="38" t="str">
        <x:v>基础攻魔道主来源；成品明显优于同期普通掉落</x:v>
      </x:c>
      <x:c r="N18" s="38" t="str">
        <x:v>成品可交易</x:v>
      </x:c>
      <x:c r="O18" s="38" t="str">
        <x:v>否</x:v>
      </x:c>
      <x:c r="P18" s="38" t="str">
        <x:v>禁止回收</x:v>
      </x:c>
      <x:c r="Q18" s="38" t="str">
        <x:v>待经济反算</x:v>
      </x:c>
      <x:c r="R18" s="38" t="str">
        <x:v>需新装备资源编码</x:v>
      </x:c>
      <x:c r="S18" s="38" t="str">
        <x:v>是</x:v>
      </x:c>
      <x:c r="T18" s="38" t="str">
        <x:v>否</x:v>
      </x:c>
      <x:c r="U18" s="38" t="str"/>
      <x:c r="V18" s="38" t="str"/>
      <x:c r="W18" s="39" t="str">
        <x:v>具体属性、数量与成品回收价后算</x:v>
      </x:c>
    </x:row>
    <x:row r="19" ht="44" customHeight="1">
      <x:c r="A19" s="37" t="str">
        <x:v>C03-SYN-EQ-02</x:v>
      </x:c>
      <x:c r="B19" s="38" t="str">
        <x:v>C03</x:v>
      </x:c>
      <x:c r="C19" s="38" t="str">
        <x:v>宁姆格福西域</x:v>
      </x:c>
      <x:c r="D19" s="38" t="str">
        <x:v>C03-SYN-EQ</x:v>
      </x:c>
      <x:c r="E19" s="38" t="str">
        <x:v>断路铁匠·赫恩</x:v>
      </x:c>
      <x:c r="F19" s="38" t="str">
        <x:v>装备合成</x:v>
      </x:c>
      <x:c r="G19" s="38" t="str">
        <x:v>逐风征靴</x:v>
      </x:c>
      <x:c r="H19" s="38" t="str">
        <x:v>OUT-936701C220F7</x:v>
      </x:c>
      <x:c r="I19" s="38" t="str">
        <x:v>鞋子</x:v>
      </x:c>
      <x:c r="J19" s="38" t="n">
        <x:v>7</x:v>
      </x:c>
      <x:c r="K19" s="38" t="str">
        <x:v>CON-C03-SYN-EQ-02-0055、CON-C03-SYN-EQ-02-0056、CON-C03-SYN-EQ-02-0057、CON-C03-SYN-EQ-02-0058、CON-C03-SYN-EQ-02-0059、CON-C03-SYN-EQ-02-0060、CON-C03-SYN-EQ-02-0061</x:v>
      </x:c>
      <x:c r="L19" s="38" t="str">
        <x:v>100%确定成功；不失败吞料</x:v>
      </x:c>
      <x:c r="M19" s="38" t="str">
        <x:v>基础攻魔道主来源；成品明显优于同期普通掉落</x:v>
      </x:c>
      <x:c r="N19" s="38" t="str">
        <x:v>成品可交易</x:v>
      </x:c>
      <x:c r="O19" s="38" t="str">
        <x:v>否</x:v>
      </x:c>
      <x:c r="P19" s="38" t="str">
        <x:v>禁止回收</x:v>
      </x:c>
      <x:c r="Q19" s="38" t="str">
        <x:v>待经济反算</x:v>
      </x:c>
      <x:c r="R19" s="38" t="str">
        <x:v>需新装备资源编码</x:v>
      </x:c>
      <x:c r="S19" s="38" t="str">
        <x:v>是</x:v>
      </x:c>
      <x:c r="T19" s="38" t="str">
        <x:v>否</x:v>
      </x:c>
      <x:c r="U19" s="38" t="str"/>
      <x:c r="V19" s="38" t="str"/>
      <x:c r="W19" s="39" t="str">
        <x:v>具体属性、数量与成品回收价后算</x:v>
      </x:c>
    </x:row>
    <x:row r="20" ht="44" customHeight="1">
      <x:c r="A20" s="37" t="str">
        <x:v>C04-SYN-EQ-01</x:v>
      </x:c>
      <x:c r="B20" s="38" t="str">
        <x:v>C04</x:v>
      </x:c>
      <x:c r="C20" s="38" t="str">
        <x:v>利耶尼亚海域</x:v>
      </x:c>
      <x:c r="D20" s="38" t="str">
        <x:v>C04-SYN-01</x:v>
      </x:c>
      <x:c r="E20" s="38" t="str">
        <x:v>沉潮铸师·伊芙</x:v>
      </x:c>
      <x:c r="F20" s="38" t="str">
        <x:v>装备合成</x:v>
      </x:c>
      <x:c r="G20" s="38" t="str">
        <x:v>闭潮王带</x:v>
      </x:c>
      <x:c r="H20" s="38" t="str">
        <x:v>OUT-35447BF772E3</x:v>
      </x:c>
      <x:c r="I20" s="38" t="str">
        <x:v>腰带</x:v>
      </x:c>
      <x:c r="J20" s="38" t="n">
        <x:v>8</x:v>
      </x:c>
      <x:c r="K20" s="38" t="str">
        <x:v>CON-C04-SYN-EQ-01-0062、CON-C04-SYN-EQ-01-0063、CON-C04-SYN-EQ-01-0064、CON-C04-SYN-EQ-01-0065、CON-C04-SYN-EQ-01-0066、CON-C04-SYN-EQ-01-0067、CON-C04-SYN-EQ-01-0068、CON-C04-SYN-EQ-01-0069</x:v>
      </x:c>
      <x:c r="L20" s="38" t="str">
        <x:v>100%确定成功；不失败吞料</x:v>
      </x:c>
      <x:c r="M20" s="38" t="str">
        <x:v>基础攻魔道主来源；成品明显优于同期普通掉落</x:v>
      </x:c>
      <x:c r="N20" s="38" t="str">
        <x:v>成品可交易</x:v>
      </x:c>
      <x:c r="O20" s="38" t="str">
        <x:v>否</x:v>
      </x:c>
      <x:c r="P20" s="38" t="str">
        <x:v>禁止回收</x:v>
      </x:c>
      <x:c r="Q20" s="38" t="str">
        <x:v>待经济反算</x:v>
      </x:c>
      <x:c r="R20" s="38" t="str">
        <x:v>需新装备资源编码</x:v>
      </x:c>
      <x:c r="S20" s="38" t="str">
        <x:v>是</x:v>
      </x:c>
      <x:c r="T20" s="38" t="str">
        <x:v>否</x:v>
      </x:c>
      <x:c r="U20" s="38" t="str"/>
      <x:c r="V20" s="38" t="str"/>
      <x:c r="W20" s="39" t="str">
        <x:v>具体属性、数量与成品回收价后算</x:v>
      </x:c>
    </x:row>
    <x:row r="21" ht="44" customHeight="1">
      <x:c r="A21" s="37" t="str">
        <x:v>C04-SYN-EQ-02</x:v>
      </x:c>
      <x:c r="B21" s="38" t="str">
        <x:v>C04</x:v>
      </x:c>
      <x:c r="C21" s="38" t="str">
        <x:v>利耶尼亚海域</x:v>
      </x:c>
      <x:c r="D21" s="38" t="str">
        <x:v>C04-SYN-01</x:v>
      </x:c>
      <x:c r="E21" s="38" t="str">
        <x:v>沉潮铸师·伊芙</x:v>
      </x:c>
      <x:c r="F21" s="38" t="str">
        <x:v>装备合成</x:v>
      </x:c>
      <x:c r="G21" s="38" t="str">
        <x:v>月渊秘戒</x:v>
      </x:c>
      <x:c r="H21" s="38" t="str">
        <x:v>OUT-CEFD1659FA03</x:v>
      </x:c>
      <x:c r="I21" s="38" t="str">
        <x:v>戒指</x:v>
      </x:c>
      <x:c r="J21" s="38" t="n">
        <x:v>8</x:v>
      </x:c>
      <x:c r="K21" s="38" t="str">
        <x:v>CON-C04-SYN-EQ-02-0070、CON-C04-SYN-EQ-02-0071、CON-C04-SYN-EQ-02-0072、CON-C04-SYN-EQ-02-0073、CON-C04-SYN-EQ-02-0074、CON-C04-SYN-EQ-02-0075、CON-C04-SYN-EQ-02-0076、CON-C04-SYN-EQ-02-0077</x:v>
      </x:c>
      <x:c r="L21" s="38" t="str">
        <x:v>100%确定成功；不失败吞料</x:v>
      </x:c>
      <x:c r="M21" s="38" t="str">
        <x:v>基础攻魔道主来源；成品明显优于同期普通掉落</x:v>
      </x:c>
      <x:c r="N21" s="38" t="str">
        <x:v>成品可交易</x:v>
      </x:c>
      <x:c r="O21" s="38" t="str">
        <x:v>否</x:v>
      </x:c>
      <x:c r="P21" s="38" t="str">
        <x:v>禁止回收</x:v>
      </x:c>
      <x:c r="Q21" s="38" t="str">
        <x:v>待经济反算</x:v>
      </x:c>
      <x:c r="R21" s="38" t="str">
        <x:v>需新装备资源编码</x:v>
      </x:c>
      <x:c r="S21" s="38" t="str">
        <x:v>是</x:v>
      </x:c>
      <x:c r="T21" s="38" t="str">
        <x:v>否</x:v>
      </x:c>
      <x:c r="U21" s="38" t="str"/>
      <x:c r="V21" s="38" t="str"/>
      <x:c r="W21" s="39" t="str">
        <x:v>具体属性、数量与成品回收价后算</x:v>
      </x:c>
    </x:row>
    <x:row r="22" ht="44" customHeight="1">
      <x:c r="A22" s="37" t="str">
        <x:v>C04-SYN-EQ-03</x:v>
      </x:c>
      <x:c r="B22" s="38" t="str">
        <x:v>C04</x:v>
      </x:c>
      <x:c r="C22" s="38" t="str">
        <x:v>利耶尼亚海域</x:v>
      </x:c>
      <x:c r="D22" s="38" t="str">
        <x:v>C04-SYN-01</x:v>
      </x:c>
      <x:c r="E22" s="38" t="str">
        <x:v>沉潮铸师·伊芙</x:v>
      </x:c>
      <x:c r="F22" s="38" t="str">
        <x:v>装备合成</x:v>
      </x:c>
      <x:c r="G22" s="38" t="str">
        <x:v>闭潮秘饰</x:v>
      </x:c>
      <x:c r="H22" s="38" t="str">
        <x:v>OUT-294006661932</x:v>
      </x:c>
      <x:c r="I22" s="38" t="str">
        <x:v>时装首饰盒</x:v>
      </x:c>
      <x:c r="J22" s="38" t="n">
        <x:v>7</x:v>
      </x:c>
      <x:c r="K22" s="38" t="str">
        <x:v>CON-C04-SYN-EQ-03-0078、CON-C04-SYN-EQ-03-0079、CON-C04-SYN-EQ-03-0080、CON-C04-SYN-EQ-03-0081、CON-C04-SYN-EQ-03-0082、CON-C04-SYN-EQ-03-0083、CON-C04-SYN-EQ-03-0084</x:v>
      </x:c>
      <x:c r="L22" s="38" t="str">
        <x:v>100%确定成功；不失败吞料</x:v>
      </x:c>
      <x:c r="M22" s="38" t="str">
        <x:v>基础攻魔道主来源；成品明显优于同期普通掉落</x:v>
      </x:c>
      <x:c r="N22" s="38" t="str">
        <x:v>成品可交易</x:v>
      </x:c>
      <x:c r="O22" s="38" t="str">
        <x:v>否</x:v>
      </x:c>
      <x:c r="P22" s="38" t="str">
        <x:v>禁止回收</x:v>
      </x:c>
      <x:c r="Q22" s="38" t="str">
        <x:v>待经济反算</x:v>
      </x:c>
      <x:c r="R22" s="38" t="str">
        <x:v>需新装备资源编码</x:v>
      </x:c>
      <x:c r="S22" s="38" t="str">
        <x:v>是</x:v>
      </x:c>
      <x:c r="T22" s="38" t="str">
        <x:v>否</x:v>
      </x:c>
      <x:c r="U22" s="38" t="str"/>
      <x:c r="V22" s="38" t="str"/>
      <x:c r="W22" s="39" t="str">
        <x:v>具体属性、数量与成品回收价后算</x:v>
      </x:c>
    </x:row>
    <x:row r="23" ht="44" customHeight="1">
      <x:c r="A23" s="37" t="str">
        <x:v>C05-SYN-EQ-01</x:v>
      </x:c>
      <x:c r="B23" s="38" t="str">
        <x:v>C05</x:v>
      </x:c>
      <x:c r="C23" s="38" t="str">
        <x:v>湖之利耶尼亚</x:v>
      </x:c>
      <x:c r="D23" s="38" t="str">
        <x:v>C05-SYN-EQ</x:v>
      </x:c>
      <x:c r="E23" s="38" t="str">
        <x:v>辉石调律师·蕾娜</x:v>
      </x:c>
      <x:c r="F23" s="38" t="str">
        <x:v>装备合成</x:v>
      </x:c>
      <x:c r="G23" s="38" t="str">
        <x:v>卡利亚月裁长刃</x:v>
      </x:c>
      <x:c r="H23" s="38" t="str">
        <x:v>OUT-0A070972B401</x:v>
      </x:c>
      <x:c r="I23" s="38" t="str">
        <x:v>武器</x:v>
      </x:c>
      <x:c r="J23" s="38" t="n">
        <x:v>7</x:v>
      </x:c>
      <x:c r="K23" s="38" t="str">
        <x:v>CON-C05-SYN-EQ-01-0085、CON-C05-SYN-EQ-01-0086、CON-C05-SYN-EQ-01-0087、CON-C05-SYN-EQ-01-0088、CON-C05-SYN-EQ-01-0089、CON-C05-SYN-EQ-01-0090、CON-C05-SYN-EQ-01-0091</x:v>
      </x:c>
      <x:c r="L23" s="38" t="str">
        <x:v>100%确定成功；不失败吞料</x:v>
      </x:c>
      <x:c r="M23" s="38" t="str">
        <x:v>基础攻魔道主来源；成品明显优于同期普通掉落</x:v>
      </x:c>
      <x:c r="N23" s="38" t="str">
        <x:v>成品可交易</x:v>
      </x:c>
      <x:c r="O23" s="38" t="str">
        <x:v>否</x:v>
      </x:c>
      <x:c r="P23" s="38" t="str">
        <x:v>禁止回收</x:v>
      </x:c>
      <x:c r="Q23" s="38" t="str">
        <x:v>待经济反算</x:v>
      </x:c>
      <x:c r="R23" s="38" t="str">
        <x:v>需新装备资源编码</x:v>
      </x:c>
      <x:c r="S23" s="38" t="str">
        <x:v>是</x:v>
      </x:c>
      <x:c r="T23" s="38" t="str">
        <x:v>否</x:v>
      </x:c>
      <x:c r="U23" s="38" t="str"/>
      <x:c r="V23" s="38" t="str"/>
      <x:c r="W23" s="39" t="str">
        <x:v>具体属性、数量与成品回收价后算</x:v>
      </x:c>
    </x:row>
    <x:row r="24" ht="44" customHeight="1">
      <x:c r="A24" s="37" t="str">
        <x:v>C05-SYN-EQ-02</x:v>
      </x:c>
      <x:c r="B24" s="38" t="str">
        <x:v>C05</x:v>
      </x:c>
      <x:c r="C24" s="38" t="str">
        <x:v>湖之利耶尼亚</x:v>
      </x:c>
      <x:c r="D24" s="38" t="str">
        <x:v>C05-SYN-EQ</x:v>
      </x:c>
      <x:c r="E24" s="38" t="str">
        <x:v>辉石调律师·蕾娜</x:v>
      </x:c>
      <x:c r="F24" s="38" t="str">
        <x:v>装备合成</x:v>
      </x:c>
      <x:c r="G24" s="38" t="str">
        <x:v>辉月镜戒</x:v>
      </x:c>
      <x:c r="H24" s="38" t="str">
        <x:v>OUT-C3D1CF45FB43</x:v>
      </x:c>
      <x:c r="I24" s="38" t="str">
        <x:v>时装戒指</x:v>
      </x:c>
      <x:c r="J24" s="38" t="n">
        <x:v>7</x:v>
      </x:c>
      <x:c r="K24" s="38" t="str">
        <x:v>CON-C05-SYN-EQ-02-0092、CON-C05-SYN-EQ-02-0093、CON-C05-SYN-EQ-02-0094、CON-C05-SYN-EQ-02-0095、CON-C05-SYN-EQ-02-0096、CON-C05-SYN-EQ-02-0097、CON-C05-SYN-EQ-02-0098</x:v>
      </x:c>
      <x:c r="L24" s="38" t="str">
        <x:v>100%确定成功；不失败吞料</x:v>
      </x:c>
      <x:c r="M24" s="38" t="str">
        <x:v>基础攻魔道主来源；成品明显优于同期普通掉落</x:v>
      </x:c>
      <x:c r="N24" s="38" t="str">
        <x:v>成品可交易</x:v>
      </x:c>
      <x:c r="O24" s="38" t="str">
        <x:v>否</x:v>
      </x:c>
      <x:c r="P24" s="38" t="str">
        <x:v>禁止回收</x:v>
      </x:c>
      <x:c r="Q24" s="38" t="str">
        <x:v>待经济反算</x:v>
      </x:c>
      <x:c r="R24" s="38" t="str">
        <x:v>需新装备资源编码</x:v>
      </x:c>
      <x:c r="S24" s="38" t="str">
        <x:v>是</x:v>
      </x:c>
      <x:c r="T24" s="38" t="str">
        <x:v>否</x:v>
      </x:c>
      <x:c r="U24" s="38" t="str"/>
      <x:c r="V24" s="38" t="str"/>
      <x:c r="W24" s="39" t="str">
        <x:v>具体属性、数量与成品回收价后算</x:v>
      </x:c>
    </x:row>
    <x:row r="25" ht="44" customHeight="1">
      <x:c r="A25" s="37" t="str">
        <x:v>C06-SYN-EQ-01</x:v>
      </x:c>
      <x:c r="B25" s="38" t="str">
        <x:v>C06</x:v>
      </x:c>
      <x:c r="C25" s="38" t="str">
        <x:v>盖利德</x:v>
      </x:c>
      <x:c r="D25" s="38" t="str">
        <x:v>C06-SYN-01</x:v>
      </x:c>
      <x:c r="E25" s="38" t="str">
        <x:v>红狮残匠·伯伦</x:v>
      </x:c>
      <x:c r="F25" s="38" t="str">
        <x:v>装备合成</x:v>
      </x:c>
      <x:c r="G25" s="38" t="str">
        <x:v>碎星红狮战甲</x:v>
      </x:c>
      <x:c r="H25" s="38" t="str">
        <x:v>OUT-9AF067FFF8DB</x:v>
      </x:c>
      <x:c r="I25" s="38" t="str">
        <x:v>衣服</x:v>
      </x:c>
      <x:c r="J25" s="38" t="n">
        <x:v>7</x:v>
      </x:c>
      <x:c r="K25" s="38" t="str">
        <x:v>CON-C06-SYN-EQ-01-0099、CON-C06-SYN-EQ-01-0100、CON-C06-SYN-EQ-01-0101、CON-C06-SYN-EQ-01-0102、CON-C06-SYN-EQ-01-0103、CON-C06-SYN-EQ-01-0104、CON-C06-SYN-EQ-01-0105</x:v>
      </x:c>
      <x:c r="L25" s="38" t="str">
        <x:v>100%确定成功；不失败吞料</x:v>
      </x:c>
      <x:c r="M25" s="38" t="str">
        <x:v>基础攻魔道主来源；成品明显优于同期普通掉落</x:v>
      </x:c>
      <x:c r="N25" s="38" t="str">
        <x:v>成品可交易</x:v>
      </x:c>
      <x:c r="O25" s="38" t="str">
        <x:v>否</x:v>
      </x:c>
      <x:c r="P25" s="38" t="str">
        <x:v>禁止回收</x:v>
      </x:c>
      <x:c r="Q25" s="38" t="str">
        <x:v>待经济反算</x:v>
      </x:c>
      <x:c r="R25" s="38" t="str">
        <x:v>需新装备资源编码</x:v>
      </x:c>
      <x:c r="S25" s="38" t="str">
        <x:v>是</x:v>
      </x:c>
      <x:c r="T25" s="38" t="str">
        <x:v>否</x:v>
      </x:c>
      <x:c r="U25" s="38" t="str"/>
      <x:c r="V25" s="38" t="str"/>
      <x:c r="W25" s="39" t="str">
        <x:v>具体属性、数量与成品回收价后算</x:v>
      </x:c>
    </x:row>
    <x:row r="26" ht="44" customHeight="1">
      <x:c r="A26" s="37" t="str">
        <x:v>C06-SYN-EQ-02</x:v>
      </x:c>
      <x:c r="B26" s="38" t="str">
        <x:v>C06</x:v>
      </x:c>
      <x:c r="C26" s="38" t="str">
        <x:v>盖利德</x:v>
      </x:c>
      <x:c r="D26" s="38" t="str">
        <x:v>C06-SYN-01</x:v>
      </x:c>
      <x:c r="E26" s="38" t="str">
        <x:v>红狮残匠·伯伦</x:v>
      </x:c>
      <x:c r="F26" s="38" t="str">
        <x:v>装备合成</x:v>
      </x:c>
      <x:c r="G26" s="38" t="str">
        <x:v>龙火刑腕</x:v>
      </x:c>
      <x:c r="H26" s="38" t="str">
        <x:v>OUT-9E7D597701BC</x:v>
      </x:c>
      <x:c r="I26" s="38" t="str">
        <x:v>手镯</x:v>
      </x:c>
      <x:c r="J26" s="38" t="n">
        <x:v>7</x:v>
      </x:c>
      <x:c r="K26" s="38" t="str">
        <x:v>CON-C06-SYN-EQ-02-0106、CON-C06-SYN-EQ-02-0107、CON-C06-SYN-EQ-02-0108、CON-C06-SYN-EQ-02-0109、CON-C06-SYN-EQ-02-0110、CON-C06-SYN-EQ-02-0111、CON-C06-SYN-EQ-02-0112</x:v>
      </x:c>
      <x:c r="L26" s="38" t="str">
        <x:v>100%确定成功；不失败吞料</x:v>
      </x:c>
      <x:c r="M26" s="38" t="str">
        <x:v>基础攻魔道主来源；成品明显优于同期普通掉落</x:v>
      </x:c>
      <x:c r="N26" s="38" t="str">
        <x:v>成品可交易</x:v>
      </x:c>
      <x:c r="O26" s="38" t="str">
        <x:v>否</x:v>
      </x:c>
      <x:c r="P26" s="38" t="str">
        <x:v>禁止回收</x:v>
      </x:c>
      <x:c r="Q26" s="38" t="str">
        <x:v>待经济反算</x:v>
      </x:c>
      <x:c r="R26" s="38" t="str">
        <x:v>需新装备资源编码</x:v>
      </x:c>
      <x:c r="S26" s="38" t="str">
        <x:v>是</x:v>
      </x:c>
      <x:c r="T26" s="38" t="str">
        <x:v>否</x:v>
      </x:c>
      <x:c r="U26" s="38" t="str"/>
      <x:c r="V26" s="38" t="str"/>
      <x:c r="W26" s="39" t="str">
        <x:v>具体属性、数量与成品回收价后算</x:v>
      </x:c>
    </x:row>
    <x:row r="27" ht="44" customHeight="1">
      <x:c r="A27" s="37" t="str">
        <x:v>C06-SYN-EQ-03</x:v>
      </x:c>
      <x:c r="B27" s="38" t="str">
        <x:v>C06</x:v>
      </x:c>
      <x:c r="C27" s="38" t="str">
        <x:v>盖利德</x:v>
      </x:c>
      <x:c r="D27" s="38" t="str">
        <x:v>C06-SYN-01</x:v>
      </x:c>
      <x:c r="E27" s="38" t="str">
        <x:v>红狮残匠·伯伦</x:v>
      </x:c>
      <x:c r="F27" s="38" t="str">
        <x:v>装备合成</x:v>
      </x:c>
      <x:c r="G27" s="38" t="str">
        <x:v>红狮余烬王衣</x:v>
      </x:c>
      <x:c r="H27" s="38" t="str">
        <x:v>OUT-74A54609FB57</x:v>
      </x:c>
      <x:c r="I27" s="38" t="str">
        <x:v>时装衣服</x:v>
      </x:c>
      <x:c r="J27" s="38" t="n">
        <x:v>8</x:v>
      </x:c>
      <x:c r="K27" s="38" t="str">
        <x:v>CON-C06-SYN-EQ-03-0113、CON-C06-SYN-EQ-03-0114、CON-C06-SYN-EQ-03-0115、CON-C06-SYN-EQ-03-0116、CON-C06-SYN-EQ-03-0117、CON-C06-SYN-EQ-03-0118、CON-C06-SYN-EQ-03-0119、CON-C06-SYN-EQ-03-0120</x:v>
      </x:c>
      <x:c r="L27" s="38" t="str">
        <x:v>100%确定成功；不失败吞料</x:v>
      </x:c>
      <x:c r="M27" s="38" t="str">
        <x:v>基础攻魔道主来源；成品明显优于同期普通掉落</x:v>
      </x:c>
      <x:c r="N27" s="38" t="str">
        <x:v>成品可交易</x:v>
      </x:c>
      <x:c r="O27" s="38" t="str">
        <x:v>否</x:v>
      </x:c>
      <x:c r="P27" s="38" t="str">
        <x:v>禁止回收</x:v>
      </x:c>
      <x:c r="Q27" s="38" t="str">
        <x:v>待经济反算</x:v>
      </x:c>
      <x:c r="R27" s="38" t="str">
        <x:v>需新装备资源编码</x:v>
      </x:c>
      <x:c r="S27" s="38" t="str">
        <x:v>是</x:v>
      </x:c>
      <x:c r="T27" s="38" t="str">
        <x:v>否</x:v>
      </x:c>
      <x:c r="U27" s="38" t="str"/>
      <x:c r="V27" s="38" t="str"/>
      <x:c r="W27" s="39" t="str">
        <x:v>具体属性、数量与成品回收价后算</x:v>
      </x:c>
    </x:row>
    <x:row r="28" ht="44" customHeight="1">
      <x:c r="A28" s="37" t="str">
        <x:v>C07-SYN-EQ-01</x:v>
      </x:c>
      <x:c r="B28" s="38" t="str">
        <x:v>C07</x:v>
      </x:c>
      <x:c r="C28" s="38" t="str">
        <x:v>化圣雪原</x:v>
      </x:c>
      <x:c r="D28" s="38" t="str">
        <x:v>C07-SYN-EQ</x:v>
      </x:c>
      <x:c r="E28" s="38" t="str">
        <x:v>白金裁缝·弥雅</x:v>
      </x:c>
      <x:c r="F28" s="38" t="str">
        <x:v>装备合成</x:v>
      </x:c>
      <x:c r="G28" s="38" t="str">
        <x:v>永霜白金刃</x:v>
      </x:c>
      <x:c r="H28" s="38" t="str">
        <x:v>OUT-9A57417F45A9</x:v>
      </x:c>
      <x:c r="I28" s="38" t="str">
        <x:v>时装武器</x:v>
      </x:c>
      <x:c r="J28" s="38" t="n">
        <x:v>8</x:v>
      </x:c>
      <x:c r="K28" s="38" t="str">
        <x:v>CON-C07-SYN-EQ-01-0121、CON-C07-SYN-EQ-01-0122、CON-C07-SYN-EQ-01-0123、CON-C07-SYN-EQ-01-0124、CON-C07-SYN-EQ-01-0125、CON-C07-SYN-EQ-01-0126、CON-C07-SYN-EQ-01-0127、CON-C07-SYN-EQ-01-0128</x:v>
      </x:c>
      <x:c r="L28" s="38" t="str">
        <x:v>100%确定成功；不失败吞料</x:v>
      </x:c>
      <x:c r="M28" s="38" t="str">
        <x:v>基础攻魔道主来源；成品明显优于同期普通掉落</x:v>
      </x:c>
      <x:c r="N28" s="38" t="str">
        <x:v>成品可交易</x:v>
      </x:c>
      <x:c r="O28" s="38" t="str">
        <x:v>否</x:v>
      </x:c>
      <x:c r="P28" s="38" t="str">
        <x:v>禁止回收</x:v>
      </x:c>
      <x:c r="Q28" s="38" t="str">
        <x:v>待经济反算</x:v>
      </x:c>
      <x:c r="R28" s="38" t="str">
        <x:v>需新装备资源编码</x:v>
      </x:c>
      <x:c r="S28" s="38" t="str">
        <x:v>是</x:v>
      </x:c>
      <x:c r="T28" s="38" t="str">
        <x:v>否</x:v>
      </x:c>
      <x:c r="U28" s="38" t="str"/>
      <x:c r="V28" s="38" t="str"/>
      <x:c r="W28" s="39" t="str">
        <x:v>具体属性、数量与成品回收价后算</x:v>
      </x:c>
    </x:row>
    <x:row r="29" ht="44" customHeight="1">
      <x:c r="A29" s="37" t="str">
        <x:v>C07-SYN-EQ-02</x:v>
      </x:c>
      <x:c r="B29" s="38" t="str">
        <x:v>C07</x:v>
      </x:c>
      <x:c r="C29" s="38" t="str">
        <x:v>化圣雪原</x:v>
      </x:c>
      <x:c r="D29" s="38" t="str">
        <x:v>C07-SYN-EQ</x:v>
      </x:c>
      <x:c r="E29" s="38" t="str">
        <x:v>白金裁缝·弥雅</x:v>
      </x:c>
      <x:c r="F29" s="38" t="str">
        <x:v>装备合成</x:v>
      </x:c>
      <x:c r="G29" s="38" t="str">
        <x:v>圣雪无火礼衣</x:v>
      </x:c>
      <x:c r="H29" s="38" t="str">
        <x:v>OUT-167A8A6846B6</x:v>
      </x:c>
      <x:c r="I29" s="38" t="str">
        <x:v>时装衣服</x:v>
      </x:c>
      <x:c r="J29" s="38" t="n">
        <x:v>8</x:v>
      </x:c>
      <x:c r="K29" s="38" t="str">
        <x:v>CON-C07-SYN-EQ-02-0129、CON-C07-SYN-EQ-02-0130、CON-C07-SYN-EQ-02-0131、CON-C07-SYN-EQ-02-0132、CON-C07-SYN-EQ-02-0133、CON-C07-SYN-EQ-02-0134、CON-C07-SYN-EQ-02-0135、CON-C07-SYN-EQ-02-0136</x:v>
      </x:c>
      <x:c r="L29" s="38" t="str">
        <x:v>100%确定成功；不失败吞料</x:v>
      </x:c>
      <x:c r="M29" s="38" t="str">
        <x:v>基础攻魔道主来源；成品明显优于同期普通掉落</x:v>
      </x:c>
      <x:c r="N29" s="38" t="str">
        <x:v>成品可交易</x:v>
      </x:c>
      <x:c r="O29" s="38" t="str">
        <x:v>否</x:v>
      </x:c>
      <x:c r="P29" s="38" t="str">
        <x:v>禁止回收</x:v>
      </x:c>
      <x:c r="Q29" s="38" t="str">
        <x:v>待经济反算</x:v>
      </x:c>
      <x:c r="R29" s="38" t="str">
        <x:v>需新装备资源编码</x:v>
      </x:c>
      <x:c r="S29" s="38" t="str">
        <x:v>是</x:v>
      </x:c>
      <x:c r="T29" s="38" t="str">
        <x:v>否</x:v>
      </x:c>
      <x:c r="U29" s="38" t="str"/>
      <x:c r="V29" s="38" t="str"/>
      <x:c r="W29" s="39" t="str">
        <x:v>具体属性、数量与成品回收价后算</x:v>
      </x:c>
    </x:row>
    <x:row r="30" ht="44" customHeight="1">
      <x:c r="A30" s="37" t="str">
        <x:v>C08-SYN-EQ-01</x:v>
      </x:c>
      <x:c r="B30" s="38" t="str">
        <x:v>C08</x:v>
      </x:c>
      <x:c r="C30" s="38" t="str">
        <x:v>巨人山顶</x:v>
      </x:c>
      <x:c r="D30" s="38" t="str">
        <x:v>C08-SYN-01</x:v>
      </x:c>
      <x:c r="E30" s="38" t="str">
        <x:v>炉火遗民·冈特</x:v>
      </x:c>
      <x:c r="F30" s="38" t="str">
        <x:v>装备合成</x:v>
      </x:c>
      <x:c r="G30" s="38" t="str">
        <x:v>巨人炉心颈环</x:v>
      </x:c>
      <x:c r="H30" s="38" t="str">
        <x:v>OUT-7151BA16D83D</x:v>
      </x:c>
      <x:c r="I30" s="38" t="str">
        <x:v>项链</x:v>
      </x:c>
      <x:c r="J30" s="38" t="n">
        <x:v>7</x:v>
      </x:c>
      <x:c r="K30" s="38" t="str">
        <x:v>CON-C08-SYN-EQ-01-0137、CON-C08-SYN-EQ-01-0138、CON-C08-SYN-EQ-01-0139、CON-C08-SYN-EQ-01-0140、CON-C08-SYN-EQ-01-0141、CON-C08-SYN-EQ-01-0142、CON-C08-SYN-EQ-01-0143</x:v>
      </x:c>
      <x:c r="L30" s="38" t="str">
        <x:v>100%确定成功；不失败吞料</x:v>
      </x:c>
      <x:c r="M30" s="38" t="str">
        <x:v>基础攻魔道主来源；成品明显优于同期普通掉落</x:v>
      </x:c>
      <x:c r="N30" s="38" t="str">
        <x:v>成品可交易</x:v>
      </x:c>
      <x:c r="O30" s="38" t="str">
        <x:v>否</x:v>
      </x:c>
      <x:c r="P30" s="38" t="str">
        <x:v>禁止回收</x:v>
      </x:c>
      <x:c r="Q30" s="38" t="str">
        <x:v>待经济反算</x:v>
      </x:c>
      <x:c r="R30" s="38" t="str">
        <x:v>需新装备资源编码</x:v>
      </x:c>
      <x:c r="S30" s="38" t="str">
        <x:v>是</x:v>
      </x:c>
      <x:c r="T30" s="38" t="str">
        <x:v>否</x:v>
      </x:c>
      <x:c r="U30" s="38" t="str"/>
      <x:c r="V30" s="38" t="str"/>
      <x:c r="W30" s="39" t="str">
        <x:v>具体属性、数量与成品回收价后算</x:v>
      </x:c>
    </x:row>
    <x:row r="31" ht="44" customHeight="1">
      <x:c r="A31" s="37" t="str">
        <x:v>C08-SYN-EQ-02</x:v>
      </x:c>
      <x:c r="B31" s="38" t="str">
        <x:v>C08</x:v>
      </x:c>
      <x:c r="C31" s="38" t="str">
        <x:v>巨人山顶</x:v>
      </x:c>
      <x:c r="D31" s="38" t="str">
        <x:v>C08-SYN-01</x:v>
      </x:c>
      <x:c r="E31" s="38" t="str">
        <x:v>炉火遗民·冈特</x:v>
      </x:c>
      <x:c r="F31" s="38" t="str">
        <x:v>装备合成</x:v>
      </x:c>
      <x:c r="G31" s="38" t="str">
        <x:v>吞日霜壁</x:v>
      </x:c>
      <x:c r="H31" s="38" t="str">
        <x:v>OUT-20FAFFE3B5BD</x:v>
      </x:c>
      <x:c r="I31" s="38" t="str">
        <x:v>盾牌</x:v>
      </x:c>
      <x:c r="J31" s="38" t="n">
        <x:v>7</x:v>
      </x:c>
      <x:c r="K31" s="38" t="str">
        <x:v>CON-C08-SYN-EQ-02-0144、CON-C08-SYN-EQ-02-0145、CON-C08-SYN-EQ-02-0146、CON-C08-SYN-EQ-02-0147、CON-C08-SYN-EQ-02-0148、CON-C08-SYN-EQ-02-0149、CON-C08-SYN-EQ-02-0150</x:v>
      </x:c>
      <x:c r="L31" s="38" t="str">
        <x:v>100%确定成功；不失败吞料</x:v>
      </x:c>
      <x:c r="M31" s="38" t="str">
        <x:v>基础攻魔道主来源；成品明显优于同期普通掉落</x:v>
      </x:c>
      <x:c r="N31" s="38" t="str">
        <x:v>成品可交易</x:v>
      </x:c>
      <x:c r="O31" s="38" t="str">
        <x:v>否</x:v>
      </x:c>
      <x:c r="P31" s="38" t="str">
        <x:v>禁止回收</x:v>
      </x:c>
      <x:c r="Q31" s="38" t="str">
        <x:v>待经济反算</x:v>
      </x:c>
      <x:c r="R31" s="38" t="str">
        <x:v>需新装备资源编码</x:v>
      </x:c>
      <x:c r="S31" s="38" t="str">
        <x:v>是</x:v>
      </x:c>
      <x:c r="T31" s="38" t="str">
        <x:v>否</x:v>
      </x:c>
      <x:c r="U31" s="38" t="str"/>
      <x:c r="V31" s="38" t="str"/>
      <x:c r="W31" s="39" t="str">
        <x:v>具体属性、数量与成品回收价后算</x:v>
      </x:c>
    </x:row>
    <x:row r="32" ht="44" customHeight="1">
      <x:c r="A32" s="37" t="str">
        <x:v>C08-SYN-EQ-03</x:v>
      </x:c>
      <x:c r="B32" s="38" t="str">
        <x:v>C08</x:v>
      </x:c>
      <x:c r="C32" s="38" t="str">
        <x:v>巨人山顶</x:v>
      </x:c>
      <x:c r="D32" s="38" t="str">
        <x:v>C08-SYN-01</x:v>
      </x:c>
      <x:c r="E32" s="38" t="str">
        <x:v>炉火遗民·冈特</x:v>
      </x:c>
      <x:c r="F32" s="38" t="str">
        <x:v>装备合成</x:v>
      </x:c>
      <x:c r="G32" s="38" t="str">
        <x:v>穹霜炉心秘饰</x:v>
      </x:c>
      <x:c r="H32" s="38" t="str">
        <x:v>OUT-83374D39C0AA</x:v>
      </x:c>
      <x:c r="I32" s="38" t="str">
        <x:v>时装首饰盒</x:v>
      </x:c>
      <x:c r="J32" s="38" t="n">
        <x:v>8</x:v>
      </x:c>
      <x:c r="K32" s="38" t="str">
        <x:v>CON-C08-SYN-EQ-03-0151、CON-C08-SYN-EQ-03-0152、CON-C08-SYN-EQ-03-0153、CON-C08-SYN-EQ-03-0154、CON-C08-SYN-EQ-03-0155、CON-C08-SYN-EQ-03-0156、CON-C08-SYN-EQ-03-0157、CON-C08-SYN-EQ-03-0158</x:v>
      </x:c>
      <x:c r="L32" s="38" t="str">
        <x:v>100%确定成功；不失败吞料</x:v>
      </x:c>
      <x:c r="M32" s="38" t="str">
        <x:v>基础攻魔道主来源；成品明显优于同期普通掉落</x:v>
      </x:c>
      <x:c r="N32" s="38" t="str">
        <x:v>成品可交易</x:v>
      </x:c>
      <x:c r="O32" s="38" t="str">
        <x:v>否</x:v>
      </x:c>
      <x:c r="P32" s="38" t="str">
        <x:v>禁止回收</x:v>
      </x:c>
      <x:c r="Q32" s="38" t="str">
        <x:v>待经济反算</x:v>
      </x:c>
      <x:c r="R32" s="38" t="str">
        <x:v>需新装备资源编码</x:v>
      </x:c>
      <x:c r="S32" s="38" t="str">
        <x:v>是</x:v>
      </x:c>
      <x:c r="T32" s="38" t="str">
        <x:v>否</x:v>
      </x:c>
      <x:c r="U32" s="38" t="str"/>
      <x:c r="V32" s="38" t="str"/>
      <x:c r="W32" s="39" t="str">
        <x:v>具体属性、数量与成品回收价后算</x:v>
      </x:c>
    </x:row>
    <x:row r="33" ht="44" customHeight="1">
      <x:c r="A33" s="37" t="str">
        <x:v>C09-SYN-EQ-01</x:v>
      </x:c>
      <x:c r="B33" s="38" t="str">
        <x:v>C09</x:v>
      </x:c>
      <x:c r="C33" s="38" t="str">
        <x:v>亚坛高原</x:v>
      </x:c>
      <x:c r="D33" s="38" t="str">
        <x:v>C09-SYN-EQ</x:v>
      </x:c>
      <x:c r="E33" s="38" t="str">
        <x:v>黄金铸师·亚德</x:v>
      </x:c>
      <x:c r="F33" s="38" t="str">
        <x:v>装备合成</x:v>
      </x:c>
      <x:c r="G33" s="38" t="str">
        <x:v>黄金律裁阳刃</x:v>
      </x:c>
      <x:c r="H33" s="38" t="str">
        <x:v>OUT-D7F95A94F8D3</x:v>
      </x:c>
      <x:c r="I33" s="38" t="str">
        <x:v>武器</x:v>
      </x:c>
      <x:c r="J33" s="38" t="n">
        <x:v>7</x:v>
      </x:c>
      <x:c r="K33" s="38" t="str">
        <x:v>CON-C09-SYN-EQ-01-0159、CON-C09-SYN-EQ-01-0160、CON-C09-SYN-EQ-01-0161、CON-C09-SYN-EQ-01-0162、CON-C09-SYN-EQ-01-0163、CON-C09-SYN-EQ-01-0164、CON-C09-SYN-EQ-01-0165</x:v>
      </x:c>
      <x:c r="L33" s="38" t="str">
        <x:v>100%确定成功；不失败吞料</x:v>
      </x:c>
      <x:c r="M33" s="38" t="str">
        <x:v>基础攻魔道主来源；成品明显优于同期普通掉落</x:v>
      </x:c>
      <x:c r="N33" s="38" t="str">
        <x:v>成品可交易</x:v>
      </x:c>
      <x:c r="O33" s="38" t="str">
        <x:v>否</x:v>
      </x:c>
      <x:c r="P33" s="38" t="str">
        <x:v>禁止回收</x:v>
      </x:c>
      <x:c r="Q33" s="38" t="str">
        <x:v>待经济反算</x:v>
      </x:c>
      <x:c r="R33" s="38" t="str">
        <x:v>需新装备资源编码</x:v>
      </x:c>
      <x:c r="S33" s="38" t="str">
        <x:v>是</x:v>
      </x:c>
      <x:c r="T33" s="38" t="str">
        <x:v>否</x:v>
      </x:c>
      <x:c r="U33" s="38" t="str"/>
      <x:c r="V33" s="38" t="str"/>
      <x:c r="W33" s="39" t="str">
        <x:v>具体属性、数量与成品回收价后算</x:v>
      </x:c>
    </x:row>
    <x:row r="34" ht="44" customHeight="1">
      <x:c r="A34" s="37" t="str">
        <x:v>C09-SYN-EQ-02</x:v>
      </x:c>
      <x:c r="B34" s="38" t="str">
        <x:v>C09</x:v>
      </x:c>
      <x:c r="C34" s="38" t="str">
        <x:v>亚坛高原</x:v>
      </x:c>
      <x:c r="D34" s="38" t="str">
        <x:v>C09-SYN-EQ</x:v>
      </x:c>
      <x:c r="E34" s="38" t="str">
        <x:v>黄金铸师·亚德</x:v>
      </x:c>
      <x:c r="F34" s="38" t="str">
        <x:v>装备合成</x:v>
      </x:c>
      <x:c r="G34" s="38" t="str">
        <x:v>鎏日王仪战衣</x:v>
      </x:c>
      <x:c r="H34" s="38" t="str">
        <x:v>OUT-76EDBF864334</x:v>
      </x:c>
      <x:c r="I34" s="38" t="str">
        <x:v>时装衣服</x:v>
      </x:c>
      <x:c r="J34" s="38" t="n">
        <x:v>7</x:v>
      </x:c>
      <x:c r="K34" s="38" t="str">
        <x:v>CON-C09-SYN-EQ-02-0166、CON-C09-SYN-EQ-02-0167、CON-C09-SYN-EQ-02-0168、CON-C09-SYN-EQ-02-0169、CON-C09-SYN-EQ-02-0170、CON-C09-SYN-EQ-02-0171、CON-C09-SYN-EQ-02-0172</x:v>
      </x:c>
      <x:c r="L34" s="38" t="str">
        <x:v>100%确定成功；不失败吞料</x:v>
      </x:c>
      <x:c r="M34" s="38" t="str">
        <x:v>基础攻魔道主来源；成品明显优于同期普通掉落</x:v>
      </x:c>
      <x:c r="N34" s="38" t="str">
        <x:v>成品可交易</x:v>
      </x:c>
      <x:c r="O34" s="38" t="str">
        <x:v>否</x:v>
      </x:c>
      <x:c r="P34" s="38" t="str">
        <x:v>禁止回收</x:v>
      </x:c>
      <x:c r="Q34" s="38" t="str">
        <x:v>待经济反算</x:v>
      </x:c>
      <x:c r="R34" s="38" t="str">
        <x:v>需新装备资源编码</x:v>
      </x:c>
      <x:c r="S34" s="38" t="str">
        <x:v>是</x:v>
      </x:c>
      <x:c r="T34" s="38" t="str">
        <x:v>否</x:v>
      </x:c>
      <x:c r="U34" s="38" t="str"/>
      <x:c r="V34" s="38" t="str"/>
      <x:c r="W34" s="39" t="str">
        <x:v>具体属性、数量与成品回收价后算</x:v>
      </x:c>
    </x:row>
    <x:row r="35" ht="44" customHeight="1">
      <x:c r="A35" s="37" t="str">
        <x:v>C10-SYN-EQ-01</x:v>
      </x:c>
      <x:c r="B35" s="38" t="str">
        <x:v>C10</x:v>
      </x:c>
      <x:c r="C35" s="38" t="str">
        <x:v>王城罗德尔</x:v>
      </x:c>
      <x:c r="D35" s="38" t="str">
        <x:v>C10-SYN-WEAPON</x:v>
      </x:c>
      <x:c r="E35" s="38" t="str">
        <x:v>王宫兵械长·奥德</x:v>
      </x:c>
      <x:c r="F35" s="38" t="str">
        <x:v>装备合成</x:v>
      </x:c>
      <x:c r="G35" s="38" t="str">
        <x:v>王座终裁圣刃</x:v>
      </x:c>
      <x:c r="H35" s="38" t="str">
        <x:v>OUT-CC57C0EFC199</x:v>
      </x:c>
      <x:c r="I35" s="38" t="str">
        <x:v>武器</x:v>
      </x:c>
      <x:c r="J35" s="38" t="n">
        <x:v>8</x:v>
      </x:c>
      <x:c r="K35" s="38" t="str">
        <x:v>CON-C10-SYN-EQ-01-0173、CON-C10-SYN-EQ-01-0174、CON-C10-SYN-EQ-01-0175、CON-C10-SYN-EQ-01-0176、CON-C10-SYN-EQ-01-0177、CON-C10-SYN-EQ-01-0178、CON-C10-SYN-EQ-01-0179、CON-C10-SYN-EQ-01-0180</x:v>
      </x:c>
      <x:c r="L35" s="38" t="str">
        <x:v>100%确定成功；不失败吞料</x:v>
      </x:c>
      <x:c r="M35" s="38" t="str">
        <x:v>基础攻魔道主来源；成品明显优于同期普通掉落</x:v>
      </x:c>
      <x:c r="N35" s="38" t="str">
        <x:v>成品可交易</x:v>
      </x:c>
      <x:c r="O35" s="38" t="str">
        <x:v>否</x:v>
      </x:c>
      <x:c r="P35" s="38" t="str">
        <x:v>禁止回收</x:v>
      </x:c>
      <x:c r="Q35" s="38" t="str">
        <x:v>待经济反算</x:v>
      </x:c>
      <x:c r="R35" s="38" t="str">
        <x:v>需新装备资源编码</x:v>
      </x:c>
      <x:c r="S35" s="38" t="str">
        <x:v>是</x:v>
      </x:c>
      <x:c r="T35" s="38" t="str">
        <x:v>否</x:v>
      </x:c>
      <x:c r="U35" s="38" t="str"/>
      <x:c r="V35" s="38" t="str"/>
      <x:c r="W35" s="39" t="str">
        <x:v>具体属性、数量与成品回收价后算</x:v>
      </x:c>
    </x:row>
    <x:row r="36" ht="44" customHeight="1">
      <x:c r="A36" s="37" t="str">
        <x:v>C10-SYN-EQ-02</x:v>
      </x:c>
      <x:c r="B36" s="38" t="str">
        <x:v>C10</x:v>
      </x:c>
      <x:c r="C36" s="38" t="str">
        <x:v>王城罗德尔</x:v>
      </x:c>
      <x:c r="D36" s="38" t="str">
        <x:v>C10-SYN-WEAPON</x:v>
      </x:c>
      <x:c r="E36" s="38" t="str">
        <x:v>王宫兵械长·奥德</x:v>
      </x:c>
      <x:c r="F36" s="38" t="str">
        <x:v>装备合成</x:v>
      </x:c>
      <x:c r="G36" s="38" t="str">
        <x:v>艾尔登无冕王衣</x:v>
      </x:c>
      <x:c r="H36" s="38" t="str">
        <x:v>OUT-F7C382444B58</x:v>
      </x:c>
      <x:c r="I36" s="38" t="str">
        <x:v>时装衣服</x:v>
      </x:c>
      <x:c r="J36" s="38" t="n">
        <x:v>8</x:v>
      </x:c>
      <x:c r="K36" s="38" t="str">
        <x:v>CON-C10-SYN-EQ-02-0181、CON-C10-SYN-EQ-02-0182、CON-C10-SYN-EQ-02-0183、CON-C10-SYN-EQ-02-0184、CON-C10-SYN-EQ-02-0185、CON-C10-SYN-EQ-02-0186、CON-C10-SYN-EQ-02-0187、CON-C10-SYN-EQ-02-0188</x:v>
      </x:c>
      <x:c r="L36" s="38" t="str">
        <x:v>100%确定成功；不失败吞料</x:v>
      </x:c>
      <x:c r="M36" s="38" t="str">
        <x:v>基础攻魔道主来源；成品明显优于同期普通掉落</x:v>
      </x:c>
      <x:c r="N36" s="38" t="str">
        <x:v>成品可交易</x:v>
      </x:c>
      <x:c r="O36" s="38" t="str">
        <x:v>否</x:v>
      </x:c>
      <x:c r="P36" s="38" t="str">
        <x:v>禁止回收</x:v>
      </x:c>
      <x:c r="Q36" s="38" t="str">
        <x:v>待经济反算</x:v>
      </x:c>
      <x:c r="R36" s="38" t="str">
        <x:v>需新装备资源编码</x:v>
      </x:c>
      <x:c r="S36" s="38" t="str">
        <x:v>是</x:v>
      </x:c>
      <x:c r="T36" s="38" t="str">
        <x:v>否</x:v>
      </x:c>
      <x:c r="U36" s="38" t="str"/>
      <x:c r="V36" s="38" t="str"/>
      <x:c r="W36" s="39" t="str">
        <x:v>具体属性、数量与成品回收价后算</x:v>
      </x:c>
    </x:row>
    <x:row r="37" ht="44" customHeight="1">
      <x:c r="A37" s="37" t="str">
        <x:v>C10-SYN-EQ-03</x:v>
      </x:c>
      <x:c r="B37" s="38" t="str">
        <x:v>C10</x:v>
      </x:c>
      <x:c r="C37" s="38" t="str">
        <x:v>王城罗德尔</x:v>
      </x:c>
      <x:c r="D37" s="38" t="str">
        <x:v>C10-SYN-BOX</x:v>
      </x:c>
      <x:c r="E37" s="38" t="str">
        <x:v>旧王秘匣师·萨芙</x:v>
      </x:c>
      <x:c r="F37" s="38" t="str">
        <x:v>装备合成</x:v>
      </x:c>
      <x:c r="G37" s="38" t="str">
        <x:v>无上王徽秘饰</x:v>
      </x:c>
      <x:c r="H37" s="38" t="str">
        <x:v>OUT-0F20F61281B6</x:v>
      </x:c>
      <x:c r="I37" s="38" t="str">
        <x:v>时装首饰盒</x:v>
      </x:c>
      <x:c r="J37" s="38" t="n">
        <x:v>9</x:v>
      </x:c>
      <x:c r="K37" s="38" t="str">
        <x:v>CON-C10-SYN-EQ-03-0189、CON-C10-SYN-EQ-03-0190、CON-C10-SYN-EQ-03-0191、CON-C10-SYN-EQ-03-0192、CON-C10-SYN-EQ-03-0193、CON-C10-SYN-EQ-03-0194、CON-C10-SYN-EQ-03-0195、CON-C10-SYN-EQ-03-0196、CON-C10-SYN-EQ-03-0197</x:v>
      </x:c>
      <x:c r="L37" s="38" t="str">
        <x:v>100%确定成功；不失败吞料</x:v>
      </x:c>
      <x:c r="M37" s="38" t="str">
        <x:v>基础攻魔道主来源；成品明显优于同期普通掉落</x:v>
      </x:c>
      <x:c r="N37" s="38" t="str">
        <x:v>成品可交易</x:v>
      </x:c>
      <x:c r="O37" s="38" t="str">
        <x:v>否</x:v>
      </x:c>
      <x:c r="P37" s="38" t="str">
        <x:v>禁止回收</x:v>
      </x:c>
      <x:c r="Q37" s="38" t="str">
        <x:v>待经济反算</x:v>
      </x:c>
      <x:c r="R37" s="38" t="str">
        <x:v>需新装备资源编码</x:v>
      </x:c>
      <x:c r="S37" s="38" t="str">
        <x:v>是</x:v>
      </x:c>
      <x:c r="T37" s="38" t="str">
        <x:v>否</x:v>
      </x:c>
      <x:c r="U37" s="38" t="str"/>
      <x:c r="V37" s="38" t="str"/>
      <x:c r="W37" s="39" t="str">
        <x:v>具体属性、数量与成品回收价后算</x:v>
      </x:c>
    </x:row>
    <x:row r="38" ht="44" customHeight="1">
      <x:c r="A38" s="37" t="str">
        <x:v>C01-SYN-ZD-01</x:v>
      </x:c>
      <x:c r="B38" s="38" t="str">
        <x:v>C01</x:v>
      </x:c>
      <x:c r="C38" s="38" t="str">
        <x:v>漂流群岛</x:v>
      </x:c>
      <x:c r="D38" s="38" t="str">
        <x:v>C01-SYN-01</x:v>
      </x:c>
      <x:c r="E38" s="38" t="str">
        <x:v>拾荒匠·阿砾</x:v>
      </x:c>
      <x:c r="F38" s="38" t="str">
        <x:v>生肖合成</x:v>
      </x:c>
      <x:c r="G38" s="38" t="str">
        <x:v>子鼠·潮舱寻金</x:v>
      </x:c>
      <x:c r="H38" s="38" t="str">
        <x:v>OUT-16088D35CF3E</x:v>
      </x:c>
      <x:c r="I38" s="38" t="str">
        <x:v>生肖</x:v>
      </x:c>
      <x:c r="J38" s="38" t="n">
        <x:v>5</x:v>
      </x:c>
      <x:c r="K38" s="38" t="str">
        <x:v>CON-C01-SYN-ZD-01-0198、CON-C01-SYN-ZD-01-0199、CON-C01-SYN-ZD-01-0200、CON-C01-SYN-ZD-01-0201、CON-C01-SYN-ZD-01-0202</x:v>
      </x:c>
      <x:c r="L38" s="38" t="str">
        <x:v>100%确定成功；不失败吞料</x:v>
      </x:c>
      <x:c r="M38" s="38" t="str">
        <x:v>基础攻魔道；强度低于同期重点装备</x:v>
      </x:c>
      <x:c r="N38" s="38" t="str">
        <x:v>成品可交易</x:v>
      </x:c>
      <x:c r="O38" s="38" t="str">
        <x:v>否</x:v>
      </x:c>
      <x:c r="P38" s="38" t="str">
        <x:v>禁止回收</x:v>
      </x:c>
      <x:c r="Q38" s="38" t="str">
        <x:v>待经济反算</x:v>
      </x:c>
      <x:c r="R38" s="38" t="str">
        <x:v>需新生肖资源编码</x:v>
      </x:c>
      <x:c r="S38" s="38" t="str">
        <x:v>是</x:v>
      </x:c>
      <x:c r="T38" s="38" t="str">
        <x:v>否</x:v>
      </x:c>
      <x:c r="U38" s="38" t="str"/>
      <x:c r="V38" s="38" t="str"/>
      <x:c r="W38" s="39" t="str">
        <x:v>到达第二大陆取得基础生肖后回头完成</x:v>
      </x:c>
    </x:row>
    <x:row r="39" ht="44" customHeight="1">
      <x:c r="A39" s="37" t="str">
        <x:v>C02-SYN-ZD-01</x:v>
      </x:c>
      <x:c r="B39" s="38" t="str">
        <x:v>C02</x:v>
      </x:c>
      <x:c r="C39" s="38" t="str">
        <x:v>宁姆格福</x:v>
      </x:c>
      <x:c r="D39" s="38" t="str">
        <x:v>C02-SYN-01</x:v>
      </x:c>
      <x:c r="E39" s="38" t="str">
        <x:v>风暴工匠·洛克</x:v>
      </x:c>
      <x:c r="F39" s="38" t="str">
        <x:v>生肖合成</x:v>
      </x:c>
      <x:c r="G39" s="38" t="str">
        <x:v>丑牛·风暴负山</x:v>
      </x:c>
      <x:c r="H39" s="38" t="str">
        <x:v>OUT-E2CDE072E9E8</x:v>
      </x:c>
      <x:c r="I39" s="38" t="str">
        <x:v>生肖</x:v>
      </x:c>
      <x:c r="J39" s="38" t="n">
        <x:v>5</x:v>
      </x:c>
      <x:c r="K39" s="38" t="str">
        <x:v>CON-C02-SYN-ZD-01-0203、CON-C02-SYN-ZD-01-0204、CON-C02-SYN-ZD-01-0205、CON-C02-SYN-ZD-01-0206、CON-C02-SYN-ZD-01-0207</x:v>
      </x:c>
      <x:c r="L39" s="38" t="str">
        <x:v>100%确定成功；不失败吞料</x:v>
      </x:c>
      <x:c r="M39" s="38" t="str">
        <x:v>基础攻魔道；强度低于同期重点装备</x:v>
      </x:c>
      <x:c r="N39" s="38" t="str">
        <x:v>成品可交易</x:v>
      </x:c>
      <x:c r="O39" s="38" t="str">
        <x:v>否</x:v>
      </x:c>
      <x:c r="P39" s="38" t="str">
        <x:v>禁止回收</x:v>
      </x:c>
      <x:c r="Q39" s="38" t="str">
        <x:v>待经济反算</x:v>
      </x:c>
      <x:c r="R39" s="38" t="str">
        <x:v>需新生肖资源编码</x:v>
      </x:c>
      <x:c r="S39" s="38" t="str">
        <x:v>是</x:v>
      </x:c>
      <x:c r="T39" s="38" t="str">
        <x:v>否</x:v>
      </x:c>
      <x:c r="U39" s="38" t="str"/>
      <x:c r="V39" s="38" t="str"/>
      <x:c r="W39" s="39" t="str"/>
    </x:row>
    <x:row r="40" ht="44" customHeight="1">
      <x:c r="A40" s="37" t="str">
        <x:v>C03-SYN-ZD-01</x:v>
      </x:c>
      <x:c r="B40" s="38" t="str">
        <x:v>C03</x:v>
      </x:c>
      <x:c r="C40" s="38" t="str">
        <x:v>宁姆格福西域</x:v>
      </x:c>
      <x:c r="D40" s="38" t="str">
        <x:v>C03-SYN-EQ</x:v>
      </x:c>
      <x:c r="E40" s="38" t="str">
        <x:v>断路铁匠·赫恩</x:v>
      </x:c>
      <x:c r="F40" s="38" t="str">
        <x:v>生肖合成</x:v>
      </x:c>
      <x:c r="G40" s="38" t="str">
        <x:v>辰龙·荒原逐风</x:v>
      </x:c>
      <x:c r="H40" s="38" t="str">
        <x:v>OUT-4F4E2EED997B</x:v>
      </x:c>
      <x:c r="I40" s="38" t="str">
        <x:v>生肖</x:v>
      </x:c>
      <x:c r="J40" s="38" t="n">
        <x:v>5</x:v>
      </x:c>
      <x:c r="K40" s="38" t="str">
        <x:v>CON-C03-SYN-ZD-01-0208、CON-C03-SYN-ZD-01-0209、CON-C03-SYN-ZD-01-0210、CON-C03-SYN-ZD-01-0211、CON-C03-SYN-ZD-01-0212</x:v>
      </x:c>
      <x:c r="L40" s="38" t="str">
        <x:v>100%确定成功；不失败吞料</x:v>
      </x:c>
      <x:c r="M40" s="38" t="str">
        <x:v>基础攻魔道；强度低于同期重点装备</x:v>
      </x:c>
      <x:c r="N40" s="38" t="str">
        <x:v>成品可交易</x:v>
      </x:c>
      <x:c r="O40" s="38" t="str">
        <x:v>否</x:v>
      </x:c>
      <x:c r="P40" s="38" t="str">
        <x:v>禁止回收</x:v>
      </x:c>
      <x:c r="Q40" s="38" t="str">
        <x:v>待经济反算</x:v>
      </x:c>
      <x:c r="R40" s="38" t="str">
        <x:v>需新生肖资源编码</x:v>
      </x:c>
      <x:c r="S40" s="38" t="str">
        <x:v>是</x:v>
      </x:c>
      <x:c r="T40" s="38" t="str">
        <x:v>否</x:v>
      </x:c>
      <x:c r="U40" s="38" t="str"/>
      <x:c r="V40" s="38" t="str"/>
      <x:c r="W40" s="39" t="str"/>
    </x:row>
    <x:row r="41" ht="44" customHeight="1">
      <x:c r="A41" s="37" t="str">
        <x:v>C04-SYN-ZD-01</x:v>
      </x:c>
      <x:c r="B41" s="38" t="str">
        <x:v>C04</x:v>
      </x:c>
      <x:c r="C41" s="38" t="str">
        <x:v>利耶尼亚海域</x:v>
      </x:c>
      <x:c r="D41" s="38" t="str">
        <x:v>C04-SYN-01</x:v>
      </x:c>
      <x:c r="E41" s="38" t="str">
        <x:v>沉潮铸师·伊芙</x:v>
      </x:c>
      <x:c r="F41" s="38" t="str">
        <x:v>生肖合成</x:v>
      </x:c>
      <x:c r="G41" s="38" t="str">
        <x:v>巳蛇·沉潮缚月</x:v>
      </x:c>
      <x:c r="H41" s="38" t="str">
        <x:v>OUT-538F3A4C6B4B</x:v>
      </x:c>
      <x:c r="I41" s="38" t="str">
        <x:v>生肖</x:v>
      </x:c>
      <x:c r="J41" s="38" t="n">
        <x:v>6</x:v>
      </x:c>
      <x:c r="K41" s="38" t="str">
        <x:v>CON-C04-SYN-ZD-01-0213、CON-C04-SYN-ZD-01-0214、CON-C04-SYN-ZD-01-0215、CON-C04-SYN-ZD-01-0216、CON-C04-SYN-ZD-01-0217、CON-C04-SYN-ZD-01-0218</x:v>
      </x:c>
      <x:c r="L41" s="38" t="str">
        <x:v>100%确定成功；不失败吞料</x:v>
      </x:c>
      <x:c r="M41" s="38" t="str">
        <x:v>基础攻魔道；强度低于同期重点装备</x:v>
      </x:c>
      <x:c r="N41" s="38" t="str">
        <x:v>成品可交易</x:v>
      </x:c>
      <x:c r="O41" s="38" t="str">
        <x:v>否</x:v>
      </x:c>
      <x:c r="P41" s="38" t="str">
        <x:v>禁止回收</x:v>
      </x:c>
      <x:c r="Q41" s="38" t="str">
        <x:v>待经济反算</x:v>
      </x:c>
      <x:c r="R41" s="38" t="str">
        <x:v>需新生肖资源编码</x:v>
      </x:c>
      <x:c r="S41" s="38" t="str">
        <x:v>是</x:v>
      </x:c>
      <x:c r="T41" s="38" t="str">
        <x:v>否</x:v>
      </x:c>
      <x:c r="U41" s="38" t="str"/>
      <x:c r="V41" s="38" t="str"/>
      <x:c r="W41" s="39" t="str"/>
    </x:row>
    <x:row r="42" ht="44" customHeight="1">
      <x:c r="A42" s="37" t="str">
        <x:v>C05-SYN-ZD-01</x:v>
      </x:c>
      <x:c r="B42" s="38" t="str">
        <x:v>C05</x:v>
      </x:c>
      <x:c r="C42" s="38" t="str">
        <x:v>湖之利耶尼亚</x:v>
      </x:c>
      <x:c r="D42" s="38" t="str">
        <x:v>C05-SYN-EQ</x:v>
      </x:c>
      <x:c r="E42" s="38" t="str">
        <x:v>辉石调律师·蕾娜</x:v>
      </x:c>
      <x:c r="F42" s="38" t="str">
        <x:v>生肖合成</x:v>
      </x:c>
      <x:c r="G42" s="38" t="str">
        <x:v>卯兔·镜月折辉</x:v>
      </x:c>
      <x:c r="H42" s="38" t="str">
        <x:v>OUT-6D19DA0E954F</x:v>
      </x:c>
      <x:c r="I42" s="38" t="str">
        <x:v>生肖</x:v>
      </x:c>
      <x:c r="J42" s="38" t="n">
        <x:v>5</x:v>
      </x:c>
      <x:c r="K42" s="38" t="str">
        <x:v>CON-C05-SYN-ZD-01-0219、CON-C05-SYN-ZD-01-0220、CON-C05-SYN-ZD-01-0221、CON-C05-SYN-ZD-01-0222、CON-C05-SYN-ZD-01-0223</x:v>
      </x:c>
      <x:c r="L42" s="38" t="str">
        <x:v>100%确定成功；不失败吞料</x:v>
      </x:c>
      <x:c r="M42" s="38" t="str">
        <x:v>基础攻魔道；强度低于同期重点装备</x:v>
      </x:c>
      <x:c r="N42" s="38" t="str">
        <x:v>成品可交易</x:v>
      </x:c>
      <x:c r="O42" s="38" t="str">
        <x:v>否</x:v>
      </x:c>
      <x:c r="P42" s="38" t="str">
        <x:v>禁止回收</x:v>
      </x:c>
      <x:c r="Q42" s="38" t="str">
        <x:v>待经济反算</x:v>
      </x:c>
      <x:c r="R42" s="38" t="str">
        <x:v>需新生肖资源编码</x:v>
      </x:c>
      <x:c r="S42" s="38" t="str">
        <x:v>是</x:v>
      </x:c>
      <x:c r="T42" s="38" t="str">
        <x:v>否</x:v>
      </x:c>
      <x:c r="U42" s="38" t="str"/>
      <x:c r="V42" s="38" t="str"/>
      <x:c r="W42" s="39" t="str"/>
    </x:row>
    <x:row r="43" ht="44" customHeight="1">
      <x:c r="A43" s="37" t="str">
        <x:v>C06-SYN-ZD-01</x:v>
      </x:c>
      <x:c r="B43" s="38" t="str">
        <x:v>C06</x:v>
      </x:c>
      <x:c r="C43" s="38" t="str">
        <x:v>盖利德</x:v>
      </x:c>
      <x:c r="D43" s="38" t="str">
        <x:v>C06-SYN-01</x:v>
      </x:c>
      <x:c r="E43" s="38" t="str">
        <x:v>红狮残匠·伯伦</x:v>
      </x:c>
      <x:c r="F43" s="38" t="str">
        <x:v>生肖合成</x:v>
      </x:c>
      <x:c r="G43" s="38" t="str">
        <x:v>寅虎·红狮焚原</x:v>
      </x:c>
      <x:c r="H43" s="38" t="str">
        <x:v>OUT-36AA5502B335</x:v>
      </x:c>
      <x:c r="I43" s="38" t="str">
        <x:v>生肖</x:v>
      </x:c>
      <x:c r="J43" s="38" t="n">
        <x:v>5</x:v>
      </x:c>
      <x:c r="K43" s="38" t="str">
        <x:v>CON-C06-SYN-ZD-01-0224、CON-C06-SYN-ZD-01-0225、CON-C06-SYN-ZD-01-0226、CON-C06-SYN-ZD-01-0227、CON-C06-SYN-ZD-01-0228</x:v>
      </x:c>
      <x:c r="L43" s="38" t="str">
        <x:v>100%确定成功；不失败吞料</x:v>
      </x:c>
      <x:c r="M43" s="38" t="str">
        <x:v>基础攻魔道；强度低于同期重点装备</x:v>
      </x:c>
      <x:c r="N43" s="38" t="str">
        <x:v>成品可交易</x:v>
      </x:c>
      <x:c r="O43" s="38" t="str">
        <x:v>否</x:v>
      </x:c>
      <x:c r="P43" s="38" t="str">
        <x:v>禁止回收</x:v>
      </x:c>
      <x:c r="Q43" s="38" t="str">
        <x:v>待经济反算</x:v>
      </x:c>
      <x:c r="R43" s="38" t="str">
        <x:v>需新生肖资源编码</x:v>
      </x:c>
      <x:c r="S43" s="38" t="str">
        <x:v>是</x:v>
      </x:c>
      <x:c r="T43" s="38" t="str">
        <x:v>否</x:v>
      </x:c>
      <x:c r="U43" s="38" t="str"/>
      <x:c r="V43" s="38" t="str"/>
      <x:c r="W43" s="39" t="str"/>
    </x:row>
    <x:row r="44" ht="44" customHeight="1">
      <x:c r="A44" s="37" t="str">
        <x:v>C07-SYN-ZD-01</x:v>
      </x:c>
      <x:c r="B44" s="38" t="str">
        <x:v>C07</x:v>
      </x:c>
      <x:c r="C44" s="38" t="str">
        <x:v>化圣雪原</x:v>
      </x:c>
      <x:c r="D44" s="38" t="str">
        <x:v>C07-SYN-EQ</x:v>
      </x:c>
      <x:c r="E44" s="38" t="str">
        <x:v>白金裁缝·弥雅</x:v>
      </x:c>
      <x:c r="F44" s="38" t="str">
        <x:v>生肖合成</x:v>
      </x:c>
      <x:c r="G44" s="38" t="str">
        <x:v>未羊·永霜引路</x:v>
      </x:c>
      <x:c r="H44" s="38" t="str">
        <x:v>OUT-DE5EE567FE62</x:v>
      </x:c>
      <x:c r="I44" s="38" t="str">
        <x:v>生肖</x:v>
      </x:c>
      <x:c r="J44" s="38" t="n">
        <x:v>6</x:v>
      </x:c>
      <x:c r="K44" s="38" t="str">
        <x:v>CON-C07-SYN-ZD-01-0229、CON-C07-SYN-ZD-01-0230、CON-C07-SYN-ZD-01-0231、CON-C07-SYN-ZD-01-0232、CON-C07-SYN-ZD-01-0233、CON-C07-SYN-ZD-01-0234</x:v>
      </x:c>
      <x:c r="L44" s="38" t="str">
        <x:v>100%确定成功；不失败吞料</x:v>
      </x:c>
      <x:c r="M44" s="38" t="str">
        <x:v>基础攻魔道；强度低于同期重点装备</x:v>
      </x:c>
      <x:c r="N44" s="38" t="str">
        <x:v>成品可交易</x:v>
      </x:c>
      <x:c r="O44" s="38" t="str">
        <x:v>否</x:v>
      </x:c>
      <x:c r="P44" s="38" t="str">
        <x:v>禁止回收</x:v>
      </x:c>
      <x:c r="Q44" s="38" t="str">
        <x:v>待经济反算</x:v>
      </x:c>
      <x:c r="R44" s="38" t="str">
        <x:v>需新生肖资源编码</x:v>
      </x:c>
      <x:c r="S44" s="38" t="str">
        <x:v>是</x:v>
      </x:c>
      <x:c r="T44" s="38" t="str">
        <x:v>否</x:v>
      </x:c>
      <x:c r="U44" s="38" t="str"/>
      <x:c r="V44" s="38" t="str"/>
      <x:c r="W44" s="39" t="str"/>
    </x:row>
    <x:row r="45" ht="44" customHeight="1">
      <x:c r="A45" s="37" t="str">
        <x:v>C08-SYN-ZD-01</x:v>
      </x:c>
      <x:c r="B45" s="38" t="str">
        <x:v>C08</x:v>
      </x:c>
      <x:c r="C45" s="38" t="str">
        <x:v>巨人山顶</x:v>
      </x:c>
      <x:c r="D45" s="38" t="str">
        <x:v>C08-SYN-01</x:v>
      </x:c>
      <x:c r="E45" s="38" t="str">
        <x:v>炉火遗民·冈特</x:v>
      </x:c>
      <x:c r="F45" s="38" t="str">
        <x:v>生肖合成</x:v>
      </x:c>
      <x:c r="G45" s="38" t="str">
        <x:v>午马·霜脊踏天</x:v>
      </x:c>
      <x:c r="H45" s="38" t="str">
        <x:v>OUT-0DDB97C5842E</x:v>
      </x:c>
      <x:c r="I45" s="38" t="str">
        <x:v>生肖</x:v>
      </x:c>
      <x:c r="J45" s="38" t="n">
        <x:v>5</x:v>
      </x:c>
      <x:c r="K45" s="38" t="str">
        <x:v>CON-C08-SYN-ZD-01-0235、CON-C08-SYN-ZD-01-0236、CON-C08-SYN-ZD-01-0237、CON-C08-SYN-ZD-01-0238、CON-C08-SYN-ZD-01-0239</x:v>
      </x:c>
      <x:c r="L45" s="38" t="str">
        <x:v>100%确定成功；不失败吞料</x:v>
      </x:c>
      <x:c r="M45" s="38" t="str">
        <x:v>基础攻魔道；强度低于同期重点装备</x:v>
      </x:c>
      <x:c r="N45" s="38" t="str">
        <x:v>成品可交易</x:v>
      </x:c>
      <x:c r="O45" s="38" t="str">
        <x:v>否</x:v>
      </x:c>
      <x:c r="P45" s="38" t="str">
        <x:v>禁止回收</x:v>
      </x:c>
      <x:c r="Q45" s="38" t="str">
        <x:v>待经济反算</x:v>
      </x:c>
      <x:c r="R45" s="38" t="str">
        <x:v>需新生肖资源编码</x:v>
      </x:c>
      <x:c r="S45" s="38" t="str">
        <x:v>是</x:v>
      </x:c>
      <x:c r="T45" s="38" t="str">
        <x:v>否</x:v>
      </x:c>
      <x:c r="U45" s="38" t="str"/>
      <x:c r="V45" s="38" t="str"/>
      <x:c r="W45" s="39" t="str"/>
    </x:row>
    <x:row r="46" ht="44" customHeight="1">
      <x:c r="A46" s="37" t="str">
        <x:v>C09-SYN-ZD-01</x:v>
      </x:c>
      <x:c r="B46" s="38" t="str">
        <x:v>C09</x:v>
      </x:c>
      <x:c r="C46" s="38" t="str">
        <x:v>亚坛高原</x:v>
      </x:c>
      <x:c r="D46" s="38" t="str">
        <x:v>C09-SYN-EQ</x:v>
      </x:c>
      <x:c r="E46" s="38" t="str">
        <x:v>黄金铸师·亚德</x:v>
      </x:c>
      <x:c r="F46" s="38" t="str">
        <x:v>生肖合成</x:v>
      </x:c>
      <x:c r="G46" s="38" t="str">
        <x:v>酉鸡·鎏日司晨</x:v>
      </x:c>
      <x:c r="H46" s="38" t="str">
        <x:v>OUT-2436A018E16A</x:v>
      </x:c>
      <x:c r="I46" s="38" t="str">
        <x:v>生肖</x:v>
      </x:c>
      <x:c r="J46" s="38" t="n">
        <x:v>5</x:v>
      </x:c>
      <x:c r="K46" s="38" t="str">
        <x:v>CON-C09-SYN-ZD-01-0240、CON-C09-SYN-ZD-01-0241、CON-C09-SYN-ZD-01-0242、CON-C09-SYN-ZD-01-0243、CON-C09-SYN-ZD-01-0244</x:v>
      </x:c>
      <x:c r="L46" s="38" t="str">
        <x:v>100%确定成功；不失败吞料</x:v>
      </x:c>
      <x:c r="M46" s="38" t="str">
        <x:v>基础攻魔道；强度低于同期重点装备</x:v>
      </x:c>
      <x:c r="N46" s="38" t="str">
        <x:v>成品可交易</x:v>
      </x:c>
      <x:c r="O46" s="38" t="str">
        <x:v>否</x:v>
      </x:c>
      <x:c r="P46" s="38" t="str">
        <x:v>禁止回收</x:v>
      </x:c>
      <x:c r="Q46" s="38" t="str">
        <x:v>待经济反算</x:v>
      </x:c>
      <x:c r="R46" s="38" t="str">
        <x:v>需新生肖资源编码</x:v>
      </x:c>
      <x:c r="S46" s="38" t="str">
        <x:v>是</x:v>
      </x:c>
      <x:c r="T46" s="38" t="str">
        <x:v>否</x:v>
      </x:c>
      <x:c r="U46" s="38" t="str"/>
      <x:c r="V46" s="38" t="str"/>
      <x:c r="W46" s="39" t="str"/>
    </x:row>
    <x:row r="47" ht="44" customHeight="1">
      <x:c r="A47" s="37" t="str">
        <x:v>C10-SYN-ZD-01</x:v>
      </x:c>
      <x:c r="B47" s="38" t="str">
        <x:v>C10</x:v>
      </x:c>
      <x:c r="C47" s="38" t="str">
        <x:v>王城罗德尔</x:v>
      </x:c>
      <x:c r="D47" s="38" t="str">
        <x:v>C10-SYN-BOX</x:v>
      </x:c>
      <x:c r="E47" s="38" t="str">
        <x:v>旧王秘匣师·萨芙</x:v>
      </x:c>
      <x:c r="F47" s="38" t="str">
        <x:v>生肖合成</x:v>
      </x:c>
      <x:c r="G47" s="38" t="str">
        <x:v>戌狗·王座守门</x:v>
      </x:c>
      <x:c r="H47" s="38" t="str">
        <x:v>OUT-F51F9A870E15</x:v>
      </x:c>
      <x:c r="I47" s="38" t="str">
        <x:v>生肖</x:v>
      </x:c>
      <x:c r="J47" s="38" t="n">
        <x:v>6</x:v>
      </x:c>
      <x:c r="K47" s="38" t="str">
        <x:v>CON-C10-SYN-ZD-01-0245、CON-C10-SYN-ZD-01-0246、CON-C10-SYN-ZD-01-0247、CON-C10-SYN-ZD-01-0248、CON-C10-SYN-ZD-01-0249、CON-C10-SYN-ZD-01-0250</x:v>
      </x:c>
      <x:c r="L47" s="38" t="str">
        <x:v>100%确定成功；不失败吞料</x:v>
      </x:c>
      <x:c r="M47" s="38" t="str">
        <x:v>基础攻魔道；强度低于同期重点装备</x:v>
      </x:c>
      <x:c r="N47" s="38" t="str">
        <x:v>成品可交易</x:v>
      </x:c>
      <x:c r="O47" s="38" t="str">
        <x:v>否</x:v>
      </x:c>
      <x:c r="P47" s="38" t="str">
        <x:v>禁止回收</x:v>
      </x:c>
      <x:c r="Q47" s="38" t="str">
        <x:v>待经济反算</x:v>
      </x:c>
      <x:c r="R47" s="38" t="str">
        <x:v>需新生肖资源编码</x:v>
      </x:c>
      <x:c r="S47" s="38" t="str">
        <x:v>是</x:v>
      </x:c>
      <x:c r="T47" s="38" t="str">
        <x:v>否</x:v>
      </x:c>
      <x:c r="U47" s="38" t="str"/>
      <x:c r="V47" s="38" t="str"/>
      <x:c r="W47" s="39" t="str"/>
    </x:row>
    <x:row r="48" ht="44" customHeight="1">
      <x:c r="A48" s="37" t="str">
        <x:v>C01-SYN-TT-01</x:v>
      </x:c>
      <x:c r="B48" s="38" t="str">
        <x:v>C01</x:v>
      </x:c>
      <x:c r="C48" s="38" t="str">
        <x:v>漂流群岛</x:v>
      </x:c>
      <x:c r="D48" s="38" t="str">
        <x:v>C01-SYN-01</x:v>
      </x:c>
      <x:c r="E48" s="38" t="str">
        <x:v>拾荒匠·阿砾</x:v>
      </x:c>
      <x:c r="F48" s="38" t="str">
        <x:v>独立称号</x:v>
      </x:c>
      <x:c r="G48" s="38" t="str">
        <x:v>[称号]海岸初誓</x:v>
      </x:c>
      <x:c r="H48" s="38" t="str">
        <x:v>OUT-7C755536A734</x:v>
      </x:c>
      <x:c r="I48" s="38" t="str">
        <x:v>称号</x:v>
      </x:c>
      <x:c r="J48" s="38" t="n">
        <x:v>5</x:v>
      </x:c>
      <x:c r="K48" s="38" t="str">
        <x:v>CON-C01-SYN-TT-01-0251、CON-C01-SYN-TT-01-0252、CON-C01-SYN-TT-01-0253、CON-C01-SYN-TT-01-0254、CON-C01-SYN-TT-01-0255</x:v>
      </x:c>
      <x:c r="L48" s="38" t="str">
        <x:v>100%确定成功；不失败吞料</x:v>
      </x:c>
      <x:c r="M48" s="38" t="str">
        <x:v>基础攻魔道主来源；属性必须可感知</x:v>
      </x:c>
      <x:c r="N48" s="38" t="str">
        <x:v>角色绑定</x:v>
      </x:c>
      <x:c r="O48" s="38" t="str">
        <x:v>不适用</x:v>
      </x:c>
      <x:c r="P48" s="38" t="str">
        <x:v>不适用/沿用现有脚本</x:v>
      </x:c>
      <x:c r="Q48" s="38" t="str">
        <x:v>待经济反算</x:v>
      </x:c>
      <x:c r="R48" s="38" t="str">
        <x:v>需新称号脚本ID</x:v>
      </x:c>
      <x:c r="S48" s="38" t="str">
        <x:v>是</x:v>
      </x:c>
      <x:c r="T48" s="38" t="str">
        <x:v>否</x:v>
      </x:c>
      <x:c r="U48" s="38" t="str"/>
      <x:c r="V48" s="38" t="str"/>
      <x:c r="W48" s="39" t="str">
        <x:v>不与贯穿式称号合并</x:v>
      </x:c>
    </x:row>
    <x:row r="49" ht="44" customHeight="1">
      <x:c r="A49" s="37" t="str">
        <x:v>C03-SYN-TT-01</x:v>
      </x:c>
      <x:c r="B49" s="38" t="str">
        <x:v>C03</x:v>
      </x:c>
      <x:c r="C49" s="38" t="str">
        <x:v>宁姆格福西域</x:v>
      </x:c>
      <x:c r="D49" s="38" t="str">
        <x:v>C03-SYN-TITLE</x:v>
      </x:c>
      <x:c r="E49" s="38" t="str">
        <x:v>无籍书记·玛尔</x:v>
      </x:c>
      <x:c r="F49" s="38" t="str">
        <x:v>独立称号</x:v>
      </x:c>
      <x:c r="G49" s="38" t="str">
        <x:v>[称号]西境拓荒者</x:v>
      </x:c>
      <x:c r="H49" s="38" t="str">
        <x:v>OUT-987272FF8DD3</x:v>
      </x:c>
      <x:c r="I49" s="38" t="str">
        <x:v>称号</x:v>
      </x:c>
      <x:c r="J49" s="38" t="n">
        <x:v>4</x:v>
      </x:c>
      <x:c r="K49" s="38" t="str">
        <x:v>CON-C03-SYN-TT-01-0256、CON-C03-SYN-TT-01-0257、CON-C03-SYN-TT-01-0258、CON-C03-SYN-TT-01-0259</x:v>
      </x:c>
      <x:c r="L49" s="38" t="str">
        <x:v>100%确定成功；不失败吞料</x:v>
      </x:c>
      <x:c r="M49" s="38" t="str">
        <x:v>基础攻魔道主来源；属性必须可感知</x:v>
      </x:c>
      <x:c r="N49" s="38" t="str">
        <x:v>角色绑定</x:v>
      </x:c>
      <x:c r="O49" s="38" t="str">
        <x:v>不适用</x:v>
      </x:c>
      <x:c r="P49" s="38" t="str">
        <x:v>不适用/沿用现有脚本</x:v>
      </x:c>
      <x:c r="Q49" s="38" t="str">
        <x:v>待经济反算</x:v>
      </x:c>
      <x:c r="R49" s="38" t="str">
        <x:v>需新称号脚本ID</x:v>
      </x:c>
      <x:c r="S49" s="38" t="str">
        <x:v>是</x:v>
      </x:c>
      <x:c r="T49" s="38" t="str">
        <x:v>否</x:v>
      </x:c>
      <x:c r="U49" s="38" t="str"/>
      <x:c r="V49" s="38" t="str"/>
      <x:c r="W49" s="39" t="str">
        <x:v>不与贯穿式称号合并</x:v>
      </x:c>
    </x:row>
    <x:row r="50" ht="44" customHeight="1">
      <x:c r="A50" s="37" t="str">
        <x:v>C05-SYN-TT-01</x:v>
      </x:c>
      <x:c r="B50" s="38" t="str">
        <x:v>C05</x:v>
      </x:c>
      <x:c r="C50" s="38" t="str">
        <x:v>湖之利耶尼亚</x:v>
      </x:c>
      <x:c r="D50" s="38" t="str">
        <x:v>C05-SYN-TITLE</x:v>
      </x:c>
      <x:c r="E50" s="38" t="str">
        <x:v>月誓见证人·瑟兰</x:v>
      </x:c>
      <x:c r="F50" s="38" t="str">
        <x:v>独立称号</x:v>
      </x:c>
      <x:c r="G50" s="38" t="str">
        <x:v>[称号]满月见证者</x:v>
      </x:c>
      <x:c r="H50" s="38" t="str">
        <x:v>OUT-7DEB053860DB</x:v>
      </x:c>
      <x:c r="I50" s="38" t="str">
        <x:v>称号</x:v>
      </x:c>
      <x:c r="J50" s="38" t="n">
        <x:v>4</x:v>
      </x:c>
      <x:c r="K50" s="38" t="str">
        <x:v>CON-C05-SYN-TT-01-0260、CON-C05-SYN-TT-01-0261、CON-C05-SYN-TT-01-0262、CON-C05-SYN-TT-01-0263</x:v>
      </x:c>
      <x:c r="L50" s="38" t="str">
        <x:v>100%确定成功；不失败吞料</x:v>
      </x:c>
      <x:c r="M50" s="38" t="str">
        <x:v>基础攻魔道主来源；属性必须可感知</x:v>
      </x:c>
      <x:c r="N50" s="38" t="str">
        <x:v>角色绑定</x:v>
      </x:c>
      <x:c r="O50" s="38" t="str">
        <x:v>不适用</x:v>
      </x:c>
      <x:c r="P50" s="38" t="str">
        <x:v>不适用/沿用现有脚本</x:v>
      </x:c>
      <x:c r="Q50" s="38" t="str">
        <x:v>待经济反算</x:v>
      </x:c>
      <x:c r="R50" s="38" t="str">
        <x:v>需新称号脚本ID</x:v>
      </x:c>
      <x:c r="S50" s="38" t="str">
        <x:v>是</x:v>
      </x:c>
      <x:c r="T50" s="38" t="str">
        <x:v>否</x:v>
      </x:c>
      <x:c r="U50" s="38" t="str"/>
      <x:c r="V50" s="38" t="str"/>
      <x:c r="W50" s="39" t="str">
        <x:v>不与贯穿式称号合并</x:v>
      </x:c>
    </x:row>
    <x:row r="51" ht="44" customHeight="1">
      <x:c r="A51" s="37" t="str">
        <x:v>C07-SYN-TT-01</x:v>
      </x:c>
      <x:c r="B51" s="38" t="str">
        <x:v>C07</x:v>
      </x:c>
      <x:c r="C51" s="38" t="str">
        <x:v>化圣雪原</x:v>
      </x:c>
      <x:c r="D51" s="38" t="str">
        <x:v>C07-SYN-TITLE</x:v>
      </x:c>
      <x:c r="E51" s="38" t="str">
        <x:v>无火记录官·洛萨</x:v>
      </x:c>
      <x:c r="F51" s="38" t="str">
        <x:v>独立称号</x:v>
      </x:c>
      <x:c r="G51" s="38" t="str">
        <x:v>[称号]永霜朝圣者</x:v>
      </x:c>
      <x:c r="H51" s="38" t="str">
        <x:v>OUT-E016E7165F53</x:v>
      </x:c>
      <x:c r="I51" s="38" t="str">
        <x:v>称号</x:v>
      </x:c>
      <x:c r="J51" s="38" t="n">
        <x:v>5</x:v>
      </x:c>
      <x:c r="K51" s="38" t="str">
        <x:v>CON-C07-SYN-TT-01-0264、CON-C07-SYN-TT-01-0265、CON-C07-SYN-TT-01-0266、CON-C07-SYN-TT-01-0267、CON-C07-SYN-TT-01-0268</x:v>
      </x:c>
      <x:c r="L51" s="38" t="str">
        <x:v>100%确定成功；不失败吞料</x:v>
      </x:c>
      <x:c r="M51" s="38" t="str">
        <x:v>基础攻魔道主来源；属性必须可感知</x:v>
      </x:c>
      <x:c r="N51" s="38" t="str">
        <x:v>角色绑定</x:v>
      </x:c>
      <x:c r="O51" s="38" t="str">
        <x:v>不适用</x:v>
      </x:c>
      <x:c r="P51" s="38" t="str">
        <x:v>不适用/沿用现有脚本</x:v>
      </x:c>
      <x:c r="Q51" s="38" t="str">
        <x:v>待经济反算</x:v>
      </x:c>
      <x:c r="R51" s="38" t="str">
        <x:v>需新称号脚本ID</x:v>
      </x:c>
      <x:c r="S51" s="38" t="str">
        <x:v>是</x:v>
      </x:c>
      <x:c r="T51" s="38" t="str">
        <x:v>否</x:v>
      </x:c>
      <x:c r="U51" s="38" t="str"/>
      <x:c r="V51" s="38" t="str"/>
      <x:c r="W51" s="39" t="str">
        <x:v>不与贯穿式称号合并</x:v>
      </x:c>
    </x:row>
    <x:row r="52" ht="44" customHeight="1">
      <x:c r="A52" s="37" t="str">
        <x:v>C09-SYN-TT-01</x:v>
      </x:c>
      <x:c r="B52" s="38" t="str">
        <x:v>C09</x:v>
      </x:c>
      <x:c r="C52" s="38" t="str">
        <x:v>亚坛高原</x:v>
      </x:c>
      <x:c r="D52" s="38" t="str">
        <x:v>C09-SYN-TITLE</x:v>
      </x:c>
      <x:c r="E52" s="38" t="str">
        <x:v>王道见证人·斐洛</x:v>
      </x:c>
      <x:c r="F52" s="38" t="str">
        <x:v>独立称号</x:v>
      </x:c>
      <x:c r="G52" s="38" t="str">
        <x:v>[称号]黄金律见证者</x:v>
      </x:c>
      <x:c r="H52" s="38" t="str">
        <x:v>OUT-CFDDD4747D39</x:v>
      </x:c>
      <x:c r="I52" s="38" t="str">
        <x:v>称号</x:v>
      </x:c>
      <x:c r="J52" s="38" t="n">
        <x:v>4</x:v>
      </x:c>
      <x:c r="K52" s="38" t="str">
        <x:v>CON-C09-SYN-TT-01-0269、CON-C09-SYN-TT-01-0270、CON-C09-SYN-TT-01-0271、CON-C09-SYN-TT-01-0272</x:v>
      </x:c>
      <x:c r="L52" s="38" t="str">
        <x:v>100%确定成功；不失败吞料</x:v>
      </x:c>
      <x:c r="M52" s="38" t="str">
        <x:v>基础攻魔道主来源；属性必须可感知</x:v>
      </x:c>
      <x:c r="N52" s="38" t="str">
        <x:v>角色绑定</x:v>
      </x:c>
      <x:c r="O52" s="38" t="str">
        <x:v>不适用</x:v>
      </x:c>
      <x:c r="P52" s="38" t="str">
        <x:v>不适用/沿用现有脚本</x:v>
      </x:c>
      <x:c r="Q52" s="38" t="str">
        <x:v>待经济反算</x:v>
      </x:c>
      <x:c r="R52" s="38" t="str">
        <x:v>需新称号脚本ID</x:v>
      </x:c>
      <x:c r="S52" s="38" t="str">
        <x:v>是</x:v>
      </x:c>
      <x:c r="T52" s="38" t="str">
        <x:v>否</x:v>
      </x:c>
      <x:c r="U52" s="38" t="str"/>
      <x:c r="V52" s="38" t="str"/>
      <x:c r="W52" s="39" t="str">
        <x:v>不与贯穿式称号合并</x:v>
      </x:c>
    </x:row>
    <x:row r="53" ht="44" customHeight="1">
      <x:c r="A53" s="37" t="str">
        <x:v>C10-SYN-TT-01</x:v>
      </x:c>
      <x:c r="B53" s="38" t="str">
        <x:v>C10</x:v>
      </x:c>
      <x:c r="C53" s="38" t="str">
        <x:v>王城罗德尔</x:v>
      </x:c>
      <x:c r="D53" s="38" t="str">
        <x:v>C10-SYN-TITLE</x:v>
      </x:c>
      <x:c r="E53" s="38" t="str">
        <x:v>无冕司礼官·维安</x:v>
      </x:c>
      <x:c r="F53" s="38" t="str">
        <x:v>独立称号</x:v>
      </x:c>
      <x:c r="G53" s="38" t="str">
        <x:v>[称号]艾尔登之王</x:v>
      </x:c>
      <x:c r="H53" s="38" t="str">
        <x:v>OUT-BFF2870BFB9E</x:v>
      </x:c>
      <x:c r="I53" s="38" t="str">
        <x:v>称号</x:v>
      </x:c>
      <x:c r="J53" s="38" t="n">
        <x:v>6</x:v>
      </x:c>
      <x:c r="K53" s="38" t="str">
        <x:v>CON-C10-SYN-TT-01-0273、CON-C10-SYN-TT-01-0274、CON-C10-SYN-TT-01-0275、CON-C10-SYN-TT-01-0276、CON-C10-SYN-TT-01-0277、CON-C10-SYN-TT-01-0278</x:v>
      </x:c>
      <x:c r="L53" s="38" t="str">
        <x:v>100%确定成功；不失败吞料</x:v>
      </x:c>
      <x:c r="M53" s="38" t="str">
        <x:v>基础攻魔道主来源；属性必须可感知</x:v>
      </x:c>
      <x:c r="N53" s="38" t="str">
        <x:v>角色绑定</x:v>
      </x:c>
      <x:c r="O53" s="38" t="str">
        <x:v>不适用</x:v>
      </x:c>
      <x:c r="P53" s="38" t="str">
        <x:v>不适用/沿用现有脚本</x:v>
      </x:c>
      <x:c r="Q53" s="38" t="str">
        <x:v>待经济反算</x:v>
      </x:c>
      <x:c r="R53" s="38" t="str">
        <x:v>需新称号脚本ID</x:v>
      </x:c>
      <x:c r="S53" s="38" t="str">
        <x:v>是</x:v>
      </x:c>
      <x:c r="T53" s="38" t="str">
        <x:v>否</x:v>
      </x:c>
      <x:c r="U53" s="38" t="str">
        <x:v>王宫律文＋艾尔登王印＋王宫断冠片＋穹律鎏痕拓片</x:v>
      </x:c>
      <x:c r="V53" s="38" t="str">
        <x:v>V1.0原配方误用只供大陆图鉴的穹律鎏痕拓片；现移除并替换为C10地图BOSS证物失温熔炉楔。</x:v>
      </x:c>
      <x:c r="W53" s="39" t="str">
        <x:v>不与贯穿式称号合并</x:v>
      </x:c>
    </x:row>
    <x:row r="54" ht="44" customHeight="1">
      <x:c r="A54" s="37" t="str">
        <x:v>C02-AOE-LV1</x:v>
      </x:c>
      <x:c r="B54" s="38" t="str">
        <x:v>C02</x:v>
      </x:c>
      <x:c r="C54" s="38" t="str">
        <x:v>宁姆格福</x:v>
      </x:c>
      <x:c r="D54" s="38" t="str">
        <x:v>C02-SYN-01</x:v>
      </x:c>
      <x:c r="E54" s="38" t="str">
        <x:v>风暴工匠·洛克</x:v>
      </x:c>
      <x:c r="F54" s="38" t="str">
        <x:v>群攻生肖</x:v>
      </x:c>
      <x:c r="G54" s="38" t="str">
        <x:v>群星之核LV1</x:v>
      </x:c>
      <x:c r="H54" s="38" t="str">
        <x:v>OUT-E50E1540C8DE</x:v>
      </x:c>
      <x:c r="I54" s="38" t="str">
        <x:v>生肖9／宝石显示位</x:v>
      </x:c>
      <x:c r="J54" s="38" t="n">
        <x:v>5</x:v>
      </x:c>
      <x:c r="K54" s="38" t="str">
        <x:v>CON-C02-AOE-LV1-0279、CON-C02-AOE-LV1-0280、CON-C02-AOE-LV1-0281、CON-C02-AOE-LV1-0282、CON-C02-AOE-LV1-0283</x:v>
      </x:c>
      <x:c r="L54" s="38" t="str">
        <x:v>100%确定成功；不失败吞料</x:v>
      </x:c>
      <x:c r="M54" s="38" t="str">
        <x:v>每次伤害=自身面板攻击；2×2；2.00秒触发</x:v>
      </x:c>
      <x:c r="N54" s="38" t="str">
        <x:v>成品可交易</x:v>
      </x:c>
      <x:c r="O54" s="38" t="str">
        <x:v>否</x:v>
      </x:c>
      <x:c r="P54" s="38" t="str">
        <x:v>禁止回收</x:v>
      </x:c>
      <x:c r="Q54" s="38" t="str">
        <x:v>待经济反算</x:v>
      </x:c>
      <x:c r="R54" s="38" t="str">
        <x:v>需新生肖资源编码</x:v>
      </x:c>
      <x:c r="S54" s="38" t="str">
        <x:v>是</x:v>
      </x:c>
      <x:c r="T54" s="38" t="str">
        <x:v>否</x:v>
      </x:c>
      <x:c r="U54" s="38" t="str"/>
      <x:c r="V54" s="38" t="str"/>
      <x:c r="W54" s="39" t="str">
        <x:v>不暴击、不吸血、不触发处决/斩杀；不吃神力、伤害系数或其他乘区</x:v>
      </x:c>
    </x:row>
    <x:row r="55" ht="44" customHeight="1">
      <x:c r="A55" s="37" t="str">
        <x:v>C03-AOE-LV2</x:v>
      </x:c>
      <x:c r="B55" s="38" t="str">
        <x:v>C03</x:v>
      </x:c>
      <x:c r="C55" s="38" t="str">
        <x:v>宁姆格福西域</x:v>
      </x:c>
      <x:c r="D55" s="38" t="str">
        <x:v>C03-AOE-01</x:v>
      </x:c>
      <x:c r="E55" s="38" t="str">
        <x:v>星核校准师·西境</x:v>
      </x:c>
      <x:c r="F55" s="38" t="str">
        <x:v>群攻生肖</x:v>
      </x:c>
      <x:c r="G55" s="38" t="str">
        <x:v>群星之核LV2</x:v>
      </x:c>
      <x:c r="H55" s="38" t="str">
        <x:v>OUT-6AB8C5238DDB</x:v>
      </x:c>
      <x:c r="I55" s="38" t="str">
        <x:v>生肖9／宝石显示位</x:v>
      </x:c>
      <x:c r="J55" s="38" t="n">
        <x:v>5</x:v>
      </x:c>
      <x:c r="K55" s="38" t="str">
        <x:v>CON-C03-AOE-LV2-0284、CON-C03-AOE-LV2-0285、CON-C03-AOE-LV2-0286、CON-C03-AOE-LV2-0287、CON-C03-AOE-LV2-0288</x:v>
      </x:c>
      <x:c r="L55" s="38" t="str">
        <x:v>100%确定成功；不失败吞料</x:v>
      </x:c>
      <x:c r="M55" s="38" t="str">
        <x:v>每次伤害=自身面板攻击；2×2；1.75秒触发</x:v>
      </x:c>
      <x:c r="N55" s="38" t="str">
        <x:v>成品可交易</x:v>
      </x:c>
      <x:c r="O55" s="38" t="str">
        <x:v>否</x:v>
      </x:c>
      <x:c r="P55" s="38" t="str">
        <x:v>禁止回收</x:v>
      </x:c>
      <x:c r="Q55" s="38" t="str">
        <x:v>待经济反算</x:v>
      </x:c>
      <x:c r="R55" s="38" t="str">
        <x:v>需新生肖资源编码</x:v>
      </x:c>
      <x:c r="S55" s="38" t="str">
        <x:v>是</x:v>
      </x:c>
      <x:c r="T55" s="38" t="str">
        <x:v>否</x:v>
      </x:c>
      <x:c r="U55" s="38" t="str"/>
      <x:c r="V55" s="38" t="str"/>
      <x:c r="W55" s="39" t="str">
        <x:v>不暴击、不吸血、不触发处决/斩杀；不吃神力、伤害系数或其他乘区</x:v>
      </x:c>
    </x:row>
    <x:row r="56" ht="44" customHeight="1">
      <x:c r="A56" s="37" t="str">
        <x:v>C05-AOE-LV3</x:v>
      </x:c>
      <x:c r="B56" s="38" t="str">
        <x:v>C05</x:v>
      </x:c>
      <x:c r="C56" s="38" t="str">
        <x:v>湖之利耶尼亚</x:v>
      </x:c>
      <x:c r="D56" s="38" t="str">
        <x:v>C05-AOE-01</x:v>
      </x:c>
      <x:c r="E56" s="38" t="str">
        <x:v>星核校准师·湖月</x:v>
      </x:c>
      <x:c r="F56" s="38" t="str">
        <x:v>群攻生肖</x:v>
      </x:c>
      <x:c r="G56" s="38" t="str">
        <x:v>群星之核LV3</x:v>
      </x:c>
      <x:c r="H56" s="38" t="str">
        <x:v>OUT-7359D4860D40</x:v>
      </x:c>
      <x:c r="I56" s="38" t="str">
        <x:v>生肖9／宝石显示位</x:v>
      </x:c>
      <x:c r="J56" s="38" t="n">
        <x:v>5</x:v>
      </x:c>
      <x:c r="K56" s="38" t="str">
        <x:v>CON-C05-AOE-LV3-0289、CON-C05-AOE-LV3-0290、CON-C05-AOE-LV3-0291、CON-C05-AOE-LV3-0292、CON-C05-AOE-LV3-0293</x:v>
      </x:c>
      <x:c r="L56" s="38" t="str">
        <x:v>100%确定成功；不失败吞料</x:v>
      </x:c>
      <x:c r="M56" s="38" t="str">
        <x:v>每次伤害=自身面板攻击；2×2；1.50秒触发</x:v>
      </x:c>
      <x:c r="N56" s="38" t="str">
        <x:v>成品可交易</x:v>
      </x:c>
      <x:c r="O56" s="38" t="str">
        <x:v>否</x:v>
      </x:c>
      <x:c r="P56" s="38" t="str">
        <x:v>禁止回收</x:v>
      </x:c>
      <x:c r="Q56" s="38" t="str">
        <x:v>待经济反算</x:v>
      </x:c>
      <x:c r="R56" s="38" t="str">
        <x:v>需新生肖资源编码</x:v>
      </x:c>
      <x:c r="S56" s="38" t="str">
        <x:v>是</x:v>
      </x:c>
      <x:c r="T56" s="38" t="str">
        <x:v>否</x:v>
      </x:c>
      <x:c r="U56" s="38" t="str"/>
      <x:c r="V56" s="38" t="str"/>
      <x:c r="W56" s="39" t="str">
        <x:v>不暴击、不吸血、不触发处决/斩杀；不吃神力、伤害系数或其他乘区</x:v>
      </x:c>
    </x:row>
    <x:row r="57" ht="44" customHeight="1">
      <x:c r="A57" s="37" t="str">
        <x:v>C07-AOE-LV4</x:v>
      </x:c>
      <x:c r="B57" s="38" t="str">
        <x:v>C07</x:v>
      </x:c>
      <x:c r="C57" s="38" t="str">
        <x:v>化圣雪原</x:v>
      </x:c>
      <x:c r="D57" s="38" t="str">
        <x:v>C07-AOE-01</x:v>
      </x:c>
      <x:c r="E57" s="38" t="str">
        <x:v>星核校准师·圣雪</x:v>
      </x:c>
      <x:c r="F57" s="38" t="str">
        <x:v>群攻生肖</x:v>
      </x:c>
      <x:c r="G57" s="38" t="str">
        <x:v>群星之核LV4</x:v>
      </x:c>
      <x:c r="H57" s="38" t="str">
        <x:v>OUT-68B764297B22</x:v>
      </x:c>
      <x:c r="I57" s="38" t="str">
        <x:v>生肖9／宝石显示位</x:v>
      </x:c>
      <x:c r="J57" s="38" t="n">
        <x:v>6</x:v>
      </x:c>
      <x:c r="K57" s="38" t="str">
        <x:v>CON-C07-AOE-LV4-0294、CON-C07-AOE-LV4-0295、CON-C07-AOE-LV4-0296、CON-C07-AOE-LV4-0297、CON-C07-AOE-LV4-0298、CON-C07-AOE-LV4-0299</x:v>
      </x:c>
      <x:c r="L57" s="38" t="str">
        <x:v>100%确定成功；不失败吞料</x:v>
      </x:c>
      <x:c r="M57" s="38" t="str">
        <x:v>每次伤害=自身面板攻击；3×3；1.25秒触发</x:v>
      </x:c>
      <x:c r="N57" s="38" t="str">
        <x:v>成品可交易</x:v>
      </x:c>
      <x:c r="O57" s="38" t="str">
        <x:v>否</x:v>
      </x:c>
      <x:c r="P57" s="38" t="str">
        <x:v>禁止回收</x:v>
      </x:c>
      <x:c r="Q57" s="38" t="str">
        <x:v>待经济反算</x:v>
      </x:c>
      <x:c r="R57" s="38" t="str">
        <x:v>需新生肖资源编码</x:v>
      </x:c>
      <x:c r="S57" s="38" t="str">
        <x:v>是</x:v>
      </x:c>
      <x:c r="T57" s="38" t="str">
        <x:v>否</x:v>
      </x:c>
      <x:c r="U57" s="38" t="str"/>
      <x:c r="V57" s="38" t="str"/>
      <x:c r="W57" s="39" t="str">
        <x:v>不暴击、不吸血、不触发处决/斩杀；不吃神力、伤害系数或其他乘区</x:v>
      </x:c>
    </x:row>
    <x:row r="58" ht="44" customHeight="1">
      <x:c r="A58" s="37" t="str">
        <x:v>C09-AOE-LV5</x:v>
      </x:c>
      <x:c r="B58" s="38" t="str">
        <x:v>C09</x:v>
      </x:c>
      <x:c r="C58" s="38" t="str">
        <x:v>亚坛高原</x:v>
      </x:c>
      <x:c r="D58" s="38" t="str">
        <x:v>C09-AOE-01</x:v>
      </x:c>
      <x:c r="E58" s="38" t="str">
        <x:v>星核校准师·黄金律</x:v>
      </x:c>
      <x:c r="F58" s="38" t="str">
        <x:v>群攻生肖</x:v>
      </x:c>
      <x:c r="G58" s="38" t="str">
        <x:v>群星之核LV5</x:v>
      </x:c>
      <x:c r="H58" s="38" t="str">
        <x:v>OUT-E5B7597E92E9</x:v>
      </x:c>
      <x:c r="I58" s="38" t="str">
        <x:v>生肖9／宝石显示位</x:v>
      </x:c>
      <x:c r="J58" s="38" t="n">
        <x:v>5</x:v>
      </x:c>
      <x:c r="K58" s="38" t="str">
        <x:v>CON-C09-AOE-LV5-0300、CON-C09-AOE-LV5-0301、CON-C09-AOE-LV5-0302、CON-C09-AOE-LV5-0303、CON-C09-AOE-LV5-0304</x:v>
      </x:c>
      <x:c r="L58" s="38" t="str">
        <x:v>100%确定成功；不失败吞料</x:v>
      </x:c>
      <x:c r="M58" s="38" t="str">
        <x:v>每次伤害=自身面板攻击；3×3；1.00秒触发</x:v>
      </x:c>
      <x:c r="N58" s="38" t="str">
        <x:v>成品可交易</x:v>
      </x:c>
      <x:c r="O58" s="38" t="str">
        <x:v>否</x:v>
      </x:c>
      <x:c r="P58" s="38" t="str">
        <x:v>禁止回收</x:v>
      </x:c>
      <x:c r="Q58" s="38" t="str">
        <x:v>待经济反算</x:v>
      </x:c>
      <x:c r="R58" s="38" t="str">
        <x:v>需新生肖资源编码</x:v>
      </x:c>
      <x:c r="S58" s="38" t="str">
        <x:v>是</x:v>
      </x:c>
      <x:c r="T58" s="38" t="str">
        <x:v>否</x:v>
      </x:c>
      <x:c r="U58" s="38" t="str"/>
      <x:c r="V58" s="38" t="str"/>
      <x:c r="W58" s="39" t="str">
        <x:v>不暴击、不吸血、不触发处决/斩杀；不吃神力、伤害系数或其他乘区</x:v>
      </x:c>
    </x:row>
    <x:row r="59" ht="44" customHeight="1">
      <x:c r="A59" s="37" t="str">
        <x:v>C04-REBIRTH-01</x:v>
      </x:c>
      <x:c r="B59" s="38" t="str">
        <x:v>C04</x:v>
      </x:c>
      <x:c r="C59" s="38" t="str">
        <x:v>利耶尼亚海域</x:v>
      </x:c>
      <x:c r="D59" s="38" t="str">
        <x:v>C04-REBIRTH</x:v>
      </x:c>
      <x:c r="E59" s="38" t="str">
        <x:v>潮印引渡者·洛弥</x:v>
      </x:c>
      <x:c r="F59" s="38" t="str">
        <x:v>转生</x:v>
      </x:c>
      <x:c r="G59" s="38" t="str">
        <x:v>第1转·雾潮初醒</x:v>
      </x:c>
      <x:c r="H59" s="38" t="str">
        <x:v>OUT-CB09934A8056</x:v>
      </x:c>
      <x:c r="I59" s="38" t="str">
        <x:v>转生状态</x:v>
      </x:c>
      <x:c r="J59" s="38" t="n">
        <x:v>8</x:v>
      </x:c>
      <x:c r="K59" s="38" t="str">
        <x:v>CON-C04-REBIRTH-01-0305、CON-C04-REBIRTH-01-0306、CON-C04-REBIRTH-01-0307、CON-C04-REBIRTH-01-0308、CON-C04-REBIRTH-01-0309、CON-C04-REBIRTH-01-0310、CON-C04-REBIRTH-01-0311、CON-C04-REBIRTH-01-0312</x:v>
      </x:c>
      <x:c r="L59" s="38" t="str">
        <x:v>100%确定成功；不失败吞料</x:v>
      </x:c>
      <x:c r="M59" s="38" t="str">
        <x:v>神力倍攻主来源；逐转提高</x:v>
      </x:c>
      <x:c r="N59" s="38" t="str">
        <x:v>角色绑定</x:v>
      </x:c>
      <x:c r="O59" s="38" t="str">
        <x:v>不适用</x:v>
      </x:c>
      <x:c r="P59" s="38" t="str">
        <x:v>不适用/沿用现有脚本</x:v>
      </x:c>
      <x:c r="Q59" s="38" t="str">
        <x:v>待经济反算</x:v>
      </x:c>
      <x:c r="R59" s="38" t="str">
        <x:v>脚本状态，无装备编码</x:v>
      </x:c>
      <x:c r="S59" s="38" t="str">
        <x:v>是</x:v>
      </x:c>
      <x:c r="T59" s="38" t="str">
        <x:v>否</x:v>
      </x:c>
      <x:c r="U59" s="38" t="str"/>
      <x:c r="V59" s="38" t="str"/>
      <x:c r="W59" s="39" t="str">
        <x:v>每个转生NPC承接连续5级；具体神力与数量后算</x:v>
      </x:c>
    </x:row>
    <x:row r="60" ht="44" customHeight="1">
      <x:c r="A60" s="37" t="str">
        <x:v>C04-REBIRTH-02</x:v>
      </x:c>
      <x:c r="B60" s="38" t="str">
        <x:v>C04</x:v>
      </x:c>
      <x:c r="C60" s="38" t="str">
        <x:v>利耶尼亚海域</x:v>
      </x:c>
      <x:c r="D60" s="38" t="str">
        <x:v>C04-REBIRTH</x:v>
      </x:c>
      <x:c r="E60" s="38" t="str">
        <x:v>潮印引渡者·洛弥</x:v>
      </x:c>
      <x:c r="F60" s="38" t="str">
        <x:v>转生</x:v>
      </x:c>
      <x:c r="G60" s="38" t="str">
        <x:v>第2转·沉舟回魂</x:v>
      </x:c>
      <x:c r="H60" s="38" t="str">
        <x:v>OUT-549D022CAAED</x:v>
      </x:c>
      <x:c r="I60" s="38" t="str">
        <x:v>转生状态</x:v>
      </x:c>
      <x:c r="J60" s="38" t="n">
        <x:v>8</x:v>
      </x:c>
      <x:c r="K60" s="38" t="str">
        <x:v>CON-C04-REBIRTH-02-0313、CON-C04-REBIRTH-02-0314、CON-C04-REBIRTH-02-0315、CON-C04-REBIRTH-02-0316、CON-C04-REBIRTH-02-0317、CON-C04-REBIRTH-02-0318、CON-C04-REBIRTH-02-0319、CON-C04-REBIRTH-02-0320</x:v>
      </x:c>
      <x:c r="L60" s="38" t="str">
        <x:v>100%确定成功；不失败吞料</x:v>
      </x:c>
      <x:c r="M60" s="38" t="str">
        <x:v>神力倍攻主来源；逐转提高</x:v>
      </x:c>
      <x:c r="N60" s="38" t="str">
        <x:v>角色绑定</x:v>
      </x:c>
      <x:c r="O60" s="38" t="str">
        <x:v>不适用</x:v>
      </x:c>
      <x:c r="P60" s="38" t="str">
        <x:v>不适用/沿用现有脚本</x:v>
      </x:c>
      <x:c r="Q60" s="38" t="str">
        <x:v>待经济反算</x:v>
      </x:c>
      <x:c r="R60" s="38" t="str">
        <x:v>脚本状态，无装备编码</x:v>
      </x:c>
      <x:c r="S60" s="38" t="str">
        <x:v>是</x:v>
      </x:c>
      <x:c r="T60" s="38" t="str">
        <x:v>否</x:v>
      </x:c>
      <x:c r="U60" s="38" t="str"/>
      <x:c r="V60" s="38" t="str"/>
      <x:c r="W60" s="39" t="str">
        <x:v>每个转生NPC承接连续5级；具体神力与数量后算</x:v>
      </x:c>
    </x:row>
    <x:row r="61" ht="44" customHeight="1">
      <x:c r="A61" s="37" t="str">
        <x:v>C04-REBIRTH-03</x:v>
      </x:c>
      <x:c r="B61" s="38" t="str">
        <x:v>C04</x:v>
      </x:c>
      <x:c r="C61" s="38" t="str">
        <x:v>利耶尼亚海域</x:v>
      </x:c>
      <x:c r="D61" s="38" t="str">
        <x:v>C04-REBIRTH</x:v>
      </x:c>
      <x:c r="E61" s="38" t="str">
        <x:v>潮印引渡者·洛弥</x:v>
      </x:c>
      <x:c r="F61" s="38" t="str">
        <x:v>转生</x:v>
      </x:c>
      <x:c r="G61" s="38" t="str">
        <x:v>第3转·月水洗身</x:v>
      </x:c>
      <x:c r="H61" s="38" t="str">
        <x:v>OUT-AF0C28466D54</x:v>
      </x:c>
      <x:c r="I61" s="38" t="str">
        <x:v>转生状态</x:v>
      </x:c>
      <x:c r="J61" s="38" t="n">
        <x:v>8</x:v>
      </x:c>
      <x:c r="K61" s="38" t="str">
        <x:v>CON-C04-REBIRTH-03-0321、CON-C04-REBIRTH-03-0322、CON-C04-REBIRTH-03-0323、CON-C04-REBIRTH-03-0324、CON-C04-REBIRTH-03-0325、CON-C04-REBIRTH-03-0326、CON-C04-REBIRTH-03-0327、CON-C04-REBIRTH-03-0328</x:v>
      </x:c>
      <x:c r="L61" s="38" t="str">
        <x:v>100%确定成功；不失败吞料</x:v>
      </x:c>
      <x:c r="M61" s="38" t="str">
        <x:v>神力倍攻主来源；逐转提高</x:v>
      </x:c>
      <x:c r="N61" s="38" t="str">
        <x:v>角色绑定</x:v>
      </x:c>
      <x:c r="O61" s="38" t="str">
        <x:v>不适用</x:v>
      </x:c>
      <x:c r="P61" s="38" t="str">
        <x:v>不适用/沿用现有脚本</x:v>
      </x:c>
      <x:c r="Q61" s="38" t="str">
        <x:v>待经济反算</x:v>
      </x:c>
      <x:c r="R61" s="38" t="str">
        <x:v>脚本状态，无装备编码</x:v>
      </x:c>
      <x:c r="S61" s="38" t="str">
        <x:v>是</x:v>
      </x:c>
      <x:c r="T61" s="38" t="str">
        <x:v>否</x:v>
      </x:c>
      <x:c r="U61" s="38" t="str"/>
      <x:c r="V61" s="38" t="str"/>
      <x:c r="W61" s="39" t="str">
        <x:v>每个转生NPC承接连续5级；具体神力与数量后算</x:v>
      </x:c>
    </x:row>
    <x:row r="62" ht="44" customHeight="1">
      <x:c r="A62" s="37" t="str">
        <x:v>C04-REBIRTH-04</x:v>
      </x:c>
      <x:c r="B62" s="38" t="str">
        <x:v>C04</x:v>
      </x:c>
      <x:c r="C62" s="38" t="str">
        <x:v>利耶尼亚海域</x:v>
      </x:c>
      <x:c r="D62" s="38" t="str">
        <x:v>C04-REBIRTH</x:v>
      </x:c>
      <x:c r="E62" s="38" t="str">
        <x:v>潮印引渡者·洛弥</x:v>
      </x:c>
      <x:c r="F62" s="38" t="str">
        <x:v>转生</x:v>
      </x:c>
      <x:c r="G62" s="38" t="str">
        <x:v>第4转·湖誓重铸</x:v>
      </x:c>
      <x:c r="H62" s="38" t="str">
        <x:v>OUT-2E9719F6CCC2</x:v>
      </x:c>
      <x:c r="I62" s="38" t="str">
        <x:v>转生状态</x:v>
      </x:c>
      <x:c r="J62" s="38" t="n">
        <x:v>8</x:v>
      </x:c>
      <x:c r="K62" s="38" t="str">
        <x:v>CON-C04-REBIRTH-04-0329、CON-C04-REBIRTH-04-0330、CON-C04-REBIRTH-04-0331、CON-C04-REBIRTH-04-0332、CON-C04-REBIRTH-04-0333、CON-C04-REBIRTH-04-0334、CON-C04-REBIRTH-04-0335、CON-C04-REBIRTH-04-0336</x:v>
      </x:c>
      <x:c r="L62" s="38" t="str">
        <x:v>100%确定成功；不失败吞料</x:v>
      </x:c>
      <x:c r="M62" s="38" t="str">
        <x:v>神力倍攻主来源；逐转提高</x:v>
      </x:c>
      <x:c r="N62" s="38" t="str">
        <x:v>角色绑定</x:v>
      </x:c>
      <x:c r="O62" s="38" t="str">
        <x:v>不适用</x:v>
      </x:c>
      <x:c r="P62" s="38" t="str">
        <x:v>不适用/沿用现有脚本</x:v>
      </x:c>
      <x:c r="Q62" s="38" t="str">
        <x:v>待经济反算</x:v>
      </x:c>
      <x:c r="R62" s="38" t="str">
        <x:v>脚本状态，无装备编码</x:v>
      </x:c>
      <x:c r="S62" s="38" t="str">
        <x:v>是</x:v>
      </x:c>
      <x:c r="T62" s="38" t="str">
        <x:v>否</x:v>
      </x:c>
      <x:c r="U62" s="38" t="str"/>
      <x:c r="V62" s="38" t="str"/>
      <x:c r="W62" s="39" t="str">
        <x:v>每个转生NPC承接连续5级；具体神力与数量后算</x:v>
      </x:c>
    </x:row>
    <x:row r="63" ht="44" customHeight="1">
      <x:c r="A63" s="37" t="str">
        <x:v>C04-REBIRTH-05</x:v>
      </x:c>
      <x:c r="B63" s="38" t="str">
        <x:v>C04</x:v>
      </x:c>
      <x:c r="C63" s="38" t="str">
        <x:v>利耶尼亚海域</x:v>
      </x:c>
      <x:c r="D63" s="38" t="str">
        <x:v>C04-REBIRTH</x:v>
      </x:c>
      <x:c r="E63" s="38" t="str">
        <x:v>潮印引渡者·洛弥</x:v>
      </x:c>
      <x:c r="F63" s="38" t="str">
        <x:v>转生</x:v>
      </x:c>
      <x:c r="G63" s="38" t="str">
        <x:v>第5转·闭潮新生</x:v>
      </x:c>
      <x:c r="H63" s="38" t="str">
        <x:v>OUT-5CB22339AF76</x:v>
      </x:c>
      <x:c r="I63" s="38" t="str">
        <x:v>转生状态</x:v>
      </x:c>
      <x:c r="J63" s="38" t="n">
        <x:v>8</x:v>
      </x:c>
      <x:c r="K63" s="38" t="str">
        <x:v>CON-C04-REBIRTH-05-0337、CON-C04-REBIRTH-05-0338、CON-C04-REBIRTH-05-0339、CON-C04-REBIRTH-05-0340、CON-C04-REBIRTH-05-0341、CON-C04-REBIRTH-05-0342、CON-C04-REBIRTH-05-0343、CON-C04-REBIRTH-05-0344</x:v>
      </x:c>
      <x:c r="L63" s="38" t="str">
        <x:v>100%确定成功；不失败吞料</x:v>
      </x:c>
      <x:c r="M63" s="38" t="str">
        <x:v>神力倍攻主来源；逐转提高</x:v>
      </x:c>
      <x:c r="N63" s="38" t="str">
        <x:v>角色绑定</x:v>
      </x:c>
      <x:c r="O63" s="38" t="str">
        <x:v>不适用</x:v>
      </x:c>
      <x:c r="P63" s="38" t="str">
        <x:v>不适用/沿用现有脚本</x:v>
      </x:c>
      <x:c r="Q63" s="38" t="str">
        <x:v>待经济反算</x:v>
      </x:c>
      <x:c r="R63" s="38" t="str">
        <x:v>脚本状态，无装备编码</x:v>
      </x:c>
      <x:c r="S63" s="38" t="str">
        <x:v>是</x:v>
      </x:c>
      <x:c r="T63" s="38" t="str">
        <x:v>否</x:v>
      </x:c>
      <x:c r="U63" s="38" t="str"/>
      <x:c r="V63" s="38" t="str"/>
      <x:c r="W63" s="39" t="str">
        <x:v>每个转生NPC承接连续5级；具体神力与数量后算</x:v>
      </x:c>
    </x:row>
    <x:row r="64" ht="44" customHeight="1">
      <x:c r="A64" s="37" t="str">
        <x:v>C06-REBIRTH-06</x:v>
      </x:c>
      <x:c r="B64" s="38" t="str">
        <x:v>C06</x:v>
      </x:c>
      <x:c r="C64" s="38" t="str">
        <x:v>盖利德</x:v>
      </x:c>
      <x:c r="D64" s="38" t="str">
        <x:v>C06-REBIRTH</x:v>
      </x:c>
      <x:c r="E64" s="38" t="str">
        <x:v>红狮洗礼官·卡恩</x:v>
      </x:c>
      <x:c r="F64" s="38" t="str">
        <x:v>转生</x:v>
      </x:c>
      <x:c r="G64" s="38" t="str">
        <x:v>第6转·灰原灼骨</x:v>
      </x:c>
      <x:c r="H64" s="38" t="str">
        <x:v>OUT-DB39AFD48212</x:v>
      </x:c>
      <x:c r="I64" s="38" t="str">
        <x:v>转生状态</x:v>
      </x:c>
      <x:c r="J64" s="38" t="n">
        <x:v>7</x:v>
      </x:c>
      <x:c r="K64" s="38" t="str">
        <x:v>CON-C06-REBIRTH-06-0345、CON-C06-REBIRTH-06-0346、CON-C06-REBIRTH-06-0347、CON-C06-REBIRTH-06-0348、CON-C06-REBIRTH-06-0349、CON-C06-REBIRTH-06-0350、CON-C06-REBIRTH-06-0351</x:v>
      </x:c>
      <x:c r="L64" s="38" t="str">
        <x:v>100%确定成功；不失败吞料</x:v>
      </x:c>
      <x:c r="M64" s="38" t="str">
        <x:v>神力倍攻主来源；逐转提高</x:v>
      </x:c>
      <x:c r="N64" s="38" t="str">
        <x:v>角色绑定</x:v>
      </x:c>
      <x:c r="O64" s="38" t="str">
        <x:v>不适用</x:v>
      </x:c>
      <x:c r="P64" s="38" t="str">
        <x:v>不适用/沿用现有脚本</x:v>
      </x:c>
      <x:c r="Q64" s="38" t="str">
        <x:v>待经济反算</x:v>
      </x:c>
      <x:c r="R64" s="38" t="str">
        <x:v>脚本状态，无装备编码</x:v>
      </x:c>
      <x:c r="S64" s="38" t="str">
        <x:v>是</x:v>
      </x:c>
      <x:c r="T64" s="38" t="str">
        <x:v>是</x:v>
      </x:c>
      <x:c r="U64" s="38" t="str"/>
      <x:c r="V64" s="38" t="str"/>
      <x:c r="W64" s="39" t="str">
        <x:v>每个转生NPC承接连续5级；具体神力与数量后算</x:v>
      </x:c>
    </x:row>
    <x:row r="65" ht="44" customHeight="1">
      <x:c r="A65" s="37" t="str">
        <x:v>C06-REBIRTH-07</x:v>
      </x:c>
      <x:c r="B65" s="38" t="str">
        <x:v>C06</x:v>
      </x:c>
      <x:c r="C65" s="38" t="str">
        <x:v>盖利德</x:v>
      </x:c>
      <x:c r="D65" s="38" t="str">
        <x:v>C06-REBIRTH</x:v>
      </x:c>
      <x:c r="E65" s="38" t="str">
        <x:v>红狮洗礼官·卡恩</x:v>
      </x:c>
      <x:c r="F65" s="38" t="str">
        <x:v>转生</x:v>
      </x:c>
      <x:c r="G65" s="38" t="str">
        <x:v>第7转·腐焰炼血</x:v>
      </x:c>
      <x:c r="H65" s="38" t="str">
        <x:v>OUT-AF767EC761F1</x:v>
      </x:c>
      <x:c r="I65" s="38" t="str">
        <x:v>转生状态</x:v>
      </x:c>
      <x:c r="J65" s="38" t="n">
        <x:v>7</x:v>
      </x:c>
      <x:c r="K65" s="38" t="str">
        <x:v>CON-C06-REBIRTH-07-0352、CON-C06-REBIRTH-07-0353、CON-C06-REBIRTH-07-0354、CON-C06-REBIRTH-07-0355、CON-C06-REBIRTH-07-0356、CON-C06-REBIRTH-07-0357、CON-C06-REBIRTH-07-0358</x:v>
      </x:c>
      <x:c r="L65" s="38" t="str">
        <x:v>100%确定成功；不失败吞料</x:v>
      </x:c>
      <x:c r="M65" s="38" t="str">
        <x:v>神力倍攻主来源；逐转提高</x:v>
      </x:c>
      <x:c r="N65" s="38" t="str">
        <x:v>角色绑定</x:v>
      </x:c>
      <x:c r="O65" s="38" t="str">
        <x:v>不适用</x:v>
      </x:c>
      <x:c r="P65" s="38" t="str">
        <x:v>不适用/沿用现有脚本</x:v>
      </x:c>
      <x:c r="Q65" s="38" t="str">
        <x:v>待经济反算</x:v>
      </x:c>
      <x:c r="R65" s="38" t="str">
        <x:v>脚本状态，无装备编码</x:v>
      </x:c>
      <x:c r="S65" s="38" t="str">
        <x:v>是</x:v>
      </x:c>
      <x:c r="T65" s="38" t="str">
        <x:v>是</x:v>
      </x:c>
      <x:c r="U65" s="38" t="str"/>
      <x:c r="V65" s="38" t="str"/>
      <x:c r="W65" s="39" t="str">
        <x:v>每个转生NPC承接连续5级；具体神力与数量后算</x:v>
      </x:c>
    </x:row>
    <x:row r="66" ht="44" customHeight="1">
      <x:c r="A66" s="37" t="str">
        <x:v>C06-REBIRTH-08</x:v>
      </x:c>
      <x:c r="B66" s="38" t="str">
        <x:v>C06</x:v>
      </x:c>
      <x:c r="C66" s="38" t="str">
        <x:v>盖利德</x:v>
      </x:c>
      <x:c r="D66" s="38" t="str">
        <x:v>C06-REBIRTH</x:v>
      </x:c>
      <x:c r="E66" s="38" t="str">
        <x:v>红狮洗礼官·卡恩</x:v>
      </x:c>
      <x:c r="F66" s="38" t="str">
        <x:v>转生</x:v>
      </x:c>
      <x:c r="G66" s="38" t="str">
        <x:v>第8转·红狮战心</x:v>
      </x:c>
      <x:c r="H66" s="38" t="str">
        <x:v>OUT-95C4F70738E9</x:v>
      </x:c>
      <x:c r="I66" s="38" t="str">
        <x:v>转生状态</x:v>
      </x:c>
      <x:c r="J66" s="38" t="n">
        <x:v>7</x:v>
      </x:c>
      <x:c r="K66" s="38" t="str">
        <x:v>CON-C06-REBIRTH-08-0359、CON-C06-REBIRTH-08-0360、CON-C06-REBIRTH-08-0361、CON-C06-REBIRTH-08-0362、CON-C06-REBIRTH-08-0363、CON-C06-REBIRTH-08-0364、CON-C06-REBIRTH-08-0365</x:v>
      </x:c>
      <x:c r="L66" s="38" t="str">
        <x:v>100%确定成功；不失败吞料</x:v>
      </x:c>
      <x:c r="M66" s="38" t="str">
        <x:v>神力倍攻主来源；逐转提高</x:v>
      </x:c>
      <x:c r="N66" s="38" t="str">
        <x:v>角色绑定</x:v>
      </x:c>
      <x:c r="O66" s="38" t="str">
        <x:v>不适用</x:v>
      </x:c>
      <x:c r="P66" s="38" t="str">
        <x:v>不适用/沿用现有脚本</x:v>
      </x:c>
      <x:c r="Q66" s="38" t="str">
        <x:v>待经济反算</x:v>
      </x:c>
      <x:c r="R66" s="38" t="str">
        <x:v>脚本状态，无装备编码</x:v>
      </x:c>
      <x:c r="S66" s="38" t="str">
        <x:v>是</x:v>
      </x:c>
      <x:c r="T66" s="38" t="str">
        <x:v>是</x:v>
      </x:c>
      <x:c r="U66" s="38" t="str"/>
      <x:c r="V66" s="38" t="str"/>
      <x:c r="W66" s="39" t="str">
        <x:v>每个转生NPC承接连续5级；具体神力与数量后算</x:v>
      </x:c>
    </x:row>
    <x:row r="67" ht="44" customHeight="1">
      <x:c r="A67" s="37" t="str">
        <x:v>C06-REBIRTH-09</x:v>
      </x:c>
      <x:c r="B67" s="38" t="str">
        <x:v>C06</x:v>
      </x:c>
      <x:c r="C67" s="38" t="str">
        <x:v>盖利德</x:v>
      </x:c>
      <x:c r="D67" s="38" t="str">
        <x:v>C06-REBIRTH</x:v>
      </x:c>
      <x:c r="E67" s="38" t="str">
        <x:v>红狮洗礼官·卡恩</x:v>
      </x:c>
      <x:c r="F67" s="38" t="str">
        <x:v>转生</x:v>
      </x:c>
      <x:c r="G67" s="38" t="str">
        <x:v>第9转·龙火淬魂</x:v>
      </x:c>
      <x:c r="H67" s="38" t="str">
        <x:v>OUT-73C3AED86ACC</x:v>
      </x:c>
      <x:c r="I67" s="38" t="str">
        <x:v>转生状态</x:v>
      </x:c>
      <x:c r="J67" s="38" t="n">
        <x:v>7</x:v>
      </x:c>
      <x:c r="K67" s="38" t="str">
        <x:v>CON-C06-REBIRTH-09-0366、CON-C06-REBIRTH-09-0367、CON-C06-REBIRTH-09-0368、CON-C06-REBIRTH-09-0369、CON-C06-REBIRTH-09-0370、CON-C06-REBIRTH-09-0371、CON-C06-REBIRTH-09-0372</x:v>
      </x:c>
      <x:c r="L67" s="38" t="str">
        <x:v>100%确定成功；不失败吞料</x:v>
      </x:c>
      <x:c r="M67" s="38" t="str">
        <x:v>神力倍攻主来源；逐转提高</x:v>
      </x:c>
      <x:c r="N67" s="38" t="str">
        <x:v>角色绑定</x:v>
      </x:c>
      <x:c r="O67" s="38" t="str">
        <x:v>不适用</x:v>
      </x:c>
      <x:c r="P67" s="38" t="str">
        <x:v>不适用/沿用现有脚本</x:v>
      </x:c>
      <x:c r="Q67" s="38" t="str">
        <x:v>待经济反算</x:v>
      </x:c>
      <x:c r="R67" s="38" t="str">
        <x:v>脚本状态，无装备编码</x:v>
      </x:c>
      <x:c r="S67" s="38" t="str">
        <x:v>是</x:v>
      </x:c>
      <x:c r="T67" s="38" t="str">
        <x:v>是</x:v>
      </x:c>
      <x:c r="U67" s="38" t="str"/>
      <x:c r="V67" s="38" t="str"/>
      <x:c r="W67" s="39" t="str">
        <x:v>每个转生NPC承接连续5级；具体神力与数量后算</x:v>
      </x:c>
    </x:row>
    <x:row r="68" ht="44" customHeight="1">
      <x:c r="A68" s="37" t="str">
        <x:v>C06-REBIRTH-10</x:v>
      </x:c>
      <x:c r="B68" s="38" t="str">
        <x:v>C06</x:v>
      </x:c>
      <x:c r="C68" s="38" t="str">
        <x:v>盖利德</x:v>
      </x:c>
      <x:c r="D68" s="38" t="str">
        <x:v>C06-REBIRTH</x:v>
      </x:c>
      <x:c r="E68" s="38" t="str">
        <x:v>红狮洗礼官·卡恩</x:v>
      </x:c>
      <x:c r="F68" s="38" t="str">
        <x:v>转生</x:v>
      </x:c>
      <x:c r="G68" s="38" t="str">
        <x:v>第10转·碎星再临</x:v>
      </x:c>
      <x:c r="H68" s="38" t="str">
        <x:v>OUT-5F7ADA3903AD</x:v>
      </x:c>
      <x:c r="I68" s="38" t="str">
        <x:v>转生状态</x:v>
      </x:c>
      <x:c r="J68" s="38" t="n">
        <x:v>7</x:v>
      </x:c>
      <x:c r="K68" s="38" t="str">
        <x:v>CON-C06-REBIRTH-10-0373、CON-C06-REBIRTH-10-0374、CON-C06-REBIRTH-10-0375、CON-C06-REBIRTH-10-0376、CON-C06-REBIRTH-10-0377、CON-C06-REBIRTH-10-0378、CON-C06-REBIRTH-10-0379</x:v>
      </x:c>
      <x:c r="L68" s="38" t="str">
        <x:v>100%确定成功；不失败吞料</x:v>
      </x:c>
      <x:c r="M68" s="38" t="str">
        <x:v>神力倍攻主来源；逐转提高</x:v>
      </x:c>
      <x:c r="N68" s="38" t="str">
        <x:v>角色绑定</x:v>
      </x:c>
      <x:c r="O68" s="38" t="str">
        <x:v>不适用</x:v>
      </x:c>
      <x:c r="P68" s="38" t="str">
        <x:v>不适用/沿用现有脚本</x:v>
      </x:c>
      <x:c r="Q68" s="38" t="str">
        <x:v>待经济反算</x:v>
      </x:c>
      <x:c r="R68" s="38" t="str">
        <x:v>脚本状态，无装备编码</x:v>
      </x:c>
      <x:c r="S68" s="38" t="str">
        <x:v>是</x:v>
      </x:c>
      <x:c r="T68" s="38" t="str">
        <x:v>是</x:v>
      </x:c>
      <x:c r="U68" s="38" t="str"/>
      <x:c r="V68" s="38" t="str"/>
      <x:c r="W68" s="39" t="str">
        <x:v>每个转生NPC承接连续5级；具体神力与数量后算</x:v>
      </x:c>
    </x:row>
    <x:row r="69" ht="44" customHeight="1">
      <x:c r="A69" s="37" t="str">
        <x:v>C08-REBIRTH-11</x:v>
      </x:c>
      <x:c r="B69" s="38" t="str">
        <x:v>C08</x:v>
      </x:c>
      <x:c r="C69" s="38" t="str">
        <x:v>巨人山顶</x:v>
      </x:c>
      <x:c r="D69" s="38" t="str">
        <x:v>C08-REBIRTH</x:v>
      </x:c>
      <x:c r="E69" s="38" t="str">
        <x:v>炉脉引渡者·赫达</x:v>
      </x:c>
      <x:c r="F69" s="38" t="str">
        <x:v>转生</x:v>
      </x:c>
      <x:c r="G69" s="38" t="str">
        <x:v>第11转·登霜换骨</x:v>
      </x:c>
      <x:c r="H69" s="38" t="str">
        <x:v>OUT-F46EA095856F</x:v>
      </x:c>
      <x:c r="I69" s="38" t="str">
        <x:v>转生状态</x:v>
      </x:c>
      <x:c r="J69" s="38" t="n">
        <x:v>8</x:v>
      </x:c>
      <x:c r="K69" s="38" t="str">
        <x:v>CON-C08-REBIRTH-11-0380、CON-C08-REBIRTH-11-0381、CON-C08-REBIRTH-11-0382、CON-C08-REBIRTH-11-0383、CON-C08-REBIRTH-11-0384、CON-C08-REBIRTH-11-0385、CON-C08-REBIRTH-11-0386、CON-C08-REBIRTH-11-0387</x:v>
      </x:c>
      <x:c r="L69" s="38" t="str">
        <x:v>100%确定成功；不失败吞料</x:v>
      </x:c>
      <x:c r="M69" s="38" t="str">
        <x:v>神力倍攻主来源；逐转提高</x:v>
      </x:c>
      <x:c r="N69" s="38" t="str">
        <x:v>角色绑定</x:v>
      </x:c>
      <x:c r="O69" s="38" t="str">
        <x:v>不适用</x:v>
      </x:c>
      <x:c r="P69" s="38" t="str">
        <x:v>不适用/沿用现有脚本</x:v>
      </x:c>
      <x:c r="Q69" s="38" t="str">
        <x:v>待经济反算</x:v>
      </x:c>
      <x:c r="R69" s="38" t="str">
        <x:v>脚本状态，无装备编码</x:v>
      </x:c>
      <x:c r="S69" s="38" t="str">
        <x:v>是</x:v>
      </x:c>
      <x:c r="T69" s="38" t="str">
        <x:v>否</x:v>
      </x:c>
      <x:c r="U69" s="38" t="str"/>
      <x:c r="V69" s="38" t="str"/>
      <x:c r="W69" s="39" t="str">
        <x:v>每个转生NPC承接连续5级；具体神力与数量后算</x:v>
      </x:c>
    </x:row>
    <x:row r="70" ht="44" customHeight="1">
      <x:c r="A70" s="37" t="str">
        <x:v>C08-REBIRTH-12</x:v>
      </x:c>
      <x:c r="B70" s="38" t="str">
        <x:v>C08</x:v>
      </x:c>
      <x:c r="C70" s="38" t="str">
        <x:v>巨人山顶</x:v>
      </x:c>
      <x:c r="D70" s="38" t="str">
        <x:v>C08-REBIRTH</x:v>
      </x:c>
      <x:c r="E70" s="38" t="str">
        <x:v>炉脉引渡者·赫达</x:v>
      </x:c>
      <x:c r="F70" s="38" t="str">
        <x:v>转生</x:v>
      </x:c>
      <x:c r="G70" s="38" t="str">
        <x:v>第12转·炉火铸心</x:v>
      </x:c>
      <x:c r="H70" s="38" t="str">
        <x:v>OUT-1AED4978CB0C</x:v>
      </x:c>
      <x:c r="I70" s="38" t="str">
        <x:v>转生状态</x:v>
      </x:c>
      <x:c r="J70" s="38" t="n">
        <x:v>8</x:v>
      </x:c>
      <x:c r="K70" s="38" t="str">
        <x:v>CON-C08-REBIRTH-12-0388、CON-C08-REBIRTH-12-0389、CON-C08-REBIRTH-12-0390、CON-C08-REBIRTH-12-0391、CON-C08-REBIRTH-12-0392、CON-C08-REBIRTH-12-0393、CON-C08-REBIRTH-12-0394、CON-C08-REBIRTH-12-0395</x:v>
      </x:c>
      <x:c r="L70" s="38" t="str">
        <x:v>100%确定成功；不失败吞料</x:v>
      </x:c>
      <x:c r="M70" s="38" t="str">
        <x:v>神力倍攻主来源；逐转提高</x:v>
      </x:c>
      <x:c r="N70" s="38" t="str">
        <x:v>角色绑定</x:v>
      </x:c>
      <x:c r="O70" s="38" t="str">
        <x:v>不适用</x:v>
      </x:c>
      <x:c r="P70" s="38" t="str">
        <x:v>不适用/沿用现有脚本</x:v>
      </x:c>
      <x:c r="Q70" s="38" t="str">
        <x:v>待经济反算</x:v>
      </x:c>
      <x:c r="R70" s="38" t="str">
        <x:v>脚本状态，无装备编码</x:v>
      </x:c>
      <x:c r="S70" s="38" t="str">
        <x:v>是</x:v>
      </x:c>
      <x:c r="T70" s="38" t="str">
        <x:v>否</x:v>
      </x:c>
      <x:c r="U70" s="38" t="str"/>
      <x:c r="V70" s="38" t="str"/>
      <x:c r="W70" s="39" t="str">
        <x:v>每个转生NPC承接连续5级；具体神力与数量后算</x:v>
      </x:c>
    </x:row>
    <x:row r="71" ht="44" customHeight="1">
      <x:c r="A71" s="37" t="str">
        <x:v>C08-REBIRTH-13</x:v>
      </x:c>
      <x:c r="B71" s="38" t="str">
        <x:v>C08</x:v>
      </x:c>
      <x:c r="C71" s="38" t="str">
        <x:v>巨人山顶</x:v>
      </x:c>
      <x:c r="D71" s="38" t="str">
        <x:v>C08-REBIRTH</x:v>
      </x:c>
      <x:c r="E71" s="38" t="str">
        <x:v>炉脉引渡者·赫达</x:v>
      </x:c>
      <x:c r="F71" s="38" t="str">
        <x:v>转生</x:v>
      </x:c>
      <x:c r="G71" s="38" t="str">
        <x:v>第13转·巨人燃血</x:v>
      </x:c>
      <x:c r="H71" s="38" t="str">
        <x:v>OUT-35C40B93E89B</x:v>
      </x:c>
      <x:c r="I71" s="38" t="str">
        <x:v>转生状态</x:v>
      </x:c>
      <x:c r="J71" s="38" t="n">
        <x:v>8</x:v>
      </x:c>
      <x:c r="K71" s="38" t="str">
        <x:v>CON-C08-REBIRTH-13-0396、CON-C08-REBIRTH-13-0397、CON-C08-REBIRTH-13-0398、CON-C08-REBIRTH-13-0399、CON-C08-REBIRTH-13-0400、CON-C08-REBIRTH-13-0401、CON-C08-REBIRTH-13-0402、CON-C08-REBIRTH-13-0403</x:v>
      </x:c>
      <x:c r="L71" s="38" t="str">
        <x:v>100%确定成功；不失败吞料</x:v>
      </x:c>
      <x:c r="M71" s="38" t="str">
        <x:v>神力倍攻主来源；逐转提高</x:v>
      </x:c>
      <x:c r="N71" s="38" t="str">
        <x:v>角色绑定</x:v>
      </x:c>
      <x:c r="O71" s="38" t="str">
        <x:v>不适用</x:v>
      </x:c>
      <x:c r="P71" s="38" t="str">
        <x:v>不适用/沿用现有脚本</x:v>
      </x:c>
      <x:c r="Q71" s="38" t="str">
        <x:v>待经济反算</x:v>
      </x:c>
      <x:c r="R71" s="38" t="str">
        <x:v>脚本状态，无装备编码</x:v>
      </x:c>
      <x:c r="S71" s="38" t="str">
        <x:v>是</x:v>
      </x:c>
      <x:c r="T71" s="38" t="str">
        <x:v>否</x:v>
      </x:c>
      <x:c r="U71" s="38" t="str"/>
      <x:c r="V71" s="38" t="str"/>
      <x:c r="W71" s="39" t="str">
        <x:v>每个转生NPC承接连续5级；具体神力与数量后算</x:v>
      </x:c>
    </x:row>
    <x:row r="72" ht="44" customHeight="1">
      <x:c r="A72" s="37" t="str">
        <x:v>C08-REBIRTH-14</x:v>
      </x:c>
      <x:c r="B72" s="38" t="str">
        <x:v>C08</x:v>
      </x:c>
      <x:c r="C72" s="38" t="str">
        <x:v>巨人山顶</x:v>
      </x:c>
      <x:c r="D72" s="38" t="str">
        <x:v>C08-REBIRTH</x:v>
      </x:c>
      <x:c r="E72" s="38" t="str">
        <x:v>炉脉引渡者·赫达</x:v>
      </x:c>
      <x:c r="F72" s="38" t="str">
        <x:v>转生</x:v>
      </x:c>
      <x:c r="G72" s="38" t="str">
        <x:v>第14转·吞日化躯</x:v>
      </x:c>
      <x:c r="H72" s="38" t="str">
        <x:v>OUT-528C69E7FB51</x:v>
      </x:c>
      <x:c r="I72" s="38" t="str">
        <x:v>转生状态</x:v>
      </x:c>
      <x:c r="J72" s="38" t="n">
        <x:v>8</x:v>
      </x:c>
      <x:c r="K72" s="38" t="str">
        <x:v>CON-C08-REBIRTH-14-0404、CON-C08-REBIRTH-14-0405、CON-C08-REBIRTH-14-0406、CON-C08-REBIRTH-14-0407、CON-C08-REBIRTH-14-0408、CON-C08-REBIRTH-14-0409、CON-C08-REBIRTH-14-0410、CON-C08-REBIRTH-14-0411</x:v>
      </x:c>
      <x:c r="L72" s="38" t="str">
        <x:v>100%确定成功；不失败吞料</x:v>
      </x:c>
      <x:c r="M72" s="38" t="str">
        <x:v>神力倍攻主来源；逐转提高</x:v>
      </x:c>
      <x:c r="N72" s="38" t="str">
        <x:v>角色绑定</x:v>
      </x:c>
      <x:c r="O72" s="38" t="str">
        <x:v>不适用</x:v>
      </x:c>
      <x:c r="P72" s="38" t="str">
        <x:v>不适用/沿用现有脚本</x:v>
      </x:c>
      <x:c r="Q72" s="38" t="str">
        <x:v>待经济反算</x:v>
      </x:c>
      <x:c r="R72" s="38" t="str">
        <x:v>脚本状态，无装备编码</x:v>
      </x:c>
      <x:c r="S72" s="38" t="str">
        <x:v>是</x:v>
      </x:c>
      <x:c r="T72" s="38" t="str">
        <x:v>否</x:v>
      </x:c>
      <x:c r="U72" s="38" t="str"/>
      <x:c r="V72" s="38" t="str"/>
      <x:c r="W72" s="39" t="str">
        <x:v>每个转生NPC承接连续5级；具体神力与数量后算</x:v>
      </x:c>
    </x:row>
    <x:row r="73" ht="44" customHeight="1">
      <x:c r="A73" s="37" t="str">
        <x:v>C08-REBIRTH-15</x:v>
      </x:c>
      <x:c r="B73" s="38" t="str">
        <x:v>C08</x:v>
      </x:c>
      <x:c r="C73" s="38" t="str">
        <x:v>巨人山顶</x:v>
      </x:c>
      <x:c r="D73" s="38" t="str">
        <x:v>C08-REBIRTH</x:v>
      </x:c>
      <x:c r="E73" s="38" t="str">
        <x:v>炉脉引渡者·赫达</x:v>
      </x:c>
      <x:c r="F73" s="38" t="str">
        <x:v>转生</x:v>
      </x:c>
      <x:c r="G73" s="38" t="str">
        <x:v>第15转·山巅归一</x:v>
      </x:c>
      <x:c r="H73" s="38" t="str">
        <x:v>OUT-A937D63A9F68</x:v>
      </x:c>
      <x:c r="I73" s="38" t="str">
        <x:v>转生状态</x:v>
      </x:c>
      <x:c r="J73" s="38" t="n">
        <x:v>8</x:v>
      </x:c>
      <x:c r="K73" s="38" t="str">
        <x:v>CON-C08-REBIRTH-15-0412、CON-C08-REBIRTH-15-0413、CON-C08-REBIRTH-15-0414、CON-C08-REBIRTH-15-0415、CON-C08-REBIRTH-15-0416、CON-C08-REBIRTH-15-0417、CON-C08-REBIRTH-15-0418、CON-C08-REBIRTH-15-0419</x:v>
      </x:c>
      <x:c r="L73" s="38" t="str">
        <x:v>100%确定成功；不失败吞料</x:v>
      </x:c>
      <x:c r="M73" s="38" t="str">
        <x:v>神力倍攻主来源；逐转提高</x:v>
      </x:c>
      <x:c r="N73" s="38" t="str">
        <x:v>角色绑定</x:v>
      </x:c>
      <x:c r="O73" s="38" t="str">
        <x:v>不适用</x:v>
      </x:c>
      <x:c r="P73" s="38" t="str">
        <x:v>不适用/沿用现有脚本</x:v>
      </x:c>
      <x:c r="Q73" s="38" t="str">
        <x:v>待经济反算</x:v>
      </x:c>
      <x:c r="R73" s="38" t="str">
        <x:v>脚本状态，无装备编码</x:v>
      </x:c>
      <x:c r="S73" s="38" t="str">
        <x:v>是</x:v>
      </x:c>
      <x:c r="T73" s="38" t="str">
        <x:v>否</x:v>
      </x:c>
      <x:c r="U73" s="38" t="str"/>
      <x:c r="V73" s="38" t="str"/>
      <x:c r="W73" s="39" t="str">
        <x:v>每个转生NPC承接连续5级；具体神力与数量后算</x:v>
      </x:c>
    </x:row>
    <x:row r="74" ht="44" customHeight="1">
      <x:c r="A74" s="37" t="str">
        <x:v>C10-REBIRTH-16</x:v>
      </x:c>
      <x:c r="B74" s="38" t="str">
        <x:v>C10</x:v>
      </x:c>
      <x:c r="C74" s="38" t="str">
        <x:v>王城罗德尔</x:v>
      </x:c>
      <x:c r="D74" s="38" t="str">
        <x:v>C10-REBIRTH</x:v>
      </x:c>
      <x:c r="E74" s="38" t="str">
        <x:v>王律司转·埃伦</x:v>
      </x:c>
      <x:c r="F74" s="38" t="str">
        <x:v>转生</x:v>
      </x:c>
      <x:c r="G74" s="38" t="str">
        <x:v>第16转·王律铭身</x:v>
      </x:c>
      <x:c r="H74" s="38" t="str">
        <x:v>OUT-A76422CFA6C1</x:v>
      </x:c>
      <x:c r="I74" s="38" t="str">
        <x:v>转生状态</x:v>
      </x:c>
      <x:c r="J74" s="38" t="n">
        <x:v>8</x:v>
      </x:c>
      <x:c r="K74" s="38" t="str">
        <x:v>CON-C10-REBIRTH-16-0420、CON-C10-REBIRTH-16-0421、CON-C10-REBIRTH-16-0422、CON-C10-REBIRTH-16-0423、CON-C10-REBIRTH-16-0424、CON-C10-REBIRTH-16-0425、CON-C10-REBIRTH-16-0426、CON-C10-REBIRTH-16-0427</x:v>
      </x:c>
      <x:c r="L74" s="38" t="str">
        <x:v>100%确定成功；不失败吞料</x:v>
      </x:c>
      <x:c r="M74" s="38" t="str">
        <x:v>神力倍攻主来源；逐转提高</x:v>
      </x:c>
      <x:c r="N74" s="38" t="str">
        <x:v>角色绑定</x:v>
      </x:c>
      <x:c r="O74" s="38" t="str">
        <x:v>不适用</x:v>
      </x:c>
      <x:c r="P74" s="38" t="str">
        <x:v>不适用/沿用现有脚本</x:v>
      </x:c>
      <x:c r="Q74" s="38" t="str">
        <x:v>待经济反算</x:v>
      </x:c>
      <x:c r="R74" s="38" t="str">
        <x:v>脚本状态，无装备编码</x:v>
      </x:c>
      <x:c r="S74" s="38" t="str">
        <x:v>是</x:v>
      </x:c>
      <x:c r="T74" s="38" t="str">
        <x:v>否</x:v>
      </x:c>
      <x:c r="U74" s="38" t="str"/>
      <x:c r="V74" s="38" t="str"/>
      <x:c r="W74" s="39" t="str">
        <x:v>每个转生NPC承接连续5级；具体神力与数量后算</x:v>
      </x:c>
    </x:row>
    <x:row r="75" ht="44" customHeight="1">
      <x:c r="A75" s="37" t="str">
        <x:v>C10-REBIRTH-17</x:v>
      </x:c>
      <x:c r="B75" s="38" t="str">
        <x:v>C10</x:v>
      </x:c>
      <x:c r="C75" s="38" t="str">
        <x:v>王城罗德尔</x:v>
      </x:c>
      <x:c r="D75" s="38" t="str">
        <x:v>C10-REBIRTH</x:v>
      </x:c>
      <x:c r="E75" s="38" t="str">
        <x:v>王律司转·埃伦</x:v>
      </x:c>
      <x:c r="F75" s="38" t="str">
        <x:v>转生</x:v>
      </x:c>
      <x:c r="G75" s="38" t="str">
        <x:v>第17转·金树烙魂</x:v>
      </x:c>
      <x:c r="H75" s="38" t="str">
        <x:v>OUT-411015F2BD35</x:v>
      </x:c>
      <x:c r="I75" s="38" t="str">
        <x:v>转生状态</x:v>
      </x:c>
      <x:c r="J75" s="38" t="n">
        <x:v>8</x:v>
      </x:c>
      <x:c r="K75" s="38" t="str">
        <x:v>CON-C10-REBIRTH-17-0428、CON-C10-REBIRTH-17-0429、CON-C10-REBIRTH-17-0430、CON-C10-REBIRTH-17-0431、CON-C10-REBIRTH-17-0432、CON-C10-REBIRTH-17-0433、CON-C10-REBIRTH-17-0434、CON-C10-REBIRTH-17-0435</x:v>
      </x:c>
      <x:c r="L75" s="38" t="str">
        <x:v>100%确定成功；不失败吞料</x:v>
      </x:c>
      <x:c r="M75" s="38" t="str">
        <x:v>神力倍攻主来源；逐转提高</x:v>
      </x:c>
      <x:c r="N75" s="38" t="str">
        <x:v>角色绑定</x:v>
      </x:c>
      <x:c r="O75" s="38" t="str">
        <x:v>不适用</x:v>
      </x:c>
      <x:c r="P75" s="38" t="str">
        <x:v>不适用/沿用现有脚本</x:v>
      </x:c>
      <x:c r="Q75" s="38" t="str">
        <x:v>待经济反算</x:v>
      </x:c>
      <x:c r="R75" s="38" t="str">
        <x:v>脚本状态，无装备编码</x:v>
      </x:c>
      <x:c r="S75" s="38" t="str">
        <x:v>是</x:v>
      </x:c>
      <x:c r="T75" s="38" t="str">
        <x:v>否</x:v>
      </x:c>
      <x:c r="U75" s="38" t="str"/>
      <x:c r="V75" s="38" t="str"/>
      <x:c r="W75" s="39" t="str">
        <x:v>每个转生NPC承接连续5级；具体神力与数量后算</x:v>
      </x:c>
    </x:row>
    <x:row r="76" ht="44" customHeight="1">
      <x:c r="A76" s="37" t="str">
        <x:v>C10-REBIRTH-18</x:v>
      </x:c>
      <x:c r="B76" s="38" t="str">
        <x:v>C10</x:v>
      </x:c>
      <x:c r="C76" s="38" t="str">
        <x:v>王城罗德尔</x:v>
      </x:c>
      <x:c r="D76" s="38" t="str">
        <x:v>C10-REBIRTH</x:v>
      </x:c>
      <x:c r="E76" s="38" t="str">
        <x:v>王律司转·埃伦</x:v>
      </x:c>
      <x:c r="F76" s="38" t="str">
        <x:v>转生</x:v>
      </x:c>
      <x:c r="G76" s="38" t="str">
        <x:v>第18转·王座承命</x:v>
      </x:c>
      <x:c r="H76" s="38" t="str">
        <x:v>OUT-D88D7CE2CC2E</x:v>
      </x:c>
      <x:c r="I76" s="38" t="str">
        <x:v>转生状态</x:v>
      </x:c>
      <x:c r="J76" s="38" t="n">
        <x:v>8</x:v>
      </x:c>
      <x:c r="K76" s="38" t="str">
        <x:v>CON-C10-REBIRTH-18-0436、CON-C10-REBIRTH-18-0437、CON-C10-REBIRTH-18-0438、CON-C10-REBIRTH-18-0439、CON-C10-REBIRTH-18-0440、CON-C10-REBIRTH-18-0441、CON-C10-REBIRTH-18-0442、CON-C10-REBIRTH-18-0443</x:v>
      </x:c>
      <x:c r="L76" s="38" t="str">
        <x:v>100%确定成功；不失败吞料</x:v>
      </x:c>
      <x:c r="M76" s="38" t="str">
        <x:v>神力倍攻主来源；逐转提高</x:v>
      </x:c>
      <x:c r="N76" s="38" t="str">
        <x:v>角色绑定</x:v>
      </x:c>
      <x:c r="O76" s="38" t="str">
        <x:v>不适用</x:v>
      </x:c>
      <x:c r="P76" s="38" t="str">
        <x:v>不适用/沿用现有脚本</x:v>
      </x:c>
      <x:c r="Q76" s="38" t="str">
        <x:v>待经济反算</x:v>
      </x:c>
      <x:c r="R76" s="38" t="str">
        <x:v>脚本状态，无装备编码</x:v>
      </x:c>
      <x:c r="S76" s="38" t="str">
        <x:v>是</x:v>
      </x:c>
      <x:c r="T76" s="38" t="str">
        <x:v>否</x:v>
      </x:c>
      <x:c r="U76" s="38" t="str"/>
      <x:c r="V76" s="38" t="str"/>
      <x:c r="W76" s="39" t="str">
        <x:v>每个转生NPC承接连续5级；具体神力与数量后算</x:v>
      </x:c>
    </x:row>
    <x:row r="77" ht="44" customHeight="1">
      <x:c r="A77" s="37" t="str">
        <x:v>C10-REBIRTH-19</x:v>
      </x:c>
      <x:c r="B77" s="38" t="str">
        <x:v>C10</x:v>
      </x:c>
      <x:c r="C77" s="38" t="str">
        <x:v>王城罗德尔</x:v>
      </x:c>
      <x:c r="D77" s="38" t="str">
        <x:v>C10-REBIRTH</x:v>
      </x:c>
      <x:c r="E77" s="38" t="str">
        <x:v>王律司转·埃伦</x:v>
      </x:c>
      <x:c r="F77" s="38" t="str">
        <x:v>转生</x:v>
      </x:c>
      <x:c r="G77" s="38" t="str">
        <x:v>第19转·无冕登临</x:v>
      </x:c>
      <x:c r="H77" s="38" t="str">
        <x:v>OUT-9F2FF567DCB6</x:v>
      </x:c>
      <x:c r="I77" s="38" t="str">
        <x:v>转生状态</x:v>
      </x:c>
      <x:c r="J77" s="38" t="n">
        <x:v>8</x:v>
      </x:c>
      <x:c r="K77" s="38" t="str">
        <x:v>CON-C10-REBIRTH-19-0444、CON-C10-REBIRTH-19-0445、CON-C10-REBIRTH-19-0446、CON-C10-REBIRTH-19-0447、CON-C10-REBIRTH-19-0448、CON-C10-REBIRTH-19-0449、CON-C10-REBIRTH-19-0450、CON-C10-REBIRTH-19-0451</x:v>
      </x:c>
      <x:c r="L77" s="38" t="str">
        <x:v>100%确定成功；不失败吞料</x:v>
      </x:c>
      <x:c r="M77" s="38" t="str">
        <x:v>神力倍攻主来源；逐转提高</x:v>
      </x:c>
      <x:c r="N77" s="38" t="str">
        <x:v>角色绑定</x:v>
      </x:c>
      <x:c r="O77" s="38" t="str">
        <x:v>不适用</x:v>
      </x:c>
      <x:c r="P77" s="38" t="str">
        <x:v>不适用/沿用现有脚本</x:v>
      </x:c>
      <x:c r="Q77" s="38" t="str">
        <x:v>待经济反算</x:v>
      </x:c>
      <x:c r="R77" s="38" t="str">
        <x:v>脚本状态，无装备编码</x:v>
      </x:c>
      <x:c r="S77" s="38" t="str">
        <x:v>是</x:v>
      </x:c>
      <x:c r="T77" s="38" t="str">
        <x:v>否</x:v>
      </x:c>
      <x:c r="U77" s="38" t="str"/>
      <x:c r="V77" s="38" t="str"/>
      <x:c r="W77" s="39" t="str">
        <x:v>每个转生NPC承接连续5级；具体神力与数量后算</x:v>
      </x:c>
    </x:row>
    <x:row r="78" ht="44" customHeight="1">
      <x:c r="A78" s="40" t="str">
        <x:v>C10-REBIRTH-20</x:v>
      </x:c>
      <x:c r="B78" s="41" t="str">
        <x:v>C10</x:v>
      </x:c>
      <x:c r="C78" s="41" t="str">
        <x:v>王城罗德尔</x:v>
      </x:c>
      <x:c r="D78" s="41" t="str">
        <x:v>C10-REBIRTH</x:v>
      </x:c>
      <x:c r="E78" s="41" t="str">
        <x:v>王律司转·埃伦</x:v>
      </x:c>
      <x:c r="F78" s="41" t="str">
        <x:v>转生</x:v>
      </x:c>
      <x:c r="G78" s="41" t="str">
        <x:v>第20转·艾尔登新生</x:v>
      </x:c>
      <x:c r="H78" s="41" t="str">
        <x:v>OUT-51227816E3D0</x:v>
      </x:c>
      <x:c r="I78" s="41" t="str">
        <x:v>转生状态</x:v>
      </x:c>
      <x:c r="J78" s="41" t="n">
        <x:v>8</x:v>
      </x:c>
      <x:c r="K78" s="41" t="str">
        <x:v>CON-C10-REBIRTH-20-0452、CON-C10-REBIRTH-20-0453、CON-C10-REBIRTH-20-0454、CON-C10-REBIRTH-20-0455、CON-C10-REBIRTH-20-0456、CON-C10-REBIRTH-20-0457、CON-C10-REBIRTH-20-0458、CON-C10-REBIRTH-20-0459</x:v>
      </x:c>
      <x:c r="L78" s="41" t="str">
        <x:v>100%确定成功；不失败吞料</x:v>
      </x:c>
      <x:c r="M78" s="41" t="str">
        <x:v>神力倍攻主来源；逐转提高</x:v>
      </x:c>
      <x:c r="N78" s="41" t="str">
        <x:v>角色绑定</x:v>
      </x:c>
      <x:c r="O78" s="41" t="str">
        <x:v>不适用</x:v>
      </x:c>
      <x:c r="P78" s="41" t="str">
        <x:v>不适用/沿用现有脚本</x:v>
      </x:c>
      <x:c r="Q78" s="41" t="str">
        <x:v>待经济反算</x:v>
      </x:c>
      <x:c r="R78" s="41" t="str">
        <x:v>脚本状态，无装备编码</x:v>
      </x:c>
      <x:c r="S78" s="41" t="str">
        <x:v>是</x:v>
      </x:c>
      <x:c r="T78" s="41" t="str">
        <x:v>否</x:v>
      </x:c>
      <x:c r="U78" s="41" t="str"/>
      <x:c r="V78" s="41" t="str"/>
      <x:c r="W78" s="42" t="str">
        <x:v>每个转生NPC承接连续5级；具体神力与数量后算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045ef154fa5642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8" hidden="0" customWidth="1"/>
    <x:col min="5" max="5" width="24" hidden="0" customWidth="1"/>
    <x:col min="6" max="6" width="20" hidden="0" customWidth="1"/>
    <x:col min="7" max="7" width="36" hidden="0" customWidth="1"/>
    <x:col min="8" max="8" width="12" hidden="0" customWidth="1"/>
    <x:col min="9" max="9" width="22" hidden="0" customWidth="1"/>
    <x:col min="10" max="10" width="20" hidden="0" customWidth="1"/>
    <x:col min="11" max="11" width="30" hidden="0" customWidth="1"/>
    <x:col min="12" max="12" width="34" hidden="0" customWidth="1"/>
    <x:col min="13" max="13" width="42" hidden="0" customWidth="1"/>
    <x:col min="14" max="14" width="30" hidden="0" customWidth="1"/>
    <x:col min="15" max="15" width="28" hidden="0" customWidth="1"/>
    <x:col min="16" max="16" width="38" hidden="0" customWidth="1"/>
    <x:col min="17" max="17" width="28" hidden="0" customWidth="1"/>
    <x:col min="18" max="18" width="12" hidden="0" customWidth="1"/>
    <x:col min="19" max="19" width="54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</x:cols>
  <x:sheetData>
    <x:row r="1" ht="34" customHeight="1">
      <x:c r="A1" s="4" t="str">
        <x:v>十大陆产出、铸币、配方与图鉴闭环</x:v>
      </x:c>
      <x:c r="B1" s="4" t="str">
        <x:v>十大陆产出、铸币、配方与图鉴闭环</x:v>
      </x:c>
      <x:c r="C1" s="4" t="str">
        <x:v>十大陆产出、铸币、配方与图鉴闭环</x:v>
      </x:c>
      <x:c r="D1" s="4" t="str">
        <x:v>十大陆产出、铸币、配方与图鉴闭环</x:v>
      </x:c>
      <x:c r="E1" s="4" t="str">
        <x:v>十大陆产出、铸币、配方与图鉴闭环</x:v>
      </x:c>
      <x:c r="F1" s="4" t="str">
        <x:v>十大陆产出、铸币、配方与图鉴闭环</x:v>
      </x:c>
      <x:c r="G1" s="4" t="str">
        <x:v>十大陆产出、铸币、配方与图鉴闭环</x:v>
      </x:c>
      <x:c r="H1" s="4" t="str">
        <x:v>十大陆产出、铸币、配方与图鉴闭环</x:v>
      </x:c>
      <x:c r="I1" s="4" t="str">
        <x:v>十大陆产出、铸币、配方与图鉴闭环</x:v>
      </x:c>
      <x:c r="J1" s="4" t="str">
        <x:v>十大陆产出、铸币、配方与图鉴闭环</x:v>
      </x:c>
      <x:c r="K1" s="4" t="str">
        <x:v>十大陆产出、铸币、配方与图鉴闭环</x:v>
      </x:c>
      <x:c r="L1" s="4" t="str">
        <x:v>十大陆产出、铸币、配方与图鉴闭环</x:v>
      </x:c>
      <x:c r="M1" s="4" t="str">
        <x:v>十大陆产出、铸币、配方与图鉴闭环</x:v>
      </x:c>
      <x:c r="N1" s="4" t="str">
        <x:v>十大陆产出、铸币、配方与图鉴闭环</x:v>
      </x:c>
      <x:c r="O1" s="4" t="str">
        <x:v>十大陆产出、铸币、配方与图鉴闭环</x:v>
      </x:c>
      <x:c r="P1" s="4" t="str">
        <x:v>十大陆产出、铸币、配方与图鉴闭环</x:v>
      </x:c>
      <x:c r="Q1" s="4" t="str">
        <x:v>十大陆产出、铸币、配方与图鉴闭环</x:v>
      </x:c>
      <x:c r="R1" s="4" t="str">
        <x:v>十大陆产出、铸币、配方与图鉴闭环</x:v>
      </x:c>
      <x:c r="S1" s="4" t="str">
        <x:v>十大陆产出、铸币、配方与图鉴闭环</x:v>
      </x:c>
      <x:c r="T1" s="4" t="str">
        <x:v>十大陆产出、铸币、配方与图鉴闭环</x:v>
      </x:c>
      <x:c r="U1" s="4" t="str">
        <x:v>十大陆产出、铸币、配方与图鉴闭环</x:v>
      </x:c>
      <x:c r="V1" s="4" t="str">
        <x:v>十大陆产出、铸币、配方与图鉴闭环</x:v>
      </x:c>
      <x:c r="W1" s="4" t="str">
        <x:v>十大陆产出、铸币、配方与图鉴闭环</x:v>
      </x:c>
    </x:row>
    <x:row r="2" ht="42" customHeight="1">
      <x:c r="A2" s="8" t="str">
        <x:v>金币与元宝无高低级；R1—R10交叉制造缺口。大陆收藏图鉴不收货币，上一大陆装备全收集的韧性承接下一大陆A/B挂机安全。</x:v>
      </x:c>
      <x:c r="B2" s="8" t="str">
        <x:v>金币与元宝无高低级；R1—R10交叉制造缺口。大陆收藏图鉴不收货币，上一大陆装备全收集的韧性承接下一大陆A/B挂机安全。</x:v>
      </x:c>
      <x:c r="C2" s="8" t="str">
        <x:v>金币与元宝无高低级；R1—R10交叉制造缺口。大陆收藏图鉴不收货币，上一大陆装备全收集的韧性承接下一大陆A/B挂机安全。</x:v>
      </x:c>
      <x:c r="D2" s="8" t="str">
        <x:v>金币与元宝无高低级；R1—R10交叉制造缺口。大陆收藏图鉴不收货币，上一大陆装备全收集的韧性承接下一大陆A/B挂机安全。</x:v>
      </x:c>
      <x:c r="E2" s="8" t="str">
        <x:v>金币与元宝无高低级；R1—R10交叉制造缺口。大陆收藏图鉴不收货币，上一大陆装备全收集的韧性承接下一大陆A/B挂机安全。</x:v>
      </x:c>
      <x:c r="F2" s="8" t="str">
        <x:v>金币与元宝无高低级；R1—R10交叉制造缺口。大陆收藏图鉴不收货币，上一大陆装备全收集的韧性承接下一大陆A/B挂机安全。</x:v>
      </x:c>
      <x:c r="G2" s="8" t="str">
        <x:v>金币与元宝无高低级；R1—R10交叉制造缺口。大陆收藏图鉴不收货币，上一大陆装备全收集的韧性承接下一大陆A/B挂机安全。</x:v>
      </x:c>
      <x:c r="H2" s="8" t="str">
        <x:v>金币与元宝无高低级；R1—R10交叉制造缺口。大陆收藏图鉴不收货币，上一大陆装备全收集的韧性承接下一大陆A/B挂机安全。</x:v>
      </x:c>
      <x:c r="I2" s="8" t="str">
        <x:v>金币与元宝无高低级；R1—R10交叉制造缺口。大陆收藏图鉴不收货币，上一大陆装备全收集的韧性承接下一大陆A/B挂机安全。</x:v>
      </x:c>
      <x:c r="J2" s="8" t="str">
        <x:v>金币与元宝无高低级；R1—R10交叉制造缺口。大陆收藏图鉴不收货币，上一大陆装备全收集的韧性承接下一大陆A/B挂机安全。</x:v>
      </x:c>
      <x:c r="K2" s="8" t="str">
        <x:v>金币与元宝无高低级；R1—R10交叉制造缺口。大陆收藏图鉴不收货币，上一大陆装备全收集的韧性承接下一大陆A/B挂机安全。</x:v>
      </x:c>
      <x:c r="L2" s="8" t="str">
        <x:v>金币与元宝无高低级；R1—R10交叉制造缺口。大陆收藏图鉴不收货币，上一大陆装备全收集的韧性承接下一大陆A/B挂机安全。</x:v>
      </x:c>
      <x:c r="M2" s="8" t="str">
        <x:v>金币与元宝无高低级；R1—R10交叉制造缺口。大陆收藏图鉴不收货币，上一大陆装备全收集的韧性承接下一大陆A/B挂机安全。</x:v>
      </x:c>
      <x:c r="N2" s="8" t="str">
        <x:v>金币与元宝无高低级；R1—R10交叉制造缺口。大陆收藏图鉴不收货币，上一大陆装备全收集的韧性承接下一大陆A/B挂机安全。</x:v>
      </x:c>
      <x:c r="O2" s="8" t="str">
        <x:v>金币与元宝无高低级；R1—R10交叉制造缺口。大陆收藏图鉴不收货币，上一大陆装备全收集的韧性承接下一大陆A/B挂机安全。</x:v>
      </x:c>
      <x:c r="P2" s="8" t="str">
        <x:v>金币与元宝无高低级；R1—R10交叉制造缺口。大陆收藏图鉴不收货币，上一大陆装备全收集的韧性承接下一大陆A/B挂机安全。</x:v>
      </x:c>
      <x:c r="Q2" s="8" t="str">
        <x:v>金币与元宝无高低级；R1—R10交叉制造缺口。大陆收藏图鉴不收货币，上一大陆装备全收集的韧性承接下一大陆A/B挂机安全。</x:v>
      </x:c>
      <x:c r="R2" s="8" t="str">
        <x:v>金币与元宝无高低级；R1—R10交叉制造缺口。大陆收藏图鉴不收货币，上一大陆装备全收集的韧性承接下一大陆A/B挂机安全。</x:v>
      </x:c>
      <x:c r="S2" s="8" t="str">
        <x:v>金币与元宝无高低级；R1—R10交叉制造缺口。大陆收藏图鉴不收货币，上一大陆装备全收集的韧性承接下一大陆A/B挂机安全。</x:v>
      </x:c>
      <x:c r="T2" s="8" t="str">
        <x:v>金币与元宝无高低级；R1—R10交叉制造缺口。大陆收藏图鉴不收货币，上一大陆装备全收集的韧性承接下一大陆A/B挂机安全。</x:v>
      </x:c>
      <x:c r="U2" s="8" t="str">
        <x:v>金币与元宝无高低级；R1—R10交叉制造缺口。大陆收藏图鉴不收货币，上一大陆装备全收集的韧性承接下一大陆A/B挂机安全。</x:v>
      </x:c>
      <x:c r="V2" s="8" t="str">
        <x:v>金币与元宝无高低级；R1—R10交叉制造缺口。大陆收藏图鉴不收货币，上一大陆装备全收集的韧性承接下一大陆A/B挂机安全。</x:v>
      </x:c>
      <x:c r="W2" s="8" t="str">
        <x:v>金币与元宝无高低级；R1—R10交叉制造缺口。大陆收藏图鉴不收货币，上一大陆装备全收集的韧性承接下一大陆A/B挂机安全。</x:v>
      </x:c>
    </x:row>
    <x:row r="4" ht="32" customHeight="1">
      <x:c r="A4" s="14" t="str">
        <x:v>大陆ID</x:v>
      </x:c>
      <x:c r="B4" s="14" t="str">
        <x:v>序号</x:v>
      </x:c>
      <x:c r="C4" s="14" t="str">
        <x:v>大陆</x:v>
      </x:c>
      <x:c r="D4" s="14" t="str">
        <x:v>高产材ID</x:v>
      </x:c>
      <x:c r="E4" s="14" t="str">
        <x:v>高产主材</x:v>
      </x:c>
      <x:c r="F4" s="14" t="str">
        <x:v>掉落范围</x:v>
      </x:c>
      <x:c r="G4" s="14" t="str">
        <x:v>技术投放</x:v>
      </x:c>
      <x:c r="H4" s="14" t="str">
        <x:v>回收档</x:v>
      </x:c>
      <x:c r="I4" s="14" t="str">
        <x:v>双币倾向</x:v>
      </x:c>
      <x:c r="J4" s="14" t="str">
        <x:v>货币压力</x:v>
      </x:c>
      <x:c r="K4" s="14" t="str">
        <x:v>制式装备作用</x:v>
      </x:c>
      <x:c r="L4" s="14" t="str">
        <x:v>交易角色</x:v>
      </x:c>
      <x:c r="M4" s="14" t="str">
        <x:v>防套利</x:v>
      </x:c>
      <x:c r="N4" s="14" t="str">
        <x:v>收藏材ID</x:v>
      </x:c>
      <x:c r="O4" s="14" t="str">
        <x:v>收藏材料</x:v>
      </x:c>
      <x:c r="P4" s="14" t="str">
        <x:v>收藏状态</x:v>
      </x:c>
      <x:c r="Q4" s="14" t="str">
        <x:v>登记成本</x:v>
      </x:c>
      <x:c r="R4" s="14" t="str">
        <x:v>配方数</x:v>
      </x:c>
      <x:c r="S4" s="14" t="str">
        <x:v>配方ID</x:v>
      </x:c>
      <x:c r="T4" s="14" t="str">
        <x:v>每日福利次数</x:v>
      </x:c>
      <x:c r="U4" s="14" t="str">
        <x:v>主线守关入基准</x:v>
      </x:c>
      <x:c r="V4" s="14" t="str">
        <x:v>每日福利入基准</x:v>
      </x:c>
      <x:c r="W4" s="14" t="str">
        <x:v>数量状态</x:v>
      </x:c>
    </x:row>
    <x:row r="5" ht="48" customHeight="1">
      <x:c r="A5" s="34" t="str">
        <x:v>C01</x:v>
      </x:c>
      <x:c r="B5" s="35" t="n">
        <x:v>1</x:v>
      </x:c>
      <x:c r="C5" s="35" t="str">
        <x:v>漂流群岛</x:v>
      </x:c>
      <x:c r="D5" s="35" t="str">
        <x:v>EL-MAT-C01-COM</x:v>
      </x:c>
      <x:c r="E5" s="35" t="str">
        <x:v>海蚀铁片</x:v>
      </x:c>
      <x:c r="F5" s="35" t="str">
        <x:v>本大陆全怪</x:v>
      </x:c>
      <x:c r="G5" s="35" t="str">
        <x:v>高小时数量；单次多叠加、触发频率较低</x:v>
      </x:c>
      <x:c r="H5" s="35" t="str">
        <x:v>R1</x:v>
      </x:c>
      <x:c r="I5" s="35" t="str">
        <x:v>金币主、元宝辅</x:v>
      </x:c>
      <x:c r="J5" s="35" t="str">
        <x:v>金币偏重</x:v>
      </x:c>
      <x:c r="K5" s="35" t="str">
        <x:v>制式装备低频回收补充</x:v>
      </x:c>
      <x:c r="L5" s="35" t="str">
        <x:v>可交易；免费号主要出售给赞助号</x:v>
      </x:c>
      <x:c r="M5" s="35" t="str">
        <x:v>材料回收底价计入所有配方机会成本；禁止合成后回收套利</x:v>
      </x:c>
      <x:c r="N5" s="35" t="str">
        <x:v>EL-MAT-C01-COLLECT-TBD</x:v>
      </x:c>
      <x:c r="O5" s="35" t="str">
        <x:v>C1大陆收藏材料（待命名/编码）</x:v>
      </x:c>
      <x:c r="P5" s="35" t="str">
        <x:v>硬缺口：待命名/编码</x:v>
      </x:c>
      <x:c r="Q5" s="35" t="str">
        <x:v>实物×1；金币/元宝/灵符×0</x:v>
      </x:c>
      <x:c r="R5" s="35" t="n">
        <x:v>7</x:v>
      </x:c>
      <x:c r="S5" s="35" t="str">
        <x:v>C01-FATE-SINGLE、C01-FATE-TEN、C01-FATE-SHOP、C01-FATE-SLOT、C01-SYN-EQ-01、C01-SYN-ZD-01、C01-SYN-TT-01</x:v>
      </x:c>
      <x:c r="T5" s="35" t="n">
        <x:v>3</x:v>
      </x:c>
      <x:c r="U5" s="35" t="str">
        <x:v>是</x:v>
      </x:c>
      <x:c r="V5" s="35" t="str">
        <x:v>否</x:v>
      </x:c>
      <x:c r="W5" s="36" t="str">
        <x:v>产量、回收价、配方数量均待经济反算</x:v>
      </x:c>
    </x:row>
    <x:row r="6" ht="48" customHeight="1">
      <x:c r="A6" s="37" t="str">
        <x:v>C02</x:v>
      </x:c>
      <x:c r="B6" s="38" t="n">
        <x:v>2</x:v>
      </x:c>
      <x:c r="C6" s="38" t="str">
        <x:v>宁姆格福</x:v>
      </x:c>
      <x:c r="D6" s="38" t="str">
        <x:v>EL-MAT-C02-COM</x:v>
      </x:c>
      <x:c r="E6" s="38" t="str">
        <x:v>风暴石片</x:v>
      </x:c>
      <x:c r="F6" s="38" t="str">
        <x:v>本大陆全怪</x:v>
      </x:c>
      <x:c r="G6" s="38" t="str">
        <x:v>高小时数量；单次多叠加、触发频率较低</x:v>
      </x:c>
      <x:c r="H6" s="38" t="str">
        <x:v>R2</x:v>
      </x:c>
      <x:c r="I6" s="38" t="str">
        <x:v>元宝主、金币辅</x:v>
      </x:c>
      <x:c r="J6" s="38" t="str">
        <x:v>元宝偏重</x:v>
      </x:c>
      <x:c r="K6" s="38" t="str">
        <x:v>制式装备低频回收补充</x:v>
      </x:c>
      <x:c r="L6" s="38" t="str">
        <x:v>可交易；免费号主要出售给赞助号</x:v>
      </x:c>
      <x:c r="M6" s="38" t="str">
        <x:v>材料回收底价计入所有配方机会成本；禁止合成后回收套利</x:v>
      </x:c>
      <x:c r="N6" s="38" t="str">
        <x:v>EL-MAT-C02-COLLECT-TBD</x:v>
      </x:c>
      <x:c r="O6" s="38" t="str">
        <x:v>C2大陆收藏材料（待命名/编码）</x:v>
      </x:c>
      <x:c r="P6" s="38" t="str">
        <x:v>硬缺口：待命名/编码</x:v>
      </x:c>
      <x:c r="Q6" s="38" t="str">
        <x:v>实物×1；金币/元宝/灵符×0</x:v>
      </x:c>
      <x:c r="R6" s="38" t="n">
        <x:v>7</x:v>
      </x:c>
      <x:c r="S6" s="38" t="str">
        <x:v>C02-ASH-NORMAL、C02-ASH-HIGH、C02-ASH-OVERWRITE、C02-SYN-EQ-01、C02-SYN-EQ-02、C02-SYN-ZD-01、C02-AOE-LV1</x:v>
      </x:c>
      <x:c r="T6" s="38" t="n">
        <x:v>3</x:v>
      </x:c>
      <x:c r="U6" s="38" t="str">
        <x:v>是</x:v>
      </x:c>
      <x:c r="V6" s="38" t="str">
        <x:v>否</x:v>
      </x:c>
      <x:c r="W6" s="39" t="str">
        <x:v>产量、回收价、配方数量均待经济反算</x:v>
      </x:c>
    </x:row>
    <x:row r="7" ht="48" customHeight="1">
      <x:c r="A7" s="37" t="str">
        <x:v>C03</x:v>
      </x:c>
      <x:c r="B7" s="38" t="n">
        <x:v>3</x:v>
      </x:c>
      <x:c r="C7" s="38" t="str">
        <x:v>宁姆格福西域</x:v>
      </x:c>
      <x:c r="D7" s="38" t="str">
        <x:v>EL-MAT-C03-COM</x:v>
      </x:c>
      <x:c r="E7" s="38" t="str">
        <x:v>风蚀铁片</x:v>
      </x:c>
      <x:c r="F7" s="38" t="str">
        <x:v>本大陆全怪</x:v>
      </x:c>
      <x:c r="G7" s="38" t="str">
        <x:v>高小时数量；单次多叠加、触发频率较低</x:v>
      </x:c>
      <x:c r="H7" s="38" t="str">
        <x:v>R3</x:v>
      </x:c>
      <x:c r="I7" s="38" t="str">
        <x:v>金币主、元宝辅</x:v>
      </x:c>
      <x:c r="J7" s="38" t="str">
        <x:v>金币偏重</x:v>
      </x:c>
      <x:c r="K7" s="38" t="str">
        <x:v>制式装备低频回收补充</x:v>
      </x:c>
      <x:c r="L7" s="38" t="str">
        <x:v>可交易；免费号主要出售给赞助号</x:v>
      </x:c>
      <x:c r="M7" s="38" t="str">
        <x:v>材料回收底价计入所有配方机会成本；禁止合成后回收套利</x:v>
      </x:c>
      <x:c r="N7" s="38" t="str">
        <x:v>EL-MAT-C03-COLLECT</x:v>
      </x:c>
      <x:c r="O7" s="38" t="str">
        <x:v>西境风痕碑拓</x:v>
      </x:c>
      <x:c r="P7" s="38" t="str">
        <x:v>隔离测试完成；生产与游戏内显示待验</x:v>
      </x:c>
      <x:c r="Q7" s="38" t="str">
        <x:v>实物×1；金币/元宝/灵符×0</x:v>
      </x:c>
      <x:c r="R7" s="38" t="n">
        <x:v>5</x:v>
      </x:c>
      <x:c r="S7" s="38" t="str">
        <x:v>C03-SYN-EQ-01、C03-SYN-EQ-02、C03-SYN-ZD-01、C03-SYN-TT-01、C03-AOE-LV2</x:v>
      </x:c>
      <x:c r="T7" s="38" t="n">
        <x:v>3</x:v>
      </x:c>
      <x:c r="U7" s="38" t="str">
        <x:v>是</x:v>
      </x:c>
      <x:c r="V7" s="38" t="str">
        <x:v>否</x:v>
      </x:c>
      <x:c r="W7" s="39" t="str">
        <x:v>产量、回收价、配方数量均待经济反算</x:v>
      </x:c>
    </x:row>
    <x:row r="8" ht="48" customHeight="1">
      <x:c r="A8" s="37" t="str">
        <x:v>C04</x:v>
      </x:c>
      <x:c r="B8" s="38" t="n">
        <x:v>4</x:v>
      </x:c>
      <x:c r="C8" s="38" t="str">
        <x:v>利耶尼亚海域</x:v>
      </x:c>
      <x:c r="D8" s="38" t="str">
        <x:v>EL-MAT-C04-COM</x:v>
      </x:c>
      <x:c r="E8" s="38" t="str">
        <x:v>湖盐结晶</x:v>
      </x:c>
      <x:c r="F8" s="38" t="str">
        <x:v>本大陆全怪</x:v>
      </x:c>
      <x:c r="G8" s="38" t="str">
        <x:v>高小时数量；单次多叠加、触发频率较低</x:v>
      </x:c>
      <x:c r="H8" s="38" t="str">
        <x:v>R4</x:v>
      </x:c>
      <x:c r="I8" s="38" t="str">
        <x:v>金币、元宝并重</x:v>
      </x:c>
      <x:c r="J8" s="38" t="str">
        <x:v>金币＋元宝</x:v>
      </x:c>
      <x:c r="K8" s="38" t="str">
        <x:v>制式装备低频回收补充</x:v>
      </x:c>
      <x:c r="L8" s="38" t="str">
        <x:v>可交易；免费号主要出售给赞助号</x:v>
      </x:c>
      <x:c r="M8" s="38" t="str">
        <x:v>材料回收底价计入所有配方机会成本；禁止合成后回收套利</x:v>
      </x:c>
      <x:c r="N8" s="38" t="str">
        <x:v>EL-MAT-C04-COLLECT</x:v>
      </x:c>
      <x:c r="O8" s="38" t="str">
        <x:v>月潮忆珀</x:v>
      </x:c>
      <x:c r="P8" s="38" t="str">
        <x:v>隔离测试完成；生产与游戏内显示待验</x:v>
      </x:c>
      <x:c r="Q8" s="38" t="str">
        <x:v>实物×1；金币/元宝/灵符×0</x:v>
      </x:c>
      <x:c r="R8" s="38" t="n">
        <x:v>9</x:v>
      </x:c>
      <x:c r="S8" s="38" t="str">
        <x:v>C04-SYN-EQ-01、C04-SYN-EQ-02、C04-SYN-EQ-03、C04-SYN-ZD-01、C04-REBIRTH-01、C04-REBIRTH-02、C04-REBIRTH-03、C04-REBIRTH-04、C04-REBIRTH-05</x:v>
      </x:c>
      <x:c r="T8" s="38" t="n">
        <x:v>3</x:v>
      </x:c>
      <x:c r="U8" s="38" t="str">
        <x:v>是</x:v>
      </x:c>
      <x:c r="V8" s="38" t="str">
        <x:v>否</x:v>
      </x:c>
      <x:c r="W8" s="39" t="str">
        <x:v>产量、回收价、配方数量均待经济反算</x:v>
      </x:c>
    </x:row>
    <x:row r="9" ht="48" customHeight="1">
      <x:c r="A9" s="37" t="str">
        <x:v>C05</x:v>
      </x:c>
      <x:c r="B9" s="38" t="n">
        <x:v>5</x:v>
      </x:c>
      <x:c r="C9" s="38" t="str">
        <x:v>湖之利耶尼亚</x:v>
      </x:c>
      <x:c r="D9" s="38" t="str">
        <x:v>EL-MAT-C05-COM</x:v>
      </x:c>
      <x:c r="E9" s="38" t="str">
        <x:v>辉石碎晶</x:v>
      </x:c>
      <x:c r="F9" s="38" t="str">
        <x:v>本大陆全怪</x:v>
      </x:c>
      <x:c r="G9" s="38" t="str">
        <x:v>高小时数量；单次多叠加、触发频率较低</x:v>
      </x:c>
      <x:c r="H9" s="38" t="str">
        <x:v>R5</x:v>
      </x:c>
      <x:c r="I9" s="38" t="str">
        <x:v>元宝主、金币辅</x:v>
      </x:c>
      <x:c r="J9" s="38" t="str">
        <x:v>元宝偏重</x:v>
      </x:c>
      <x:c r="K9" s="38" t="str">
        <x:v>制式装备低频回收补充</x:v>
      </x:c>
      <x:c r="L9" s="38" t="str">
        <x:v>可交易；免费号主要出售给赞助号</x:v>
      </x:c>
      <x:c r="M9" s="38" t="str">
        <x:v>材料回收底价计入所有配方机会成本；禁止合成后回收套利</x:v>
      </x:c>
      <x:c r="N9" s="38" t="str">
        <x:v>EL-MAT-C05-COLLECT</x:v>
      </x:c>
      <x:c r="O9" s="38" t="str">
        <x:v>湖心月谱残章</x:v>
      </x:c>
      <x:c r="P9" s="38" t="str">
        <x:v>隔离测试完成；生产与游戏内显示待验</x:v>
      </x:c>
      <x:c r="Q9" s="38" t="str">
        <x:v>实物×1；金币/元宝/灵符×0</x:v>
      </x:c>
      <x:c r="R9" s="38" t="n">
        <x:v>5</x:v>
      </x:c>
      <x:c r="S9" s="38" t="str">
        <x:v>C05-SYN-EQ-01、C05-SYN-EQ-02、C05-SYN-ZD-01、C05-SYN-TT-01、C05-AOE-LV3</x:v>
      </x:c>
      <x:c r="T9" s="38" t="n">
        <x:v>3</x:v>
      </x:c>
      <x:c r="U9" s="38" t="str">
        <x:v>是</x:v>
      </x:c>
      <x:c r="V9" s="38" t="str">
        <x:v>否</x:v>
      </x:c>
      <x:c r="W9" s="39" t="str">
        <x:v>产量、回收价、配方数量均待经济反算</x:v>
      </x:c>
    </x:row>
    <x:row r="10" ht="48" customHeight="1">
      <x:c r="A10" s="37" t="str">
        <x:v>C06</x:v>
      </x:c>
      <x:c r="B10" s="38" t="n">
        <x:v>6</x:v>
      </x:c>
      <x:c r="C10" s="38" t="str">
        <x:v>盖利德</x:v>
      </x:c>
      <x:c r="D10" s="38" t="str">
        <x:v>EL-MAT-C06-COM</x:v>
      </x:c>
      <x:c r="E10" s="38" t="str">
        <x:v>猩红矿渣</x:v>
      </x:c>
      <x:c r="F10" s="38" t="str">
        <x:v>本大陆全怪</x:v>
      </x:c>
      <x:c r="G10" s="38" t="str">
        <x:v>高小时数量；单次多叠加、触发频率较低</x:v>
      </x:c>
      <x:c r="H10" s="38" t="str">
        <x:v>R6</x:v>
      </x:c>
      <x:c r="I10" s="38" t="str">
        <x:v>金币主、元宝辅</x:v>
      </x:c>
      <x:c r="J10" s="38" t="str">
        <x:v>金币偏重</x:v>
      </x:c>
      <x:c r="K10" s="38" t="str">
        <x:v>制式装备低频回收补充</x:v>
      </x:c>
      <x:c r="L10" s="38" t="str">
        <x:v>可交易；免费号主要出售给赞助号</x:v>
      </x:c>
      <x:c r="M10" s="38" t="str">
        <x:v>材料回收底价计入所有配方机会成本；禁止合成后回收套利</x:v>
      </x:c>
      <x:c r="N10" s="38" t="str">
        <x:v>EL-MAT-C06-COLLECT</x:v>
      </x:c>
      <x:c r="O10" s="38" t="str">
        <x:v>熔原罪火残章</x:v>
      </x:c>
      <x:c r="P10" s="38" t="str">
        <x:v>隔离测试完成；生产与游戏内显示待验</x:v>
      </x:c>
      <x:c r="Q10" s="38" t="str">
        <x:v>实物×1；金币/元宝/灵符×0</x:v>
      </x:c>
      <x:c r="R10" s="38" t="n">
        <x:v>9</x:v>
      </x:c>
      <x:c r="S10" s="38" t="str">
        <x:v>C06-SYN-EQ-01、C06-SYN-EQ-02、C06-SYN-EQ-03、C06-SYN-ZD-01、C06-REBIRTH-06、C06-REBIRTH-07、C06-REBIRTH-08、C06-REBIRTH-09、C06-REBIRTH-10</x:v>
      </x:c>
      <x:c r="T10" s="38" t="n">
        <x:v>2</x:v>
      </x:c>
      <x:c r="U10" s="38" t="str">
        <x:v>是</x:v>
      </x:c>
      <x:c r="V10" s="38" t="str">
        <x:v>否</x:v>
      </x:c>
      <x:c r="W10" s="39" t="str">
        <x:v>产量、回收价、配方数量均待经济反算</x:v>
      </x:c>
    </x:row>
    <x:row r="11" ht="48" customHeight="1">
      <x:c r="A11" s="37" t="str">
        <x:v>C07</x:v>
      </x:c>
      <x:c r="B11" s="38" t="n">
        <x:v>7</x:v>
      </x:c>
      <x:c r="C11" s="38" t="str">
        <x:v>化圣雪原</x:v>
      </x:c>
      <x:c r="D11" s="38" t="str">
        <x:v>EL-MAT-C07-COM</x:v>
      </x:c>
      <x:c r="E11" s="38" t="str">
        <x:v>冻晶尘</x:v>
      </x:c>
      <x:c r="F11" s="38" t="str">
        <x:v>本大陆全怪</x:v>
      </x:c>
      <x:c r="G11" s="38" t="str">
        <x:v>高小时数量；单次多叠加、触发频率较低</x:v>
      </x:c>
      <x:c r="H11" s="38" t="str">
        <x:v>R7</x:v>
      </x:c>
      <x:c r="I11" s="38" t="str">
        <x:v>金币、元宝并重</x:v>
      </x:c>
      <x:c r="J11" s="38" t="str">
        <x:v>金币＋元宝</x:v>
      </x:c>
      <x:c r="K11" s="38" t="str">
        <x:v>制式装备低频回收补充</x:v>
      </x:c>
      <x:c r="L11" s="38" t="str">
        <x:v>可交易；免费号主要出售给赞助号</x:v>
      </x:c>
      <x:c r="M11" s="38" t="str">
        <x:v>材料回收底价计入所有配方机会成本；禁止合成后回收套利</x:v>
      </x:c>
      <x:c r="N11" s="38" t="str">
        <x:v>EL-MAT-C07-COLLECT</x:v>
      </x:c>
      <x:c r="O11" s="38" t="str">
        <x:v>永霜朝圣痕</x:v>
      </x:c>
      <x:c r="P11" s="38" t="str">
        <x:v>隔离测试完成；生产与游戏内显示待验</x:v>
      </x:c>
      <x:c r="Q11" s="38" t="str">
        <x:v>实物×1；金币/元宝/灵符×0</x:v>
      </x:c>
      <x:c r="R11" s="38" t="n">
        <x:v>5</x:v>
      </x:c>
      <x:c r="S11" s="38" t="str">
        <x:v>C07-SYN-EQ-01、C07-SYN-EQ-02、C07-SYN-ZD-01、C07-SYN-TT-01、C07-AOE-LV4</x:v>
      </x:c>
      <x:c r="T11" s="38" t="n">
        <x:v>2</x:v>
      </x:c>
      <x:c r="U11" s="38" t="str">
        <x:v>是</x:v>
      </x:c>
      <x:c r="V11" s="38" t="str">
        <x:v>否</x:v>
      </x:c>
      <x:c r="W11" s="39" t="str">
        <x:v>产量、回收价、配方数量均待经济反算</x:v>
      </x:c>
    </x:row>
    <x:row r="12" ht="48" customHeight="1">
      <x:c r="A12" s="37" t="str">
        <x:v>C08</x:v>
      </x:c>
      <x:c r="B12" s="38" t="n">
        <x:v>8</x:v>
      </x:c>
      <x:c r="C12" s="38" t="str">
        <x:v>巨人山顶</x:v>
      </x:c>
      <x:c r="D12" s="38" t="str">
        <x:v>EL-MAT-C08-COM</x:v>
      </x:c>
      <x:c r="E12" s="38" t="str">
        <x:v>霜脊铁</x:v>
      </x:c>
      <x:c r="F12" s="38" t="str">
        <x:v>本大陆全怪</x:v>
      </x:c>
      <x:c r="G12" s="38" t="str">
        <x:v>高小时数量；单次多叠加、触发频率较低</x:v>
      </x:c>
      <x:c r="H12" s="38" t="str">
        <x:v>R8</x:v>
      </x:c>
      <x:c r="I12" s="38" t="str">
        <x:v>金币主、元宝辅</x:v>
      </x:c>
      <x:c r="J12" s="38" t="str">
        <x:v>金币偏重</x:v>
      </x:c>
      <x:c r="K12" s="38" t="str">
        <x:v>制式装备低频回收补充</x:v>
      </x:c>
      <x:c r="L12" s="38" t="str">
        <x:v>可交易；免费号主要出售给赞助号</x:v>
      </x:c>
      <x:c r="M12" s="38" t="str">
        <x:v>材料回收底价计入所有配方机会成本；禁止合成后回收套利</x:v>
      </x:c>
      <x:c r="N12" s="38" t="str">
        <x:v>EL-MAT-C08-COLLECT</x:v>
      </x:c>
      <x:c r="O12" s="38" t="str">
        <x:v>穹霜碑珀</x:v>
      </x:c>
      <x:c r="P12" s="38" t="str">
        <x:v>隔离测试完成；生产与游戏内显示待验</x:v>
      </x:c>
      <x:c r="Q12" s="38" t="str">
        <x:v>实物×1；金币/元宝/灵符×0</x:v>
      </x:c>
      <x:c r="R12" s="38" t="n">
        <x:v>9</x:v>
      </x:c>
      <x:c r="S12" s="38" t="str">
        <x:v>C08-SYN-EQ-01、C08-SYN-EQ-02、C08-SYN-EQ-03、C08-SYN-ZD-01、C08-REBIRTH-11、C08-REBIRTH-12、C08-REBIRTH-13、C08-REBIRTH-14、C08-REBIRTH-15</x:v>
      </x:c>
      <x:c r="T12" s="38" t="n">
        <x:v>2</x:v>
      </x:c>
      <x:c r="U12" s="38" t="str">
        <x:v>是</x:v>
      </x:c>
      <x:c r="V12" s="38" t="str">
        <x:v>否</x:v>
      </x:c>
      <x:c r="W12" s="39" t="str">
        <x:v>产量、回收价、配方数量均待经济反算</x:v>
      </x:c>
    </x:row>
    <x:row r="13" ht="48" customHeight="1">
      <x:c r="A13" s="37" t="str">
        <x:v>C09</x:v>
      </x:c>
      <x:c r="B13" s="38" t="n">
        <x:v>9</x:v>
      </x:c>
      <x:c r="C13" s="38" t="str">
        <x:v>亚坛高原</x:v>
      </x:c>
      <x:c r="D13" s="38" t="str">
        <x:v>EL-MAT-C09-COM</x:v>
      </x:c>
      <x:c r="E13" s="38" t="str">
        <x:v>黄金叶脉</x:v>
      </x:c>
      <x:c r="F13" s="38" t="str">
        <x:v>本大陆全怪</x:v>
      </x:c>
      <x:c r="G13" s="38" t="str">
        <x:v>高小时数量；单次多叠加、触发频率较低</x:v>
      </x:c>
      <x:c r="H13" s="38" t="str">
        <x:v>R9</x:v>
      </x:c>
      <x:c r="I13" s="38" t="str">
        <x:v>元宝主、金币辅</x:v>
      </x:c>
      <x:c r="J13" s="38" t="str">
        <x:v>元宝偏重</x:v>
      </x:c>
      <x:c r="K13" s="38" t="str">
        <x:v>制式装备低频回收补充</x:v>
      </x:c>
      <x:c r="L13" s="38" t="str">
        <x:v>可交易；免费号主要出售给赞助号</x:v>
      </x:c>
      <x:c r="M13" s="38" t="str">
        <x:v>材料回收底价计入所有配方机会成本；禁止合成后回收套利</x:v>
      </x:c>
      <x:c r="N13" s="38" t="str">
        <x:v>EL-MAT-C09-COLLECT</x:v>
      </x:c>
      <x:c r="O13" s="38" t="str">
        <x:v>古坛鎏叶髓</x:v>
      </x:c>
      <x:c r="P13" s="38" t="str">
        <x:v>隔离测试完成；生产与游戏内显示待验</x:v>
      </x:c>
      <x:c r="Q13" s="38" t="str">
        <x:v>实物×1；金币/元宝/灵符×0</x:v>
      </x:c>
      <x:c r="R13" s="38" t="n">
        <x:v>5</x:v>
      </x:c>
      <x:c r="S13" s="38" t="str">
        <x:v>C09-SYN-EQ-01、C09-SYN-EQ-02、C09-SYN-ZD-01、C09-SYN-TT-01、C09-AOE-LV5</x:v>
      </x:c>
      <x:c r="T13" s="38" t="n">
        <x:v>1</x:v>
      </x:c>
      <x:c r="U13" s="38" t="str">
        <x:v>是</x:v>
      </x:c>
      <x:c r="V13" s="38" t="str">
        <x:v>否</x:v>
      </x:c>
      <x:c r="W13" s="39" t="str">
        <x:v>产量、回收价、配方数量均待经济反算</x:v>
      </x:c>
    </x:row>
    <x:row r="14" ht="48" customHeight="1">
      <x:c r="A14" s="40" t="str">
        <x:v>C10</x:v>
      </x:c>
      <x:c r="B14" s="41" t="n">
        <x:v>10</x:v>
      </x:c>
      <x:c r="C14" s="41" t="str">
        <x:v>王城罗德尔</x:v>
      </x:c>
      <x:c r="D14" s="41" t="str">
        <x:v>EL-MAT-C10-COM</x:v>
      </x:c>
      <x:c r="E14" s="41" t="str">
        <x:v>王城金屑</x:v>
      </x:c>
      <x:c r="F14" s="41" t="str">
        <x:v>本大陆全怪</x:v>
      </x:c>
      <x:c r="G14" s="41" t="str">
        <x:v>高小时数量；单次多叠加、触发频率较低</x:v>
      </x:c>
      <x:c r="H14" s="41" t="str">
        <x:v>R10</x:v>
      </x:c>
      <x:c r="I14" s="41" t="str">
        <x:v>金币、元宝并重</x:v>
      </x:c>
      <x:c r="J14" s="41" t="str">
        <x:v>金币＋元宝</x:v>
      </x:c>
      <x:c r="K14" s="41" t="str">
        <x:v>制式装备低频回收补充</x:v>
      </x:c>
      <x:c r="L14" s="41" t="str">
        <x:v>可交易；免费号主要出售给赞助号</x:v>
      </x:c>
      <x:c r="M14" s="41" t="str">
        <x:v>材料回收底价计入所有配方机会成本；禁止合成后回收套利</x:v>
      </x:c>
      <x:c r="N14" s="41" t="str">
        <x:v>EL-MAT-C10-COLLECT</x:v>
      </x:c>
      <x:c r="O14" s="41" t="str">
        <x:v>穹律鎏痕拓片</x:v>
      </x:c>
      <x:c r="P14" s="41" t="str">
        <x:v>隔离测试完成；生产与游戏内显示待验</x:v>
      </x:c>
      <x:c r="Q14" s="41" t="str">
        <x:v>实物×1；金币/元宝/灵符×0</x:v>
      </x:c>
      <x:c r="R14" s="41" t="n">
        <x:v>10</x:v>
      </x:c>
      <x:c r="S14" s="41" t="str">
        <x:v>C10-SYN-EQ-01、C10-SYN-EQ-02、C10-SYN-EQ-03、C10-SYN-ZD-01、C10-SYN-TT-01、C10-REBIRTH-16、C10-REBIRTH-17、C10-REBIRTH-18、C10-REBIRTH-19、C10-REBIRTH-20</x:v>
      </x:c>
      <x:c r="T14" s="41" t="n">
        <x:v>1</x:v>
      </x:c>
      <x:c r="U14" s="41" t="str">
        <x:v>是</x:v>
      </x:c>
      <x:c r="V14" s="41" t="str">
        <x:v>否</x:v>
      </x:c>
      <x:c r="W14" s="42" t="str">
        <x:v>产量、回收价、配方数量均待经济反算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de22a26fbc494b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64" hidden="0" customWidth="1"/>
    <x:col min="5" max="5" width="64" hidden="0" customWidth="1"/>
    <x:col min="6" max="6" width="44" hidden="0" customWidth="1"/>
  </x:cols>
  <x:sheetData>
    <x:row r="1" ht="34" customHeight="1">
      <x:c r="A1" s="4" t="str">
        <x:v>未闭合、修订与生产前置</x:v>
      </x:c>
      <x:c r="B1" s="4" t="str">
        <x:v>未闭合、修订与生产前置</x:v>
      </x:c>
      <x:c r="C1" s="4" t="str">
        <x:v>未闭合、修订与生产前置</x:v>
      </x:c>
      <x:c r="D1" s="4" t="str">
        <x:v>未闭合、修订与生产前置</x:v>
      </x:c>
      <x:c r="E1" s="4" t="str">
        <x:v>未闭合、修订与生产前置</x:v>
      </x:c>
      <x:c r="F1" s="4" t="str">
        <x:v>未闭合、修订与生产前置</x:v>
      </x:c>
    </x:row>
    <x:row r="2" ht="42" customHeight="1">
      <x:c r="A2" s="8" t="str">
        <x:v>硬缺口必须先补；“建议闭合”已给出既有系统接入口但仍需脚本映射与数量；来源不一致必须在生产前回读实物。</x:v>
      </x:c>
      <x:c r="B2" s="8" t="str">
        <x:v>硬缺口必须先补；“建议闭合”已给出既有系统接入口但仍需脚本映射与数量；来源不一致必须在生产前回读实物。</x:v>
      </x:c>
      <x:c r="C2" s="8" t="str">
        <x:v>硬缺口必须先补；“建议闭合”已给出既有系统接入口但仍需脚本映射与数量；来源不一致必须在生产前回读实物。</x:v>
      </x:c>
      <x:c r="D2" s="8" t="str">
        <x:v>硬缺口必须先补；“建议闭合”已给出既有系统接入口但仍需脚本映射与数量；来源不一致必须在生产前回读实物。</x:v>
      </x:c>
      <x:c r="E2" s="8" t="str">
        <x:v>硬缺口必须先补；“建议闭合”已给出既有系统接入口但仍需脚本映射与数量；来源不一致必须在生产前回读实物。</x:v>
      </x:c>
      <x:c r="F2" s="8" t="str">
        <x:v>硬缺口必须先补；“建议闭合”已给出既有系统接入口但仍需脚本映射与数量；来源不一致必须在生产前回读实物。</x:v>
      </x:c>
    </x:row>
    <x:row r="4" ht="32" customHeight="1">
      <x:c r="A4" s="14" t="str">
        <x:v>问题ID</x:v>
      </x:c>
      <x:c r="B4" s="14" t="str">
        <x:v>严重度/状态</x:v>
      </x:c>
      <x:c r="C4" s="14" t="str">
        <x:v>对象</x:v>
      </x:c>
      <x:c r="D4" s="14" t="str">
        <x:v>当前事实</x:v>
      </x:c>
      <x:c r="E4" s="14" t="str">
        <x:v>处理动作</x:v>
      </x:c>
      <x:c r="F4" s="14" t="str">
        <x:v>阻塞范围</x:v>
      </x:c>
    </x:row>
    <x:row r="5" ht="54" customHeight="1">
      <x:c r="A5" s="34" t="str">
        <x:v>HARD-C01-COLLECT</x:v>
      </x:c>
      <x:c r="B5" s="43" t="str">
        <x:v>硬缺口</x:v>
      </x:c>
      <x:c r="C5" s="35" t="str">
        <x:v>第一大陆收藏材料</x:v>
      </x:c>
      <x:c r="D5" s="35" t="str">
        <x:v>每大陆1件收藏材料规则已存在，但C1材料名称、Idx、Items Looks均缺失。</x:v>
      </x:c>
      <x:c r="E5" s="35" t="str">
        <x:v>用户提供/批准2个材料编码资源后再定名入库；不得挪用现有剧情材料。</x:v>
      </x:c>
      <x:c r="F5" s="36" t="str">
        <x:v>C1大陆材料图鉴部署</x:v>
      </x:c>
    </x:row>
    <x:row r="6" ht="54" customHeight="1">
      <x:c r="A6" s="37" t="str">
        <x:v>HARD-C02-COLLECT</x:v>
      </x:c>
      <x:c r="B6" s="44" t="str">
        <x:v>硬缺口</x:v>
      </x:c>
      <x:c r="C6" s="38" t="str">
        <x:v>第二大陆收藏材料</x:v>
      </x:c>
      <x:c r="D6" s="38" t="str">
        <x:v>每大陆1件收藏材料规则已存在，但C2材料名称、Idx、Items Looks均缺失。</x:v>
      </x:c>
      <x:c r="E6" s="38" t="str">
        <x:v>与C1一并取得2个材料编码资源后落地；宁姆格福誓页保留技能建议用途，不作双用途。</x:v>
      </x:c>
      <x:c r="F6" s="39" t="str">
        <x:v>C2大陆材料图鉴部署</x:v>
      </x:c>
    </x:row>
    <x:row r="7" ht="54" customHeight="1">
      <x:c r="A7" s="37" t="str">
        <x:v>HARD-SMALL-RUNE-SOURCE</x:v>
      </x:c>
      <x:c r="B7" s="44" t="str">
        <x:v>硬缺口</x:v>
      </x:c>
      <x:c r="C7" s="38" t="str">
        <x:v>小卢恩产出</x:v>
      </x:c>
      <x:c r="D7" s="38" t="str">
        <x:v>C04转生1—5明确消耗，C06转生6—10存在斜杠表达，但未定义生产端。</x:v>
      </x:c>
      <x:c r="E7" s="38" t="str">
        <x:v>在下一阶段明确怪物掉落/专属分解/回收兑换中的唯一或互斥来源，再反算数量。</x:v>
      </x:c>
      <x:c r="F7" s="39" t="str">
        <x:v>转生经济闭环</x:v>
      </x:c>
    </x:row>
    <x:row r="8" ht="54" customHeight="1">
      <x:c r="A8" s="37" t="str">
        <x:v>HARD-LARGE-RUNE-SOURCE</x:v>
      </x:c>
      <x:c r="B8" s="44" t="str">
        <x:v>硬缺口</x:v>
      </x:c>
      <x:c r="C8" s="38" t="str">
        <x:v>大卢恩产出</x:v>
      </x:c>
      <x:c r="D8" s="38" t="str">
        <x:v>C08/C10转生明确消耗，C06存在斜杠表达，但未定义生产端。</x:v>
      </x:c>
      <x:c r="E8" s="38" t="str">
        <x:v>确定来源并与追梦神器名称彻底分离，禁止从旧设定猜值。</x:v>
      </x:c>
      <x:c r="F8" s="39" t="str">
        <x:v>转生经济闭环</x:v>
      </x:c>
    </x:row>
    <x:row r="9" ht="54" customHeight="1">
      <x:c r="A9" s="37" t="str">
        <x:v>REV-C10-TITLE-MATERIAL</x:v>
      </x:c>
      <x:c r="B9" s="44" t="str">
        <x:v>已在标准化层修订</x:v>
      </x:c>
      <x:c r="C9" s="38" t="str">
        <x:v>C10独立称号材料</x:v>
      </x:c>
      <x:c r="D9" s="38" t="str">
        <x:v>NPC V1.0误把只供大陆图鉴的穹律鎏痕拓片用于[称号]艾尔登之王。</x:v>
      </x:c>
      <x:c r="E9" s="38" t="str">
        <x:v>标准化配方已替换为失温熔炉楔；后续回写NPC V1.1。</x:v>
      </x:c>
      <x:c r="F9" s="39" t="str">
        <x:v>不阻塞本账；阻塞旧V1.0直接施工</x:v>
      </x:c>
    </x:row>
    <x:row r="10" ht="54" customHeight="1">
      <x:c r="A10" s="37" t="str">
        <x:v>REV-SYNTH-NO-RECYCLE</x:v>
      </x:c>
      <x:c r="B10" s="44" t="str">
        <x:v>已在标准化层修订</x:v>
      </x:c>
      <x:c r="C10" s="38" t="str">
        <x:v>38项合成穿戴物回收边界</x:v>
      </x:c>
      <x:c r="D10" s="38" t="str">
        <x:v>NPC V1.0中23项装备合成仍写成品回收价后算。</x:v>
      </x:c>
      <x:c r="E10" s="38" t="str">
        <x:v>23装备＋10生肖＋5群攻生肖统一禁止回收；可交易规则保留。</x:v>
      </x:c>
      <x:c r="F10" s="39" t="str">
        <x:v>旧V1.0回收字段不得直接用于施工</x:v>
      </x:c>
    </x:row>
    <x:row r="11" ht="54" customHeight="1">
      <x:c r="A11" s="37" t="str">
        <x:v>SOURCE-V12-COLLECT-LOOKS</x:v>
      </x:c>
      <x:c r="B11" s="44" t="str">
        <x:v>来源不一致</x:v>
      </x:c>
      <x:c r="C11" s="38" t="str">
        <x:v>C3—C10收藏材料Looks状态</x:v>
      </x:c>
      <x:c r="D11" s="38" t="str">
        <x:v>下载的同名V1.2来源工作簿仍显示Looks空/待补，但远端六份V1.2档案反复确认7218—7225隔离回读8/8。</x:v>
      </x:c>
      <x:c r="E11" s="38" t="str">
        <x:v>本标准化数据以六份最新档案的7218—7225为现行值；父任务应在最终成品/归档中记录工作簿单元格需回写。</x:v>
      </x:c>
      <x:c r="F11" s="39" t="str">
        <x:v>不阻塞关系表；生产导入前必须核对实库</x:v>
      </x:c>
    </x:row>
    <x:row r="12" ht="54" customHeight="1">
      <x:c r="A12" s="37" t="str">
        <x:v>SINK-EL-MAT-C02-BONE</x:v>
      </x:c>
      <x:c r="B12" s="44" t="str">
        <x:v>建议闭合</x:v>
      </x:c>
      <x:c r="C12" s="38" t="str">
        <x:v>野兽骨片消费端</x:v>
      </x:c>
      <x:c r="D12" s="38" t="str">
        <x:v>原NPC V1.0为待配方/任务接入。</x:v>
      </x:c>
      <x:c r="E12" s="38" t="str">
        <x:v>建议接入255档神印/炼体与技能升级（SYS-BODY-255-SKILL），数量待经济反算。</x:v>
      </x:c>
      <x:c r="F12" s="39" t="str">
        <x:v>不阻塞框架；需回写脚本映射后才算正式闭环</x:v>
      </x:c>
    </x:row>
    <x:row r="13" ht="54" customHeight="1">
      <x:c r="A13" s="37" t="str">
        <x:v>SINK-EL-MAT-C02-OATHPAGE</x:v>
      </x:c>
      <x:c r="B13" s="44" t="str">
        <x:v>建议闭合</x:v>
      </x:c>
      <x:c r="C13" s="38" t="str">
        <x:v>宁姆格福誓页消费端</x:v>
      </x:c>
      <x:c r="D13" s="38" t="str">
        <x:v>原NPC V1.0为待配方/任务接入。</x:v>
      </x:c>
      <x:c r="E13" s="38" t="str">
        <x:v>建议接入高阶技能进阶/技能领悟（SYS-SKILL-ADVANCE），数量待经济反算。</x:v>
      </x:c>
      <x:c r="F13" s="39" t="str">
        <x:v>不阻塞框架；需回写脚本映射后才算正式闭环</x:v>
      </x:c>
    </x:row>
    <x:row r="14" ht="54" customHeight="1">
      <x:c r="A14" s="37" t="str">
        <x:v>SINK-EL-MAT-C03-Q02</x:v>
      </x:c>
      <x:c r="B14" s="44" t="str">
        <x:v>建议闭合</x:v>
      </x:c>
      <x:c r="C14" s="38" t="str">
        <x:v>商队火漆消费端</x:v>
      </x:c>
      <x:c r="D14" s="38" t="str">
        <x:v>原NPC V1.0为待配方/任务接入。</x:v>
      </x:c>
      <x:c r="E14" s="38" t="str">
        <x:v>建议接入C3—C4普通洗练/开光高阶段（SYS-REROLL-AWAKEN-C34），数量待经济反算。</x:v>
      </x:c>
      <x:c r="F14" s="39" t="str">
        <x:v>不阻塞框架；需回写脚本映射后才算正式闭环</x:v>
      </x:c>
    </x:row>
    <x:row r="15" ht="54" customHeight="1">
      <x:c r="A15" s="37" t="str">
        <x:v>SINK-EL-MAT-C05-Q02</x:v>
      </x:c>
      <x:c r="B15" s="44" t="str">
        <x:v>建议闭合</x:v>
      </x:c>
      <x:c r="C15" s="38" t="str">
        <x:v>学院封蜡消费端</x:v>
      </x:c>
      <x:c r="D15" s="38" t="str">
        <x:v>原NPC V1.0为待配方/任务接入。</x:v>
      </x:c>
      <x:c r="E15" s="38" t="str">
        <x:v>建议接入C5—C6普通洗练/开光高阶段（SYS-REROLL-AWAKEN-C56），数量待经济反算。</x:v>
      </x:c>
      <x:c r="F15" s="39" t="str">
        <x:v>不阻塞框架；需回写脚本映射后才算正式闭环</x:v>
      </x:c>
    </x:row>
    <x:row r="16" ht="54" customHeight="1">
      <x:c r="A16" s="37" t="str">
        <x:v>SINK-EL-MAT-C07-Q02</x:v>
      </x:c>
      <x:c r="B16" s="44" t="str">
        <x:v>建议闭合</x:v>
      </x:c>
      <x:c r="C16" s="38" t="str">
        <x:v>冻原银角消费端</x:v>
      </x:c>
      <x:c r="D16" s="38" t="str">
        <x:v>原NPC V1.0为待配方/任务接入。</x:v>
      </x:c>
      <x:c r="E16" s="38" t="str">
        <x:v>建议接入C7—C8普通洗练/开光高阶段（SYS-REROLL-AWAKEN-C78），数量待经济反算。</x:v>
      </x:c>
      <x:c r="F16" s="39" t="str">
        <x:v>不阻塞框架；需回写脚本映射后才算正式闭环</x:v>
      </x:c>
    </x:row>
    <x:row r="17" ht="54" customHeight="1">
      <x:c r="A17" s="37" t="str">
        <x:v>SINK-EL-MAT-C09-Q01</x:v>
      </x:c>
      <x:c r="B17" s="44" t="str">
        <x:v>建议闭合</x:v>
      </x:c>
      <x:c r="C17" s="38" t="str">
        <x:v>金叶驿票消费端</x:v>
      </x:c>
      <x:c r="D17" s="38" t="str">
        <x:v>原NPC V1.0为待配方/任务接入。</x:v>
      </x:c>
      <x:c r="E17" s="38" t="str">
        <x:v>建议接入C9—C10普通洗练阶段（SYS-REROLL-C910），数量待经济反算。</x:v>
      </x:c>
      <x:c r="F17" s="39" t="str">
        <x:v>不阻塞框架；需回写脚本映射后才算正式闭环</x:v>
      </x:c>
    </x:row>
    <x:row r="18" ht="54" customHeight="1">
      <x:c r="A18" s="37" t="str">
        <x:v>SINK-EL-MAT-C09-Q02</x:v>
      </x:c>
      <x:c r="B18" s="44" t="str">
        <x:v>建议闭合</x:v>
      </x:c>
      <x:c r="C18" s="38" t="str">
        <x:v>矿脉灯芯消费端</x:v>
      </x:c>
      <x:c r="D18" s="38" t="str">
        <x:v>原NPC V1.0为待配方/任务接入。</x:v>
      </x:c>
      <x:c r="E18" s="38" t="str">
        <x:v>建议接入C9—C10开光阶段（SYS-AWAKEN-C910），数量待经济反算。</x:v>
      </x:c>
      <x:c r="F18" s="39" t="str">
        <x:v>不阻塞框架；需回写脚本映射后才算正式闭环</x:v>
      </x:c>
    </x:row>
    <x:row r="19" ht="54" customHeight="1">
      <x:c r="A19" s="37" t="str">
        <x:v>SEMANTIC-SLASH-INPUTS</x:v>
      </x:c>
      <x:c r="B19" s="44" t="str">
        <x:v>需人工语义</x:v>
      </x:c>
      <x:c r="C19" s="38" t="str">
        <x:v>配方输入中的斜杠表达</x:v>
      </x:c>
      <x:c r="D19" s="38" t="str">
        <x:v>斜杠可能表示阶段切换、二选一、别名或组合，不可自动当作同时消耗。</x:v>
      </x:c>
      <x:c r="E19" s="38" t="str">
        <x:v>保留单边并记录候选资源；经济量化前逐条确认。</x:v>
      </x:c>
      <x:c r="F19" s="39" t="str">
        <x:v>涉及斜杠的配方数量化</x:v>
      </x:c>
    </x:row>
    <x:row r="20" ht="54" customHeight="1">
      <x:c r="A20" s="37" t="str">
        <x:v>HARD-NEW-OUTPUT-CODES</x:v>
      </x:c>
      <x:c r="B20" s="44" t="str">
        <x:v>编码阻塞</x:v>
      </x:c>
      <x:c r="C20" s="38" t="str">
        <x:v>38件NPC合成物资源编码</x:v>
      </x:c>
      <x:c r="D20" s="38" t="str">
        <x:v>23件装备、10件大陆生肖、5级群攻生肖仍缺正式物品资源编码。</x:v>
      </x:c>
      <x:c r="E20" s="38" t="str">
        <x:v>按物理部位从装备编码库分配；不得跨槽硬凑。</x:v>
      </x:c>
      <x:c r="F20" s="39" t="str">
        <x:v>合成物数据库施工</x:v>
      </x:c>
    </x:row>
    <x:row r="21" ht="54" customHeight="1">
      <x:c r="A21" s="37" t="str">
        <x:v>HARD-TITLE-SCRIPT-IDS</x:v>
      </x:c>
      <x:c r="B21" s="44" t="str">
        <x:v>编码阻塞</x:v>
      </x:c>
      <x:c r="C21" s="38" t="str">
        <x:v>6个独立称号脚本ID</x:v>
      </x:c>
      <x:c r="D21" s="38" t="str">
        <x:v>称号名称与结构已定，但正式脚本ID未分配。</x:v>
      </x:c>
      <x:c r="E21" s="38" t="str">
        <x:v>在现有称号脚本命名空间查重后分配6个ID。</x:v>
      </x:c>
      <x:c r="F21" s="39" t="str">
        <x:v>独立称号部署</x:v>
      </x:c>
    </x:row>
    <x:row r="22" ht="54" customHeight="1">
      <x:c r="A22" s="37" t="str">
        <x:v>RULE-GLOBAL-DROP</x:v>
      </x:c>
      <x:c r="B22" s="44" t="str">
        <x:v>施工边界</x:v>
      </x:c>
      <x:c r="C22" s="38" t="str">
        <x:v>跨大陆全局掉落</x:v>
      </x:c>
      <x:c r="D22" s="38" t="str">
        <x:v>神秘符文为C1—C10全怪低爆，野兽骨片为C2及以后；大陆材料表不能自动覆盖这两项。</x:v>
      </x:c>
      <x:c r="E22" s="38" t="str">
        <x:v>生成MonItems时单列全局材料判定。</x:v>
      </x:c>
      <x:c r="F22" s="39" t="str">
        <x:v>遗漏会导致命格/锻体资源断供</x:v>
      </x:c>
    </x:row>
    <x:row r="23" ht="54" customHeight="1">
      <x:c r="A23" s="37" t="str">
        <x:v>VALUE-QUANT</x:v>
      </x:c>
      <x:c r="B23" s="44" t="str">
        <x:v>待定量</x:v>
      </x:c>
      <x:c r="C23" s="38" t="str">
        <x:v>产量、回收与消耗真数</x:v>
      </x:c>
      <x:c r="D23" s="38" t="str">
        <x:v>关系已固定，怪物1/x、单次叠加、回收双币值、配方数量、阶段次数仍为空。</x:v>
      </x:c>
      <x:c r="E23" s="38" t="str">
        <x:v>下一轮建立定量参数表，按1000只怪和每小时两个口径反算。</x:v>
      </x:c>
      <x:c r="F23" s="39" t="str">
        <x:v>经济平衡与正式爆率/配方写值</x:v>
      </x:c>
    </x:row>
    <x:row r="24" ht="54" customHeight="1">
      <x:c r="A24" s="40" t="str">
        <x:v>VALUE-CODEX</x:v>
      </x:c>
      <x:c r="B24" s="45" t="str">
        <x:v>待定量</x:v>
      </x:c>
      <x:c r="C24" s="41" t="str">
        <x:v>图鉴属性奖励</x:v>
      </x:c>
      <x:c r="D24" s="41" t="str">
        <x:v>专属单件、地图/大陆全收集、大陆收藏材料的奖励真值尚未分配。</x:v>
      </x:c>
      <x:c r="E24" s="41" t="str">
        <x:v>属性预算阶段统一定值；地图全收集重点投放韧性。</x:v>
      </x:c>
      <x:c r="F24" s="42" t="str">
        <x:v>处决软门槛正式数值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64df75e536b44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4" hidden="0" customWidth="1"/>
    <x:col min="5" max="5" width="44" hidden="0" customWidth="1"/>
    <x:col min="6" max="6" width="42" hidden="0" customWidth="1"/>
    <x:col min="7" max="7" width="44" hidden="0" customWidth="1"/>
    <x:col min="8" max="8" width="44" hidden="0" customWidth="1"/>
    <x:col min="9" max="9" width="28" hidden="0" customWidth="1"/>
  </x:cols>
  <x:sheetData>
    <x:row r="1" ht="34" customHeight="1">
      <x:c r="A1" s="4" t="str">
        <x:v>地图A/B/C/D处决、韧性与围攻框架</x:v>
      </x:c>
      <x:c r="B1" s="4" t="str">
        <x:v>地图A/B/C/D处决、韧性与围攻框架</x:v>
      </x:c>
      <x:c r="C1" s="4" t="str">
        <x:v>地图A/B/C/D处决、韧性与围攻框架</x:v>
      </x:c>
      <x:c r="D1" s="4" t="str">
        <x:v>地图A/B/C/D处决、韧性与围攻框架</x:v>
      </x:c>
      <x:c r="E1" s="4" t="str">
        <x:v>地图A/B/C/D处决、韧性与围攻框架</x:v>
      </x:c>
      <x:c r="F1" s="4" t="str">
        <x:v>地图A/B/C/D处决、韧性与围攻框架</x:v>
      </x:c>
      <x:c r="G1" s="4" t="str">
        <x:v>地图A/B/C/D处决、韧性与围攻框架</x:v>
      </x:c>
      <x:c r="H1" s="4" t="str">
        <x:v>地图A/B/C/D处决、韧性与围攻框架</x:v>
      </x:c>
      <x:c r="I1" s="4" t="str">
        <x:v>地图A/B/C/D处决、韧性与围攻框架</x:v>
      </x:c>
    </x:row>
    <x:row r="2" ht="42" customHeight="1">
      <x:c r="A2" s="8" t="str">
        <x:v>不把精确通关时间当硬指标。达到地图阶段要求时必须能扛普通群怪；精英/BOSS并发1—3只，难度主要靠处决机制递进。</x:v>
      </x:c>
      <x:c r="B2" s="8" t="str">
        <x:v>不把精确通关时间当硬指标。达到地图阶段要求时必须能扛普通群怪；精英/BOSS并发1—3只，难度主要靠处决机制递进。</x:v>
      </x:c>
      <x:c r="C2" s="8" t="str">
        <x:v>不把精确通关时间当硬指标。达到地图阶段要求时必须能扛普通群怪；精英/BOSS并发1—3只，难度主要靠处决机制递进。</x:v>
      </x:c>
      <x:c r="D2" s="8" t="str">
        <x:v>不把精确通关时间当硬指标。达到地图阶段要求时必须能扛普通群怪；精英/BOSS并发1—3只，难度主要靠处决机制递进。</x:v>
      </x:c>
      <x:c r="E2" s="8" t="str">
        <x:v>不把精确通关时间当硬指标。达到地图阶段要求时必须能扛普通群怪；精英/BOSS并发1—3只，难度主要靠处决机制递进。</x:v>
      </x:c>
      <x:c r="F2" s="8" t="str">
        <x:v>不把精确通关时间当硬指标。达到地图阶段要求时必须能扛普通群怪；精英/BOSS并发1—3只，难度主要靠处决机制递进。</x:v>
      </x:c>
      <x:c r="G2" s="8" t="str">
        <x:v>不把精确通关时间当硬指标。达到地图阶段要求时必须能扛普通群怪；精英/BOSS并发1—3只，难度主要靠处决机制递进。</x:v>
      </x:c>
      <x:c r="H2" s="8" t="str">
        <x:v>不把精确通关时间当硬指标。达到地图阶段要求时必须能扛普通群怪；精英/BOSS并发1—3只，难度主要靠处决机制递进。</x:v>
      </x:c>
      <x:c r="I2" s="8" t="str">
        <x:v>不把精确通关时间当硬指标。达到地图阶段要求时必须能扛普通群怪；精英/BOSS并发1—3只，难度主要靠处决机制递进。</x:v>
      </x:c>
    </x:row>
    <x:row r="4" ht="32" customHeight="1">
      <x:c r="A4" s="14" t="str">
        <x:v>框架项</x:v>
      </x:c>
      <x:c r="B4" s="14" t="str">
        <x:v>现行规则</x:v>
      </x:c>
    </x:row>
    <x:row r="5" ht="44" customHeight="1">
      <x:c r="A5" s="34" t="str">
        <x:v>有效韧性公式</x:v>
      </x:c>
      <x:c r="B5" s="36" t="str">
        <x:v>人物总韧性 - 地图韧性要求</x:v>
      </x:c>
      <x:c r="C5" t="str">
        <x:v>人物总韧性 - 地图韧性要求</x:v>
      </x:c>
      <x:c r="D5" t="str">
        <x:v>人物总韧性 - 地图韧性要求</x:v>
      </x:c>
      <x:c r="E5" t="str">
        <x:v>人物总韧性 - 地图韧性要求</x:v>
      </x:c>
      <x:c r="F5" t="str">
        <x:v>人物总韧性 - 地图韧性要求</x:v>
      </x:c>
      <x:c r="G5" t="str">
        <x:v>人物总韧性 - 地图韧性要求</x:v>
      </x:c>
      <x:c r="H5" t="str">
        <x:v>人物总韧性 - 地图韧性要求</x:v>
      </x:c>
      <x:c r="I5" t="str">
        <x:v>人物总韧性 - 地图韧性要求</x:v>
      </x:c>
    </x:row>
    <x:row r="6" ht="44" customHeight="1">
      <x:c r="A6" s="37" t="str">
        <x:v>处决门槛</x:v>
      </x:c>
      <x:c r="B6" s="39" t="str">
        <x:v>有效韧性&lt;0时可被怪物处决；有效韧性≥0时不因负韧性规则触发怪物处决。</x:v>
      </x:c>
      <x:c r="C6" t="str">
        <x:v>有效韧性&lt;0时可被怪物处决；有效韧性≥0时不因负韧性规则触发怪物处决。</x:v>
      </x:c>
      <x:c r="D6" t="str">
        <x:v>有效韧性&lt;0时可被怪物处决；有效韧性≥0时不因负韧性规则触发怪物处决。</x:v>
      </x:c>
      <x:c r="E6" t="str">
        <x:v>有效韧性&lt;0时可被怪物处决；有效韧性≥0时不因负韧性规则触发怪物处决。</x:v>
      </x:c>
      <x:c r="F6" t="str">
        <x:v>有效韧性&lt;0时可被怪物处决；有效韧性≥0时不因负韧性规则触发怪物处决。</x:v>
      </x:c>
      <x:c r="G6" t="str">
        <x:v>有效韧性&lt;0时可被怪物处决；有效韧性≥0时不因负韧性规则触发怪物处决。</x:v>
      </x:c>
      <x:c r="H6" t="str">
        <x:v>有效韧性&lt;0时可被怪物处决；有效韧性≥0时不因负韧性规则触发怪物处决。</x:v>
      </x:c>
      <x:c r="I6" t="str">
        <x:v>有效韧性&lt;0时可被怪物处决；有效韧性≥0时不因负韧性规则触发怪物处决。</x:v>
      </x:c>
    </x:row>
    <x:row r="7" ht="44" customHeight="1">
      <x:c r="A7" s="37" t="str">
        <x:v>PVE换算</x:v>
      </x:c>
      <x:c r="B7" s="39" t="str">
        <x:v>沿用现行PVE口径：负韧性按百分比一比一；最终边界以脚本进服实测校准。</x:v>
      </x:c>
      <x:c r="C7" t="str">
        <x:v>沿用现行PVE口径：负韧性按百分比一比一；最终边界以脚本进服实测校准。</x:v>
      </x:c>
      <x:c r="D7" t="str">
        <x:v>沿用现行PVE口径：负韧性按百分比一比一；最终边界以脚本进服实测校准。</x:v>
      </x:c>
      <x:c r="E7" t="str">
        <x:v>沿用现行PVE口径：负韧性按百分比一比一；最终边界以脚本进服实测校准。</x:v>
      </x:c>
      <x:c r="F7" t="str">
        <x:v>沿用现行PVE口径：负韧性按百分比一比一；最终边界以脚本进服实测校准。</x:v>
      </x:c>
      <x:c r="G7" t="str">
        <x:v>沿用现行PVE口径：负韧性按百分比一比一；最终边界以脚本进服实测校准。</x:v>
      </x:c>
      <x:c r="H7" t="str">
        <x:v>沿用现行PVE口径：负韧性按百分比一比一；最终边界以脚本进服实测校准。</x:v>
      </x:c>
      <x:c r="I7" t="str">
        <x:v>沿用现行PVE口径：负韧性按百分比一比一；最终边界以脚本进服实测校准。</x:v>
      </x:c>
    </x:row>
    <x:row r="8" ht="44" customHeight="1">
      <x:c r="A8" s="37" t="str">
        <x:v>通关时间</x:v>
      </x:c>
      <x:c r="B8" s="39" t="str">
        <x:v>总通关/毕业时间仅作观测与复核，不设硬指标；允许效率快慢甚至数倍差异。</x:v>
      </x:c>
      <x:c r="C8" t="str">
        <x:v>总通关/毕业时间仅作观测与复核，不设硬指标；允许效率快慢甚至数倍差异。</x:v>
      </x:c>
      <x:c r="D8" t="str">
        <x:v>总通关/毕业时间仅作观测与复核，不设硬指标；允许效率快慢甚至数倍差异。</x:v>
      </x:c>
      <x:c r="E8" t="str">
        <x:v>总通关/毕业时间仅作观测与复核，不设硬指标；允许效率快慢甚至数倍差异。</x:v>
      </x:c>
      <x:c r="F8" t="str">
        <x:v>总通关/毕业时间仅作观测与复核，不设硬指标；允许效率快慢甚至数倍差异。</x:v>
      </x:c>
      <x:c r="G8" t="str">
        <x:v>总通关/毕业时间仅作观测与复核，不设硬指标；允许效率快慢甚至数倍差异。</x:v>
      </x:c>
      <x:c r="H8" t="str">
        <x:v>总通关/毕业时间仅作观测与复核，不设硬指标；允许效率快慢甚至数倍差异。</x:v>
      </x:c>
      <x:c r="I8" t="str">
        <x:v>总通关/毕业时间仅作观测与复核，不设硬指标；允许效率快慢甚至数倍差异。</x:v>
      </x:c>
    </x:row>
    <x:row r="9" ht="44" customHeight="1">
      <x:c r="A9" s="37" t="str">
        <x:v>生存硬规则</x:v>
      </x:c>
      <x:c r="B9" s="39" t="str">
        <x:v>人物达到地图阶段要求时必须能承受普通怪围攻；精英/BOSS同时出现1—3只。</x:v>
      </x:c>
      <x:c r="C9" t="str">
        <x:v>人物达到地图阶段要求时必须能承受普通怪围攻；精英/BOSS同时出现1—3只。</x:v>
      </x:c>
      <x:c r="D9" t="str">
        <x:v>人物达到地图阶段要求时必须能承受普通怪围攻；精英/BOSS同时出现1—3只。</x:v>
      </x:c>
      <x:c r="E9" t="str">
        <x:v>人物达到地图阶段要求时必须能承受普通怪围攻；精英/BOSS同时出现1—3只。</x:v>
      </x:c>
      <x:c r="F9" t="str">
        <x:v>人物达到地图阶段要求时必须能承受普通怪围攻；精英/BOSS同时出现1—3只。</x:v>
      </x:c>
      <x:c r="G9" t="str">
        <x:v>人物达到地图阶段要求时必须能承受普通怪围攻；精英/BOSS同时出现1—3只。</x:v>
      </x:c>
      <x:c r="H9" t="str">
        <x:v>人物达到地图阶段要求时必须能承受普通怪围攻；精英/BOSS同时出现1—3只。</x:v>
      </x:c>
      <x:c r="I9" t="str">
        <x:v>人物达到地图阶段要求时必须能承受普通怪围攻；精英/BOSS同时出现1—3只。</x:v>
      </x:c>
    </x:row>
    <x:row r="10" ht="44" customHeight="1">
      <x:c r="A10" s="37" t="str">
        <x:v>图鉴作用</x:v>
      </x:c>
      <x:c r="B10" s="39" t="str">
        <x:v>地图专属装备全收集提供较大的韧性，是下一大陆A/B安全挂机的主要软门槛。</x:v>
      </x:c>
      <x:c r="C10" t="str">
        <x:v>地图专属装备全收集提供较大的韧性，是下一大陆A/B安全挂机的主要软门槛。</x:v>
      </x:c>
      <x:c r="D10" t="str">
        <x:v>地图专属装备全收集提供较大的韧性，是下一大陆A/B安全挂机的主要软门槛。</x:v>
      </x:c>
      <x:c r="E10" t="str">
        <x:v>地图专属装备全收集提供较大的韧性，是下一大陆A/B安全挂机的主要软门槛。</x:v>
      </x:c>
      <x:c r="F10" t="str">
        <x:v>地图专属装备全收集提供较大的韧性，是下一大陆A/B安全挂机的主要软门槛。</x:v>
      </x:c>
      <x:c r="G10" t="str">
        <x:v>地图专属装备全收集提供较大的韧性，是下一大陆A/B安全挂机的主要软门槛。</x:v>
      </x:c>
      <x:c r="H10" t="str">
        <x:v>地图专属装备全收集提供较大的韧性，是下一大陆A/B安全挂机的主要软门槛。</x:v>
      </x:c>
      <x:c r="I10" t="str">
        <x:v>地图专属装备全收集提供较大的韧性，是下一大陆A/B安全挂机的主要软门槛。</x:v>
      </x:c>
    </x:row>
    <x:row r="11" ht="44" customHeight="1">
      <x:c r="A11" s="40" t="str">
        <x:v>每日福利</x:v>
      </x:c>
      <x:c r="B11" s="42" t="str">
        <x:v>每日额外守关BOSS是福利，不进入基础怪物、掉落或通关模型。</x:v>
      </x:c>
      <x:c r="C11" t="str">
        <x:v>每日额外守关BOSS是福利，不进入基础怪物、掉落或通关模型。</x:v>
      </x:c>
      <x:c r="D11" t="str">
        <x:v>每日额外守关BOSS是福利，不进入基础怪物、掉落或通关模型。</x:v>
      </x:c>
      <x:c r="E11" t="str">
        <x:v>每日额外守关BOSS是福利，不进入基础怪物、掉落或通关模型。</x:v>
      </x:c>
      <x:c r="F11" t="str">
        <x:v>每日额外守关BOSS是福利，不进入基础怪物、掉落或通关模型。</x:v>
      </x:c>
      <x:c r="G11" t="str">
        <x:v>每日额外守关BOSS是福利，不进入基础怪物、掉落或通关模型。</x:v>
      </x:c>
      <x:c r="H11" t="str">
        <x:v>每日额外守关BOSS是福利，不进入基础怪物、掉落或通关模型。</x:v>
      </x:c>
      <x:c r="I11" t="str">
        <x:v>每日额外守关BOSS是福利，不进入基础怪物、掉落或通关模型。</x:v>
      </x:c>
    </x:row>
    <x:row r="14" ht="32" customHeight="1">
      <x:c r="A14" s="14" t="str">
        <x:v>档位</x:v>
      </x:c>
      <x:c r="B14" s="14" t="str">
        <x:v>定位</x:v>
      </x:c>
      <x:c r="C14" s="14" t="str">
        <x:v>上一大陆收集前提</x:v>
      </x:c>
      <x:c r="D14" s="14" t="str">
        <x:v>有效韧性</x:v>
      </x:c>
      <x:c r="E14" s="14" t="str">
        <x:v>处决表现</x:v>
      </x:c>
      <x:c r="F14" s="14" t="str">
        <x:v>普通群怪承压</x:v>
      </x:c>
      <x:c r="G14" s="14" t="str">
        <x:v>精英/BOSS压力</x:v>
      </x:c>
      <x:c r="H14" s="14" t="str">
        <x:v>怪物伤害策略</x:v>
      </x:c>
      <x:c r="I14" s="14" t="str">
        <x:v>定值状态</x:v>
      </x:c>
    </x:row>
    <x:row r="15" ht="58" customHeight="1">
      <x:c r="A15" s="34" t="str">
        <x:v>A</x:v>
      </x:c>
      <x:c r="B15" s="35" t="str">
        <x:v>安全挂机起步区</x:v>
      </x:c>
      <x:c r="C15" s="35" t="str">
        <x:v>已完成上一大陆全部专属装备收集并获得韧性奖励</x:v>
      </x:c>
      <x:c r="D15" s="35" t="str">
        <x:v>目标≥0</x:v>
      </x:c>
      <x:c r="E15" s="35" t="str">
        <x:v>有效韧性不为负，因此不触发或几乎不触发怪物处决</x:v>
      </x:c>
      <x:c r="F15" s="35" t="str">
        <x:v>达到地图阶段要求时必须能抗住普通怪围攻</x:v>
      </x:c>
      <x:c r="G15" s="35" t="str">
        <x:v>允许同时1—3只精英/BOSS；正常情况下仍可挂机</x:v>
      </x:c>
      <x:c r="H15" s="35" t="str">
        <x:v>基础攻击保持克制，不靠单纯堆攻击制造难度</x:v>
      </x:c>
      <x:c r="I15" s="36" t="str">
        <x:v>仅固定关系，不填硬阈值</x:v>
      </x:c>
    </x:row>
    <x:row r="16" ht="58" customHeight="1">
      <x:c r="A16" s="37" t="str">
        <x:v>B</x:v>
      </x:c>
      <x:c r="B16" s="38" t="str">
        <x:v>低风险挂机区</x:v>
      </x:c>
      <x:c r="C16" s="38" t="str">
        <x:v>上一大陆收集完整，当前养成继续推进</x:v>
      </x:c>
      <x:c r="D16" s="38" t="str">
        <x:v>接近0或轻微负值</x:v>
      </x:c>
      <x:c r="E16" s="38" t="str">
        <x:v>无或极低处决概率</x:v>
      </x:c>
      <x:c r="F16" s="38" t="str">
        <x:v>普通围攻应可稳定承受</x:v>
      </x:c>
      <x:c r="G16" s="38" t="str">
        <x:v>同时1—3只精英/BOSS可制造波动，但通常不致死</x:v>
      </x:c>
      <x:c r="H16" s="38" t="str">
        <x:v>以少量伤害提升和低处决压力形成差异</x:v>
      </x:c>
      <x:c r="I16" s="39" t="str">
        <x:v>仅固定关系，不填硬阈值</x:v>
      </x:c>
    </x:row>
    <x:row r="17" ht="58" customHeight="1">
      <x:c r="A17" s="37" t="str">
        <x:v>C</x:v>
      </x:c>
      <x:c r="B17" s="38" t="str">
        <x:v>需要看守区</x:v>
      </x:c>
      <x:c r="C17" s="38" t="str">
        <x:v>上一大陆收集完成仍不足以完全抹平当前地图韧性要求</x:v>
      </x:c>
      <x:c r="D17" s="38" t="str">
        <x:v>中度负值（具体数值后算）</x:v>
      </x:c>
      <x:c r="E17" s="38" t="str">
        <x:v>存在可感知的处决概率与倍率</x:v>
      </x:c>
      <x:c r="F17" s="38" t="str">
        <x:v>普通围攻可扛，但需防极端连续处决</x:v>
      </x:c>
      <x:c r="G17" s="38" t="str">
        <x:v>怪群＋1—3只精英/BOSS＋连续处决可导致死亡</x:v>
      </x:c>
      <x:c r="H17" s="38" t="str">
        <x:v>基础伤害只作配合，主要难度由处决链放大</x:v>
      </x:c>
      <x:c r="I17" s="39" t="str">
        <x:v>仅固定关系，不填硬阈值</x:v>
      </x:c>
    </x:row>
    <x:row r="18" ht="58" customHeight="1">
      <x:c r="A18" s="40" t="str">
        <x:v>D</x:v>
      </x:c>
      <x:c r="B18" s="41" t="str">
        <x:v>高危推进区</x:v>
      </x:c>
      <x:c r="C18" s="41" t="str">
        <x:v>必须继续补当前大陆韧性与其他生存来源</x:v>
      </x:c>
      <x:c r="D18" s="41" t="str">
        <x:v>明显负值（具体数值后算）</x:v>
      </x:c>
      <x:c r="E18" s="41" t="str">
        <x:v>随地图难度提高，处决概率、处决倍率和怪物伤害同步上升</x:v>
      </x:c>
      <x:c r="F18" s="41" t="str">
        <x:v>全程需小心，不能按安全挂机区处理</x:v>
      </x:c>
      <x:c r="G18" s="41" t="str">
        <x:v>同时1—3只精英/BOSS显著提高连续处决和死亡风险</x:v>
      </x:c>
      <x:c r="H18" s="41" t="str">
        <x:v>禁止过度抬高基础攻击；处决机制承担主要难度跃升</x:v>
      </x:c>
      <x:c r="I18" s="42" t="str">
        <x:v>仅固定关系，不填硬阈值</x:v>
      </x:c>
    </x:row>
  </x:sheetData>
  <x:mergeCells>
    <x:mergeCell ref="A1:I1"/>
    <x:mergeCell ref="A2:I2"/>
    <x:mergeCell ref="B5:I5"/>
    <x:mergeCell ref="B6:I6"/>
    <x:mergeCell ref="B7:I7"/>
    <x:mergeCell ref="B8:I8"/>
    <x:mergeCell ref="B9:I9"/>
    <x:mergeCell ref="B10:I10"/>
    <x:mergeCell ref="B11:I11"/>
  </x:mergeCells>
  <x:pageMargins left="0.7" right="0.7" top="0.75" bottom="0.75" header="0.3" footer="0.3"/>
  <x:tableParts count="1">
    <x:tablePart xmlns:r="http://schemas.openxmlformats.org/officeDocument/2006/relationships" r:id="R1e47e82ccf0a40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60" hidden="0" customWidth="1"/>
  </x:cols>
  <x:sheetData>
    <x:row r="1" ht="34" customHeight="1">
      <x:c r="A1" s="4" t="str">
        <x:v>结构与边界校验</x:v>
      </x:c>
      <x:c r="B1" s="4" t="str">
        <x:v>结构与边界校验</x:v>
      </x:c>
      <x:c r="C1" s="4" t="str">
        <x:v>结构与边界校验</x:v>
      </x:c>
      <x:c r="D1" s="4" t="str">
        <x:v>结构与边界校验</x:v>
      </x:c>
      <x:c r="E1" s="4" t="str">
        <x:v>结构与边界校验</x:v>
      </x:c>
      <x:c r="F1" s="4" t="str">
        <x:v>结构与边界校验</x:v>
      </x:c>
    </x:row>
    <x:row r="2" ht="42" customHeight="1">
      <x:c r="A2" s="8" t="str">
        <x:v>差异=期望−实际。硬缺口的期望值不是0，而是要求缺口被完整显式记录，防止用猜值掩盖。</x:v>
      </x:c>
      <x:c r="B2" s="8" t="str">
        <x:v>差异=期望−实际。硬缺口的期望值不是0，而是要求缺口被完整显式记录，防止用猜值掩盖。</x:v>
      </x:c>
      <x:c r="C2" s="8" t="str">
        <x:v>差异=期望−实际。硬缺口的期望值不是0，而是要求缺口被完整显式记录，防止用猜值掩盖。</x:v>
      </x:c>
      <x:c r="D2" s="8" t="str">
        <x:v>差异=期望−实际。硬缺口的期望值不是0，而是要求缺口被完整显式记录，防止用猜值掩盖。</x:v>
      </x:c>
      <x:c r="E2" s="8" t="str">
        <x:v>差异=期望−实际。硬缺口的期望值不是0，而是要求缺口被完整显式记录，防止用猜值掩盖。</x:v>
      </x:c>
      <x:c r="F2" s="8" t="str">
        <x:v>差异=期望−实际。硬缺口的期望值不是0，而是要求缺口被完整显式记录，防止用猜值掩盖。</x:v>
      </x:c>
    </x:row>
    <x:row r="4" ht="32" customHeight="1">
      <x:c r="A4" s="14" t="str">
        <x:v>校验项</x:v>
      </x:c>
      <x:c r="B4" s="14" t="str">
        <x:v>期望</x:v>
      </x:c>
      <x:c r="C4" s="14" t="str">
        <x:v>实际</x:v>
      </x:c>
      <x:c r="D4" s="14" t="str">
        <x:v>差异</x:v>
      </x:c>
      <x:c r="E4" s="14" t="str">
        <x:v>结论</x:v>
      </x:c>
      <x:c r="F4" s="14" t="str">
        <x:v>说明</x:v>
      </x:c>
    </x:row>
    <x:row r="5" ht="36" customHeight="1">
      <x:c r="A5" s="34" t="str">
        <x:v>配方总数</x:v>
      </x:c>
      <x:c r="B5" s="35" t="n">
        <x:v>74</x:v>
      </x:c>
      <x:c r="C5" s="35" t="n">
        <x:f>COUNTA('04_配方闭环'!A5:A200)</x:f>
        <x:v>74</x:v>
      </x:c>
      <x:c r="D5" s="35" t="n">
        <x:f>B5-C5</x:f>
        <x:v>0</x:v>
      </x:c>
      <x:c r="E5" s="46" t="str">
        <x:f>IF(D5=0,"通过","失败")</x:f>
        <x:v>通过</x:v>
      </x:c>
      <x:c r="F5" s="36" t="str">
        <x:v>必须为74</x:v>
      </x:c>
    </x:row>
    <x:row r="6" ht="36" customHeight="1">
      <x:c r="A6" s="37" t="str">
        <x:v>装备合成</x:v>
      </x:c>
      <x:c r="B6" s="38" t="n">
        <x:v>23</x:v>
      </x:c>
      <x:c r="C6" s="38" t="n">
        <x:f>COUNTIF('04_配方闭环'!F5:F200,"装备合成")</x:f>
        <x:v>23</x:v>
      </x:c>
      <x:c r="D6" s="38" t="n">
        <x:f>B6-C6</x:f>
        <x:v>0</x:v>
      </x:c>
      <x:c r="E6" s="47" t="str">
        <x:f>IF(D6=0,"通过","失败")</x:f>
        <x:v>通过</x:v>
      </x:c>
      <x:c r="F6" s="39" t="str">
        <x:v>V1.0结构</x:v>
      </x:c>
    </x:row>
    <x:row r="7" ht="36" customHeight="1">
      <x:c r="A7" s="37" t="str">
        <x:v>生肖合成</x:v>
      </x:c>
      <x:c r="B7" s="38" t="n">
        <x:v>10</x:v>
      </x:c>
      <x:c r="C7" s="38" t="n">
        <x:f>COUNTIF('04_配方闭环'!F5:F200,"生肖合成")</x:f>
        <x:v>10</x:v>
      </x:c>
      <x:c r="D7" s="38" t="n">
        <x:f>B7-C7</x:f>
        <x:v>0</x:v>
      </x:c>
      <x:c r="E7" s="47" t="str">
        <x:f>IF(D7=0,"通过","失败")</x:f>
        <x:v>通过</x:v>
      </x:c>
      <x:c r="F7" s="39" t="str">
        <x:v>V1.0结构</x:v>
      </x:c>
    </x:row>
    <x:row r="8" ht="36" customHeight="1">
      <x:c r="A8" s="37" t="str">
        <x:v>群攻生肖</x:v>
      </x:c>
      <x:c r="B8" s="38" t="n">
        <x:v>5</x:v>
      </x:c>
      <x:c r="C8" s="38" t="n">
        <x:f>COUNTIF('04_配方闭环'!F5:F200,"群攻生肖")</x:f>
        <x:v>5</x:v>
      </x:c>
      <x:c r="D8" s="38" t="n">
        <x:f>B8-C8</x:f>
        <x:v>0</x:v>
      </x:c>
      <x:c r="E8" s="47" t="str">
        <x:f>IF(D8=0,"通过","失败")</x:f>
        <x:v>通过</x:v>
      </x:c>
      <x:c r="F8" s="39" t="str">
        <x:v>V1.0结构</x:v>
      </x:c>
    </x:row>
    <x:row r="9" ht="36" customHeight="1">
      <x:c r="A9" s="37" t="str">
        <x:v>独立称号</x:v>
      </x:c>
      <x:c r="B9" s="38" t="n">
        <x:v>6</x:v>
      </x:c>
      <x:c r="C9" s="38" t="n">
        <x:f>COUNTIF('04_配方闭环'!F5:F200,"独立称号")</x:f>
        <x:v>6</x:v>
      </x:c>
      <x:c r="D9" s="38" t="n">
        <x:f>B9-C9</x:f>
        <x:v>0</x:v>
      </x:c>
      <x:c r="E9" s="47" t="str">
        <x:f>IF(D9=0,"通过","失败")</x:f>
        <x:v>通过</x:v>
      </x:c>
      <x:c r="F9" s="39" t="str">
        <x:v>V1.0结构</x:v>
      </x:c>
    </x:row>
    <x:row r="10" ht="36" customHeight="1">
      <x:c r="A10" s="37" t="str">
        <x:v>转生</x:v>
      </x:c>
      <x:c r="B10" s="38" t="n">
        <x:v>20</x:v>
      </x:c>
      <x:c r="C10" s="38" t="n">
        <x:f>COUNTIF('04_配方闭环'!F5:F200,"转生")</x:f>
        <x:v>20</x:v>
      </x:c>
      <x:c r="D10" s="38" t="n">
        <x:f>B10-C10</x:f>
        <x:v>0</x:v>
      </x:c>
      <x:c r="E10" s="47" t="str">
        <x:f>IF(D10=0,"通过","失败")</x:f>
        <x:v>通过</x:v>
      </x:c>
      <x:c r="F10" s="39" t="str">
        <x:v>V1.0结构</x:v>
      </x:c>
    </x:row>
    <x:row r="11" ht="36" customHeight="1">
      <x:c r="A11" s="37" t="str">
        <x:v>消耗边</x:v>
      </x:c>
      <x:c r="B11" s="38" t="n">
        <x:v>486</x:v>
      </x:c>
      <x:c r="C11" s="38" t="n">
        <x:f>COUNTA('03_消耗端'!A5:A900)</x:f>
        <x:v>486</x:v>
      </x:c>
      <x:c r="D11" s="38" t="n">
        <x:f>B11-C11</x:f>
        <x:v>0</x:v>
      </x:c>
      <x:c r="E11" s="47" t="str">
        <x:f>IF(D11=0,"通过","失败")</x:f>
        <x:v>通过</x:v>
      </x:c>
      <x:c r="F11" s="39" t="str">
        <x:v>配方/图鉴/建议系统</x:v>
      </x:c>
    </x:row>
    <x:row r="12" ht="36" customHeight="1">
      <x:c r="A12" s="37" t="str">
        <x:v>产出边</x:v>
      </x:c>
      <x:c r="B12" s="38" t="n">
        <x:v>152</x:v>
      </x:c>
      <x:c r="C12" s="38" t="n">
        <x:f>COUNTA('02_产出端'!A5:A600)</x:f>
        <x:v>152</x:v>
      </x:c>
      <x:c r="D12" s="38" t="n">
        <x:f>B12-C12</x:f>
        <x:v>0</x:v>
      </x:c>
      <x:c r="E12" s="47" t="str">
        <x:f>IF(D12=0,"通过","失败")</x:f>
        <x:v>通过</x:v>
      </x:c>
      <x:c r="F12" s="39" t="str">
        <x:v>基础＋每日福利</x:v>
      </x:c>
    </x:row>
    <x:row r="13" ht="36" customHeight="1">
      <x:c r="A13" s="37" t="str">
        <x:v>每日福利产出边</x:v>
      </x:c>
      <x:c r="B13" s="38" t="n">
        <x:v>40</x:v>
      </x:c>
      <x:c r="C13" s="38" t="n">
        <x:f>COUNTIF('02_产出端'!B5:B600,"每日额外福利产出")</x:f>
        <x:v>40</x:v>
      </x:c>
      <x:c r="D13" s="38" t="n">
        <x:f>B13-C13</x:f>
        <x:v>0</x:v>
      </x:c>
      <x:c r="E13" s="47" t="str">
        <x:f>IF(D13=0,"通过","失败")</x:f>
        <x:v>通过</x:v>
      </x:c>
      <x:c r="F13" s="39" t="str">
        <x:v>全部基础模型=否</x:v>
      </x:c>
    </x:row>
    <x:row r="14" ht="36" customHeight="1">
      <x:c r="A14" s="37" t="str">
        <x:v>每日福利误计入基准</x:v>
      </x:c>
      <x:c r="B14" s="38" t="n">
        <x:v>0</x:v>
      </x:c>
      <x:c r="C14" s="38" t="n">
        <x:f>COUNTIFS('02_产出端'!B5:B600,"每日额外福利产出",'02_产出端'!K5:K600,"是")</x:f>
        <x:v>0</x:v>
      </x:c>
      <x:c r="D14" s="38" t="n">
        <x:f>B14-C14</x:f>
        <x:v>0</x:v>
      </x:c>
      <x:c r="E14" s="47" t="str">
        <x:f>IF(D14=0,"通过","失败")</x:f>
        <x:v>通过</x:v>
      </x:c>
      <x:c r="F14" s="39" t="str">
        <x:v>必须为0</x:v>
      </x:c>
    </x:row>
    <x:row r="15" ht="36" customHeight="1">
      <x:c r="A15" s="37" t="str">
        <x:v>主线守关误排除</x:v>
      </x:c>
      <x:c r="B15" s="38" t="n">
        <x:v>0</x:v>
      </x:c>
      <x:c r="C15" s="38" t="n">
        <x:f>COUNTIFS('02_产出端'!E5:E600,"*主线守关*",'02_产出端'!K5:K600,"否")</x:f>
        <x:v>0</x:v>
      </x:c>
      <x:c r="D15" s="38" t="n">
        <x:f>B15-C15</x:f>
        <x:v>0</x:v>
      </x:c>
      <x:c r="E15" s="47" t="str">
        <x:f>IF(D15=0,"通过","失败")</x:f>
        <x:v>通过</x:v>
      </x:c>
      <x:c r="F15" s="39" t="str">
        <x:v>必须为0</x:v>
      </x:c>
    </x:row>
    <x:row r="16" ht="36" customHeight="1">
      <x:c r="A16" s="37" t="str">
        <x:v>合成穿戴物禁止回收</x:v>
      </x:c>
      <x:c r="B16" s="38" t="n">
        <x:v>38</x:v>
      </x:c>
      <x:c r="C16" s="38" t="n">
        <x:f>COUNTIFS('04_配方闭环'!F5:F200,"装备合成",'04_配方闭环'!P5:P200,"禁止回收")+COUNTIFS('04_配方闭环'!F5:F200,"生肖合成",'04_配方闭环'!P5:P200,"禁止回收")+COUNTIFS('04_配方闭环'!F5:F200,"群攻生肖",'04_配方闭环'!P5:P200,"禁止回收")</x:f>
        <x:v>38</x:v>
      </x:c>
      <x:c r="D16" s="38" t="n">
        <x:f>B16-C16</x:f>
        <x:v>0</x:v>
      </x:c>
      <x:c r="E16" s="47" t="str">
        <x:f>IF(D16=0,"通过","失败")</x:f>
        <x:v>通过</x:v>
      </x:c>
      <x:c r="F16" s="39" t="str">
        <x:v>23＋10＋5</x:v>
      </x:c>
    </x:row>
    <x:row r="17" ht="36" customHeight="1">
      <x:c r="A17" s="37" t="str">
        <x:v>合成回收违规</x:v>
      </x:c>
      <x:c r="B17" s="38" t="n">
        <x:v>0</x:v>
      </x:c>
      <x:c r="C17" s="38" t="n">
        <x:f>COUNTIFS('04_配方闭环'!F5:F200,"装备合成",'04_配方闭环'!P5:P200,"&lt;&gt;禁止回收")+COUNTIFS('04_配方闭环'!F5:F200,"生肖合成",'04_配方闭环'!P5:P200,"&lt;&gt;禁止回收")+COUNTIFS('04_配方闭环'!F5:F200,"群攻生肖",'04_配方闭环'!P5:P200,"&lt;&gt;禁止回收")</x:f>
        <x:v>0</x:v>
      </x:c>
      <x:c r="D17" s="38" t="n">
        <x:f>B17-C17</x:f>
        <x:v>0</x:v>
      </x:c>
      <x:c r="E17" s="47" t="str">
        <x:f>IF(D17=0,"通过","失败")</x:f>
        <x:v>通过</x:v>
      </x:c>
      <x:c r="F17" s="39" t="str">
        <x:v>必须为0</x:v>
      </x:c>
    </x:row>
    <x:row r="18" ht="36" customHeight="1">
      <x:c r="A18" s="37" t="str">
        <x:v>斜杠语义边</x:v>
      </x:c>
      <x:c r="B18" s="38" t="n">
        <x:v>7</x:v>
      </x:c>
      <x:c r="C18" s="38" t="n">
        <x:f>COUNTIF('03_消耗端'!P5:P900,"是")</x:f>
        <x:v>7</x:v>
      </x:c>
      <x:c r="D18" s="38" t="n">
        <x:f>B18-C18</x:f>
        <x:v>0</x:v>
      </x:c>
      <x:c r="E18" s="47" t="str">
        <x:f>IF(D18=0,"通过","失败")</x:f>
        <x:v>通过</x:v>
      </x:c>
      <x:c r="F18" s="39" t="str">
        <x:v>不自动拆分</x:v>
      </x:c>
    </x:row>
    <x:row r="19" ht="36" customHeight="1">
      <x:c r="A19" s="37" t="str">
        <x:v>斜杠被自动拆分违规</x:v>
      </x:c>
      <x:c r="B19" s="38" t="n">
        <x:v>0</x:v>
      </x:c>
      <x:c r="C19" s="38" t="n">
        <x:f>COUNTIFS('03_消耗端'!P5:P900,"是",'03_消耗端'!G5:G900,"")</x:f>
        <x:v>0</x:v>
      </x:c>
      <x:c r="D19" s="38" t="n">
        <x:f>B19-C19</x:f>
        <x:v>0</x:v>
      </x:c>
      <x:c r="E19" s="47" t="str">
        <x:f>IF(D19=0,"通过","失败")</x:f>
        <x:v>通过</x:v>
      </x:c>
      <x:c r="F19" s="39" t="str">
        <x:v>必须为0</x:v>
      </x:c>
    </x:row>
    <x:row r="20" ht="36" customHeight="1">
      <x:c r="A20" s="37" t="str">
        <x:v>C10称号仍含收藏材</x:v>
      </x:c>
      <x:c r="B20" s="38" t="n">
        <x:v>0</x:v>
      </x:c>
      <x:c r="C20" s="38" t="n">
        <x:f>COUNTIFS('03_消耗端'!C5:C900,"C10-SYN-TT-01",'03_消耗端'!F5:F900,"*穹律鎏痕拓片*")</x:f>
        <x:v>0</x:v>
      </x:c>
      <x:c r="D20" s="38" t="n">
        <x:f>B20-C20</x:f>
        <x:v>0</x:v>
      </x:c>
      <x:c r="E20" s="47" t="str">
        <x:f>IF(D20=0,"通过","失败")</x:f>
        <x:v>通过</x:v>
      </x:c>
      <x:c r="F20" s="39" t="str">
        <x:v>必须为0</x:v>
      </x:c>
    </x:row>
    <x:row r="21" ht="36" customHeight="1">
      <x:c r="A21" s="37" t="str">
        <x:v>硬缺口</x:v>
      </x:c>
      <x:c r="B21" s="38" t="n">
        <x:v>4</x:v>
      </x:c>
      <x:c r="C21" s="38" t="n">
        <x:f>COUNTIF('06_未闭合清单'!B5:B60,"硬缺口")</x:f>
        <x:v>4</x:v>
      </x:c>
      <x:c r="D21" s="38" t="n">
        <x:f>B21-C21</x:f>
        <x:v>0</x:v>
      </x:c>
      <x:c r="E21" s="47" t="str">
        <x:f>IF(D21=0,"通过","失败")</x:f>
        <x:v>通过</x:v>
      </x:c>
      <x:c r="F21" s="39" t="str">
        <x:v>C1/C2收藏＋小/大卢恩</x:v>
      </x:c>
    </x:row>
    <x:row r="22" ht="36" customHeight="1">
      <x:c r="A22" s="40" t="str">
        <x:v>闲置材料建议消费端</x:v>
      </x:c>
      <x:c r="B22" s="41" t="n">
        <x:v>7</x:v>
      </x:c>
      <x:c r="C22" s="41" t="n">
        <x:f>COUNTIF('03_消耗端'!B5:B900,"建议系统消耗")</x:f>
        <x:v>7</x:v>
      </x:c>
      <x:c r="D22" s="41" t="n">
        <x:f>B22-C22</x:f>
        <x:v>0</x:v>
      </x:c>
      <x:c r="E22" s="48" t="str">
        <x:f>IF(D22=0,"通过","失败")</x:f>
        <x:v>通过</x:v>
      </x:c>
      <x:c r="F22" s="42" t="str">
        <x:v>既有系统接入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4a46540e5c41c9"/>
  </x:tableParts>
</x:worksheet>
</file>