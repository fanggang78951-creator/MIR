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7f01cc0b304f3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交付说明" sheetId="1" r:id="Rf4bfcfb5071640ef"/>
    <x:sheet xmlns:r="http://schemas.openxmlformats.org/officeDocument/2006/relationships" name="玩家与战斗基准" sheetId="2" r:id="Ra38807252e724d99"/>
    <x:sheet xmlns:r="http://schemas.openxmlformats.org/officeDocument/2006/relationships" name="怪物计算依据" sheetId="3" r:id="Rde23c152c28c4c6b"/>
    <x:sheet xmlns:r="http://schemas.openxmlformats.org/officeDocument/2006/relationships" name="装备计算与质检" sheetId="4" r:id="R8a43b64bc7fe41a4"/>
    <x:sheet xmlns:r="http://schemas.openxmlformats.org/officeDocument/2006/relationships" name="资源字典" sheetId="5" r:id="Rb7fe325b804d44ca"/>
    <x:sheet xmlns:r="http://schemas.openxmlformats.org/officeDocument/2006/relationships" name="NPC矩阵" sheetId="6" r:id="Ra40a9366a41940e5"/>
    <x:sheet xmlns:r="http://schemas.openxmlformats.org/officeDocument/2006/relationships" name="掉落与回收边界" sheetId="7" r:id="R2dd9eb844c4b425b"/>
    <x:sheet xmlns:r="http://schemas.openxmlformats.org/officeDocument/2006/relationships" name="神印255档" sheetId="8" r:id="Rc3cd26c997534bd4"/>
    <x:sheet xmlns:r="http://schemas.openxmlformats.org/officeDocument/2006/relationships" name="产消公式" sheetId="9" r:id="R78a5bf3dcf0e4fd0"/>
    <x:sheet xmlns:r="http://schemas.openxmlformats.org/officeDocument/2006/relationships" name="总质检" sheetId="10" r:id="R8d02e2c7dc5b4f5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.00"/>
    <x:numFmt numFmtId="202" formatCode="0%"/>
  </x:numFmts>
  <x:fonts count="5">
    <x:font>
      <x:sz val="11"/>
      <x:name val="Carlito"/>
    </x:font>
    <x:font>
      <x:b/>
      <x:sz val="16"/>
      <x:color rgb="FFFFFFFF"/>
      <x:name val="Microsoft YaHei"/>
    </x:font>
    <x:font>
      <x:b/>
      <x:sz val="11"/>
      <x:color rgb="FF17365D"/>
      <x:name val="Carlito"/>
    </x:font>
    <x:font>
      <x:sz val="10"/>
      <x:color rgb="FF1F2937"/>
      <x:name val="Microsoft YaHei"/>
    </x:font>
    <x:font>
      <x:b/>
      <x:sz val="10"/>
      <x:color rgb="FFFFFFFF"/>
      <x:name val="Microsoft YaHei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</x:fills>
  <x:borders count="1">
    <x:border/>
  </x:borders>
  <x:cellStyleXfs count="1">
    <x:xf numFmtId="0" fontId="0" fillId="0" borderId="0"/>
  </x:cellStyleXfs>
  <x:cellXfs count="1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3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200" fontId="3" fillId="0" borderId="0" xfId="0" applyNumberFormat="1" applyFont="1" applyFill="1" applyBorder="1"/>
    <x:xf numFmtId="201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202" fontId="3" fillId="0" borderId="0" xfId="0" applyNumberFormat="1" applyFont="1" applyFill="1" applyBorder="1"/>
    <x:xf numFmtId="202" fontId="3" fillId="0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aacb0d8b994093" /><Relationship Type="http://schemas.openxmlformats.org/officeDocument/2006/relationships/theme" Target="/xl/theme/theme1.xml" Id="R64f4140de23b4fe4" /><Relationship Type="http://schemas.openxmlformats.org/officeDocument/2006/relationships/sharedStrings" Target="/xl/sharedStrings.xml" Id="Re0580e4fa8e04460" /><Relationship Type="http://schemas.openxmlformats.org/officeDocument/2006/relationships/worksheet" Target="/xl/worksheets/sheet1.xml" Id="Rf4bfcfb5071640ef" /><Relationship Type="http://schemas.openxmlformats.org/officeDocument/2006/relationships/worksheet" Target="/xl/worksheets/sheet2.xml" Id="Ra38807252e724d99" /><Relationship Type="http://schemas.openxmlformats.org/officeDocument/2006/relationships/worksheet" Target="/xl/worksheets/sheet3.xml" Id="Rde23c152c28c4c6b" /><Relationship Type="http://schemas.openxmlformats.org/officeDocument/2006/relationships/worksheet" Target="/xl/worksheets/sheet4.xml" Id="R8a43b64bc7fe41a4" /><Relationship Type="http://schemas.openxmlformats.org/officeDocument/2006/relationships/worksheet" Target="/xl/worksheets/sheet5.xml" Id="Rb7fe325b804d44ca" /><Relationship Type="http://schemas.openxmlformats.org/officeDocument/2006/relationships/worksheet" Target="/xl/worksheets/sheet6.xml" Id="Ra40a9366a41940e5" /><Relationship Type="http://schemas.openxmlformats.org/officeDocument/2006/relationships/worksheet" Target="/xl/worksheets/sheet7.xml" Id="R2dd9eb844c4b425b" /><Relationship Type="http://schemas.openxmlformats.org/officeDocument/2006/relationships/worksheet" Target="/xl/worksheets/sheet8.xml" Id="Rc3cd26c997534bd4" /><Relationship Type="http://schemas.openxmlformats.org/officeDocument/2006/relationships/worksheet" Target="/xl/worksheets/sheet9.xml" Id="R78a5bf3dcf0e4fd0" /><Relationship Type="http://schemas.openxmlformats.org/officeDocument/2006/relationships/worksheet" Target="/xl/worksheets/sheet10.xml" Id="R8d02e2c7dc5b4f5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10" hidden="0" customWidth="1"/>
  </x:cols>
  <x:sheetData>
    <x:row r="1" ht="32" customHeight="1">
      <x:c r="A1" s="2" t="str">
        <x:v>《艾尔登法环》第一、第二大陆数值施工包｜依据与执行边界</x:v>
      </x:c>
      <x:c r="B1" s="2"/>
      <x:c r="C1" s="2"/>
      <x:c r="D1" s="2"/>
      <x:c r="E1" s="2"/>
      <x:c r="F1" s="2"/>
      <x:c r="G1" s="2"/>
      <x:c r="H1" s="2"/>
    </x:row>
    <x:row r="3">
      <x:c r="A3" s="5" t="str">
        <x:v>项目</x:v>
      </x:c>
      <x:c r="B3" s="5" t="str">
        <x:v>内容</x:v>
      </x:c>
    </x:row>
    <x:row r="4">
      <x:c r="A4" s="6" t="str">
        <x:v>交付性质</x:v>
      </x:c>
      <x:c r="B4" s="6" t="str">
        <x:v>怪物与装备表为平台模板结构的修改表；资源/NPC表为规划与核算总账。</x:v>
      </x:c>
    </x:row>
    <x:row r="5">
      <x:c r="A5" s="6" t="str">
        <x:v>第一大陆</x:v>
      </x:c>
      <x:c r="B5" s="6" t="str">
        <x:v>整体无难度；36怪名称/数量/来源关系不动；HP保留正常血量，攻击压低；约5小时装备毕业。</x:v>
      </x:c>
    </x:row>
    <x:row r="6">
      <x:c r="A6" s="6" t="str">
        <x:v>第二大陆</x:v>
      </x:c>
      <x:c r="B6" s="6" t="str">
        <x:v>61怪名称/数量/颜色/模型/来源关系不动；HP按阶段DPS×目标击杀时间重算；数值须进服联调。</x:v>
      </x:c>
    </x:row>
    <x:row r="7">
      <x:c r="A7" s="6" t="str">
        <x:v>制式装备</x:v>
      </x:c>
      <x:c r="B7" s="6" t="str">
        <x:v>160件名称、部位、来源编号不动；第1—5套对应第一大陆，第6—20套对应宁姆格福。</x:v>
      </x:c>
    </x:row>
    <x:row r="8">
      <x:c r="A8" s="6" t="str">
        <x:v>专属装备</x:v>
      </x:c>
      <x:c r="B8" s="6" t="str">
        <x:v>105件名称、部位、来源编号、故事和属性方向不动；仅重算数值。</x:v>
      </x:c>
    </x:row>
    <x:row r="9">
      <x:c r="A9" s="6" t="str">
        <x:v>追梦神器</x:v>
      </x:c>
      <x:c r="B9" s="6" t="str">
        <x:v>6件可同时佩戴；共享乘区按六件叠加预算。部位必须以用户本机已修改的时装首饰盒版本为准。</x:v>
      </x:c>
    </x:row>
    <x:row r="10">
      <x:c r="A10" s="6" t="str">
        <x:v>硬禁忌</x:v>
      </x:c>
      <x:c r="B10" s="6" t="str">
        <x:v>武器必填准确/攻速；武器无先天幸运及防御/魔御；项链无防御/魔御；装备本体不投暴击几率。</x:v>
      </x:c>
    </x:row>
    <x:row r="11">
      <x:c r="A11" s="6" t="str">
        <x:v>材料</x:v>
      </x:c>
      <x:c r="B11" s="6" t="str">
        <x:v>没有平台正式材料模板、代码和最终名称，不生成伪材料导入表；资源字典中保留空码与待确认。</x:v>
      </x:c>
    </x:row>
    <x:row r="12">
      <x:c r="A12" s="6" t="str">
        <x:v>NPC坐标</x:v>
      </x:c>
      <x:c r="B12" s="6" t="str">
        <x:v>只写阶段、功能和位置原则；真实坐标未给时不填。</x:v>
      </x:c>
    </x:row>
    <x:row r="13">
      <x:c r="A13" s="6" t="str">
        <x:v>既有任务</x:v>
      </x:c>
      <x:c r="B13" s="6" t="str">
        <x:v>第一、第二大陆现有魂魄和任务原样沿用，不废除、不改奖励；后续大陆不新增魂魄任务链。</x:v>
      </x:c>
    </x:row>
    <x:row r="14">
      <x:c r="A14" s="6" t="str">
        <x:v>地图</x:v>
      </x:c>
      <x:c r="B14" s="6" t="str">
        <x:v>地图已全部做好；本包不改地图号、地图文件、传送坐标或地图尺寸。</x:v>
      </x:c>
    </x:row>
    <x:row r="15">
      <x:c r="A15" s="6" t="str">
        <x:v>编号</x:v>
      </x:c>
      <x:c r="B15" s="6" t="str">
        <x:v>地图号XX+数字与WZL来源编号纯数字分属不同命名空间；只分别查各自内部重复。</x:v>
      </x:c>
    </x:row>
    <x:row r="16">
      <x:c r="A16" s="6" t="str">
        <x:v>导入顺序</x:v>
      </x:c>
      <x:c r="B16" s="6" t="str">
        <x:v>备份→怪物修改表→制式装备→专属装备（追梦按名称只覆数值）→质检→测试服→进服实测。</x:v>
      </x:c>
    </x:row>
    <x:row r="17">
      <x:c r="A17" s="6" t="str">
        <x:v>停止条件</x:v>
      </x:c>
      <x:c r="B17" s="6" t="str">
        <x:v>模板列数/表头不一致、名称无法唯一匹配、追梦六槽本机版缺失、引擎公式与目标差异&gt;15%时停止，不直接写生产库。</x:v>
      </x:c>
    </x:row>
    <x:row r="18">
      <x:c r="A18" s="6"/>
      <x:c r="B18" s="6"/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8" hidden="0" customWidth="1"/>
    <x:col min="3" max="3" width="28" hidden="0" customWidth="1"/>
    <x:col min="4" max="4" width="18" hidden="0" customWidth="1"/>
    <x:col min="5" max="5" width="18" hidden="0" customWidth="1"/>
    <x:col min="6" max="6" width="18" hidden="0" customWidth="1"/>
    <x:col min="7" max="7" width="52" hidden="0" customWidth="1"/>
  </x:cols>
  <x:sheetData>
    <x:row r="1" ht="30" customHeight="1">
      <x:c r="A1" s="10" t="str">
        <x:v>阶段</x:v>
      </x:c>
      <x:c r="B1" s="7" t="str">
        <x:v>状态</x:v>
      </x:c>
      <x:c r="C1" s="7" t="str">
        <x:v>最高攻击/阶段DPS</x:v>
      </x:c>
      <x:c r="D1" s="7" t="str">
        <x:v>最大HP</x:v>
      </x:c>
      <x:c r="E1" s="7" t="str">
        <x:v>固定切割</x:v>
      </x:c>
      <x:c r="F1" s="7" t="str">
        <x:v>固定回血</x:v>
      </x:c>
      <x:c r="G1" s="7" t="str">
        <x:v>依据</x:v>
      </x:c>
    </x:row>
    <x:row r="2">
      <x:c r="A2" s="7" t="str">
        <x:v>第一大陆S0</x:v>
      </x:c>
      <x:c r="B2" s="7" t="str">
        <x:v>已确认</x:v>
      </x:c>
      <x:c r="C2" s="7" t="n">
        <x:v>162</x:v>
      </x:c>
      <x:c r="D2" s="7" t="n">
        <x:v>10000</x:v>
      </x:c>
      <x:c r="E2" s="7"/>
      <x:c r="F2" s="7"/>
      <x:c r="G2" s="7" t="str">
        <x:v>完成可快速取得的付费成长</x:v>
      </x:c>
    </x:row>
    <x:row r="3">
      <x:c r="A3" s="7" t="str">
        <x:v>第一大陆S1</x:v>
      </x:c>
      <x:c r="B3" s="7" t="str">
        <x:v>已确认</x:v>
      </x:c>
      <x:c r="C3" s="7" t="n">
        <x:v>260</x:v>
      </x:c>
      <x:c r="D3" s="7" t="str">
        <x:v>待实测</x:v>
      </x:c>
      <x:c r="E3" s="7" t="str">
        <x:v>5000/刀</x:v>
      </x:c>
      <x:c r="F3" s="7" t="str">
        <x:v>2000/秒</x:v>
      </x:c>
      <x:c r="G3" s="7" t="str">
        <x:v>短期切割和回血成长完成</x:v>
      </x:c>
    </x:row>
    <x:row r="4">
      <x:c r="A4" s="7" t="str">
        <x:v>宁姆格福组1</x:v>
      </x:c>
      <x:c r="B4" s="7" t="str">
        <x:v>方案计算基准</x:v>
      </x:c>
      <x:c r="C4" s="7" t="n">
        <x:v>8888</x:v>
      </x:c>
      <x:c r="D4" s="7"/>
      <x:c r="E4" s="7"/>
      <x:c r="F4" s="7"/>
      <x:c r="G4" s="7" t="str">
        <x:v>用于HP=阶段DPS×目标秒数；非角色面板攻击</x:v>
      </x:c>
    </x:row>
    <x:row r="5">
      <x:c r="A5" s="7" t="str">
        <x:v>宁姆格福组2</x:v>
      </x:c>
      <x:c r="B5" s="7" t="str">
        <x:v>方案计算基准</x:v>
      </x:c>
      <x:c r="C5" s="7" t="n">
        <x:v>15000</x:v>
      </x:c>
      <x:c r="D5" s="7"/>
      <x:c r="E5" s="7"/>
      <x:c r="F5" s="7"/>
      <x:c r="G5" s="7" t="str">
        <x:v>需测试服实测DPS校准</x:v>
      </x:c>
    </x:row>
    <x:row r="6">
      <x:c r="A6" s="7" t="str">
        <x:v>宁姆格福组3</x:v>
      </x:c>
      <x:c r="B6" s="7" t="str">
        <x:v>方案计算基准</x:v>
      </x:c>
      <x:c r="C6" s="7" t="n">
        <x:v>25000</x:v>
      </x:c>
      <x:c r="D6" s="7"/>
      <x:c r="E6" s="7"/>
      <x:c r="F6" s="7"/>
      <x:c r="G6" s="7" t="str">
        <x:v>含装备、系统和技能综合输出</x:v>
      </x:c>
    </x:row>
    <x:row r="7">
      <x:c r="A7" s="7" t="str">
        <x:v>宁姆格福组4</x:v>
      </x:c>
      <x:c r="B7" s="7" t="str">
        <x:v>方案计算基准</x:v>
      </x:c>
      <x:c r="C7" s="7" t="n">
        <x:v>40000</x:v>
      </x:c>
      <x:c r="D7" s="7"/>
      <x:c r="E7" s="7"/>
      <x:c r="F7" s="7"/>
      <x:c r="G7" s="7" t="str">
        <x:v>含装备、系统和技能综合输出</x:v>
      </x:c>
    </x:row>
    <x:row r="8">
      <x:c r="A8" s="7" t="str">
        <x:v>宁姆格福组5</x:v>
      </x:c>
      <x:c r="B8" s="7" t="str">
        <x:v>方案计算基准</x:v>
      </x:c>
      <x:c r="C8" s="7" t="n">
        <x:v>65000</x:v>
      </x:c>
      <x:c r="D8" s="7"/>
      <x:c r="E8" s="7"/>
      <x:c r="F8" s="7"/>
      <x:c r="G8" s="7" t="str">
        <x:v>含装备、系统和技能综合输出</x:v>
      </x:c>
    </x:row>
    <x:row r="9">
      <x:c r="A9" s="7" t="str">
        <x:v>刀速</x:v>
      </x:c>
      <x:c r="B9" s="7" t="str">
        <x:v>已确认/待映射</x:v>
      </x:c>
      <x:c r="C9" s="7" t="str">
        <x:v>初始约2刀/秒；第一大陆毕业约3刀/秒</x:v>
      </x:c>
      <x:c r="D9" s="7"/>
      <x:c r="E9" s="7"/>
      <x:c r="F9" s="7"/>
      <x:c r="G9" s="7" t="str">
        <x:v>装备攻速字段与实际刀/秒仍需实测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2" hidden="0" customWidth="1"/>
    <x:col min="3" max="3" width="12" hidden="0" customWidth="1"/>
    <x:col min="4" max="4" width="28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56" hidden="0" customWidth="1"/>
  </x:cols>
  <x:sheetData>
    <x:row r="1" ht="30" customHeight="1">
      <x:c r="A1" s="10" t="str">
        <x:v>大陆</x:v>
      </x:c>
      <x:c r="B1" s="7" t="str">
        <x:v>组别</x:v>
      </x:c>
      <x:c r="C1" s="7" t="str">
        <x:v>类型</x:v>
      </x:c>
      <x:c r="D1" s="7" t="str">
        <x:v>怪物名称</x:v>
      </x:c>
      <x:c r="E1" s="7" t="str">
        <x:v>旧HP</x:v>
      </x:c>
      <x:c r="F1" s="7" t="str">
        <x:v>新HP</x:v>
      </x:c>
      <x:c r="G1" s="7" t="str">
        <x:v>旧防御</x:v>
      </x:c>
      <x:c r="H1" s="7" t="str">
        <x:v>新防御</x:v>
      </x:c>
      <x:c r="I1" s="7" t="str">
        <x:v>旧魔防</x:v>
      </x:c>
      <x:c r="J1" s="7" t="str">
        <x:v>新魔防</x:v>
      </x:c>
      <x:c r="K1" s="7" t="str">
        <x:v>旧攻击</x:v>
      </x:c>
      <x:c r="L1" s="7" t="str">
        <x:v>新攻击</x:v>
      </x:c>
      <x:c r="M1" s="7" t="str">
        <x:v>计算依据</x:v>
      </x:c>
    </x:row>
    <x:row r="2">
      <x:c r="A2" s="7" t="str">
        <x:v>第一大陆·漂流群岛</x:v>
      </x:c>
      <x:c r="B2" s="7" t="n">
        <x:v>1</x:v>
      </x:c>
      <x:c r="C2" s="7" t="str">
        <x:v>普通</x:v>
      </x:c>
      <x:c r="D2" s="7" t="str">
        <x:v>盐蚀流民</x:v>
      </x:c>
      <x:c r="E2" s="11" t="n">
        <x:v>45000</x:v>
      </x:c>
      <x:c r="F2" s="11" t="n">
        <x:v>45000</x:v>
      </x:c>
      <x:c r="G2" s="11" t="n">
        <x:v>5</x:v>
      </x:c>
      <x:c r="H2" s="11" t="n">
        <x:v>3</x:v>
      </x:c>
      <x:c r="I2" s="11" t="n">
        <x:v>3</x:v>
      </x:c>
      <x:c r="J2" s="11" t="n">
        <x:v>2</x:v>
      </x:c>
      <x:c r="K2" s="11" t="str">
        <x:v>1-3</x:v>
      </x:c>
      <x:c r="L2" s="11" t="str">
        <x:v>1-3</x:v>
      </x:c>
      <x:c r="M2" s="7" t="str">
        <x:v>HP沿用现成正常血量；攻击按无难度上限表；防御×0.5</x:v>
      </x:c>
    </x:row>
    <x:row r="3">
      <x:c r="A3" s="7" t="str">
        <x:v>第一大陆·漂流群岛</x:v>
      </x:c>
      <x:c r="B3" s="7" t="n">
        <x:v>1</x:v>
      </x:c>
      <x:c r="C3" s="7" t="str">
        <x:v>普通</x:v>
      </x:c>
      <x:c r="D3" s="7" t="str">
        <x:v>断桨弩手</x:v>
      </x:c>
      <x:c r="E3" s="11" t="n">
        <x:v>52000</x:v>
      </x:c>
      <x:c r="F3" s="11" t="n">
        <x:v>52000</x:v>
      </x:c>
      <x:c r="G3" s="11" t="n">
        <x:v>4</x:v>
      </x:c>
      <x:c r="H3" s="11" t="n">
        <x:v>2</x:v>
      </x:c>
      <x:c r="I3" s="11" t="n">
        <x:v>4</x:v>
      </x:c>
      <x:c r="J3" s="11" t="n">
        <x:v>2</x:v>
      </x:c>
      <x:c r="K3" s="11" t="str">
        <x:v>2-4</x:v>
      </x:c>
      <x:c r="L3" s="11" t="str">
        <x:v>2-4</x:v>
      </x:c>
      <x:c r="M3" s="7" t="str">
        <x:v>HP沿用现成正常血量；攻击按无难度上限表；防御×0.5</x:v>
      </x:c>
    </x:row>
    <x:row r="4">
      <x:c r="A4" s="7" t="str">
        <x:v>第一大陆·漂流群岛</x:v>
      </x:c>
      <x:c r="B4" s="7" t="n">
        <x:v>1</x:v>
      </x:c>
      <x:c r="C4" s="7" t="str">
        <x:v>普通</x:v>
      </x:c>
      <x:c r="D4" s="7" t="str">
        <x:v>漂流尸兵</x:v>
      </x:c>
      <x:c r="E4" s="11" t="n">
        <x:v>70000</x:v>
      </x:c>
      <x:c r="F4" s="11" t="n">
        <x:v>70000</x:v>
      </x:c>
      <x:c r="G4" s="11" t="n">
        <x:v>7</x:v>
      </x:c>
      <x:c r="H4" s="11" t="n">
        <x:v>4</x:v>
      </x:c>
      <x:c r="I4" s="11" t="n">
        <x:v>5</x:v>
      </x:c>
      <x:c r="J4" s="11" t="n">
        <x:v>3</x:v>
      </x:c>
      <x:c r="K4" s="11" t="str">
        <x:v>2-5</x:v>
      </x:c>
      <x:c r="L4" s="11" t="str">
        <x:v>2-5</x:v>
      </x:c>
      <x:c r="M4" s="7" t="str">
        <x:v>HP沿用现成正常血量；攻击按无难度上限表；防御×0.5</x:v>
      </x:c>
    </x:row>
    <x:row r="5">
      <x:c r="A5" s="7" t="str">
        <x:v>第一大陆·漂流群岛</x:v>
      </x:c>
      <x:c r="B5" s="7" t="n">
        <x:v>1</x:v>
      </x:c>
      <x:c r="C5" s="7" t="str">
        <x:v>普通</x:v>
      </x:c>
      <x:c r="D5" s="7" t="str">
        <x:v>失乡猎犬</x:v>
      </x:c>
      <x:c r="E5" s="11" t="n">
        <x:v>90000</x:v>
      </x:c>
      <x:c r="F5" s="11" t="n">
        <x:v>90000</x:v>
      </x:c>
      <x:c r="G5" s="11" t="n">
        <x:v>6</x:v>
      </x:c>
      <x:c r="H5" s="11" t="n">
        <x:v>3</x:v>
      </x:c>
      <x:c r="I5" s="11" t="n">
        <x:v>4</x:v>
      </x:c>
      <x:c r="J5" s="11" t="n">
        <x:v>2</x:v>
      </x:c>
      <x:c r="K5" s="11" t="str">
        <x:v>3-6</x:v>
      </x:c>
      <x:c r="L5" s="11" t="str">
        <x:v>3-6</x:v>
      </x:c>
      <x:c r="M5" s="7" t="str">
        <x:v>HP沿用现成正常血量；攻击按无难度上限表；防御×0.5</x:v>
      </x:c>
    </x:row>
    <x:row r="6">
      <x:c r="A6" s="7" t="str">
        <x:v>第一大陆·漂流群岛</x:v>
      </x:c>
      <x:c r="B6" s="7" t="n">
        <x:v>1</x:v>
      </x:c>
      <x:c r="C6" s="7" t="str">
        <x:v>普通</x:v>
      </x:c>
      <x:c r="D6" s="7" t="str">
        <x:v>腐潮巨蟹</x:v>
      </x:c>
      <x:c r="E6" s="11" t="n">
        <x:v>120000</x:v>
      </x:c>
      <x:c r="F6" s="11" t="n">
        <x:v>120000</x:v>
      </x:c>
      <x:c r="G6" s="11" t="n">
        <x:v>12</x:v>
      </x:c>
      <x:c r="H6" s="11" t="n">
        <x:v>6</x:v>
      </x:c>
      <x:c r="I6" s="11" t="n">
        <x:v>8</x:v>
      </x:c>
      <x:c r="J6" s="11" t="n">
        <x:v>4</x:v>
      </x:c>
      <x:c r="K6" s="11" t="str">
        <x:v>4-8</x:v>
      </x:c>
      <x:c r="L6" s="11" t="str">
        <x:v>4-8</x:v>
      </x:c>
      <x:c r="M6" s="7" t="str">
        <x:v>HP沿用现成正常血量；攻击按无难度上限表；防御×0.5</x:v>
      </x:c>
    </x:row>
    <x:row r="7">
      <x:c r="A7" s="7" t="str">
        <x:v>第一大陆·漂流群岛</x:v>
      </x:c>
      <x:c r="B7" s="7" t="n">
        <x:v>1</x:v>
      </x:c>
      <x:c r="C7" s="7" t="str">
        <x:v>稀有</x:v>
      </x:c>
      <x:c r="D7" s="7" t="str">
        <x:v>铁锚行刑者</x:v>
      </x:c>
      <x:c r="E7" s="11" t="n">
        <x:v>320000</x:v>
      </x:c>
      <x:c r="F7" s="11" t="n">
        <x:v>320000</x:v>
      </x:c>
      <x:c r="G7" s="11" t="n">
        <x:v>16</x:v>
      </x:c>
      <x:c r="H7" s="11" t="n">
        <x:v>8</x:v>
      </x:c>
      <x:c r="I7" s="11" t="n">
        <x:v>10</x:v>
      </x:c>
      <x:c r="J7" s="11" t="n">
        <x:v>5</x:v>
      </x:c>
      <x:c r="K7" s="11" t="str">
        <x:v>6-12</x:v>
      </x:c>
      <x:c r="L7" s="11" t="str">
        <x:v>6-12</x:v>
      </x:c>
      <x:c r="M7" s="7" t="str">
        <x:v>HP沿用现成正常血量；攻击按无难度上限表；防御×0.5</x:v>
      </x:c>
    </x:row>
    <x:row r="8">
      <x:c r="A8" s="7" t="str">
        <x:v>第一大陆·漂流群岛</x:v>
      </x:c>
      <x:c r="B8" s="7" t="n">
        <x:v>1</x:v>
      </x:c>
      <x:c r="C8" s="7" t="str">
        <x:v>稀有</x:v>
      </x:c>
      <x:c r="D8" s="7" t="str">
        <x:v>唤潮祷师</x:v>
      </x:c>
      <x:c r="E8" s="11" t="n">
        <x:v>360000</x:v>
      </x:c>
      <x:c r="F8" s="11" t="n">
        <x:v>360000</x:v>
      </x:c>
      <x:c r="G8" s="11" t="n">
        <x:v>10</x:v>
      </x:c>
      <x:c r="H8" s="11" t="n">
        <x:v>5</x:v>
      </x:c>
      <x:c r="I8" s="11" t="n">
        <x:v>16</x:v>
      </x:c>
      <x:c r="J8" s="11" t="n">
        <x:v>8</x:v>
      </x:c>
      <x:c r="K8" s="11" t="str">
        <x:v>5-10</x:v>
      </x:c>
      <x:c r="L8" s="11" t="str">
        <x:v>5-10</x:v>
      </x:c>
      <x:c r="M8" s="7" t="str">
        <x:v>HP沿用现成正常血量；攻击按无难度上限表；防御×0.5</x:v>
      </x:c>
    </x:row>
    <x:row r="9">
      <x:c r="A9" s="7" t="str">
        <x:v>第一大陆·漂流群岛</x:v>
      </x:c>
      <x:c r="B9" s="7" t="n">
        <x:v>1</x:v>
      </x:c>
      <x:c r="C9" s="7" t="str">
        <x:v>稀有</x:v>
      </x:c>
      <x:c r="D9" s="7" t="str">
        <x:v>沉船守财者</x:v>
      </x:c>
      <x:c r="E9" s="11" t="n">
        <x:v>480000</x:v>
      </x:c>
      <x:c r="F9" s="11" t="n">
        <x:v>480000</x:v>
      </x:c>
      <x:c r="G9" s="11" t="n">
        <x:v>20</x:v>
      </x:c>
      <x:c r="H9" s="11" t="n">
        <x:v>10</x:v>
      </x:c>
      <x:c r="I9" s="11" t="n">
        <x:v>14</x:v>
      </x:c>
      <x:c r="J9" s="11" t="n">
        <x:v>7</x:v>
      </x:c>
      <x:c r="K9" s="11" t="str">
        <x:v>8-15</x:v>
      </x:c>
      <x:c r="L9" s="11" t="str">
        <x:v>8-15</x:v>
      </x:c>
      <x:c r="M9" s="7" t="str">
        <x:v>HP沿用现成正常血量；攻击按无难度上限表；防御×0.5</x:v>
      </x:c>
    </x:row>
    <x:row r="10">
      <x:c r="A10" s="7" t="str">
        <x:v>第一大陆·漂流群岛</x:v>
      </x:c>
      <x:c r="B10" s="7" t="n">
        <x:v>1</x:v>
      </x:c>
      <x:c r="C10" s="7" t="str">
        <x:v>稀有</x:v>
      </x:c>
      <x:c r="D10" s="7" t="str">
        <x:v>海雾骑士</x:v>
      </x:c>
      <x:c r="E10" s="11" t="n">
        <x:v>650000</x:v>
      </x:c>
      <x:c r="F10" s="11" t="n">
        <x:v>650000</x:v>
      </x:c>
      <x:c r="G10" s="11" t="n">
        <x:v>24</x:v>
      </x:c>
      <x:c r="H10" s="11" t="n">
        <x:v>12</x:v>
      </x:c>
      <x:c r="I10" s="11" t="n">
        <x:v>18</x:v>
      </x:c>
      <x:c r="J10" s="11" t="n">
        <x:v>9</x:v>
      </x:c>
      <x:c r="K10" s="11" t="str">
        <x:v>10-18</x:v>
      </x:c>
      <x:c r="L10" s="11" t="str">
        <x:v>10-18</x:v>
      </x:c>
      <x:c r="M10" s="7" t="str">
        <x:v>HP沿用现成正常血量；攻击按无难度上限表；防御×0.5</x:v>
      </x:c>
    </x:row>
    <x:row r="11">
      <x:c r="A11" s="7" t="str">
        <x:v>第一大陆·漂流群岛</x:v>
      </x:c>
      <x:c r="B11" s="7" t="n">
        <x:v>1</x:v>
      </x:c>
      <x:c r="C11" s="7" t="str">
        <x:v>BOSS</x:v>
      </x:c>
      <x:c r="D11" s="7" t="str">
        <x:v>断桅船长·赫恩</x:v>
      </x:c>
      <x:c r="E11" s="11" t="n">
        <x:v>1200000</x:v>
      </x:c>
      <x:c r="F11" s="11" t="n">
        <x:v>1200000</x:v>
      </x:c>
      <x:c r="G11" s="11" t="n">
        <x:v>32</x:v>
      </x:c>
      <x:c r="H11" s="11" t="n">
        <x:v>16</x:v>
      </x:c>
      <x:c r="I11" s="11" t="n">
        <x:v>24</x:v>
      </x:c>
      <x:c r="J11" s="11" t="n">
        <x:v>12</x:v>
      </x:c>
      <x:c r="K11" s="11" t="str">
        <x:v>240-360</x:v>
      </x:c>
      <x:c r="L11" s="11" t="str">
        <x:v>60-88</x:v>
      </x:c>
      <x:c r="M11" s="7" t="str">
        <x:v>HP沿用现成正常血量；攻击按无难度上限表；防御×0.5</x:v>
      </x:c>
    </x:row>
    <x:row r="12">
      <x:c r="A12" s="7" t="str">
        <x:v>第一大陆·漂流群岛</x:v>
      </x:c>
      <x:c r="B12" s="7" t="n">
        <x:v>1</x:v>
      </x:c>
      <x:c r="C12" s="7" t="str">
        <x:v>BOSS</x:v>
      </x:c>
      <x:c r="D12" s="7" t="str">
        <x:v>吞岸巨兽·格拉姆</x:v>
      </x:c>
      <x:c r="E12" s="11" t="n">
        <x:v>2200000</x:v>
      </x:c>
      <x:c r="F12" s="11" t="n">
        <x:v>2200000</x:v>
      </x:c>
      <x:c r="G12" s="11" t="n">
        <x:v>42</x:v>
      </x:c>
      <x:c r="H12" s="11" t="n">
        <x:v>22</x:v>
      </x:c>
      <x:c r="I12" s="11" t="n">
        <x:v>30</x:v>
      </x:c>
      <x:c r="J12" s="11" t="n">
        <x:v>15</x:v>
      </x:c>
      <x:c r="K12" s="11" t="str">
        <x:v>400-650</x:v>
      </x:c>
      <x:c r="L12" s="11" t="str">
        <x:v>88-111</x:v>
      </x:c>
      <x:c r="M12" s="7" t="str">
        <x:v>HP沿用现成正常血量；攻击按无难度上限表；防御×0.5</x:v>
      </x:c>
    </x:row>
    <x:row r="13">
      <x:c r="A13" s="7" t="str">
        <x:v>第一大陆·漂流群岛</x:v>
      </x:c>
      <x:c r="B13" s="7" t="n">
        <x:v>2</x:v>
      </x:c>
      <x:c r="C13" s="7" t="str">
        <x:v>普通</x:v>
      </x:c>
      <x:c r="D13" s="7" t="str">
        <x:v>风蚀守卫</x:v>
      </x:c>
      <x:c r="E13" s="11" t="n">
        <x:v>200000</x:v>
      </x:c>
      <x:c r="F13" s="11" t="n">
        <x:v>200000</x:v>
      </x:c>
      <x:c r="G13" s="11" t="n">
        <x:v>45</x:v>
      </x:c>
      <x:c r="H13" s="11" t="n">
        <x:v>22</x:v>
      </x:c>
      <x:c r="I13" s="11" t="n">
        <x:v>32</x:v>
      </x:c>
      <x:c r="J13" s="11" t="n">
        <x:v>16</x:v>
      </x:c>
      <x:c r="K13" s="11" t="str">
        <x:v>420-550</x:v>
      </x:c>
      <x:c r="L13" s="11" t="str">
        <x:v>12-22</x:v>
      </x:c>
      <x:c r="M13" s="7" t="str">
        <x:v>HP沿用现成正常血量；攻击按无难度上限表；防御×0.5</x:v>
      </x:c>
    </x:row>
    <x:row r="14">
      <x:c r="A14" s="7" t="str">
        <x:v>第一大陆·漂流群岛</x:v>
      </x:c>
      <x:c r="B14" s="7" t="n">
        <x:v>2</x:v>
      </x:c>
      <x:c r="C14" s="7" t="str">
        <x:v>普通</x:v>
      </x:c>
      <x:c r="D14" s="7" t="str">
        <x:v>断崖弩手</x:v>
      </x:c>
      <x:c r="E14" s="11" t="n">
        <x:v>260000</x:v>
      </x:c>
      <x:c r="F14" s="11" t="n">
        <x:v>260000</x:v>
      </x:c>
      <x:c r="G14" s="11" t="n">
        <x:v>38</x:v>
      </x:c>
      <x:c r="H14" s="11" t="n">
        <x:v>19</x:v>
      </x:c>
      <x:c r="I14" s="11" t="n">
        <x:v>38</x:v>
      </x:c>
      <x:c r="J14" s="11" t="n">
        <x:v>19</x:v>
      </x:c>
      <x:c r="K14" s="11" t="str">
        <x:v>440-590</x:v>
      </x:c>
      <x:c r="L14" s="11" t="str">
        <x:v>14-24</x:v>
      </x:c>
      <x:c r="M14" s="7" t="str">
        <x:v>HP沿用现成正常血量；攻击按无难度上限表；防御×0.5</x:v>
      </x:c>
    </x:row>
    <x:row r="15">
      <x:c r="A15" s="7" t="str">
        <x:v>第一大陆·漂流群岛</x:v>
      </x:c>
      <x:c r="B15" s="7" t="n">
        <x:v>2</x:v>
      </x:c>
      <x:c r="C15" s="7" t="str">
        <x:v>普通</x:v>
      </x:c>
      <x:c r="D15" s="7" t="str">
        <x:v>雷羽鹰</x:v>
      </x:c>
      <x:c r="E15" s="11" t="n">
        <x:v>340000</x:v>
      </x:c>
      <x:c r="F15" s="11" t="n">
        <x:v>340000</x:v>
      </x:c>
      <x:c r="G15" s="11" t="n">
        <x:v>42</x:v>
      </x:c>
      <x:c r="H15" s="11" t="n">
        <x:v>22</x:v>
      </x:c>
      <x:c r="I15" s="11" t="n">
        <x:v>46</x:v>
      </x:c>
      <x:c r="J15" s="11" t="n">
        <x:v>24</x:v>
      </x:c>
      <x:c r="K15" s="11" t="str">
        <x:v>330-450</x:v>
      </x:c>
      <x:c r="L15" s="11" t="str">
        <x:v>12-20</x:v>
      </x:c>
      <x:c r="M15" s="7" t="str">
        <x:v>HP沿用现成正常血量；攻击按无难度上限表；防御×0.5</x:v>
      </x:c>
    </x:row>
    <x:row r="16">
      <x:c r="A16" s="7" t="str">
        <x:v>第一大陆·漂流群岛</x:v>
      </x:c>
      <x:c r="B16" s="7" t="n">
        <x:v>2</x:v>
      </x:c>
      <x:c r="C16" s="7" t="str">
        <x:v>普通</x:v>
      </x:c>
      <x:c r="D16" s="7" t="str">
        <x:v>狂风战奴</x:v>
      </x:c>
      <x:c r="E16" s="11" t="n">
        <x:v>450000</x:v>
      </x:c>
      <x:c r="F16" s="11" t="n">
        <x:v>450000</x:v>
      </x:c>
      <x:c r="G16" s="11" t="n">
        <x:v>58</x:v>
      </x:c>
      <x:c r="H16" s="11" t="n">
        <x:v>30</x:v>
      </x:c>
      <x:c r="I16" s="11" t="n">
        <x:v>40</x:v>
      </x:c>
      <x:c r="J16" s="11" t="n">
        <x:v>20</x:v>
      </x:c>
      <x:c r="K16" s="11" t="str">
        <x:v>380-520</x:v>
      </x:c>
      <x:c r="L16" s="11" t="str">
        <x:v>16-26</x:v>
      </x:c>
      <x:c r="M16" s="7" t="str">
        <x:v>HP沿用现成正常血量；攻击按无难度上限表；防御×0.5</x:v>
      </x:c>
    </x:row>
    <x:row r="17">
      <x:c r="A17" s="7" t="str">
        <x:v>第一大陆·漂流群岛</x:v>
      </x:c>
      <x:c r="B17" s="7" t="n">
        <x:v>2</x:v>
      </x:c>
      <x:c r="C17" s="7" t="str">
        <x:v>普通</x:v>
      </x:c>
      <x:c r="D17" s="7" t="str">
        <x:v>坠崖亡兵</x:v>
      </x:c>
      <x:c r="E17" s="11" t="n">
        <x:v>600000</x:v>
      </x:c>
      <x:c r="F17" s="11" t="n">
        <x:v>600000</x:v>
      </x:c>
      <x:c r="G17" s="11" t="n">
        <x:v>72</x:v>
      </x:c>
      <x:c r="H17" s="11" t="n">
        <x:v>36</x:v>
      </x:c>
      <x:c r="I17" s="11" t="n">
        <x:v>54</x:v>
      </x:c>
      <x:c r="J17" s="11" t="n">
        <x:v>28</x:v>
      </x:c>
      <x:c r="K17" s="11" t="str">
        <x:v>440-580</x:v>
      </x:c>
      <x:c r="L17" s="11" t="str">
        <x:v>18-28</x:v>
      </x:c>
      <x:c r="M17" s="7" t="str">
        <x:v>HP沿用现成正常血量；攻击按无难度上限表；防御×0.5</x:v>
      </x:c>
    </x:row>
    <x:row r="18">
      <x:c r="A18" s="7" t="str">
        <x:v>第一大陆·漂流群岛</x:v>
      </x:c>
      <x:c r="B18" s="7" t="n">
        <x:v>2</x:v>
      </x:c>
      <x:c r="C18" s="7" t="str">
        <x:v>普通</x:v>
      </x:c>
      <x:c r="D18" s="7" t="str">
        <x:v>崖穴石蜥</x:v>
      </x:c>
      <x:c r="E18" s="11" t="n">
        <x:v>780000</x:v>
      </x:c>
      <x:c r="F18" s="11" t="n">
        <x:v>780000</x:v>
      </x:c>
      <x:c r="G18" s="11" t="n">
        <x:v>90</x:v>
      </x:c>
      <x:c r="H18" s="11" t="n">
        <x:v>46</x:v>
      </x:c>
      <x:c r="I18" s="11" t="n">
        <x:v>66</x:v>
      </x:c>
      <x:c r="J18" s="11" t="n">
        <x:v>34</x:v>
      </x:c>
      <x:c r="K18" s="11" t="str">
        <x:v>500-660</x:v>
      </x:c>
      <x:c r="L18" s="11" t="str">
        <x:v>22-32</x:v>
      </x:c>
      <x:c r="M18" s="7" t="str">
        <x:v>HP沿用现成正常血量；攻击按无难度上限表；防御×0.5</x:v>
      </x:c>
    </x:row>
    <x:row r="19">
      <x:c r="A19" s="7" t="str">
        <x:v>第一大陆·漂流群岛</x:v>
      </x:c>
      <x:c r="B19" s="7" t="n">
        <x:v>2</x:v>
      </x:c>
      <x:c r="C19" s="7" t="str">
        <x:v>稀有</x:v>
      </x:c>
      <x:c r="D19" s="7" t="str">
        <x:v>逐雷骑士</x:v>
      </x:c>
      <x:c r="E19" s="11" t="n">
        <x:v>1200000</x:v>
      </x:c>
      <x:c r="F19" s="11" t="n">
        <x:v>1200000</x:v>
      </x:c>
      <x:c r="G19" s="11" t="n">
        <x:v>120</x:v>
      </x:c>
      <x:c r="H19" s="11" t="n">
        <x:v>60</x:v>
      </x:c>
      <x:c r="I19" s="11" t="n">
        <x:v>90</x:v>
      </x:c>
      <x:c r="J19" s="11" t="n">
        <x:v>46</x:v>
      </x:c>
      <x:c r="K19" s="11" t="str">
        <x:v>700-930</x:v>
      </x:c>
      <x:c r="L19" s="11" t="str">
        <x:v>28-48</x:v>
      </x:c>
      <x:c r="M19" s="7" t="str">
        <x:v>HP沿用现成正常血量；攻击按无难度上限表；防御×0.5</x:v>
      </x:c>
    </x:row>
    <x:row r="20">
      <x:c r="A20" s="7" t="str">
        <x:v>第一大陆·漂流群岛</x:v>
      </x:c>
      <x:c r="B20" s="7" t="n">
        <x:v>2</x:v>
      </x:c>
      <x:c r="C20" s="7" t="str">
        <x:v>稀有</x:v>
      </x:c>
      <x:c r="D20" s="7" t="str">
        <x:v>风暴祭司</x:v>
      </x:c>
      <x:c r="E20" s="11" t="n">
        <x:v>1600000</x:v>
      </x:c>
      <x:c r="F20" s="11" t="n">
        <x:v>1600000</x:v>
      </x:c>
      <x:c r="G20" s="11" t="n">
        <x:v>105</x:v>
      </x:c>
      <x:c r="H20" s="11" t="n">
        <x:v>52</x:v>
      </x:c>
      <x:c r="I20" s="11" t="n">
        <x:v>150</x:v>
      </x:c>
      <x:c r="J20" s="11" t="n">
        <x:v>76</x:v>
      </x:c>
      <x:c r="K20" s="11" t="str">
        <x:v>850-1100</x:v>
      </x:c>
      <x:c r="L20" s="11" t="str">
        <x:v>32-58</x:v>
      </x:c>
      <x:c r="M20" s="7" t="str">
        <x:v>HP沿用现成正常血量；攻击按无难度上限表；防御×0.5</x:v>
      </x:c>
    </x:row>
    <x:row r="21">
      <x:c r="A21" s="7" t="str">
        <x:v>第一大陆·漂流群岛</x:v>
      </x:c>
      <x:c r="B21" s="7" t="n">
        <x:v>2</x:v>
      </x:c>
      <x:c r="C21" s="7" t="str">
        <x:v>稀有</x:v>
      </x:c>
      <x:c r="D21" s="7" t="str">
        <x:v>裂岩巨人</x:v>
      </x:c>
      <x:c r="E21" s="11" t="n">
        <x:v>2200000</x:v>
      </x:c>
      <x:c r="F21" s="11" t="n">
        <x:v>2200000</x:v>
      </x:c>
      <x:c r="G21" s="11" t="n">
        <x:v>210</x:v>
      </x:c>
      <x:c r="H21" s="11" t="n">
        <x:v>105</x:v>
      </x:c>
      <x:c r="I21" s="11" t="n">
        <x:v>150</x:v>
      </x:c>
      <x:c r="J21" s="11" t="n">
        <x:v>76</x:v>
      </x:c>
      <x:c r="K21" s="11" t="str">
        <x:v>1150-1450</x:v>
      </x:c>
      <x:c r="L21" s="11" t="str">
        <x:v>48-88</x:v>
      </x:c>
      <x:c r="M21" s="7" t="str">
        <x:v>HP沿用现成正常血量；攻击按无难度上限表；防御×0.5</x:v>
      </x:c>
    </x:row>
    <x:row r="22">
      <x:c r="A22" s="7" t="str">
        <x:v>第一大陆·漂流群岛</x:v>
      </x:c>
      <x:c r="B22" s="7" t="n">
        <x:v>2</x:v>
      </x:c>
      <x:c r="C22" s="7" t="str">
        <x:v>稀有</x:v>
      </x:c>
      <x:c r="D22" s="7" t="str">
        <x:v>黑翼猎杀者</x:v>
      </x:c>
      <x:c r="E22" s="11" t="n">
        <x:v>3000000</x:v>
      </x:c>
      <x:c r="F22" s="11" t="n">
        <x:v>3000000</x:v>
      </x:c>
      <x:c r="G22" s="11" t="n">
        <x:v>175</x:v>
      </x:c>
      <x:c r="H22" s="11" t="n">
        <x:v>88</x:v>
      </x:c>
      <x:c r="I22" s="11" t="n">
        <x:v>165</x:v>
      </x:c>
      <x:c r="J22" s="11" t="n">
        <x:v>82</x:v>
      </x:c>
      <x:c r="K22" s="11" t="str">
        <x:v>560-740</x:v>
      </x:c>
      <x:c r="L22" s="11" t="str">
        <x:v>38-68</x:v>
      </x:c>
      <x:c r="M22" s="7" t="str">
        <x:v>HP沿用现成正常血量；攻击按无难度上限表；防御×0.5</x:v>
      </x:c>
    </x:row>
    <x:row r="23">
      <x:c r="A23" s="7" t="str">
        <x:v>第一大陆·漂流群岛</x:v>
      </x:c>
      <x:c r="B23" s="7" t="n">
        <x:v>2</x:v>
      </x:c>
      <x:c r="C23" s="7" t="str">
        <x:v>BOSS</x:v>
      </x:c>
      <x:c r="D23" s="7" t="str">
        <x:v>风暴执刑官·巴鲁克</x:v>
      </x:c>
      <x:c r="E23" s="11" t="n">
        <x:v>4500000</x:v>
      </x:c>
      <x:c r="F23" s="11" t="n">
        <x:v>4500000</x:v>
      </x:c>
      <x:c r="G23" s="11" t="n">
        <x:v>320</x:v>
      </x:c>
      <x:c r="H23" s="11" t="n">
        <x:v>160</x:v>
      </x:c>
      <x:c r="I23" s="11" t="n">
        <x:v>240</x:v>
      </x:c>
      <x:c r="J23" s="11" t="n">
        <x:v>120</x:v>
      </x:c>
      <x:c r="K23" s="11" t="str">
        <x:v>950-1350</x:v>
      </x:c>
      <x:c r="L23" s="11" t="str">
        <x:v>88-188</x:v>
      </x:c>
      <x:c r="M23" s="7" t="str">
        <x:v>HP沿用现成正常血量；攻击按无难度上限表；防御×0.5</x:v>
      </x:c>
    </x:row>
    <x:row r="24">
      <x:c r="A24" s="7" t="str">
        <x:v>第一大陆·漂流群岛</x:v>
      </x:c>
      <x:c r="B24" s="7" t="n">
        <x:v>2</x:v>
      </x:c>
      <x:c r="C24" s="7" t="str">
        <x:v>BOSS</x:v>
      </x:c>
      <x:c r="D24" s="7" t="str">
        <x:v>断崖古龙·赛尔</x:v>
      </x:c>
      <x:c r="E24" s="11" t="n">
        <x:v>7000000</x:v>
      </x:c>
      <x:c r="F24" s="11" t="n">
        <x:v>7000000</x:v>
      </x:c>
      <x:c r="G24" s="11" t="n">
        <x:v>450</x:v>
      </x:c>
      <x:c r="H24" s="11" t="n">
        <x:v>225</x:v>
      </x:c>
      <x:c r="I24" s="11" t="n">
        <x:v>330</x:v>
      </x:c>
      <x:c r="J24" s="11" t="n">
        <x:v>165</x:v>
      </x:c>
      <x:c r="K24" s="11" t="str">
        <x:v>1300-1900</x:v>
      </x:c>
      <x:c r="L24" s="11" t="str">
        <x:v>111-288</x:v>
      </x:c>
      <x:c r="M24" s="7" t="str">
        <x:v>HP沿用现成正常血量；攻击按无难度上限表；防御×0.5</x:v>
      </x:c>
    </x:row>
    <x:row r="25">
      <x:c r="A25" s="7" t="str">
        <x:v>第一大陆·漂流群岛</x:v>
      </x:c>
      <x:c r="B25" s="7" t="n">
        <x:v>3</x:v>
      </x:c>
      <x:c r="C25" s="7" t="str">
        <x:v>普通</x:v>
      </x:c>
      <x:c r="D25" s="7" t="str">
        <x:v>溺亡禁卫</x:v>
      </x:c>
      <x:c r="E25" s="11" t="n">
        <x:v>700000</x:v>
      </x:c>
      <x:c r="F25" s="11" t="n">
        <x:v>700000</x:v>
      </x:c>
      <x:c r="G25" s="11" t="n">
        <x:v>180</x:v>
      </x:c>
      <x:c r="H25" s="11" t="n">
        <x:v>90</x:v>
      </x:c>
      <x:c r="I25" s="11" t="n">
        <x:v>140</x:v>
      </x:c>
      <x:c r="J25" s="11" t="n">
        <x:v>70</x:v>
      </x:c>
      <x:c r="K25" s="11" t="str">
        <x:v>900-1120</x:v>
      </x:c>
      <x:c r="L25" s="11" t="str">
        <x:v>28-48</x:v>
      </x:c>
      <x:c r="M25" s="7" t="str">
        <x:v>HP沿用现成正常血量；攻击按无难度上限表；防御×0.5</x:v>
      </x:c>
    </x:row>
    <x:row r="26">
      <x:c r="A26" s="7" t="str">
        <x:v>第一大陆·漂流群岛</x:v>
      </x:c>
      <x:c r="B26" s="7" t="n">
        <x:v>3</x:v>
      </x:c>
      <x:c r="C26" s="7" t="str">
        <x:v>普通</x:v>
      </x:c>
      <x:c r="D26" s="7" t="str">
        <x:v>沉宫侍从</x:v>
      </x:c>
      <x:c r="E26" s="11" t="n">
        <x:v>900000</x:v>
      </x:c>
      <x:c r="F26" s="11" t="n">
        <x:v>900000</x:v>
      </x:c>
      <x:c r="G26" s="11" t="n">
        <x:v>165</x:v>
      </x:c>
      <x:c r="H26" s="11" t="n">
        <x:v>82</x:v>
      </x:c>
      <x:c r="I26" s="11" t="n">
        <x:v>150</x:v>
      </x:c>
      <x:c r="J26" s="11" t="n">
        <x:v>76</x:v>
      </x:c>
      <x:c r="K26" s="11" t="str">
        <x:v>940-1200</x:v>
      </x:c>
      <x:c r="L26" s="11" t="str">
        <x:v>32-52</x:v>
      </x:c>
      <x:c r="M26" s="7" t="str">
        <x:v>HP沿用现成正常血量；攻击按无难度上限表；防御×0.5</x:v>
      </x:c>
    </x:row>
    <x:row r="27">
      <x:c r="A27" s="7" t="str">
        <x:v>第一大陆·漂流群岛</x:v>
      </x:c>
      <x:c r="B27" s="7" t="n">
        <x:v>3</x:v>
      </x:c>
      <x:c r="C27" s="7" t="str">
        <x:v>普通</x:v>
      </x:c>
      <x:c r="D27" s="7" t="str">
        <x:v>苔甲骑兵</x:v>
      </x:c>
      <x:c r="E27" s="11" t="n">
        <x:v>1100000</x:v>
      </x:c>
      <x:c r="F27" s="11" t="n">
        <x:v>1100000</x:v>
      </x:c>
      <x:c r="G27" s="11" t="n">
        <x:v>220</x:v>
      </x:c>
      <x:c r="H27" s="11" t="n">
        <x:v>110</x:v>
      </x:c>
      <x:c r="I27" s="11" t="n">
        <x:v>165</x:v>
      </x:c>
      <x:c r="J27" s="11" t="n">
        <x:v>82</x:v>
      </x:c>
      <x:c r="K27" s="11" t="str">
        <x:v>800-1060</x:v>
      </x:c>
      <x:c r="L27" s="11" t="str">
        <x:v>38-58</x:v>
      </x:c>
      <x:c r="M27" s="7" t="str">
        <x:v>HP沿用现成正常血量；攻击按无难度上限表；防御×0.5</x:v>
      </x:c>
    </x:row>
    <x:row r="28">
      <x:c r="A28" s="7" t="str">
        <x:v>第一大陆·漂流群岛</x:v>
      </x:c>
      <x:c r="B28" s="7" t="n">
        <x:v>3</x:v>
      </x:c>
      <x:c r="C28" s="7" t="str">
        <x:v>普通</x:v>
      </x:c>
      <x:c r="D28" s="7" t="str">
        <x:v>王庭咒师</x:v>
      </x:c>
      <x:c r="E28" s="11" t="n">
        <x:v>1400000</x:v>
      </x:c>
      <x:c r="F28" s="11" t="n">
        <x:v>1400000</x:v>
      </x:c>
      <x:c r="G28" s="11" t="n">
        <x:v>185</x:v>
      </x:c>
      <x:c r="H28" s="11" t="n">
        <x:v>92</x:v>
      </x:c>
      <x:c r="I28" s="11" t="n">
        <x:v>260</x:v>
      </x:c>
      <x:c r="J28" s="11" t="n">
        <x:v>130</x:v>
      </x:c>
      <x:c r="K28" s="11" t="str">
        <x:v>1000-1260</x:v>
      </x:c>
      <x:c r="L28" s="11" t="str">
        <x:v>42-68</x:v>
      </x:c>
      <x:c r="M28" s="7" t="str">
        <x:v>HP沿用现成正常血量；攻击按无难度上限表；防御×0.5</x:v>
      </x:c>
    </x:row>
    <x:row r="29">
      <x:c r="A29" s="7" t="str">
        <x:v>第一大陆·漂流群岛</x:v>
      </x:c>
      <x:c r="B29" s="7" t="n">
        <x:v>3</x:v>
      </x:c>
      <x:c r="C29" s="7" t="str">
        <x:v>普通</x:v>
      </x:c>
      <x:c r="D29" s="7" t="str">
        <x:v>深水石像</x:v>
      </x:c>
      <x:c r="E29" s="11" t="n">
        <x:v>1800000</x:v>
      </x:c>
      <x:c r="F29" s="11" t="n">
        <x:v>1800000</x:v>
      </x:c>
      <x:c r="G29" s="11" t="n">
        <x:v>320</x:v>
      </x:c>
      <x:c r="H29" s="11" t="n">
        <x:v>160</x:v>
      </x:c>
      <x:c r="I29" s="11" t="n">
        <x:v>240</x:v>
      </x:c>
      <x:c r="J29" s="11" t="n">
        <x:v>120</x:v>
      </x:c>
      <x:c r="K29" s="11" t="str">
        <x:v>1140-1400</x:v>
      </x:c>
      <x:c r="L29" s="11" t="str">
        <x:v>48-78</x:v>
      </x:c>
      <x:c r="M29" s="7" t="str">
        <x:v>HP沿用现成正常血量；攻击按无难度上限表；防御×0.5</x:v>
      </x:c>
    </x:row>
    <x:row r="30">
      <x:c r="A30" s="7" t="str">
        <x:v>第一大陆·漂流群岛</x:v>
      </x:c>
      <x:c r="B30" s="7" t="n">
        <x:v>3</x:v>
      </x:c>
      <x:c r="C30" s="7" t="str">
        <x:v>普通</x:v>
      </x:c>
      <x:c r="D30" s="7" t="str">
        <x:v>幽灯侍者</x:v>
      </x:c>
      <x:c r="E30" s="11" t="n">
        <x:v>2300000</x:v>
      </x:c>
      <x:c r="F30" s="11" t="n">
        <x:v>2300000</x:v>
      </x:c>
      <x:c r="G30" s="11" t="n">
        <x:v>250</x:v>
      </x:c>
      <x:c r="H30" s="11" t="n">
        <x:v>125</x:v>
      </x:c>
      <x:c r="I30" s="11" t="n">
        <x:v>300</x:v>
      </x:c>
      <x:c r="J30" s="11" t="n">
        <x:v>150</x:v>
      </x:c>
      <x:c r="K30" s="11" t="str">
        <x:v>740-990</x:v>
      </x:c>
      <x:c r="L30" s="11" t="str">
        <x:v>38-66</x:v>
      </x:c>
      <x:c r="M30" s="7" t="str">
        <x:v>HP沿用现成正常血量；攻击按无难度上限表；防御×0.5</x:v>
      </x:c>
    </x:row>
    <x:row r="31">
      <x:c r="A31" s="7" t="str">
        <x:v>第一大陆·漂流群岛</x:v>
      </x:c>
      <x:c r="B31" s="7" t="n">
        <x:v>3</x:v>
      </x:c>
      <x:c r="C31" s="7" t="str">
        <x:v>稀有</x:v>
      </x:c>
      <x:c r="D31" s="7" t="str">
        <x:v>失冠王子</x:v>
      </x:c>
      <x:c r="E31" s="11" t="n">
        <x:v>3200000</x:v>
      </x:c>
      <x:c r="F31" s="11" t="n">
        <x:v>3200000</x:v>
      </x:c>
      <x:c r="G31" s="11" t="n">
        <x:v>400</x:v>
      </x:c>
      <x:c r="H31" s="11" t="n">
        <x:v>200</x:v>
      </x:c>
      <x:c r="I31" s="11" t="n">
        <x:v>300</x:v>
      </x:c>
      <x:c r="J31" s="11" t="n">
        <x:v>150</x:v>
      </x:c>
      <x:c r="K31" s="11" t="str">
        <x:v>1400-1700</x:v>
      </x:c>
      <x:c r="L31" s="11" t="str">
        <x:v>68-111</x:v>
      </x:c>
      <x:c r="M31" s="7" t="str">
        <x:v>HP沿用现成正常血量；攻击按无难度上限表；防御×0.5</x:v>
      </x:c>
    </x:row>
    <x:row r="32">
      <x:c r="A32" s="7" t="str">
        <x:v>第一大陆·漂流群岛</x:v>
      </x:c>
      <x:c r="B32" s="7" t="n">
        <x:v>3</x:v>
      </x:c>
      <x:c r="C32" s="7" t="str">
        <x:v>稀有</x:v>
      </x:c>
      <x:c r="D32" s="7" t="str">
        <x:v>深渊看守</x:v>
      </x:c>
      <x:c r="E32" s="11" t="n">
        <x:v>4200000</x:v>
      </x:c>
      <x:c r="F32" s="11" t="n">
        <x:v>4200000</x:v>
      </x:c>
      <x:c r="G32" s="11" t="n">
        <x:v>520</x:v>
      </x:c>
      <x:c r="H32" s="11" t="n">
        <x:v>260</x:v>
      </x:c>
      <x:c r="I32" s="11" t="n">
        <x:v>390</x:v>
      </x:c>
      <x:c r="J32" s="11" t="n">
        <x:v>195</x:v>
      </x:c>
      <x:c r="K32" s="11" t="str">
        <x:v>1700-2100</x:v>
      </x:c>
      <x:c r="L32" s="11" t="str">
        <x:v>88-138</x:v>
      </x:c>
      <x:c r="M32" s="7" t="str">
        <x:v>HP沿用现成正常血量；攻击按无难度上限表；防御×0.5</x:v>
      </x:c>
    </x:row>
    <x:row r="33">
      <x:c r="A33" s="7" t="str">
        <x:v>第一大陆·漂流群岛</x:v>
      </x:c>
      <x:c r="B33" s="7" t="n">
        <x:v>3</x:v>
      </x:c>
      <x:c r="C33" s="7" t="str">
        <x:v>稀有</x:v>
      </x:c>
      <x:c r="D33" s="7" t="str">
        <x:v>王庭裁决官</x:v>
      </x:c>
      <x:c r="E33" s="11" t="n">
        <x:v>5500000</x:v>
      </x:c>
      <x:c r="F33" s="11" t="n">
        <x:v>5500000</x:v>
      </x:c>
      <x:c r="G33" s="11" t="n">
        <x:v>650</x:v>
      </x:c>
      <x:c r="H33" s="11" t="n">
        <x:v>325</x:v>
      </x:c>
      <x:c r="I33" s="11" t="n">
        <x:v>470</x:v>
      </x:c>
      <x:c r="J33" s="11" t="n">
        <x:v>235</x:v>
      </x:c>
      <x:c r="K33" s="11" t="str">
        <x:v>1500-1860</x:v>
      </x:c>
      <x:c r="L33" s="11" t="str">
        <x:v>111-168</x:v>
      </x:c>
      <x:c r="M33" s="7" t="str">
        <x:v>HP沿用现成正常血量；攻击按无难度上限表；防御×0.5</x:v>
      </x:c>
    </x:row>
    <x:row r="34">
      <x:c r="A34" s="7" t="str">
        <x:v>第一大陆·漂流群岛</x:v>
      </x:c>
      <x:c r="B34" s="7" t="n">
        <x:v>3</x:v>
      </x:c>
      <x:c r="C34" s="7" t="str">
        <x:v>稀有</x:v>
      </x:c>
      <x:c r="D34" s="7" t="str">
        <x:v>沉默女祭司</x:v>
      </x:c>
      <x:c r="E34" s="11" t="n">
        <x:v>7000000</x:v>
      </x:c>
      <x:c r="F34" s="11" t="n">
        <x:v>7000000</x:v>
      </x:c>
      <x:c r="G34" s="11" t="n">
        <x:v>480</x:v>
      </x:c>
      <x:c r="H34" s="11" t="n">
        <x:v>240</x:v>
      </x:c>
      <x:c r="I34" s="11" t="n">
        <x:v>620</x:v>
      </x:c>
      <x:c r="J34" s="11" t="n">
        <x:v>310</x:v>
      </x:c>
      <x:c r="K34" s="11" t="str">
        <x:v>1320-1660</x:v>
      </x:c>
      <x:c r="L34" s="11" t="str">
        <x:v>88-148</x:v>
      </x:c>
      <x:c r="M34" s="7" t="str">
        <x:v>HP沿用现成正常血量；攻击按无难度上限表；防御×0.5</x:v>
      </x:c>
    </x:row>
    <x:row r="35">
      <x:c r="A35" s="7" t="str">
        <x:v>第一大陆·漂流群岛</x:v>
      </x:c>
      <x:c r="B35" s="7" t="n">
        <x:v>3</x:v>
      </x:c>
      <x:c r="C35" s="7" t="str">
        <x:v>BOSS</x:v>
      </x:c>
      <x:c r="D35" s="7" t="str">
        <x:v>溺王亲卫长·萨恩</x:v>
      </x:c>
      <x:c r="E35" s="11" t="n">
        <x:v>10000000</x:v>
      </x:c>
      <x:c r="F35" s="11" t="n">
        <x:v>10000000</x:v>
      </x:c>
      <x:c r="G35" s="11" t="n">
        <x:v>800</x:v>
      </x:c>
      <x:c r="H35" s="11" t="n">
        <x:v>400</x:v>
      </x:c>
      <x:c r="I35" s="11" t="n">
        <x:v>600</x:v>
      </x:c>
      <x:c r="J35" s="11" t="n">
        <x:v>300</x:v>
      </x:c>
      <x:c r="K35" s="11" t="str">
        <x:v>2600-3600</x:v>
      </x:c>
      <x:c r="L35" s="11" t="str">
        <x:v>188-388</x:v>
      </x:c>
      <x:c r="M35" s="7" t="str">
        <x:v>HP沿用现成正常血量；攻击按无难度上限表；防御×0.5</x:v>
      </x:c>
    </x:row>
    <x:row r="36">
      <x:c r="A36" s="7" t="str">
        <x:v>第一大陆·漂流群岛</x:v>
      </x:c>
      <x:c r="B36" s="7" t="n">
        <x:v>3</x:v>
      </x:c>
      <x:c r="C36" s="7" t="str">
        <x:v>BOSS</x:v>
      </x:c>
      <x:c r="D36" s="7" t="str">
        <x:v>深潮大祭司·伊莱娜</x:v>
      </x:c>
      <x:c r="E36" s="11" t="n">
        <x:v>15000000</x:v>
      </x:c>
      <x:c r="F36" s="11" t="n">
        <x:v>15000000</x:v>
      </x:c>
      <x:c r="G36" s="11" t="n">
        <x:v>1050</x:v>
      </x:c>
      <x:c r="H36" s="11" t="n">
        <x:v>530</x:v>
      </x:c>
      <x:c r="I36" s="11" t="n">
        <x:v>900</x:v>
      </x:c>
      <x:c r="J36" s="11" t="n">
        <x:v>450</x:v>
      </x:c>
      <x:c r="K36" s="11" t="str">
        <x:v>3400-4800</x:v>
      </x:c>
      <x:c r="L36" s="11" t="str">
        <x:v>288-588</x:v>
      </x:c>
      <x:c r="M36" s="7" t="str">
        <x:v>HP沿用现成正常血量；攻击按无难度上限表；防御×0.5</x:v>
      </x:c>
    </x:row>
    <x:row r="37">
      <x:c r="A37" s="7" t="str">
        <x:v>第一大陆·漂流群岛</x:v>
      </x:c>
      <x:c r="B37" s="7" t="n">
        <x:v>3</x:v>
      </x:c>
      <x:c r="C37" s="7" t="str">
        <x:v>守关BOSS</x:v>
      </x:c>
      <x:c r="D37" s="7" t="str">
        <x:v>沉没之王·奥德里安</x:v>
      </x:c>
      <x:c r="E37" s="11" t="n">
        <x:v>25000000</x:v>
      </x:c>
      <x:c r="F37" s="11" t="n">
        <x:v>25000000</x:v>
      </x:c>
      <x:c r="G37" s="11" t="n">
        <x:v>1200</x:v>
      </x:c>
      <x:c r="H37" s="11" t="n">
        <x:v>600</x:v>
      </x:c>
      <x:c r="I37" s="11" t="n">
        <x:v>1100</x:v>
      </x:c>
      <x:c r="J37" s="11" t="n">
        <x:v>550</x:v>
      </x:c>
      <x:c r="K37" s="11" t="str">
        <x:v>11000-16000</x:v>
      </x:c>
      <x:c r="L37" s="11" t="str">
        <x:v>588-888</x:v>
      </x:c>
      <x:c r="M37" s="7" t="str">
        <x:v>HP沿用现成正常血量；攻击按无难度上限表；防御×0.5</x:v>
      </x:c>
    </x:row>
    <x:row r="38">
      <x:c r="A38" s="7" t="str">
        <x:v>第二大陆·宁姆格福</x:v>
      </x:c>
      <x:c r="B38" s="7" t="n">
        <x:v>1</x:v>
      </x:c>
      <x:c r="C38" s="7" t="str">
        <x:v>普通</x:v>
      </x:c>
      <x:c r="D38" s="7" t="str">
        <x:v>褪色墓卒</x:v>
      </x:c>
      <x:c r="E38" s="11" t="n">
        <x:v>1200000</x:v>
      </x:c>
      <x:c r="F38" s="11" t="n">
        <x:v>160000</x:v>
      </x:c>
      <x:c r="G38" s="11" t="n">
        <x:v>1100</x:v>
      </x:c>
      <x:c r="H38" s="11" t="n">
        <x:v>88</x:v>
      </x:c>
      <x:c r="I38" s="11" t="n">
        <x:v>880</x:v>
      </x:c>
      <x:c r="J38" s="11" t="n">
        <x:v>72</x:v>
      </x:c>
      <x:c r="K38" s="11" t="str">
        <x:v>2400-3600</x:v>
      </x:c>
      <x:c r="L38" s="11" t="str">
        <x:v>250-388</x:v>
      </x:c>
      <x:c r="M38" s="7" t="str">
        <x:v>HP=8888×18秒；经验按HP同比；防御按组别与类型系数</x:v>
      </x:c>
    </x:row>
    <x:row r="39">
      <x:c r="A39" s="7" t="str">
        <x:v>第二大陆·宁姆格福</x:v>
      </x:c>
      <x:c r="B39" s="7" t="n">
        <x:v>1</x:v>
      </x:c>
      <x:c r="C39" s="7" t="str">
        <x:v>普通</x:v>
      </x:c>
      <x:c r="D39" s="7" t="str">
        <x:v>漂泊腐尸</x:v>
      </x:c>
      <x:c r="E39" s="11" t="n">
        <x:v>1380000</x:v>
      </x:c>
      <x:c r="F39" s="11" t="n">
        <x:v>178000</x:v>
      </x:c>
      <x:c r="G39" s="11" t="n">
        <x:v>1190</x:v>
      </x:c>
      <x:c r="H39" s="11" t="n">
        <x:v>96</x:v>
      </x:c>
      <x:c r="I39" s="11" t="n">
        <x:v>960</x:v>
      </x:c>
      <x:c r="J39" s="11" t="n">
        <x:v>78</x:v>
      </x:c>
      <x:c r="K39" s="11" t="str">
        <x:v>2600-4000</x:v>
      </x:c>
      <x:c r="L39" s="11" t="str">
        <x:v>280-432</x:v>
      </x:c>
      <x:c r="M39" s="7" t="str">
        <x:v>HP=8888×20秒；经验按HP同比；防御按组别与类型系数</x:v>
      </x:c>
    </x:row>
    <x:row r="40">
      <x:c r="A40" s="7" t="str">
        <x:v>第二大陆·宁姆格福</x:v>
      </x:c>
      <x:c r="B40" s="7" t="n">
        <x:v>1</x:v>
      </x:c>
      <x:c r="C40" s="7" t="str">
        <x:v>普通</x:v>
      </x:c>
      <x:c r="D40" s="7" t="str">
        <x:v>墓穴尖牙鬼</x:v>
      </x:c>
      <x:c r="E40" s="11" t="n">
        <x:v>1620000</x:v>
      </x:c>
      <x:c r="F40" s="11" t="n">
        <x:v>196000</x:v>
      </x:c>
      <x:c r="G40" s="11" t="n">
        <x:v>1280</x:v>
      </x:c>
      <x:c r="H40" s="11" t="n">
        <x:v>100</x:v>
      </x:c>
      <x:c r="I40" s="11" t="n">
        <x:v>1030</x:v>
      </x:c>
      <x:c r="J40" s="11" t="n">
        <x:v>82</x:v>
      </x:c>
      <x:c r="K40" s="11" t="str">
        <x:v>2900-4300</x:v>
      </x:c>
      <x:c r="L40" s="11" t="str">
        <x:v>310-476</x:v>
      </x:c>
      <x:c r="M40" s="7" t="str">
        <x:v>HP=8888×22秒；经验按HP同比；防御按组别与类型系数</x:v>
      </x:c>
    </x:row>
    <x:row r="41">
      <x:c r="A41" s="7" t="str">
        <x:v>第二大陆·宁姆格福</x:v>
      </x:c>
      <x:c r="B41" s="7" t="n">
        <x:v>1</x:v>
      </x:c>
      <x:c r="C41" s="7" t="str">
        <x:v>普通</x:v>
      </x:c>
      <x:c r="D41" s="7" t="str">
        <x:v>石肤守墓人</x:v>
      </x:c>
      <x:c r="E41" s="11" t="n">
        <x:v>1920000</x:v>
      </x:c>
      <x:c r="F41" s="11" t="n">
        <x:v>213000</x:v>
      </x:c>
      <x:c r="G41" s="11" t="n">
        <x:v>1360</x:v>
      </x:c>
      <x:c r="H41" s="11" t="n">
        <x:v>110</x:v>
      </x:c>
      <x:c r="I41" s="11" t="n">
        <x:v>1110</x:v>
      </x:c>
      <x:c r="J41" s="11" t="n">
        <x:v>90</x:v>
      </x:c>
      <x:c r="K41" s="11" t="str">
        <x:v>3100-4700</x:v>
      </x:c>
      <x:c r="L41" s="11" t="str">
        <x:v>340-520</x:v>
      </x:c>
      <x:c r="M41" s="7" t="str">
        <x:v>HP=8888×24秒；经验按HP同比；防御按组别与类型系数</x:v>
      </x:c>
    </x:row>
    <x:row r="42">
      <x:c r="A42" s="7" t="str">
        <x:v>第二大陆·宁姆格福</x:v>
      </x:c>
      <x:c r="B42" s="7" t="n">
        <x:v>1</x:v>
      </x:c>
      <x:c r="C42" s="7" t="str">
        <x:v>普通</x:v>
      </x:c>
      <x:c r="D42" s="7" t="str">
        <x:v>失乡弩尸</x:v>
      </x:c>
      <x:c r="E42" s="11" t="n">
        <x:v>2280000</x:v>
      </x:c>
      <x:c r="F42" s="11" t="n">
        <x:v>231000</x:v>
      </x:c>
      <x:c r="G42" s="11" t="n">
        <x:v>1450</x:v>
      </x:c>
      <x:c r="H42" s="11" t="n">
        <x:v>115</x:v>
      </x:c>
      <x:c r="I42" s="11" t="n">
        <x:v>1190</x:v>
      </x:c>
      <x:c r="J42" s="11" t="n">
        <x:v>94</x:v>
      </x:c>
      <x:c r="K42" s="11" t="str">
        <x:v>3400-5000</x:v>
      </x:c>
      <x:c r="L42" s="11" t="str">
        <x:v>365-564</x:v>
      </x:c>
      <x:c r="M42" s="7" t="str">
        <x:v>HP=8888×26秒；经验按HP同比；防御按组别与类型系数</x:v>
      </x:c>
    </x:row>
    <x:row r="43">
      <x:c r="A43" s="7" t="str">
        <x:v>第二大陆·宁姆格福</x:v>
      </x:c>
      <x:c r="B43" s="7" t="n">
        <x:v>1</x:v>
      </x:c>
      <x:c r="C43" s="7" t="str">
        <x:v>普通</x:v>
      </x:c>
      <x:c r="D43" s="7" t="str">
        <x:v>幽火墓蛾</x:v>
      </x:c>
      <x:c r="E43" s="11" t="n">
        <x:v>2700000</x:v>
      </x:c>
      <x:c r="F43" s="11" t="n">
        <x:v>249000</x:v>
      </x:c>
      <x:c r="G43" s="11" t="n">
        <x:v>1540</x:v>
      </x:c>
      <x:c r="H43" s="11" t="n">
        <x:v>125</x:v>
      </x:c>
      <x:c r="I43" s="11" t="n">
        <x:v>1270</x:v>
      </x:c>
      <x:c r="J43" s="11" t="n">
        <x:v>105</x:v>
      </x:c>
      <x:c r="K43" s="11" t="str">
        <x:v>3600-5400</x:v>
      </x:c>
      <x:c r="L43" s="11" t="str">
        <x:v>395-608</x:v>
      </x:c>
      <x:c r="M43" s="7" t="str">
        <x:v>HP=8888×28秒；经验按HP同比；防御按组别与类型系数</x:v>
      </x:c>
    </x:row>
    <x:row r="44">
      <x:c r="A44" s="7" t="str">
        <x:v>第二大陆·宁姆格福</x:v>
      </x:c>
      <x:c r="B44" s="7" t="n">
        <x:v>1</x:v>
      </x:c>
      <x:c r="C44" s="7" t="str">
        <x:v>稀有</x:v>
      </x:c>
      <x:c r="D44" s="7" t="str">
        <x:v>归树看门犬</x:v>
      </x:c>
      <x:c r="E44" s="11" t="n">
        <x:v>7000000</x:v>
      </x:c>
      <x:c r="F44" s="11" t="n">
        <x:v>800000</x:v>
      </x:c>
      <x:c r="G44" s="11" t="n">
        <x:v>1740</x:v>
      </x:c>
      <x:c r="H44" s="11" t="n">
        <x:v>130</x:v>
      </x:c>
      <x:c r="I44" s="11" t="n">
        <x:v>1410</x:v>
      </x:c>
      <x:c r="J44" s="11" t="n">
        <x:v>105</x:v>
      </x:c>
      <x:c r="K44" s="11" t="str">
        <x:v>6000-9000</x:v>
      </x:c>
      <x:c r="L44" s="11" t="str">
        <x:v>630-970</x:v>
      </x:c>
      <x:c r="M44" s="7" t="str">
        <x:v>HP=8888×90秒；经验按HP同比；防御按组别与类型系数</x:v>
      </x:c>
    </x:row>
    <x:row r="45">
      <x:c r="A45" s="7" t="str">
        <x:v>第二大陆·宁姆格福</x:v>
      </x:c>
      <x:c r="B45" s="7" t="n">
        <x:v>1</x:v>
      </x:c>
      <x:c r="C45" s="7" t="str">
        <x:v>稀有</x:v>
      </x:c>
      <x:c r="D45" s="7" t="str">
        <x:v>腐败树根兽</x:v>
      </x:c>
      <x:c r="E45" s="11" t="n">
        <x:v>8750000</x:v>
      </x:c>
      <x:c r="F45" s="11" t="n">
        <x:v>933000</x:v>
      </x:c>
      <x:c r="G45" s="11" t="n">
        <x:v>1830</x:v>
      </x:c>
      <x:c r="H45" s="11" t="n">
        <x:v>145</x:v>
      </x:c>
      <x:c r="I45" s="11" t="n">
        <x:v>1500</x:v>
      </x:c>
      <x:c r="J45" s="11" t="n">
        <x:v>120</x:v>
      </x:c>
      <x:c r="K45" s="11" t="str">
        <x:v>6700-10100</x:v>
      </x:c>
      <x:c r="L45" s="11" t="str">
        <x:v>710-1090</x:v>
      </x:c>
      <x:c r="M45" s="7" t="str">
        <x:v>HP=8888×105秒；经验按HP同比；防御按组别与类型系数</x:v>
      </x:c>
    </x:row>
    <x:row r="46">
      <x:c r="A46" s="7" t="str">
        <x:v>第二大陆·宁姆格福</x:v>
      </x:c>
      <x:c r="B46" s="7" t="n">
        <x:v>1</x:v>
      </x:c>
      <x:c r="C46" s="7" t="str">
        <x:v>稀有</x:v>
      </x:c>
      <x:c r="D46" s="7" t="str">
        <x:v>失乡熔炉骑士</x:v>
      </x:c>
      <x:c r="E46" s="11" t="n">
        <x:v>10850000</x:v>
      </x:c>
      <x:c r="F46" s="11" t="n">
        <x:v>1067000</x:v>
      </x:c>
      <x:c r="G46" s="11" t="n">
        <x:v>1910</x:v>
      </x:c>
      <x:c r="H46" s="11" t="n">
        <x:v>155</x:v>
      </x:c>
      <x:c r="I46" s="11" t="n">
        <x:v>1580</x:v>
      </x:c>
      <x:c r="J46" s="11" t="n">
        <x:v>125</x:v>
      </x:c>
      <x:c r="K46" s="11" t="str">
        <x:v>7400-11200</x:v>
      </x:c>
      <x:c r="L46" s="11" t="str">
        <x:v>790-1220</x:v>
      </x:c>
      <x:c r="M46" s="7" t="str">
        <x:v>HP=8888×120秒；经验按HP同比；防御按组别与类型系数</x:v>
      </x:c>
    </x:row>
    <x:row r="47">
      <x:c r="A47" s="7" t="str">
        <x:v>第二大陆·宁姆格福</x:v>
      </x:c>
      <x:c r="B47" s="7" t="n">
        <x:v>1</x:v>
      </x:c>
      <x:c r="C47" s="7" t="str">
        <x:v>稀有</x:v>
      </x:c>
      <x:c r="D47" s="7" t="str">
        <x:v>英雄墓影</x:v>
      </x:c>
      <x:c r="E47" s="11" t="n">
        <x:v>13300000</x:v>
      </x:c>
      <x:c r="F47" s="11" t="n">
        <x:v>1200000</x:v>
      </x:c>
      <x:c r="G47" s="11" t="n">
        <x:v>2000</x:v>
      </x:c>
      <x:c r="H47" s="11" t="n">
        <x:v>165</x:v>
      </x:c>
      <x:c r="I47" s="11" t="n">
        <x:v>1670</x:v>
      </x:c>
      <x:c r="J47" s="11" t="n">
        <x:v>135</x:v>
      </x:c>
      <x:c r="K47" s="11" t="str">
        <x:v>8200-12200</x:v>
      </x:c>
      <x:c r="L47" s="11" t="str">
        <x:v>870-1340</x:v>
      </x:c>
      <x:c r="M47" s="7" t="str">
        <x:v>HP=8888×135秒；经验按HP同比；防御按组别与类型系数</x:v>
      </x:c>
    </x:row>
    <x:row r="48">
      <x:c r="A48" s="7" t="str">
        <x:v>第二大陆·宁姆格福</x:v>
      </x:c>
      <x:c r="B48" s="7" t="n">
        <x:v>1</x:v>
      </x:c>
      <x:c r="C48" s="7" t="str">
        <x:v>BOSS</x:v>
      </x:c>
      <x:c r="D48" s="7" t="str">
        <x:v>溃烂树灵·乌尔德</x:v>
      </x:c>
      <x:c r="E48" s="11" t="n">
        <x:v>35000000</x:v>
      </x:c>
      <x:c r="F48" s="11" t="n">
        <x:v>4266000</x:v>
      </x:c>
      <x:c r="G48" s="11" t="n">
        <x:v>2530</x:v>
      </x:c>
      <x:c r="H48" s="11" t="n">
        <x:v>195</x:v>
      </x:c>
      <x:c r="I48" s="11" t="n">
        <x:v>2060</x:v>
      </x:c>
      <x:c r="J48" s="11" t="n">
        <x:v>160</x:v>
      </x:c>
      <x:c r="K48" s="11" t="str">
        <x:v>16000-24000</x:v>
      </x:c>
      <x:c r="L48" s="11" t="str">
        <x:v>1140-1750</x:v>
      </x:c>
      <x:c r="M48" s="7" t="str">
        <x:v>HP=8888×480秒；经验按HP同比；防御按组别与类型系数</x:v>
      </x:c>
    </x:row>
    <x:row r="49">
      <x:c r="A49" s="7" t="str">
        <x:v>第二大陆·宁姆格福</x:v>
      </x:c>
      <x:c r="B49" s="7" t="n">
        <x:v>1</x:v>
      </x:c>
      <x:c r="C49" s="7" t="str">
        <x:v>BOSS</x:v>
      </x:c>
      <x:c r="D49" s="7" t="str">
        <x:v>接肢贵胄·格雷姆</x:v>
      </x:c>
      <x:c r="E49" s="11" t="n">
        <x:v>55000000</x:v>
      </x:c>
      <x:c r="F49" s="11" t="n">
        <x:v>6399000</x:v>
      </x:c>
      <x:c r="G49" s="11" t="n">
        <x:v>2690</x:v>
      </x:c>
      <x:c r="H49" s="11" t="n">
        <x:v>210</x:v>
      </x:c>
      <x:c r="I49" s="11" t="n">
        <x:v>2190</x:v>
      </x:c>
      <x:c r="J49" s="11" t="n">
        <x:v>170</x:v>
      </x:c>
      <x:c r="K49" s="11" t="str">
        <x:v>19500-29300</x:v>
      </x:c>
      <x:c r="L49" s="11" t="str">
        <x:v>1530-2350</x:v>
      </x:c>
      <x:c r="M49" s="7" t="str">
        <x:v>HP=8888×720秒；经验按HP同比；防御按组别与类型系数</x:v>
      </x:c>
    </x:row>
    <x:row r="50">
      <x:c r="A50" s="7" t="str">
        <x:v>第二大陆·宁姆格福</x:v>
      </x:c>
      <x:c r="B50" s="7" t="n">
        <x:v>2</x:v>
      </x:c>
      <x:c r="C50" s="7" t="str">
        <x:v>普通</x:v>
      </x:c>
      <x:c r="D50" s="7" t="str">
        <x:v>葛瑞克步兵</x:v>
      </x:c>
      <x:c r="E50" s="11" t="n">
        <x:v>3000000</x:v>
      </x:c>
      <x:c r="F50" s="11" t="n">
        <x:v>270000</x:v>
      </x:c>
      <x:c r="G50" s="11" t="n">
        <x:v>1700</x:v>
      </x:c>
      <x:c r="H50" s="11" t="n">
        <x:v>190</x:v>
      </x:c>
      <x:c r="I50" s="11" t="n">
        <x:v>1360</x:v>
      </x:c>
      <x:c r="J50" s="11" t="n">
        <x:v>155</x:v>
      </x:c>
      <x:c r="K50" s="11" t="str">
        <x:v>4500-6800</x:v>
      </x:c>
      <x:c r="L50" s="11" t="str">
        <x:v>380-588</x:v>
      </x:c>
      <x:c r="M50" s="7" t="str">
        <x:v>HP=15000×18秒；经验按HP同比；防御按组别与类型系数</x:v>
      </x:c>
    </x:row>
    <x:row r="51">
      <x:c r="A51" s="7" t="str">
        <x:v>第二大陆·宁姆格福</x:v>
      </x:c>
      <x:c r="B51" s="7" t="n">
        <x:v>2</x:v>
      </x:c>
      <x:c r="C51" s="7" t="str">
        <x:v>普通</x:v>
      </x:c>
      <x:c r="D51" s="7" t="str">
        <x:v>关卡长枪兵</x:v>
      </x:c>
      <x:c r="E51" s="11" t="n">
        <x:v>3450000</x:v>
      </x:c>
      <x:c r="F51" s="11" t="n">
        <x:v>300000</x:v>
      </x:c>
      <x:c r="G51" s="11" t="n">
        <x:v>1840</x:v>
      </x:c>
      <x:c r="H51" s="11" t="n">
        <x:v>205</x:v>
      </x:c>
      <x:c r="I51" s="11" t="n">
        <x:v>1480</x:v>
      </x:c>
      <x:c r="J51" s="11" t="n">
        <x:v>170</x:v>
      </x:c>
      <x:c r="K51" s="11" t="str">
        <x:v>5000-7500</x:v>
      </x:c>
      <x:c r="L51" s="11" t="str">
        <x:v>420-648</x:v>
      </x:c>
      <x:c r="M51" s="7" t="str">
        <x:v>HP=15000×20秒；经验按HP同比；防御按组别与类型系数</x:v>
      </x:c>
    </x:row>
    <x:row r="52">
      <x:c r="A52" s="7" t="str">
        <x:v>第二大陆·宁姆格福</x:v>
      </x:c>
      <x:c r="B52" s="7" t="n">
        <x:v>2</x:v>
      </x:c>
      <x:c r="C52" s="7" t="str">
        <x:v>普通</x:v>
      </x:c>
      <x:c r="D52" s="7" t="str">
        <x:v>废墟弩手</x:v>
      </x:c>
      <x:c r="E52" s="11" t="n">
        <x:v>4050000</x:v>
      </x:c>
      <x:c r="F52" s="11" t="n">
        <x:v>330000</x:v>
      </x:c>
      <x:c r="G52" s="11" t="n">
        <x:v>1970</x:v>
      </x:c>
      <x:c r="H52" s="11" t="n">
        <x:v>220</x:v>
      </x:c>
      <x:c r="I52" s="11" t="n">
        <x:v>1600</x:v>
      </x:c>
      <x:c r="J52" s="11" t="n">
        <x:v>180</x:v>
      </x:c>
      <x:c r="K52" s="11" t="str">
        <x:v>5400-8200</x:v>
      </x:c>
      <x:c r="L52" s="11" t="str">
        <x:v>460-708</x:v>
      </x:c>
      <x:c r="M52" s="7" t="str">
        <x:v>HP=15000×22秒；经验按HP同比；防御按组别与类型系数</x:v>
      </x:c>
    </x:row>
    <x:row r="53">
      <x:c r="A53" s="7" t="str">
        <x:v>第二大陆·宁姆格福</x:v>
      </x:c>
      <x:c r="B53" s="7" t="n">
        <x:v>2</x:v>
      </x:c>
      <x:c r="C53" s="7" t="str">
        <x:v>普通</x:v>
      </x:c>
      <x:c r="D53" s="7" t="str">
        <x:v>风暴战狼</x:v>
      </x:c>
      <x:c r="E53" s="11" t="n">
        <x:v>4800000</x:v>
      </x:c>
      <x:c r="F53" s="11" t="n">
        <x:v>360000</x:v>
      </x:c>
      <x:c r="G53" s="11" t="n">
        <x:v>2110</x:v>
      </x:c>
      <x:c r="H53" s="11" t="n">
        <x:v>235</x:v>
      </x:c>
      <x:c r="I53" s="11" t="n">
        <x:v>1720</x:v>
      </x:c>
      <x:c r="J53" s="11" t="n">
        <x:v>195</x:v>
      </x:c>
      <x:c r="K53" s="11" t="str">
        <x:v>5900-8800</x:v>
      </x:c>
      <x:c r="L53" s="11" t="str">
        <x:v>500-768</x:v>
      </x:c>
      <x:c r="M53" s="7" t="str">
        <x:v>HP=15000×24秒；经验按HP同比；防御按组别与类型系数</x:v>
      </x:c>
    </x:row>
    <x:row r="54">
      <x:c r="A54" s="7" t="str">
        <x:v>第二大陆·宁姆格福</x:v>
      </x:c>
      <x:c r="B54" s="7" t="n">
        <x:v>2</x:v>
      </x:c>
      <x:c r="C54" s="7" t="str">
        <x:v>普通</x:v>
      </x:c>
      <x:c r="D54" s="7" t="str">
        <x:v>流放军士</x:v>
      </x:c>
      <x:c r="E54" s="11" t="n">
        <x:v>5700000</x:v>
      </x:c>
      <x:c r="F54" s="11" t="n">
        <x:v>390000</x:v>
      </x:c>
      <x:c r="G54" s="11" t="n">
        <x:v>2240</x:v>
      </x:c>
      <x:c r="H54" s="11" t="n">
        <x:v>250</x:v>
      </x:c>
      <x:c r="I54" s="11" t="n">
        <x:v>1840</x:v>
      </x:c>
      <x:c r="J54" s="11" t="n">
        <x:v>205</x:v>
      </x:c>
      <x:c r="K54" s="11" t="str">
        <x:v>6300-9500</x:v>
      </x:c>
      <x:c r="L54" s="11" t="str">
        <x:v>540-828</x:v>
      </x:c>
      <x:c r="M54" s="7" t="str">
        <x:v>HP=15000×26秒；经验按HP同比；防御按组别与类型系数</x:v>
      </x:c>
    </x:row>
    <x:row r="55">
      <x:c r="A55" s="7" t="str">
        <x:v>第二大陆·宁姆格福</x:v>
      </x:c>
      <x:c r="B55" s="7" t="n">
        <x:v>2</x:v>
      </x:c>
      <x:c r="C55" s="7" t="str">
        <x:v>普通</x:v>
      </x:c>
      <x:c r="D55" s="7" t="str">
        <x:v>断旗骑兵</x:v>
      </x:c>
      <x:c r="E55" s="11" t="n">
        <x:v>6750000</x:v>
      </x:c>
      <x:c r="F55" s="11" t="n">
        <x:v>420000</x:v>
      </x:c>
      <x:c r="G55" s="11" t="n">
        <x:v>2380</x:v>
      </x:c>
      <x:c r="H55" s="11" t="n">
        <x:v>265</x:v>
      </x:c>
      <x:c r="I55" s="11" t="n">
        <x:v>1960</x:v>
      </x:c>
      <x:c r="J55" s="11" t="n">
        <x:v>215</x:v>
      </x:c>
      <x:c r="K55" s="11" t="str">
        <x:v>6800-10200</x:v>
      </x:c>
      <x:c r="L55" s="11" t="str">
        <x:v>580-888</x:v>
      </x:c>
      <x:c r="M55" s="7" t="str">
        <x:v>HP=15000×28秒；经验按HP同比；防御按组别与类型系数</x:v>
      </x:c>
    </x:row>
    <x:row r="56">
      <x:c r="A56" s="7" t="str">
        <x:v>第二大陆·宁姆格福</x:v>
      </x:c>
      <x:c r="B56" s="7" t="n">
        <x:v>2</x:v>
      </x:c>
      <x:c r="C56" s="7" t="str">
        <x:v>稀有</x:v>
      </x:c>
      <x:c r="D56" s="7" t="str">
        <x:v>黄金重骑</x:v>
      </x:c>
      <x:c r="E56" s="11" t="n">
        <x:v>18000000</x:v>
      </x:c>
      <x:c r="F56" s="11" t="n">
        <x:v>1350000</x:v>
      </x:c>
      <x:c r="G56" s="11" t="n">
        <x:v>2690</x:v>
      </x:c>
      <x:c r="H56" s="11" t="n">
        <x:v>280</x:v>
      </x:c>
      <x:c r="I56" s="11" t="n">
        <x:v>2180</x:v>
      </x:c>
      <x:c r="J56" s="11" t="n">
        <x:v>230</x:v>
      </x:c>
      <x:c r="K56" s="11" t="str">
        <x:v>10000-15000</x:v>
      </x:c>
      <x:c r="L56" s="11" t="str">
        <x:v>920-1420</x:v>
      </x:c>
      <x:c r="M56" s="7" t="str">
        <x:v>HP=15000×90秒；经验按HP同比；防御按组别与类型系数</x:v>
      </x:c>
    </x:row>
    <x:row r="57">
      <x:c r="A57" s="7" t="str">
        <x:v>第二大陆·宁姆格福</x:v>
      </x:c>
      <x:c r="B57" s="7" t="n">
        <x:v>2</x:v>
      </x:c>
      <x:c r="C57" s="7" t="str">
        <x:v>稀有</x:v>
      </x:c>
      <x:c r="D57" s="7" t="str">
        <x:v>失乡骑士</x:v>
      </x:c>
      <x:c r="E57" s="11" t="n">
        <x:v>22500000</x:v>
      </x:c>
      <x:c r="F57" s="11" t="n">
        <x:v>1575000</x:v>
      </x:c>
      <x:c r="G57" s="11" t="n">
        <x:v>2820</x:v>
      </x:c>
      <x:c r="H57" s="11" t="n">
        <x:v>305</x:v>
      </x:c>
      <x:c r="I57" s="11" t="n">
        <x:v>2310</x:v>
      </x:c>
      <x:c r="J57" s="11" t="n">
        <x:v>250</x:v>
      </x:c>
      <x:c r="K57" s="11" t="str">
        <x:v>11200-16800</x:v>
      </x:c>
      <x:c r="L57" s="11" t="str">
        <x:v>1040-1600</x:v>
      </x:c>
      <x:c r="M57" s="7" t="str">
        <x:v>HP=15000×105秒；经验按HP同比；防御按组别与类型系数</x:v>
      </x:c>
    </x:row>
    <x:row r="58">
      <x:c r="A58" s="7" t="str">
        <x:v>第二大陆·宁姆格福</x:v>
      </x:c>
      <x:c r="B58" s="7" t="n">
        <x:v>2</x:v>
      </x:c>
      <x:c r="C58" s="7" t="str">
        <x:v>稀有</x:v>
      </x:c>
      <x:c r="D58" s="7" t="str">
        <x:v>军营兽爪官</x:v>
      </x:c>
      <x:c r="E58" s="11" t="n">
        <x:v>27900000</x:v>
      </x:c>
      <x:c r="F58" s="11" t="n">
        <x:v>1800000</x:v>
      </x:c>
      <x:c r="G58" s="11" t="n">
        <x:v>2960</x:v>
      </x:c>
      <x:c r="H58" s="11" t="n">
        <x:v>325</x:v>
      </x:c>
      <x:c r="I58" s="11" t="n">
        <x:v>2450</x:v>
      </x:c>
      <x:c r="J58" s="11" t="n">
        <x:v>265</x:v>
      </x:c>
      <x:c r="K58" s="11" t="str">
        <x:v>12400-18600</x:v>
      </x:c>
      <x:c r="L58" s="11" t="str">
        <x:v>1160-1780</x:v>
      </x:c>
      <x:c r="M58" s="7" t="str">
        <x:v>HP=15000×120秒；经验按HP同比；防御按组别与类型系数</x:v>
      </x:c>
    </x:row>
    <x:row r="59">
      <x:c r="A59" s="7" t="str">
        <x:v>第二大陆·宁姆格福</x:v>
      </x:c>
      <x:c r="B59" s="7" t="n">
        <x:v>2</x:v>
      </x:c>
      <x:c r="C59" s="7" t="str">
        <x:v>稀有</x:v>
      </x:c>
      <x:c r="D59" s="7" t="str">
        <x:v>关隘战车</x:v>
      </x:c>
      <x:c r="E59" s="11" t="n">
        <x:v>34200000</x:v>
      </x:c>
      <x:c r="F59" s="11" t="n">
        <x:v>2025000</x:v>
      </x:c>
      <x:c r="G59" s="11" t="n">
        <x:v>3090</x:v>
      </x:c>
      <x:c r="H59" s="11" t="n">
        <x:v>350</x:v>
      </x:c>
      <x:c r="I59" s="11" t="n">
        <x:v>2580</x:v>
      </x:c>
      <x:c r="J59" s="11" t="n">
        <x:v>285</x:v>
      </x:c>
      <x:c r="K59" s="11" t="str">
        <x:v>13600-20400</x:v>
      </x:c>
      <x:c r="L59" s="11" t="str">
        <x:v>1270-1950</x:v>
      </x:c>
      <x:c r="M59" s="7" t="str">
        <x:v>HP=15000×135秒；经验按HP同比；防御按组别与类型系数</x:v>
      </x:c>
    </x:row>
    <x:row r="60">
      <x:c r="A60" s="7" t="str">
        <x:v>第二大陆·宁姆格福</x:v>
      </x:c>
      <x:c r="B60" s="7" t="n">
        <x:v>2</x:v>
      </x:c>
      <x:c r="C60" s="7" t="str">
        <x:v>BOSS</x:v>
      </x:c>
      <x:c r="D60" s="7" t="str">
        <x:v>大树守卫·罗兰</x:v>
      </x:c>
      <x:c r="E60" s="11" t="n">
        <x:v>90000000</x:v>
      </x:c>
      <x:c r="F60" s="11" t="n">
        <x:v>7200000</x:v>
      </x:c>
      <x:c r="G60" s="11" t="n">
        <x:v>3910</x:v>
      </x:c>
      <x:c r="H60" s="11" t="n">
        <x:v>415</x:v>
      </x:c>
      <x:c r="I60" s="11" t="n">
        <x:v>3180</x:v>
      </x:c>
      <x:c r="J60" s="11" t="n">
        <x:v>340</x:v>
      </x:c>
      <x:c r="K60" s="11" t="str">
        <x:v>28000-42000</x:v>
      </x:c>
      <x:c r="L60" s="11" t="str">
        <x:v>1720-2650</x:v>
      </x:c>
      <x:c r="M60" s="7" t="str">
        <x:v>HP=15000×480秒；经验按HP同比；防御按组别与类型系数</x:v>
      </x:c>
    </x:row>
    <x:row r="61">
      <x:c r="A61" s="7" t="str">
        <x:v>第二大陆·宁姆格福</x:v>
      </x:c>
      <x:c r="B61" s="7" t="n">
        <x:v>2</x:v>
      </x:c>
      <x:c r="C61" s="7" t="str">
        <x:v>BOSS</x:v>
      </x:c>
      <x:c r="D61" s="7" t="str">
        <x:v>黑夜骑兵·莫尔</x:v>
      </x:c>
      <x:c r="E61" s="11" t="n">
        <x:v>140000000</x:v>
      </x:c>
      <x:c r="F61" s="11" t="n">
        <x:v>10800000</x:v>
      </x:c>
      <x:c r="G61" s="11" t="n">
        <x:v>4170</x:v>
      </x:c>
      <x:c r="H61" s="11" t="n">
        <x:v>445</x:v>
      </x:c>
      <x:c r="I61" s="11" t="n">
        <x:v>3380</x:v>
      </x:c>
      <x:c r="J61" s="11" t="n">
        <x:v>365</x:v>
      </x:c>
      <x:c r="K61" s="11" t="str">
        <x:v>34200-51200</x:v>
      </x:c>
      <x:c r="L61" s="11" t="str">
        <x:v>2300-3550</x:v>
      </x:c>
      <x:c r="M61" s="7" t="str">
        <x:v>HP=15000×720秒；经验按HP同比；防御按组别与类型系数</x:v>
      </x:c>
    </x:row>
    <x:row r="62">
      <x:c r="A62" s="7" t="str">
        <x:v>第二大陆·宁姆格福</x:v>
      </x:c>
      <x:c r="B62" s="7" t="n">
        <x:v>3</x:v>
      </x:c>
      <x:c r="C62" s="7" t="str">
        <x:v>普通</x:v>
      </x:c>
      <x:c r="D62" s="7" t="str">
        <x:v>雾林野狼</x:v>
      </x:c>
      <x:c r="E62" s="11" t="n">
        <x:v>7000000</x:v>
      </x:c>
      <x:c r="F62" s="11" t="n">
        <x:v>450000</x:v>
      </x:c>
      <x:c r="G62" s="11" t="n">
        <x:v>2700</x:v>
      </x:c>
      <x:c r="H62" s="11" t="n">
        <x:v>290</x:v>
      </x:c>
      <x:c r="I62" s="11" t="n">
        <x:v>2160</x:v>
      </x:c>
      <x:c r="J62" s="11" t="n">
        <x:v>240</x:v>
      </x:c>
      <x:c r="K62" s="11" t="str">
        <x:v>8000-12000</x:v>
      </x:c>
      <x:c r="L62" s="11" t="str">
        <x:v>580-888</x:v>
      </x:c>
      <x:c r="M62" s="7" t="str">
        <x:v>HP=25000×18秒；经验按HP同比；防御按组别与类型系数</x:v>
      </x:c>
    </x:row>
    <x:row r="63">
      <x:c r="A63" s="7" t="str">
        <x:v>第二大陆·宁姆格福</x:v>
      </x:c>
      <x:c r="B63" s="7" t="n">
        <x:v>3</x:v>
      </x:c>
      <x:c r="C63" s="7" t="str">
        <x:v>普通</x:v>
      </x:c>
      <x:c r="D63" s="7" t="str">
        <x:v>卢恩巨熊</x:v>
      </x:c>
      <x:c r="E63" s="11" t="n">
        <x:v>8050000</x:v>
      </x:c>
      <x:c r="F63" s="11" t="n">
        <x:v>500000</x:v>
      </x:c>
      <x:c r="G63" s="11" t="n">
        <x:v>2920</x:v>
      </x:c>
      <x:c r="H63" s="11" t="n">
        <x:v>310</x:v>
      </x:c>
      <x:c r="I63" s="11" t="n">
        <x:v>2350</x:v>
      </x:c>
      <x:c r="J63" s="11" t="n">
        <x:v>255</x:v>
      </x:c>
      <x:c r="K63" s="11" t="str">
        <x:v>8800-13200</x:v>
      </x:c>
      <x:c r="L63" s="11" t="str">
        <x:v>630-968</x:v>
      </x:c>
      <x:c r="M63" s="7" t="str">
        <x:v>HP=25000×20秒；经验按HP同比；防御按组别与类型系数</x:v>
      </x:c>
    </x:row>
    <x:row r="64">
      <x:c r="A64" s="7" t="str">
        <x:v>第二大陆·宁姆格福</x:v>
      </x:c>
      <x:c r="B64" s="7" t="n">
        <x:v>3</x:v>
      </x:c>
      <x:c r="C64" s="7" t="str">
        <x:v>普通</x:v>
      </x:c>
      <x:c r="D64" s="7" t="str">
        <x:v>祖灵鹿</x:v>
      </x:c>
      <x:c r="E64" s="11" t="n">
        <x:v>9450000</x:v>
      </x:c>
      <x:c r="F64" s="11" t="n">
        <x:v>550000</x:v>
      </x:c>
      <x:c r="G64" s="11" t="n">
        <x:v>3130</x:v>
      </x:c>
      <x:c r="H64" s="11" t="n">
        <x:v>335</x:v>
      </x:c>
      <x:c r="I64" s="11" t="n">
        <x:v>2540</x:v>
      </x:c>
      <x:c r="J64" s="11" t="n">
        <x:v>275</x:v>
      </x:c>
      <x:c r="K64" s="11" t="str">
        <x:v>9600-14400</x:v>
      </x:c>
      <x:c r="L64" s="11" t="str">
        <x:v>680-1048</x:v>
      </x:c>
      <x:c r="M64" s="7" t="str">
        <x:v>HP=25000×22秒；经验按HP同比；防御按组别与类型系数</x:v>
      </x:c>
    </x:row>
    <x:row r="65">
      <x:c r="A65" s="7" t="str">
        <x:v>第二大陆·宁姆格福</x:v>
      </x:c>
      <x:c r="B65" s="7" t="n">
        <x:v>3</x:v>
      </x:c>
      <x:c r="C65" s="7" t="str">
        <x:v>普通</x:v>
      </x:c>
      <x:c r="D65" s="7" t="str">
        <x:v>腐根树妖</x:v>
      </x:c>
      <x:c r="E65" s="11" t="n">
        <x:v>11200000</x:v>
      </x:c>
      <x:c r="F65" s="11" t="n">
        <x:v>600000</x:v>
      </x:c>
      <x:c r="G65" s="11" t="n">
        <x:v>3350</x:v>
      </x:c>
      <x:c r="H65" s="11" t="n">
        <x:v>355</x:v>
      </x:c>
      <x:c r="I65" s="11" t="n">
        <x:v>2730</x:v>
      </x:c>
      <x:c r="J65" s="11" t="n">
        <x:v>290</x:v>
      </x:c>
      <x:c r="K65" s="11" t="str">
        <x:v>10400-15600</x:v>
      </x:c>
      <x:c r="L65" s="11" t="str">
        <x:v>730-1128</x:v>
      </x:c>
      <x:c r="M65" s="7" t="str">
        <x:v>HP=25000×24秒；经验按HP同比；防御按组别与类型系数</x:v>
      </x:c>
    </x:row>
    <x:row r="66">
      <x:c r="A66" s="7" t="str">
        <x:v>第二大陆·宁姆格福</x:v>
      </x:c>
      <x:c r="B66" s="7" t="n">
        <x:v>3</x:v>
      </x:c>
      <x:c r="C66" s="7" t="str">
        <x:v>普通</x:v>
      </x:c>
      <x:c r="D66" s="7" t="str">
        <x:v>半兽哨兵</x:v>
      </x:c>
      <x:c r="E66" s="11" t="n">
        <x:v>13300000</x:v>
      </x:c>
      <x:c r="F66" s="11" t="n">
        <x:v>650000</x:v>
      </x:c>
      <x:c r="G66" s="11" t="n">
        <x:v>3560</x:v>
      </x:c>
      <x:c r="H66" s="11" t="n">
        <x:v>380</x:v>
      </x:c>
      <x:c r="I66" s="11" t="n">
        <x:v>2920</x:v>
      </x:c>
      <x:c r="J66" s="11" t="n">
        <x:v>310</x:v>
      </x:c>
      <x:c r="K66" s="11" t="str">
        <x:v>11200-16800</x:v>
      </x:c>
      <x:c r="L66" s="11" t="str">
        <x:v>790-1208</x:v>
      </x:c>
      <x:c r="M66" s="7" t="str">
        <x:v>HP=25000×26秒；经验按HP同比；防御按组别与类型系数</x:v>
      </x:c>
    </x:row>
    <x:row r="67">
      <x:c r="A67" s="7" t="str">
        <x:v>第二大陆·宁姆格福</x:v>
      </x:c>
      <x:c r="B67" s="7" t="n">
        <x:v>3</x:v>
      </x:c>
      <x:c r="C67" s="7" t="str">
        <x:v>普通</x:v>
      </x:c>
      <x:c r="D67" s="7" t="str">
        <x:v>林地毒花</x:v>
      </x:c>
      <x:c r="E67" s="11" t="n">
        <x:v>15750000</x:v>
      </x:c>
      <x:c r="F67" s="11" t="n">
        <x:v>700000</x:v>
      </x:c>
      <x:c r="G67" s="11" t="n">
        <x:v>3780</x:v>
      </x:c>
      <x:c r="H67" s="11" t="n">
        <x:v>405</x:v>
      </x:c>
      <x:c r="I67" s="11" t="n">
        <x:v>3110</x:v>
      </x:c>
      <x:c r="J67" s="11" t="n">
        <x:v>330</x:v>
      </x:c>
      <x:c r="K67" s="11" t="str">
        <x:v>12000-18000</x:v>
      </x:c>
      <x:c r="L67" s="11" t="str">
        <x:v>840-1288</x:v>
      </x:c>
      <x:c r="M67" s="7" t="str">
        <x:v>HP=25000×28秒；经验按HP同比；防御按组别与类型系数</x:v>
      </x:c>
    </x:row>
    <x:row r="68">
      <x:c r="A68" s="7" t="str">
        <x:v>第二大陆·宁姆格福</x:v>
      </x:c>
      <x:c r="B68" s="7" t="n">
        <x:v>3</x:v>
      </x:c>
      <x:c r="C68" s="7" t="str">
        <x:v>稀有</x:v>
      </x:c>
      <x:c r="D68" s="7" t="str">
        <x:v>卢恩熊王</x:v>
      </x:c>
      <x:c r="E68" s="11" t="n">
        <x:v>45000000</x:v>
      </x:c>
      <x:c r="F68" s="11" t="n">
        <x:v>2250000</x:v>
      </x:c>
      <x:c r="G68" s="11" t="n">
        <x:v>4270</x:v>
      </x:c>
      <x:c r="H68" s="11" t="n">
        <x:v>430</x:v>
      </x:c>
      <x:c r="I68" s="11" t="n">
        <x:v>3460</x:v>
      </x:c>
      <x:c r="J68" s="11" t="n">
        <x:v>355</x:v>
      </x:c>
      <x:c r="K68" s="11" t="str">
        <x:v>18000-27000</x:v>
      </x:c>
      <x:c r="L68" s="11" t="str">
        <x:v>1330-2050</x:v>
      </x:c>
      <x:c r="M68" s="7" t="str">
        <x:v>HP=25000×90秒；经验按HP同比；防御按组别与类型系数</x:v>
      </x:c>
    </x:row>
    <x:row r="69">
      <x:c r="A69" s="7" t="str">
        <x:v>第二大陆·宁姆格福</x:v>
      </x:c>
      <x:c r="B69" s="7" t="n">
        <x:v>3</x:v>
      </x:c>
      <x:c r="C69" s="7" t="str">
        <x:v>稀有</x:v>
      </x:c>
      <x:c r="D69" s="7" t="str">
        <x:v>小黄金树化身</x:v>
      </x:c>
      <x:c r="E69" s="11" t="n">
        <x:v>56250000</x:v>
      </x:c>
      <x:c r="F69" s="11" t="n">
        <x:v>2625000</x:v>
      </x:c>
      <x:c r="G69" s="11" t="n">
        <x:v>4480</x:v>
      </x:c>
      <x:c r="H69" s="11" t="n">
        <x:v>465</x:v>
      </x:c>
      <x:c r="I69" s="11" t="n">
        <x:v>3670</x:v>
      </x:c>
      <x:c r="J69" s="11" t="n">
        <x:v>380</x:v>
      </x:c>
      <x:c r="K69" s="11" t="str">
        <x:v>20200-30200</x:v>
      </x:c>
      <x:c r="L69" s="11" t="str">
        <x:v>1500-2300</x:v>
      </x:c>
      <x:c r="M69" s="7" t="str">
        <x:v>HP=25000×105秒；经验按HP同比；防御按组别与类型系数</x:v>
      </x:c>
    </x:row>
    <x:row r="70">
      <x:c r="A70" s="7" t="str">
        <x:v>第二大陆·宁姆格福</x:v>
      </x:c>
      <x:c r="B70" s="7" t="n">
        <x:v>3</x:v>
      </x:c>
      <x:c r="C70" s="7" t="str">
        <x:v>稀有</x:v>
      </x:c>
      <x:c r="D70" s="7" t="str">
        <x:v>猎犬骑士·达瑞威尔</x:v>
      </x:c>
      <x:c r="E70" s="11" t="n">
        <x:v>69750000</x:v>
      </x:c>
      <x:c r="F70" s="11" t="n">
        <x:v>3000000</x:v>
      </x:c>
      <x:c r="G70" s="11" t="n">
        <x:v>4700</x:v>
      </x:c>
      <x:c r="H70" s="11" t="n">
        <x:v>500</x:v>
      </x:c>
      <x:c r="I70" s="11" t="n">
        <x:v>3890</x:v>
      </x:c>
      <x:c r="J70" s="11" t="n">
        <x:v>410</x:v>
      </x:c>
      <x:c r="K70" s="11" t="str">
        <x:v>22300-33500</x:v>
      </x:c>
      <x:c r="L70" s="11" t="str">
        <x:v>1690-2600</x:v>
      </x:c>
      <x:c r="M70" s="7" t="str">
        <x:v>HP=25000×120秒；经验按HP同比；防御按组别与类型系数</x:v>
      </x:c>
    </x:row>
    <x:row r="71">
      <x:c r="A71" s="7" t="str">
        <x:v>第二大陆·宁姆格福</x:v>
      </x:c>
      <x:c r="B71" s="7" t="n">
        <x:v>3</x:v>
      </x:c>
      <x:c r="C71" s="7" t="str">
        <x:v>稀有</x:v>
      </x:c>
      <x:c r="D71" s="7" t="str">
        <x:v>永眠祖灵</x:v>
      </x:c>
      <x:c r="E71" s="11" t="n">
        <x:v>85500000</x:v>
      </x:c>
      <x:c r="F71" s="11" t="n">
        <x:v>3375000</x:v>
      </x:c>
      <x:c r="G71" s="11" t="n">
        <x:v>4910</x:v>
      </x:c>
      <x:c r="H71" s="11" t="n">
        <x:v>540</x:v>
      </x:c>
      <x:c r="I71" s="11" t="n">
        <x:v>4100</x:v>
      </x:c>
      <x:c r="J71" s="11" t="n">
        <x:v>445</x:v>
      </x:c>
      <x:c r="K71" s="11" t="str">
        <x:v>24500-36700</x:v>
      </x:c>
      <x:c r="L71" s="11" t="str">
        <x:v>1850-2850</x:v>
      </x:c>
      <x:c r="M71" s="7" t="str">
        <x:v>HP=25000×135秒；经验按HP同比；防御按组别与类型系数</x:v>
      </x:c>
    </x:row>
    <x:row r="72">
      <x:c r="A72" s="7" t="str">
        <x:v>第二大陆·宁姆格福</x:v>
      </x:c>
      <x:c r="B72" s="7" t="n">
        <x:v>3</x:v>
      </x:c>
      <x:c r="C72" s="7" t="str">
        <x:v>BOSS</x:v>
      </x:c>
      <x:c r="D72" s="7" t="str">
        <x:v>提比亚唤船人·赫洛</x:v>
      </x:c>
      <x:c r="E72" s="11" t="n">
        <x:v>220000000</x:v>
      </x:c>
      <x:c r="F72" s="11" t="n">
        <x:v>12000000</x:v>
      </x:c>
      <x:c r="G72" s="11" t="n">
        <x:v>6210</x:v>
      </x:c>
      <x:c r="H72" s="11" t="n">
        <x:v>630</x:v>
      </x:c>
      <x:c r="I72" s="11" t="n">
        <x:v>5050</x:v>
      </x:c>
      <x:c r="J72" s="11" t="n">
        <x:v>520</x:v>
      </x:c>
      <x:c r="K72" s="11" t="str">
        <x:v>50000-75000</x:v>
      </x:c>
      <x:c r="L72" s="11" t="str">
        <x:v>2600-4000</x:v>
      </x:c>
      <x:c r="M72" s="7" t="str">
        <x:v>HP=25000×480秒；经验按HP同比；防御按组别与类型系数</x:v>
      </x:c>
    </x:row>
    <x:row r="73">
      <x:c r="A73" s="7" t="str">
        <x:v>第二大陆·宁姆格福</x:v>
      </x:c>
      <x:c r="B73" s="7" t="n">
        <x:v>3</x:v>
      </x:c>
      <x:c r="C73" s="7" t="str">
        <x:v>BOSS</x:v>
      </x:c>
      <x:c r="D73" s="7" t="str">
        <x:v>雾林熔炉骑士·奥德</x:v>
      </x:c>
      <x:c r="E73" s="11" t="n">
        <x:v>320000000</x:v>
      </x:c>
      <x:c r="F73" s="11" t="n">
        <x:v>18000000</x:v>
      </x:c>
      <x:c r="G73" s="11" t="n">
        <x:v>6610</x:v>
      </x:c>
      <x:c r="H73" s="11" t="n">
        <x:v>680</x:v>
      </x:c>
      <x:c r="I73" s="11" t="n">
        <x:v>5370</x:v>
      </x:c>
      <x:c r="J73" s="11" t="n">
        <x:v>560</x:v>
      </x:c>
      <x:c r="K73" s="11" t="str">
        <x:v>61000-91500</x:v>
      </x:c>
      <x:c r="L73" s="11" t="str">
        <x:v>3500-5350</x:v>
      </x:c>
      <x:c r="M73" s="7" t="str">
        <x:v>HP=25000×720秒；经验按HP同比；防御按组别与类型系数</x:v>
      </x:c>
    </x:row>
    <x:row r="74">
      <x:c r="A74" s="7" t="str">
        <x:v>第二大陆·宁姆格福</x:v>
      </x:c>
      <x:c r="B74" s="7" t="n">
        <x:v>4</x:v>
      </x:c>
      <x:c r="C74" s="7" t="str">
        <x:v>普通</x:v>
      </x:c>
      <x:c r="D74" s="7" t="str">
        <x:v>风暴鹰</x:v>
      </x:c>
      <x:c r="E74" s="11" t="n">
        <x:v>18000000</x:v>
      </x:c>
      <x:c r="F74" s="11" t="n">
        <x:v>720000</x:v>
      </x:c>
      <x:c r="G74" s="11" t="n">
        <x:v>4200</x:v>
      </x:c>
      <x:c r="H74" s="11" t="n">
        <x:v>390</x:v>
      </x:c>
      <x:c r="I74" s="11" t="n">
        <x:v>3360</x:v>
      </x:c>
      <x:c r="J74" s="11" t="n">
        <x:v>320</x:v>
      </x:c>
      <x:c r="K74" s="11" t="str">
        <x:v>14000-21000</x:v>
      </x:c>
      <x:c r="L74" s="11" t="str">
        <x:v>840-1288</x:v>
      </x:c>
      <x:c r="M74" s="7" t="str">
        <x:v>HP=40000×18秒；经验按HP同比；防御按组别与类型系数</x:v>
      </x:c>
    </x:row>
    <x:row r="75">
      <x:c r="A75" s="7" t="str">
        <x:v>第二大陆·宁姆格福</x:v>
      </x:c>
      <x:c r="B75" s="7" t="n">
        <x:v>4</x:v>
      </x:c>
      <x:c r="C75" s="7" t="str">
        <x:v>普通</x:v>
      </x:c>
      <x:c r="D75" s="7" t="str">
        <x:v>雷羽战鹰</x:v>
      </x:c>
      <x:c r="E75" s="11" t="n">
        <x:v>20700000</x:v>
      </x:c>
      <x:c r="F75" s="11" t="n">
        <x:v>800000</x:v>
      </x:c>
      <x:c r="G75" s="11" t="n">
        <x:v>4540</x:v>
      </x:c>
      <x:c r="H75" s="11" t="n">
        <x:v>420</x:v>
      </x:c>
      <x:c r="I75" s="11" t="n">
        <x:v>3650</x:v>
      </x:c>
      <x:c r="J75" s="11" t="n">
        <x:v>345</x:v>
      </x:c>
      <x:c r="K75" s="11" t="str">
        <x:v>15400-23100</x:v>
      </x:c>
      <x:c r="L75" s="11" t="str">
        <x:v>900-1388</x:v>
      </x:c>
      <x:c r="M75" s="7" t="str">
        <x:v>HP=40000×20秒；经验按HP同比；防御按组别与类型系数</x:v>
      </x:c>
    </x:row>
    <x:row r="76">
      <x:c r="A76" s="7" t="str">
        <x:v>第二大陆·宁姆格福</x:v>
      </x:c>
      <x:c r="B76" s="7" t="n">
        <x:v>4</x:v>
      </x:c>
      <x:c r="C76" s="7" t="str">
        <x:v>普通</x:v>
      </x:c>
      <x:c r="D76" s="7" t="str">
        <x:v>山谷巨人</x:v>
      </x:c>
      <x:c r="E76" s="11" t="n">
        <x:v>24300000</x:v>
      </x:c>
      <x:c r="F76" s="11" t="n">
        <x:v>880000</x:v>
      </x:c>
      <x:c r="G76" s="11" t="n">
        <x:v>4870</x:v>
      </x:c>
      <x:c r="H76" s="11" t="n">
        <x:v>450</x:v>
      </x:c>
      <x:c r="I76" s="11" t="n">
        <x:v>3950</x:v>
      </x:c>
      <x:c r="J76" s="11" t="n">
        <x:v>370</x:v>
      </x:c>
      <x:c r="K76" s="11" t="str">
        <x:v>16800-25200</x:v>
      </x:c>
      <x:c r="L76" s="11" t="str">
        <x:v>970-1488</x:v>
      </x:c>
      <x:c r="M76" s="7" t="str">
        <x:v>HP=40000×22秒；经验按HP同比；防御按组别与类型系数</x:v>
      </x:c>
    </x:row>
    <x:row r="77">
      <x:c r="A77" s="7" t="str">
        <x:v>第二大陆·宁姆格福</x:v>
      </x:c>
      <x:c r="B77" s="7" t="n">
        <x:v>4</x:v>
      </x:c>
      <x:c r="C77" s="7" t="str">
        <x:v>普通</x:v>
      </x:c>
      <x:c r="D77" s="7" t="str">
        <x:v>风蚀山羊</x:v>
      </x:c>
      <x:c r="E77" s="11" t="n">
        <x:v>28800000</x:v>
      </x:c>
      <x:c r="F77" s="11" t="n">
        <x:v>960000</x:v>
      </x:c>
      <x:c r="G77" s="11" t="n">
        <x:v>5210</x:v>
      </x:c>
      <x:c r="H77" s="11" t="n">
        <x:v>480</x:v>
      </x:c>
      <x:c r="I77" s="11" t="n">
        <x:v>4240</x:v>
      </x:c>
      <x:c r="J77" s="11" t="n">
        <x:v>395</x:v>
      </x:c>
      <x:c r="K77" s="11" t="str">
        <x:v>18200-27300</x:v>
      </x:c>
      <x:c r="L77" s="11" t="str">
        <x:v>1030-1588</x:v>
      </x:c>
      <x:c r="M77" s="7" t="str">
        <x:v>HP=40000×24秒；经验按HP同比；防御按组别与类型系数</x:v>
      </x:c>
    </x:row>
    <x:row r="78">
      <x:c r="A78" s="7" t="str">
        <x:v>第二大陆·宁姆格福</x:v>
      </x:c>
      <x:c r="B78" s="7" t="n">
        <x:v>4</x:v>
      </x:c>
      <x:c r="C78" s="7" t="str">
        <x:v>普通</x:v>
      </x:c>
      <x:c r="D78" s="7" t="str">
        <x:v>风暴流寇</x:v>
      </x:c>
      <x:c r="E78" s="11" t="n">
        <x:v>34200000</x:v>
      </x:c>
      <x:c r="F78" s="11" t="n">
        <x:v>1040000</x:v>
      </x:c>
      <x:c r="G78" s="11" t="n">
        <x:v>5540</x:v>
      </x:c>
      <x:c r="H78" s="11" t="n">
        <x:v>510</x:v>
      </x:c>
      <x:c r="I78" s="11" t="n">
        <x:v>4540</x:v>
      </x:c>
      <x:c r="J78" s="11" t="n">
        <x:v>420</x:v>
      </x:c>
      <x:c r="K78" s="11" t="str">
        <x:v>19600-29400</x:v>
      </x:c>
      <x:c r="L78" s="11" t="str">
        <x:v>1100-1688</x:v>
      </x:c>
      <x:c r="M78" s="7" t="str">
        <x:v>HP=40000×26秒；经验按HP同比；防御按组别与类型系数</x:v>
      </x:c>
    </x:row>
    <x:row r="79">
      <x:c r="A79" s="7" t="str">
        <x:v>第二大陆·宁姆格福</x:v>
      </x:c>
      <x:c r="B79" s="7" t="n">
        <x:v>4</x:v>
      </x:c>
      <x:c r="C79" s="7" t="str">
        <x:v>普通</x:v>
      </x:c>
      <x:c r="D79" s="7" t="str">
        <x:v>雷痕石蜥</x:v>
      </x:c>
      <x:c r="E79" s="11" t="n">
        <x:v>40500000</x:v>
      </x:c>
      <x:c r="F79" s="11" t="n">
        <x:v>1120000</x:v>
      </x:c>
      <x:c r="G79" s="11" t="n">
        <x:v>5880</x:v>
      </x:c>
      <x:c r="H79" s="11" t="n">
        <x:v>540</x:v>
      </x:c>
      <x:c r="I79" s="11" t="n">
        <x:v>4830</x:v>
      </x:c>
      <x:c r="J79" s="11" t="n">
        <x:v>445</x:v>
      </x:c>
      <x:c r="K79" s="11" t="str">
        <x:v>21000-31500</x:v>
      </x:c>
      <x:c r="L79" s="11" t="str">
        <x:v>1160-1788</x:v>
      </x:c>
      <x:c r="M79" s="7" t="str">
        <x:v>HP=40000×28秒；经验按HP同比；防御按组别与类型系数</x:v>
      </x:c>
    </x:row>
    <x:row r="80">
      <x:c r="A80" s="7" t="str">
        <x:v>第二大陆·宁姆格福</x:v>
      </x:c>
      <x:c r="B80" s="7" t="n">
        <x:v>4</x:v>
      </x:c>
      <x:c r="C80" s="7" t="str">
        <x:v>稀有</x:v>
      </x:c>
      <x:c r="D80" s="7" t="str">
        <x:v>山妖统领</x:v>
      </x:c>
      <x:c r="E80" s="11" t="n">
        <x:v>110000000</x:v>
      </x:c>
      <x:c r="F80" s="11" t="n">
        <x:v>3600000</x:v>
      </x:c>
      <x:c r="G80" s="11" t="n">
        <x:v>6640</x:v>
      </x:c>
      <x:c r="H80" s="11" t="n">
        <x:v>580</x:v>
      </x:c>
      <x:c r="I80" s="11" t="n">
        <x:v>5380</x:v>
      </x:c>
      <x:c r="J80" s="11" t="n">
        <x:v>475</x:v>
      </x:c>
      <x:c r="K80" s="11" t="str">
        <x:v>30000-45000</x:v>
      </x:c>
      <x:c r="L80" s="11" t="str">
        <x:v>1850-2850</x:v>
      </x:c>
      <x:c r="M80" s="7" t="str">
        <x:v>HP=40000×90秒；经验按HP同比；防御按组别与类型系数</x:v>
      </x:c>
    </x:row>
    <x:row r="81">
      <x:c r="A81" s="7" t="str">
        <x:v>第二大陆·宁姆格福</x:v>
      </x:c>
      <x:c r="B81" s="7" t="n">
        <x:v>4</x:v>
      </x:c>
      <x:c r="C81" s="7" t="str">
        <x:v>稀有</x:v>
      </x:c>
      <x:c r="D81" s="7" t="str">
        <x:v>战鹰驯兽师</x:v>
      </x:c>
      <x:c r="E81" s="11" t="n">
        <x:v>137500000</x:v>
      </x:c>
      <x:c r="F81" s="11" t="n">
        <x:v>4200000</x:v>
      </x:c>
      <x:c r="G81" s="11" t="n">
        <x:v>6970</x:v>
      </x:c>
      <x:c r="H81" s="11" t="n">
        <x:v>630</x:v>
      </x:c>
      <x:c r="I81" s="11" t="n">
        <x:v>5710</x:v>
      </x:c>
      <x:c r="J81" s="11" t="n">
        <x:v>520</x:v>
      </x:c>
      <x:c r="K81" s="11" t="str">
        <x:v>33600-50400</x:v>
      </x:c>
      <x:c r="L81" s="11" t="str">
        <x:v>2100-3200</x:v>
      </x:c>
      <x:c r="M81" s="7" t="str">
        <x:v>HP=40000×105秒；经验按HP同比；防御按组别与类型系数</x:v>
      </x:c>
    </x:row>
    <x:row r="82">
      <x:c r="A82" s="7" t="str">
        <x:v>第二大陆·宁姆格福</x:v>
      </x:c>
      <x:c r="B82" s="7" t="n">
        <x:v>4</x:v>
      </x:c>
      <x:c r="C82" s="7" t="str">
        <x:v>稀有</x:v>
      </x:c>
      <x:c r="D82" s="7" t="str">
        <x:v>熔炉百夫长</x:v>
      </x:c>
      <x:c r="E82" s="11" t="n">
        <x:v>170500000</x:v>
      </x:c>
      <x:c r="F82" s="11" t="n">
        <x:v>4800000</x:v>
      </x:c>
      <x:c r="G82" s="11" t="n">
        <x:v>7310</x:v>
      </x:c>
      <x:c r="H82" s="11" t="n">
        <x:v>680</x:v>
      </x:c>
      <x:c r="I82" s="11" t="n">
        <x:v>6050</x:v>
      </x:c>
      <x:c r="J82" s="11" t="n">
        <x:v>560</x:v>
      </x:c>
      <x:c r="K82" s="11" t="str">
        <x:v>37200-55800</x:v>
      </x:c>
      <x:c r="L82" s="11" t="str">
        <x:v>2350-3600</x:v>
      </x:c>
      <x:c r="M82" s="7" t="str">
        <x:v>HP=40000×120秒；经验按HP同比；防御按组别与类型系数</x:v>
      </x:c>
    </x:row>
    <x:row r="83">
      <x:c r="A83" s="7" t="str">
        <x:v>第二大陆·宁姆格福</x:v>
      </x:c>
      <x:c r="B83" s="7" t="n">
        <x:v>4</x:v>
      </x:c>
      <x:c r="C83" s="7" t="str">
        <x:v>稀有</x:v>
      </x:c>
      <x:c r="D83" s="7" t="str">
        <x:v>死亡仪鸟</x:v>
      </x:c>
      <x:c r="E83" s="11" t="n">
        <x:v>209000000</x:v>
      </x:c>
      <x:c r="F83" s="11" t="n">
        <x:v>5400000</x:v>
      </x:c>
      <x:c r="G83" s="11" t="n">
        <x:v>7640</x:v>
      </x:c>
      <x:c r="H83" s="11" t="n">
        <x:v>720</x:v>
      </x:c>
      <x:c r="I83" s="11" t="n">
        <x:v>6380</x:v>
      </x:c>
      <x:c r="J83" s="11" t="n">
        <x:v>590</x:v>
      </x:c>
      <x:c r="K83" s="11" t="str">
        <x:v>40800-61200</x:v>
      </x:c>
      <x:c r="L83" s="11" t="str">
        <x:v>2550-3950</x:v>
      </x:c>
      <x:c r="M83" s="7" t="str">
        <x:v>HP=40000×135秒；经验按HP同比；防御按组别与类型系数</x:v>
      </x:c>
    </x:row>
    <x:row r="84">
      <x:c r="A84" s="7" t="str">
        <x:v>第二大陆·宁姆格福</x:v>
      </x:c>
      <x:c r="B84" s="7" t="n">
        <x:v>4</x:v>
      </x:c>
      <x:c r="C84" s="7" t="str">
        <x:v>BOSS</x:v>
      </x:c>
      <x:c r="D84" s="7" t="str">
        <x:v>风暴君王·奥雷格</x:v>
      </x:c>
      <x:c r="E84" s="11" t="n">
        <x:v>500000000</x:v>
      </x:c>
      <x:c r="F84" s="11" t="n">
        <x:v>19200000</x:v>
      </x:c>
      <x:c r="G84" s="11" t="n">
        <x:v>9660</x:v>
      </x:c>
      <x:c r="H84" s="11" t="n">
        <x:v>850</x:v>
      </x:c>
      <x:c r="I84" s="11" t="n">
        <x:v>7850</x:v>
      </x:c>
      <x:c r="J84" s="11" t="n">
        <x:v>700</x:v>
      </x:c>
      <x:c r="K84" s="11" t="str">
        <x:v>85000-128000</x:v>
      </x:c>
      <x:c r="L84" s="11" t="str">
        <x:v>3750-5800</x:v>
      </x:c>
      <x:c r="M84" s="7" t="str">
        <x:v>HP=40000×480秒；经验按HP同比；防御按组别与类型系数</x:v>
      </x:c>
    </x:row>
    <x:row r="85">
      <x:c r="A85" s="7" t="str">
        <x:v>第二大陆·宁姆格福</x:v>
      </x:c>
      <x:c r="B85" s="7" t="n">
        <x:v>4</x:v>
      </x:c>
      <x:c r="C85" s="7" t="str">
        <x:v>BOSS</x:v>
      </x:c>
      <x:c r="D85" s="7" t="str">
        <x:v>恶兆妖鬼·玛尔基特</x:v>
      </x:c>
      <x:c r="E85" s="11" t="n">
        <x:v>700000000</x:v>
      </x:c>
      <x:c r="F85" s="11" t="n">
        <x:v>28800000</x:v>
      </x:c>
      <x:c r="G85" s="11" t="n">
        <x:v>10290</x:v>
      </x:c>
      <x:c r="H85" s="11" t="n">
        <x:v>920</x:v>
      </x:c>
      <x:c r="I85" s="11" t="n">
        <x:v>8360</x:v>
      </x:c>
      <x:c r="J85" s="11" t="n">
        <x:v>750</x:v>
      </x:c>
      <x:c r="K85" s="11" t="str">
        <x:v>103700-156200</x:v>
      </x:c>
      <x:c r="L85" s="11" t="str">
        <x:v>5050-7750</x:v>
      </x:c>
      <x:c r="M85" s="7" t="str">
        <x:v>HP=40000×720秒；经验按HP同比；防御按组别与类型系数</x:v>
      </x:c>
    </x:row>
    <x:row r="86">
      <x:c r="A86" s="7" t="str">
        <x:v>第二大陆·宁姆格福</x:v>
      </x:c>
      <x:c r="B86" s="7" t="n">
        <x:v>5</x:v>
      </x:c>
      <x:c r="C86" s="7" t="str">
        <x:v>普通</x:v>
      </x:c>
      <x:c r="D86" s="7" t="str">
        <x:v>王城流刑兵</x:v>
      </x:c>
      <x:c r="E86" s="11" t="n">
        <x:v>45000000</x:v>
      </x:c>
      <x:c r="F86" s="11" t="n">
        <x:v>1170000</x:v>
      </x:c>
      <x:c r="G86" s="11" t="n">
        <x:v>6500</x:v>
      </x:c>
      <x:c r="H86" s="11" t="n">
        <x:v>590</x:v>
      </x:c>
      <x:c r="I86" s="11" t="n">
        <x:v>5200</x:v>
      </x:c>
      <x:c r="J86" s="11" t="n">
        <x:v>485</x:v>
      </x:c>
      <x:c r="K86" s="11" t="str">
        <x:v>24000-36000</x:v>
      </x:c>
      <x:c r="L86" s="11" t="str">
        <x:v>1230-1888</x:v>
      </x:c>
      <x:c r="M86" s="7" t="str">
        <x:v>HP=65000×18秒；经验按HP同比；防御按组别与类型系数</x:v>
      </x:c>
    </x:row>
    <x:row r="87">
      <x:c r="A87" s="7" t="str">
        <x:v>第二大陆·宁姆格福</x:v>
      </x:c>
      <x:c r="B87" s="7" t="n">
        <x:v>5</x:v>
      </x:c>
      <x:c r="C87" s="7" t="str">
        <x:v>普通</x:v>
      </x:c>
      <x:c r="D87" s="7" t="str">
        <x:v>失乡斧卫</x:v>
      </x:c>
      <x:c r="E87" s="11" t="n">
        <x:v>51750000</x:v>
      </x:c>
      <x:c r="F87" s="11" t="n">
        <x:v>1300000</x:v>
      </x:c>
      <x:c r="G87" s="11" t="n">
        <x:v>7020</x:v>
      </x:c>
      <x:c r="H87" s="11" t="n">
        <x:v>640</x:v>
      </x:c>
      <x:c r="I87" s="11" t="n">
        <x:v>5660</x:v>
      </x:c>
      <x:c r="J87" s="11" t="n">
        <x:v>520</x:v>
      </x:c>
      <x:c r="K87" s="11" t="str">
        <x:v>26400-39600</x:v>
      </x:c>
      <x:c r="L87" s="11" t="str">
        <x:v>1360-2088</x:v>
      </x:c>
      <x:c r="M87" s="7" t="str">
        <x:v>HP=65000×20秒；经验按HP同比；防御按组别与类型系数</x:v>
      </x:c>
    </x:row>
    <x:row r="88">
      <x:c r="A88" s="7" t="str">
        <x:v>第二大陆·宁姆格福</x:v>
      </x:c>
      <x:c r="B88" s="7" t="n">
        <x:v>5</x:v>
      </x:c>
      <x:c r="C88" s="7" t="str">
        <x:v>普通</x:v>
      </x:c>
      <x:c r="D88" s="7" t="str">
        <x:v>火药弩兵</x:v>
      </x:c>
      <x:c r="E88" s="11" t="n">
        <x:v>60750000</x:v>
      </x:c>
      <x:c r="F88" s="11" t="n">
        <x:v>1430000</x:v>
      </x:c>
      <x:c r="G88" s="11" t="n">
        <x:v>7540</x:v>
      </x:c>
      <x:c r="H88" s="11" t="n">
        <x:v>680</x:v>
      </x:c>
      <x:c r="I88" s="11" t="n">
        <x:v>6110</x:v>
      </x:c>
      <x:c r="J88" s="11" t="n">
        <x:v>560</x:v>
      </x:c>
      <x:c r="K88" s="11" t="str">
        <x:v>28800-43200</x:v>
      </x:c>
      <x:c r="L88" s="11" t="str">
        <x:v>1490-2288</x:v>
      </x:c>
      <x:c r="M88" s="7" t="str">
        <x:v>HP=65000×22秒；经验按HP同比；防御按组别与类型系数</x:v>
      </x:c>
    </x:row>
    <x:row r="89">
      <x:c r="A89" s="7" t="str">
        <x:v>第二大陆·宁姆格福</x:v>
      </x:c>
      <x:c r="B89" s="7" t="n">
        <x:v>5</x:v>
      </x:c>
      <x:c r="C89" s="7" t="str">
        <x:v>普通</x:v>
      </x:c>
      <x:c r="D89" s="7" t="str">
        <x:v>刀翼战鹰</x:v>
      </x:c>
      <x:c r="E89" s="11" t="n">
        <x:v>72000000</x:v>
      </x:c>
      <x:c r="F89" s="11" t="n">
        <x:v>1560000</x:v>
      </x:c>
      <x:c r="G89" s="11" t="n">
        <x:v>8060</x:v>
      </x:c>
      <x:c r="H89" s="11" t="n">
        <x:v>730</x:v>
      </x:c>
      <x:c r="I89" s="11" t="n">
        <x:v>6570</x:v>
      </x:c>
      <x:c r="J89" s="11" t="n">
        <x:v>600</x:v>
      </x:c>
      <x:c r="K89" s="11" t="str">
        <x:v>31200-46800</x:v>
      </x:c>
      <x:c r="L89" s="11" t="str">
        <x:v>1620-2488</x:v>
      </x:c>
      <x:c r="M89" s="7" t="str">
        <x:v>HP=65000×24秒；经验按HP同比；防御按组别与类型系数</x:v>
      </x:c>
    </x:row>
    <x:row r="90">
      <x:c r="A90" s="7" t="str">
        <x:v>第二大陆·宁姆格福</x:v>
      </x:c>
      <x:c r="B90" s="7" t="n">
        <x:v>5</x:v>
      </x:c>
      <x:c r="C90" s="7" t="str">
        <x:v>普通</x:v>
      </x:c>
      <x:c r="D90" s="7" t="str">
        <x:v>接肢侍从</x:v>
      </x:c>
      <x:c r="E90" s="11" t="n">
        <x:v>85500000</x:v>
      </x:c>
      <x:c r="F90" s="11" t="n">
        <x:v>1690000</x:v>
      </x:c>
      <x:c r="G90" s="11" t="n">
        <x:v>8580</x:v>
      </x:c>
      <x:c r="H90" s="11" t="n">
        <x:v>780</x:v>
      </x:c>
      <x:c r="I90" s="11" t="n">
        <x:v>7020</x:v>
      </x:c>
      <x:c r="J90" s="11" t="n">
        <x:v>640</x:v>
      </x:c>
      <x:c r="K90" s="11" t="str">
        <x:v>33600-50400</x:v>
      </x:c>
      <x:c r="L90" s="11" t="str">
        <x:v>1750-2688</x:v>
      </x:c>
      <x:c r="M90" s="7" t="str">
        <x:v>HP=65000×26秒；经验按HP同比；防御按组别与类型系数</x:v>
      </x:c>
    </x:row>
    <x:row r="91">
      <x:c r="A91" s="7" t="str">
        <x:v>第二大陆·宁姆格福</x:v>
      </x:c>
      <x:c r="B91" s="7" t="n">
        <x:v>5</x:v>
      </x:c>
      <x:c r="C91" s="7" t="str">
        <x:v>普通</x:v>
      </x:c>
      <x:c r="D91" s="7" t="str">
        <x:v>王城禁卫</x:v>
      </x:c>
      <x:c r="E91" s="11" t="n">
        <x:v>101250000</x:v>
      </x:c>
      <x:c r="F91" s="11" t="n">
        <x:v>1820000</x:v>
      </x:c>
      <x:c r="G91" s="11" t="n">
        <x:v>9100</x:v>
      </x:c>
      <x:c r="H91" s="11" t="n">
        <x:v>820</x:v>
      </x:c>
      <x:c r="I91" s="11" t="n">
        <x:v>7480</x:v>
      </x:c>
      <x:c r="J91" s="11" t="n">
        <x:v>670</x:v>
      </x:c>
      <x:c r="K91" s="11" t="str">
        <x:v>36000-54000</x:v>
      </x:c>
      <x:c r="L91" s="11" t="str">
        <x:v>1880-2888</x:v>
      </x:c>
      <x:c r="M91" s="7" t="str">
        <x:v>HP=65000×28秒；经验按HP同比；防御按组别与类型系数</x:v>
      </x:c>
    </x:row>
    <x:row r="92">
      <x:c r="A92" s="7" t="str">
        <x:v>第二大陆·宁姆格福</x:v>
      </x:c>
      <x:c r="B92" s="7" t="n">
        <x:v>5</x:v>
      </x:c>
      <x:c r="C92" s="7" t="str">
        <x:v>稀有</x:v>
      </x:c>
      <x:c r="D92" s="7" t="str">
        <x:v>失乡骑士长</x:v>
      </x:c>
      <x:c r="E92" s="11" t="n">
        <x:v>260000000</x:v>
      </x:c>
      <x:c r="F92" s="11" t="n">
        <x:v>5850000</x:v>
      </x:c>
      <x:c r="G92" s="11" t="n">
        <x:v>10270</x:v>
      </x:c>
      <x:c r="H92" s="11" t="n">
        <x:v>880</x:v>
      </x:c>
      <x:c r="I92" s="11" t="n">
        <x:v>8320</x:v>
      </x:c>
      <x:c r="J92" s="11" t="n">
        <x:v>720</x:v>
      </x:c>
      <x:c r="K92" s="11" t="str">
        <x:v>50000-75000</x:v>
      </x:c>
      <x:c r="L92" s="11" t="str">
        <x:v>3000-4600</x:v>
      </x:c>
      <x:c r="M92" s="7" t="str">
        <x:v>HP=65000×90秒；经验按HP同比；防御按组别与类型系数</x:v>
      </x:c>
    </x:row>
    <x:row r="93">
      <x:c r="A93" s="7" t="str">
        <x:v>第二大陆·宁姆格福</x:v>
      </x:c>
      <x:c r="B93" s="7" t="n">
        <x:v>5</x:v>
      </x:c>
      <x:c r="C93" s="7" t="str">
        <x:v>稀有</x:v>
      </x:c>
      <x:c r="D93" s="7" t="str">
        <x:v>接肢狮卫</x:v>
      </x:c>
      <x:c r="E93" s="11" t="n">
        <x:v>325000000</x:v>
      </x:c>
      <x:c r="F93" s="11" t="n">
        <x:v>6825000</x:v>
      </x:c>
      <x:c r="G93" s="11" t="n">
        <x:v>10790</x:v>
      </x:c>
      <x:c r="H93" s="11" t="n">
        <x:v>950</x:v>
      </x:c>
      <x:c r="I93" s="11" t="n">
        <x:v>8840</x:v>
      </x:c>
      <x:c r="J93" s="11" t="n">
        <x:v>780</x:v>
      </x:c>
      <x:c r="K93" s="11" t="str">
        <x:v>56000-84000</x:v>
      </x:c>
      <x:c r="L93" s="11" t="str">
        <x:v>3400-5200</x:v>
      </x:c>
      <x:c r="M93" s="7" t="str">
        <x:v>HP=65000×105秒；经验按HP同比；防御按组别与类型系数</x:v>
      </x:c>
    </x:row>
    <x:row r="94">
      <x:c r="A94" s="7" t="str">
        <x:v>第二大陆·宁姆格福</x:v>
      </x:c>
      <x:c r="B94" s="7" t="n">
        <x:v>5</x:v>
      </x:c>
      <x:c r="C94" s="7" t="str">
        <x:v>稀有</x:v>
      </x:c>
      <x:c r="D94" s="7" t="str">
        <x:v>黑焰礼拜官</x:v>
      </x:c>
      <x:c r="E94" s="11" t="n">
        <x:v>403000000</x:v>
      </x:c>
      <x:c r="F94" s="11" t="n">
        <x:v>7800000</x:v>
      </x:c>
      <x:c r="G94" s="11" t="n">
        <x:v>11310</x:v>
      </x:c>
      <x:c r="H94" s="11" t="n">
        <x:v>1020</x:v>
      </x:c>
      <x:c r="I94" s="11" t="n">
        <x:v>9360</x:v>
      </x:c>
      <x:c r="J94" s="11" t="n">
        <x:v>840</x:v>
      </x:c>
      <x:c r="K94" s="11" t="str">
        <x:v>62000-93000</x:v>
      </x:c>
      <x:c r="L94" s="11" t="str">
        <x:v>3750-5800</x:v>
      </x:c>
      <x:c r="M94" s="7" t="str">
        <x:v>HP=65000×120秒；经验按HP同比；防御按组别与类型系数</x:v>
      </x:c>
    </x:row>
    <x:row r="95">
      <x:c r="A95" s="7" t="str">
        <x:v>第二大陆·宁姆格福</x:v>
      </x:c>
      <x:c r="B95" s="7" t="n">
        <x:v>5</x:v>
      </x:c>
      <x:c r="C95" s="7" t="str">
        <x:v>稀有</x:v>
      </x:c>
      <x:c r="D95" s="7" t="str">
        <x:v>王城执刑官</x:v>
      </x:c>
      <x:c r="E95" s="11" t="n">
        <x:v>494000000</x:v>
      </x:c>
      <x:c r="F95" s="11" t="n">
        <x:v>8775000</x:v>
      </x:c>
      <x:c r="G95" s="11" t="n">
        <x:v>11830</x:v>
      </x:c>
      <x:c r="H95" s="11" t="n">
        <x:v>1090</x:v>
      </x:c>
      <x:c r="I95" s="11" t="n">
        <x:v>9880</x:v>
      </x:c>
      <x:c r="J95" s="11" t="n">
        <x:v>890</x:v>
      </x:c>
      <x:c r="K95" s="11" t="str">
        <x:v>68000-102000</x:v>
      </x:c>
      <x:c r="L95" s="11" t="str">
        <x:v>4150-6350</x:v>
      </x:c>
      <x:c r="M95" s="7" t="str">
        <x:v>HP=65000×135秒；经验按HP同比；防御按组别与类型系数</x:v>
      </x:c>
    </x:row>
    <x:row r="96">
      <x:c r="A96" s="7" t="str">
        <x:v>第二大陆·宁姆格福</x:v>
      </x:c>
      <x:c r="B96" s="7" t="n">
        <x:v>5</x:v>
      </x:c>
      <x:c r="C96" s="7" t="str">
        <x:v>BOSS</x:v>
      </x:c>
      <x:c r="D96" s="7" t="str">
        <x:v>接肢兽将·戈德温</x:v>
      </x:c>
      <x:c r="E96" s="11" t="n">
        <x:v>950000000</x:v>
      </x:c>
      <x:c r="F96" s="11" t="n">
        <x:v>31200000</x:v>
      </x:c>
      <x:c r="G96" s="11" t="n">
        <x:v>14950</x:v>
      </x:c>
      <x:c r="H96" s="11" t="n">
        <x:v>1290</x:v>
      </x:c>
      <x:c r="I96" s="11" t="n">
        <x:v>12160</x:v>
      </x:c>
      <x:c r="J96" s="11" t="n">
        <x:v>1060</x:v>
      </x:c>
      <x:c r="K96" s="11" t="str">
        <x:v>150000-225000</x:v>
      </x:c>
      <x:c r="L96" s="11" t="str">
        <x:v>5550-8500</x:v>
      </x:c>
      <x:c r="M96" s="7" t="str">
        <x:v>HP=65000×480秒；经验按HP同比；防御按组别与类型系数</x:v>
      </x:c>
    </x:row>
    <x:row r="97">
      <x:c r="A97" s="7" t="str">
        <x:v>第二大陆·宁姆格福</x:v>
      </x:c>
      <x:c r="B97" s="7" t="n">
        <x:v>5</x:v>
      </x:c>
      <x:c r="C97" s="7" t="str">
        <x:v>BOSS</x:v>
      </x:c>
      <x:c r="D97" s="7" t="str">
        <x:v>失乡统帅·欧尼尔</x:v>
      </x:c>
      <x:c r="E97" s="11" t="n">
        <x:v>1300000000</x:v>
      </x:c>
      <x:c r="F97" s="11" t="n">
        <x:v>46800000</x:v>
      </x:c>
      <x:c r="G97" s="11" t="n">
        <x:v>15920</x:v>
      </x:c>
      <x:c r="H97" s="11" t="n">
        <x:v>1400</x:v>
      </x:c>
      <x:c r="I97" s="11" t="n">
        <x:v>12940</x:v>
      </x:c>
      <x:c r="J97" s="11" t="n">
        <x:v>1150</x:v>
      </x:c>
      <x:c r="K97" s="11" t="str">
        <x:v>183000-274500</x:v>
      </x:c>
      <x:c r="L97" s="11" t="str">
        <x:v>7150-11000</x:v>
      </x:c>
      <x:c r="M97" s="7" t="str">
        <x:v>HP=65000×720秒；经验按HP同比；防御按组别与类型系数</x:v>
      </x:c>
    </x:row>
    <x:row r="98">
      <x:c r="A98" s="7" t="str">
        <x:v>第二大陆·宁姆格福</x:v>
      </x:c>
      <x:c r="B98" s="7" t="n">
        <x:v>5</x:v>
      </x:c>
      <x:c r="C98" s="7" t="str">
        <x:v>守关BOSS</x:v>
      </x:c>
      <x:c r="D98" s="7" t="str">
        <x:v>接肢君王·葛瑞克</x:v>
      </x:c>
      <x:c r="E98" s="11" t="n">
        <x:v>2500000000</x:v>
      </x:c>
      <x:c r="F98" s="11" t="n">
        <x:v>117000000</x:v>
      </x:c>
      <x:c r="G98" s="11" t="n">
        <x:v>15000</x:v>
      </x:c>
      <x:c r="H98" s="11" t="n">
        <x:v>1760</x:v>
      </x:c>
      <x:c r="I98" s="11" t="n">
        <x:v>12500</x:v>
      </x:c>
      <x:c r="J98" s="11" t="n">
        <x:v>1440</x:v>
      </x:c>
      <x:c r="K98" s="11" t="str">
        <x:v>300000-450000</x:v>
      </x:c>
      <x:c r="L98" s="11" t="str">
        <x:v>19000-28888</x:v>
      </x:c>
      <x:c r="M98" s="7" t="str">
        <x:v>HP=65000×1800秒；经验按HP同比；防御按组别与类型系数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32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34" hidden="0" customWidth="1"/>
  </x:cols>
  <x:sheetData>
    <x:row r="1" ht="30" customHeight="1">
      <x:c r="A1" s="10" t="str">
        <x:v>表类</x:v>
      </x:c>
      <x:c r="B1" s="7" t="str">
        <x:v>大陆</x:v>
      </x:c>
      <x:c r="C1" s="7" t="str">
        <x:v>套/序</x:v>
      </x:c>
      <x:c r="D1" s="7" t="str">
        <x:v>名称</x:v>
      </x:c>
      <x:c r="E1" s="7" t="str">
        <x:v>部位</x:v>
      </x:c>
      <x:c r="F1" s="7" t="str">
        <x:v>基础属性系数</x:v>
      </x:c>
      <x:c r="G1" s="7" t="str">
        <x:v>加成系数</x:v>
      </x:c>
      <x:c r="H1" s="7" t="str">
        <x:v>来源编号</x:v>
      </x:c>
      <x:c r="I1" s="7" t="str">
        <x:v>硬规则检查</x:v>
      </x:c>
    </x:row>
    <x:row r="2">
      <x:c r="A2" s="7" t="str">
        <x:v>制式</x:v>
      </x:c>
      <x:c r="B2" s="7" t="str">
        <x:v>第一大陆</x:v>
      </x:c>
      <x:c r="C2" s="7" t="n">
        <x:v>1</x:v>
      </x:c>
      <x:c r="D2" s="7" t="str">
        <x:v>褪色旅人直剑</x:v>
      </x:c>
      <x:c r="E2" s="7" t="str">
        <x:v>武器</x:v>
      </x:c>
      <x:c r="F2" s="12" t="n">
        <x:v>0.75</x:v>
      </x:c>
      <x:c r="G2" s="12" t="n">
        <x:v>0.6</x:v>
      </x:c>
      <x:c r="H2" s="7" t="str">
        <x:v>828</x:v>
      </x:c>
      <x:c r="I2" s="7" t="str">
        <x:v>通过</x:v>
      </x:c>
    </x:row>
    <x:row r="3">
      <x:c r="A3" s="7" t="str">
        <x:v>制式</x:v>
      </x:c>
      <x:c r="B3" s="7" t="str">
        <x:v>第一大陆</x:v>
      </x:c>
      <x:c r="C3" s="7" t="n">
        <x:v>1</x:v>
      </x:c>
      <x:c r="D3" s="7" t="str">
        <x:v>褪色旅人战甲</x:v>
      </x:c>
      <x:c r="E3" s="7" t="str">
        <x:v>衣服</x:v>
      </x:c>
      <x:c r="F3" s="12" t="n">
        <x:v>0.75</x:v>
      </x:c>
      <x:c r="G3" s="12" t="n">
        <x:v>0.6</x:v>
      </x:c>
      <x:c r="H3" s="7" t="str">
        <x:v>869</x:v>
      </x:c>
      <x:c r="I3" s="7" t="str">
        <x:v>通过</x:v>
      </x:c>
    </x:row>
    <x:row r="4">
      <x:c r="A4" s="7" t="str">
        <x:v>制式</x:v>
      </x:c>
      <x:c r="B4" s="7" t="str">
        <x:v>第一大陆</x:v>
      </x:c>
      <x:c r="C4" s="7" t="n">
        <x:v>1</x:v>
      </x:c>
      <x:c r="D4" s="7" t="str">
        <x:v>褪色旅人战盔</x:v>
      </x:c>
      <x:c r="E4" s="7" t="str">
        <x:v>头盔</x:v>
      </x:c>
      <x:c r="F4" s="12" t="n">
        <x:v>0.75</x:v>
      </x:c>
      <x:c r="G4" s="12" t="n">
        <x:v>0.6</x:v>
      </x:c>
      <x:c r="H4" s="7" t="str">
        <x:v>827</x:v>
      </x:c>
      <x:c r="I4" s="7" t="str">
        <x:v>通过</x:v>
      </x:c>
    </x:row>
    <x:row r="5">
      <x:c r="A5" s="7" t="str">
        <x:v>制式</x:v>
      </x:c>
      <x:c r="B5" s="7" t="str">
        <x:v>第一大陆</x:v>
      </x:c>
      <x:c r="C5" s="7" t="n">
        <x:v>1</x:v>
      </x:c>
      <x:c r="D5" s="7" t="str">
        <x:v>褪色旅人项链</x:v>
      </x:c>
      <x:c r="E5" s="7" t="str">
        <x:v>项链</x:v>
      </x:c>
      <x:c r="F5" s="12" t="n">
        <x:v>0.75</x:v>
      </x:c>
      <x:c r="G5" s="12" t="n">
        <x:v>0.6</x:v>
      </x:c>
      <x:c r="H5" s="7" t="str">
        <x:v>823</x:v>
      </x:c>
      <x:c r="I5" s="7" t="str">
        <x:v>通过</x:v>
      </x:c>
    </x:row>
    <x:row r="6">
      <x:c r="A6" s="7" t="str">
        <x:v>制式</x:v>
      </x:c>
      <x:c r="B6" s="7" t="str">
        <x:v>第一大陆</x:v>
      </x:c>
      <x:c r="C6" s="7" t="n">
        <x:v>1</x:v>
      </x:c>
      <x:c r="D6" s="7" t="str">
        <x:v>褪色旅人腕甲</x:v>
      </x:c>
      <x:c r="E6" s="7" t="str">
        <x:v>手镯</x:v>
      </x:c>
      <x:c r="F6" s="12" t="n">
        <x:v>0.75</x:v>
      </x:c>
      <x:c r="G6" s="12" t="n">
        <x:v>0.6</x:v>
      </x:c>
      <x:c r="H6" s="7" t="str">
        <x:v>826</x:v>
      </x:c>
      <x:c r="I6" s="7" t="str">
        <x:v>通过</x:v>
      </x:c>
    </x:row>
    <x:row r="7">
      <x:c r="A7" s="7" t="str">
        <x:v>制式</x:v>
      </x:c>
      <x:c r="B7" s="7" t="str">
        <x:v>第一大陆</x:v>
      </x:c>
      <x:c r="C7" s="7" t="n">
        <x:v>1</x:v>
      </x:c>
      <x:c r="D7" s="7" t="str">
        <x:v>褪色旅人戒指</x:v>
      </x:c>
      <x:c r="E7" s="7" t="str">
        <x:v>戒指</x:v>
      </x:c>
      <x:c r="F7" s="12" t="n">
        <x:v>0.75</x:v>
      </x:c>
      <x:c r="G7" s="12" t="n">
        <x:v>0.6</x:v>
      </x:c>
      <x:c r="H7" s="7" t="str">
        <x:v>824</x:v>
      </x:c>
      <x:c r="I7" s="7" t="str">
        <x:v>通过</x:v>
      </x:c>
    </x:row>
    <x:row r="8">
      <x:c r="A8" s="7" t="str">
        <x:v>制式</x:v>
      </x:c>
      <x:c r="B8" s="7" t="str">
        <x:v>第一大陆</x:v>
      </x:c>
      <x:c r="C8" s="7" t="n">
        <x:v>1</x:v>
      </x:c>
      <x:c r="D8" s="7" t="str">
        <x:v>褪色旅人腰带</x:v>
      </x:c>
      <x:c r="E8" s="7" t="str">
        <x:v>腰带</x:v>
      </x:c>
      <x:c r="F8" s="12" t="n">
        <x:v>0.75</x:v>
      </x:c>
      <x:c r="G8" s="12" t="n">
        <x:v>0.6</x:v>
      </x:c>
      <x:c r="H8" s="7" t="str">
        <x:v>825</x:v>
      </x:c>
      <x:c r="I8" s="7" t="str">
        <x:v>通过</x:v>
      </x:c>
    </x:row>
    <x:row r="9">
      <x:c r="A9" s="7" t="str">
        <x:v>制式</x:v>
      </x:c>
      <x:c r="B9" s="7" t="str">
        <x:v>第一大陆</x:v>
      </x:c>
      <x:c r="C9" s="7" t="n">
        <x:v>1</x:v>
      </x:c>
      <x:c r="D9" s="7" t="str">
        <x:v>褪色旅人战靴</x:v>
      </x:c>
      <x:c r="E9" s="7" t="str">
        <x:v>鞋子</x:v>
      </x:c>
      <x:c r="F9" s="12" t="n">
        <x:v>0.75</x:v>
      </x:c>
      <x:c r="G9" s="12" t="n">
        <x:v>0.6</x:v>
      </x:c>
      <x:c r="H9" s="7" t="str">
        <x:v>821</x:v>
      </x:c>
      <x:c r="I9" s="7" t="str">
        <x:v>通过</x:v>
      </x:c>
    </x:row>
    <x:row r="10">
      <x:c r="A10" s="7" t="str">
        <x:v>制式</x:v>
      </x:c>
      <x:c r="B10" s="7" t="str">
        <x:v>第一大陆</x:v>
      </x:c>
      <x:c r="C10" s="7" t="n">
        <x:v>2</x:v>
      </x:c>
      <x:c r="D10" s="7" t="str">
        <x:v>失乡战士长剑</x:v>
      </x:c>
      <x:c r="E10" s="7" t="str">
        <x:v>武器</x:v>
      </x:c>
      <x:c r="F10" s="12" t="n">
        <x:v>0.75</x:v>
      </x:c>
      <x:c r="G10" s="12" t="n">
        <x:v>0.6</x:v>
      </x:c>
      <x:c r="H10" s="7" t="str">
        <x:v>1404</x:v>
      </x:c>
      <x:c r="I10" s="7" t="str">
        <x:v>通过</x:v>
      </x:c>
    </x:row>
    <x:row r="11">
      <x:c r="A11" s="7" t="str">
        <x:v>制式</x:v>
      </x:c>
      <x:c r="B11" s="7" t="str">
        <x:v>第一大陆</x:v>
      </x:c>
      <x:c r="C11" s="7" t="n">
        <x:v>2</x:v>
      </x:c>
      <x:c r="D11" s="7" t="str">
        <x:v>失乡战士战甲</x:v>
      </x:c>
      <x:c r="E11" s="7" t="str">
        <x:v>衣服</x:v>
      </x:c>
      <x:c r="F11" s="12" t="n">
        <x:v>0.75</x:v>
      </x:c>
      <x:c r="G11" s="12" t="n">
        <x:v>0.6</x:v>
      </x:c>
      <x:c r="H11" s="7" t="str">
        <x:v>1394</x:v>
      </x:c>
      <x:c r="I11" s="7" t="str">
        <x:v>通过</x:v>
      </x:c>
    </x:row>
    <x:row r="12">
      <x:c r="A12" s="7" t="str">
        <x:v>制式</x:v>
      </x:c>
      <x:c r="B12" s="7" t="str">
        <x:v>第一大陆</x:v>
      </x:c>
      <x:c r="C12" s="7" t="n">
        <x:v>2</x:v>
      </x:c>
      <x:c r="D12" s="7" t="str">
        <x:v>失乡战士战盔</x:v>
      </x:c>
      <x:c r="E12" s="7" t="str">
        <x:v>头盔</x:v>
      </x:c>
      <x:c r="F12" s="12" t="n">
        <x:v>0.75</x:v>
      </x:c>
      <x:c r="G12" s="12" t="n">
        <x:v>0.6</x:v>
      </x:c>
      <x:c r="H12" s="7" t="str">
        <x:v>1245</x:v>
      </x:c>
      <x:c r="I12" s="7" t="str">
        <x:v>通过</x:v>
      </x:c>
    </x:row>
    <x:row r="13">
      <x:c r="A13" s="7" t="str">
        <x:v>制式</x:v>
      </x:c>
      <x:c r="B13" s="7" t="str">
        <x:v>第一大陆</x:v>
      </x:c>
      <x:c r="C13" s="7" t="n">
        <x:v>2</x:v>
      </x:c>
      <x:c r="D13" s="7" t="str">
        <x:v>失乡战士项链</x:v>
      </x:c>
      <x:c r="E13" s="7" t="str">
        <x:v>项链</x:v>
      </x:c>
      <x:c r="F13" s="12" t="n">
        <x:v>0.75</x:v>
      </x:c>
      <x:c r="G13" s="12" t="n">
        <x:v>0.6</x:v>
      </x:c>
      <x:c r="H13" s="7" t="str">
        <x:v>1242</x:v>
      </x:c>
      <x:c r="I13" s="7" t="str">
        <x:v>通过</x:v>
      </x:c>
    </x:row>
    <x:row r="14">
      <x:c r="A14" s="7" t="str">
        <x:v>制式</x:v>
      </x:c>
      <x:c r="B14" s="7" t="str">
        <x:v>第一大陆</x:v>
      </x:c>
      <x:c r="C14" s="7" t="n">
        <x:v>2</x:v>
      </x:c>
      <x:c r="D14" s="7" t="str">
        <x:v>失乡战士腕甲</x:v>
      </x:c>
      <x:c r="E14" s="7" t="str">
        <x:v>手镯</x:v>
      </x:c>
      <x:c r="F14" s="12" t="n">
        <x:v>0.75</x:v>
      </x:c>
      <x:c r="G14" s="12" t="n">
        <x:v>0.6</x:v>
      </x:c>
      <x:c r="H14" s="7" t="str">
        <x:v>1241</x:v>
      </x:c>
      <x:c r="I14" s="7" t="str">
        <x:v>通过</x:v>
      </x:c>
    </x:row>
    <x:row r="15">
      <x:c r="A15" s="7" t="str">
        <x:v>制式</x:v>
      </x:c>
      <x:c r="B15" s="7" t="str">
        <x:v>第一大陆</x:v>
      </x:c>
      <x:c r="C15" s="7" t="n">
        <x:v>2</x:v>
      </x:c>
      <x:c r="D15" s="7" t="str">
        <x:v>失乡战士戒指</x:v>
      </x:c>
      <x:c r="E15" s="7" t="str">
        <x:v>戒指</x:v>
      </x:c>
      <x:c r="F15" s="12" t="n">
        <x:v>0.75</x:v>
      </x:c>
      <x:c r="G15" s="12" t="n">
        <x:v>0.6</x:v>
      </x:c>
      <x:c r="H15" s="7" t="str">
        <x:v>1240</x:v>
      </x:c>
      <x:c r="I15" s="7" t="str">
        <x:v>通过</x:v>
      </x:c>
    </x:row>
    <x:row r="16">
      <x:c r="A16" s="7" t="str">
        <x:v>制式</x:v>
      </x:c>
      <x:c r="B16" s="7" t="str">
        <x:v>第一大陆</x:v>
      </x:c>
      <x:c r="C16" s="7" t="n">
        <x:v>2</x:v>
      </x:c>
      <x:c r="D16" s="7" t="str">
        <x:v>失乡战士腰带</x:v>
      </x:c>
      <x:c r="E16" s="7" t="str">
        <x:v>腰带</x:v>
      </x:c>
      <x:c r="F16" s="12" t="n">
        <x:v>0.75</x:v>
      </x:c>
      <x:c r="G16" s="12" t="n">
        <x:v>0.6</x:v>
      </x:c>
      <x:c r="H16" s="7" t="str">
        <x:v>1244</x:v>
      </x:c>
      <x:c r="I16" s="7" t="str">
        <x:v>通过</x:v>
      </x:c>
    </x:row>
    <x:row r="17">
      <x:c r="A17" s="7" t="str">
        <x:v>制式</x:v>
      </x:c>
      <x:c r="B17" s="7" t="str">
        <x:v>第一大陆</x:v>
      </x:c>
      <x:c r="C17" s="7" t="n">
        <x:v>2</x:v>
      </x:c>
      <x:c r="D17" s="7" t="str">
        <x:v>失乡战士战靴</x:v>
      </x:c>
      <x:c r="E17" s="7" t="str">
        <x:v>鞋子</x:v>
      </x:c>
      <x:c r="F17" s="12" t="n">
        <x:v>0.75</x:v>
      </x:c>
      <x:c r="G17" s="12" t="n">
        <x:v>0.6</x:v>
      </x:c>
      <x:c r="H17" s="7" t="str">
        <x:v>1243</x:v>
      </x:c>
      <x:c r="I17" s="7" t="str">
        <x:v>通过</x:v>
      </x:c>
    </x:row>
    <x:row r="18">
      <x:c r="A18" s="7" t="str">
        <x:v>制式</x:v>
      </x:c>
      <x:c r="B18" s="7" t="str">
        <x:v>第一大陆</x:v>
      </x:c>
      <x:c r="C18" s="7" t="n">
        <x:v>3</x:v>
      </x:c>
      <x:c r="D18" s="7" t="str">
        <x:v>漂流守卫战刃</x:v>
      </x:c>
      <x:c r="E18" s="7" t="str">
        <x:v>武器</x:v>
      </x:c>
      <x:c r="F18" s="12" t="n">
        <x:v>0.75</x:v>
      </x:c>
      <x:c r="G18" s="12" t="n">
        <x:v>0.6</x:v>
      </x:c>
      <x:c r="H18" s="7" t="str">
        <x:v>1405</x:v>
      </x:c>
      <x:c r="I18" s="7" t="str">
        <x:v>通过</x:v>
      </x:c>
    </x:row>
    <x:row r="19">
      <x:c r="A19" s="7" t="str">
        <x:v>制式</x:v>
      </x:c>
      <x:c r="B19" s="7" t="str">
        <x:v>第一大陆</x:v>
      </x:c>
      <x:c r="C19" s="7" t="n">
        <x:v>3</x:v>
      </x:c>
      <x:c r="D19" s="7" t="str">
        <x:v>漂流守卫战甲</x:v>
      </x:c>
      <x:c r="E19" s="7" t="str">
        <x:v>衣服</x:v>
      </x:c>
      <x:c r="F19" s="12" t="n">
        <x:v>0.75</x:v>
      </x:c>
      <x:c r="G19" s="12" t="n">
        <x:v>0.6</x:v>
      </x:c>
      <x:c r="H19" s="7" t="str">
        <x:v>1395</x:v>
      </x:c>
      <x:c r="I19" s="7" t="str">
        <x:v>通过</x:v>
      </x:c>
    </x:row>
    <x:row r="20">
      <x:c r="A20" s="7" t="str">
        <x:v>制式</x:v>
      </x:c>
      <x:c r="B20" s="7" t="str">
        <x:v>第一大陆</x:v>
      </x:c>
      <x:c r="C20" s="7" t="n">
        <x:v>3</x:v>
      </x:c>
      <x:c r="D20" s="7" t="str">
        <x:v>漂流守卫战盔</x:v>
      </x:c>
      <x:c r="E20" s="7" t="str">
        <x:v>头盔</x:v>
      </x:c>
      <x:c r="F20" s="12" t="n">
        <x:v>0.75</x:v>
      </x:c>
      <x:c r="G20" s="12" t="n">
        <x:v>0.6</x:v>
      </x:c>
      <x:c r="H20" s="7" t="str">
        <x:v>1255</x:v>
      </x:c>
      <x:c r="I20" s="7" t="str">
        <x:v>通过</x:v>
      </x:c>
    </x:row>
    <x:row r="21">
      <x:c r="A21" s="7" t="str">
        <x:v>制式</x:v>
      </x:c>
      <x:c r="B21" s="7" t="str">
        <x:v>第一大陆</x:v>
      </x:c>
      <x:c r="C21" s="7" t="n">
        <x:v>3</x:v>
      </x:c>
      <x:c r="D21" s="7" t="str">
        <x:v>漂流守卫项链</x:v>
      </x:c>
      <x:c r="E21" s="7" t="str">
        <x:v>项链</x:v>
      </x:c>
      <x:c r="F21" s="12" t="n">
        <x:v>0.75</x:v>
      </x:c>
      <x:c r="G21" s="12" t="n">
        <x:v>0.6</x:v>
      </x:c>
      <x:c r="H21" s="7" t="str">
        <x:v>1252</x:v>
      </x:c>
      <x:c r="I21" s="7" t="str">
        <x:v>通过</x:v>
      </x:c>
    </x:row>
    <x:row r="22">
      <x:c r="A22" s="7" t="str">
        <x:v>制式</x:v>
      </x:c>
      <x:c r="B22" s="7" t="str">
        <x:v>第一大陆</x:v>
      </x:c>
      <x:c r="C22" s="7" t="n">
        <x:v>3</x:v>
      </x:c>
      <x:c r="D22" s="7" t="str">
        <x:v>漂流守卫腕甲</x:v>
      </x:c>
      <x:c r="E22" s="7" t="str">
        <x:v>手镯</x:v>
      </x:c>
      <x:c r="F22" s="12" t="n">
        <x:v>0.75</x:v>
      </x:c>
      <x:c r="G22" s="12" t="n">
        <x:v>0.6</x:v>
      </x:c>
      <x:c r="H22" s="7" t="str">
        <x:v>1251</x:v>
      </x:c>
      <x:c r="I22" s="7" t="str">
        <x:v>通过</x:v>
      </x:c>
    </x:row>
    <x:row r="23">
      <x:c r="A23" s="7" t="str">
        <x:v>制式</x:v>
      </x:c>
      <x:c r="B23" s="7" t="str">
        <x:v>第一大陆</x:v>
      </x:c>
      <x:c r="C23" s="7" t="n">
        <x:v>3</x:v>
      </x:c>
      <x:c r="D23" s="7" t="str">
        <x:v>漂流守卫戒指</x:v>
      </x:c>
      <x:c r="E23" s="7" t="str">
        <x:v>戒指</x:v>
      </x:c>
      <x:c r="F23" s="12" t="n">
        <x:v>0.75</x:v>
      </x:c>
      <x:c r="G23" s="12" t="n">
        <x:v>0.6</x:v>
      </x:c>
      <x:c r="H23" s="7" t="str">
        <x:v>1250</x:v>
      </x:c>
      <x:c r="I23" s="7" t="str">
        <x:v>通过</x:v>
      </x:c>
    </x:row>
    <x:row r="24">
      <x:c r="A24" s="7" t="str">
        <x:v>制式</x:v>
      </x:c>
      <x:c r="B24" s="7" t="str">
        <x:v>第一大陆</x:v>
      </x:c>
      <x:c r="C24" s="7" t="n">
        <x:v>3</x:v>
      </x:c>
      <x:c r="D24" s="7" t="str">
        <x:v>漂流守卫腰带</x:v>
      </x:c>
      <x:c r="E24" s="7" t="str">
        <x:v>腰带</x:v>
      </x:c>
      <x:c r="F24" s="12" t="n">
        <x:v>0.75</x:v>
      </x:c>
      <x:c r="G24" s="12" t="n">
        <x:v>0.6</x:v>
      </x:c>
      <x:c r="H24" s="7" t="str">
        <x:v>1254</x:v>
      </x:c>
      <x:c r="I24" s="7" t="str">
        <x:v>通过</x:v>
      </x:c>
    </x:row>
    <x:row r="25">
      <x:c r="A25" s="7" t="str">
        <x:v>制式</x:v>
      </x:c>
      <x:c r="B25" s="7" t="str">
        <x:v>第一大陆</x:v>
      </x:c>
      <x:c r="C25" s="7" t="n">
        <x:v>3</x:v>
      </x:c>
      <x:c r="D25" s="7" t="str">
        <x:v>漂流守卫战靴</x:v>
      </x:c>
      <x:c r="E25" s="7" t="str">
        <x:v>鞋子</x:v>
      </x:c>
      <x:c r="F25" s="12" t="n">
        <x:v>0.75</x:v>
      </x:c>
      <x:c r="G25" s="12" t="n">
        <x:v>0.6</x:v>
      </x:c>
      <x:c r="H25" s="7" t="str">
        <x:v>1253</x:v>
      </x:c>
      <x:c r="I25" s="7" t="str">
        <x:v>通过</x:v>
      </x:c>
    </x:row>
    <x:row r="26">
      <x:c r="A26" s="7" t="str">
        <x:v>制式</x:v>
      </x:c>
      <x:c r="B26" s="7" t="str">
        <x:v>第一大陆</x:v>
      </x:c>
      <x:c r="C26" s="7" t="n">
        <x:v>4</x:v>
      </x:c>
      <x:c r="D26" s="7" t="str">
        <x:v>断崖铁卫重剑</x:v>
      </x:c>
      <x:c r="E26" s="7" t="str">
        <x:v>武器</x:v>
      </x:c>
      <x:c r="F26" s="12" t="n">
        <x:v>0.75</x:v>
      </x:c>
      <x:c r="G26" s="12" t="n">
        <x:v>0.6</x:v>
      </x:c>
      <x:c r="H26" s="7" t="str">
        <x:v>1406</x:v>
      </x:c>
      <x:c r="I26" s="7" t="str">
        <x:v>通过</x:v>
      </x:c>
    </x:row>
    <x:row r="27">
      <x:c r="A27" s="7" t="str">
        <x:v>制式</x:v>
      </x:c>
      <x:c r="B27" s="7" t="str">
        <x:v>第一大陆</x:v>
      </x:c>
      <x:c r="C27" s="7" t="n">
        <x:v>4</x:v>
      </x:c>
      <x:c r="D27" s="7" t="str">
        <x:v>断崖铁卫战甲</x:v>
      </x:c>
      <x:c r="E27" s="7" t="str">
        <x:v>衣服</x:v>
      </x:c>
      <x:c r="F27" s="12" t="n">
        <x:v>0.75</x:v>
      </x:c>
      <x:c r="G27" s="12" t="n">
        <x:v>0.6</x:v>
      </x:c>
      <x:c r="H27" s="7" t="str">
        <x:v>1396</x:v>
      </x:c>
      <x:c r="I27" s="7" t="str">
        <x:v>通过</x:v>
      </x:c>
    </x:row>
    <x:row r="28">
      <x:c r="A28" s="7" t="str">
        <x:v>制式</x:v>
      </x:c>
      <x:c r="B28" s="7" t="str">
        <x:v>第一大陆</x:v>
      </x:c>
      <x:c r="C28" s="7" t="n">
        <x:v>4</x:v>
      </x:c>
      <x:c r="D28" s="7" t="str">
        <x:v>断崖铁卫战盔</x:v>
      </x:c>
      <x:c r="E28" s="7" t="str">
        <x:v>头盔</x:v>
      </x:c>
      <x:c r="F28" s="12" t="n">
        <x:v>0.75</x:v>
      </x:c>
      <x:c r="G28" s="12" t="n">
        <x:v>0.6</x:v>
      </x:c>
      <x:c r="H28" s="7" t="str">
        <x:v>1265</x:v>
      </x:c>
      <x:c r="I28" s="7" t="str">
        <x:v>通过</x:v>
      </x:c>
    </x:row>
    <x:row r="29">
      <x:c r="A29" s="7" t="str">
        <x:v>制式</x:v>
      </x:c>
      <x:c r="B29" s="7" t="str">
        <x:v>第一大陆</x:v>
      </x:c>
      <x:c r="C29" s="7" t="n">
        <x:v>4</x:v>
      </x:c>
      <x:c r="D29" s="7" t="str">
        <x:v>断崖铁卫项链</x:v>
      </x:c>
      <x:c r="E29" s="7" t="str">
        <x:v>项链</x:v>
      </x:c>
      <x:c r="F29" s="12" t="n">
        <x:v>0.75</x:v>
      </x:c>
      <x:c r="G29" s="12" t="n">
        <x:v>0.6</x:v>
      </x:c>
      <x:c r="H29" s="7" t="str">
        <x:v>1262</x:v>
      </x:c>
      <x:c r="I29" s="7" t="str">
        <x:v>通过</x:v>
      </x:c>
    </x:row>
    <x:row r="30">
      <x:c r="A30" s="7" t="str">
        <x:v>制式</x:v>
      </x:c>
      <x:c r="B30" s="7" t="str">
        <x:v>第一大陆</x:v>
      </x:c>
      <x:c r="C30" s="7" t="n">
        <x:v>4</x:v>
      </x:c>
      <x:c r="D30" s="7" t="str">
        <x:v>断崖铁卫腕甲</x:v>
      </x:c>
      <x:c r="E30" s="7" t="str">
        <x:v>手镯</x:v>
      </x:c>
      <x:c r="F30" s="12" t="n">
        <x:v>0.75</x:v>
      </x:c>
      <x:c r="G30" s="12" t="n">
        <x:v>0.6</x:v>
      </x:c>
      <x:c r="H30" s="7" t="str">
        <x:v>1261</x:v>
      </x:c>
      <x:c r="I30" s="7" t="str">
        <x:v>通过</x:v>
      </x:c>
    </x:row>
    <x:row r="31">
      <x:c r="A31" s="7" t="str">
        <x:v>制式</x:v>
      </x:c>
      <x:c r="B31" s="7" t="str">
        <x:v>第一大陆</x:v>
      </x:c>
      <x:c r="C31" s="7" t="n">
        <x:v>4</x:v>
      </x:c>
      <x:c r="D31" s="7" t="str">
        <x:v>断崖铁卫戒指</x:v>
      </x:c>
      <x:c r="E31" s="7" t="str">
        <x:v>戒指</x:v>
      </x:c>
      <x:c r="F31" s="12" t="n">
        <x:v>0.75</x:v>
      </x:c>
      <x:c r="G31" s="12" t="n">
        <x:v>0.6</x:v>
      </x:c>
      <x:c r="H31" s="7" t="str">
        <x:v>1260</x:v>
      </x:c>
      <x:c r="I31" s="7" t="str">
        <x:v>通过</x:v>
      </x:c>
    </x:row>
    <x:row r="32">
      <x:c r="A32" s="7" t="str">
        <x:v>制式</x:v>
      </x:c>
      <x:c r="B32" s="7" t="str">
        <x:v>第一大陆</x:v>
      </x:c>
      <x:c r="C32" s="7" t="n">
        <x:v>4</x:v>
      </x:c>
      <x:c r="D32" s="7" t="str">
        <x:v>断崖铁卫腰带</x:v>
      </x:c>
      <x:c r="E32" s="7" t="str">
        <x:v>腰带</x:v>
      </x:c>
      <x:c r="F32" s="12" t="n">
        <x:v>0.75</x:v>
      </x:c>
      <x:c r="G32" s="12" t="n">
        <x:v>0.6</x:v>
      </x:c>
      <x:c r="H32" s="7" t="str">
        <x:v>1264</x:v>
      </x:c>
      <x:c r="I32" s="7" t="str">
        <x:v>通过</x:v>
      </x:c>
    </x:row>
    <x:row r="33">
      <x:c r="A33" s="7" t="str">
        <x:v>制式</x:v>
      </x:c>
      <x:c r="B33" s="7" t="str">
        <x:v>第一大陆</x:v>
      </x:c>
      <x:c r="C33" s="7" t="n">
        <x:v>4</x:v>
      </x:c>
      <x:c r="D33" s="7" t="str">
        <x:v>断崖铁卫战靴</x:v>
      </x:c>
      <x:c r="E33" s="7" t="str">
        <x:v>鞋子</x:v>
      </x:c>
      <x:c r="F33" s="12" t="n">
        <x:v>0.75</x:v>
      </x:c>
      <x:c r="G33" s="12" t="n">
        <x:v>0.6</x:v>
      </x:c>
      <x:c r="H33" s="7" t="str">
        <x:v>1263</x:v>
      </x:c>
      <x:c r="I33" s="7" t="str">
        <x:v>通过</x:v>
      </x:c>
    </x:row>
    <x:row r="34">
      <x:c r="A34" s="7" t="str">
        <x:v>制式</x:v>
      </x:c>
      <x:c r="B34" s="7" t="str">
        <x:v>第一大陆</x:v>
      </x:c>
      <x:c r="C34" s="7" t="n">
        <x:v>5</x:v>
      </x:c>
      <x:c r="D34" s="7" t="str">
        <x:v>风暴骑士剑</x:v>
      </x:c>
      <x:c r="E34" s="7" t="str">
        <x:v>武器</x:v>
      </x:c>
      <x:c r="F34" s="12" t="n">
        <x:v>0.75</x:v>
      </x:c>
      <x:c r="G34" s="12" t="n">
        <x:v>0.6</x:v>
      </x:c>
      <x:c r="H34" s="7" t="str">
        <x:v>1408</x:v>
      </x:c>
      <x:c r="I34" s="7" t="str">
        <x:v>通过</x:v>
      </x:c>
    </x:row>
    <x:row r="35">
      <x:c r="A35" s="7" t="str">
        <x:v>制式</x:v>
      </x:c>
      <x:c r="B35" s="7" t="str">
        <x:v>第一大陆</x:v>
      </x:c>
      <x:c r="C35" s="7" t="n">
        <x:v>5</x:v>
      </x:c>
      <x:c r="D35" s="7" t="str">
        <x:v>风暴骑士战甲</x:v>
      </x:c>
      <x:c r="E35" s="7" t="str">
        <x:v>衣服</x:v>
      </x:c>
      <x:c r="F35" s="12" t="n">
        <x:v>0.75</x:v>
      </x:c>
      <x:c r="G35" s="12" t="n">
        <x:v>0.6</x:v>
      </x:c>
      <x:c r="H35" s="7" t="str">
        <x:v>1398</x:v>
      </x:c>
      <x:c r="I35" s="7" t="str">
        <x:v>通过</x:v>
      </x:c>
    </x:row>
    <x:row r="36">
      <x:c r="A36" s="7" t="str">
        <x:v>制式</x:v>
      </x:c>
      <x:c r="B36" s="7" t="str">
        <x:v>第一大陆</x:v>
      </x:c>
      <x:c r="C36" s="7" t="n">
        <x:v>5</x:v>
      </x:c>
      <x:c r="D36" s="7" t="str">
        <x:v>风暴骑士战盔</x:v>
      </x:c>
      <x:c r="E36" s="7" t="str">
        <x:v>头盔</x:v>
      </x:c>
      <x:c r="F36" s="12" t="n">
        <x:v>0.75</x:v>
      </x:c>
      <x:c r="G36" s="12" t="n">
        <x:v>0.6</x:v>
      </x:c>
      <x:c r="H36" s="7" t="str">
        <x:v>1369</x:v>
      </x:c>
      <x:c r="I36" s="7" t="str">
        <x:v>通过</x:v>
      </x:c>
    </x:row>
    <x:row r="37">
      <x:c r="A37" s="7" t="str">
        <x:v>制式</x:v>
      </x:c>
      <x:c r="B37" s="7" t="str">
        <x:v>第一大陆</x:v>
      </x:c>
      <x:c r="C37" s="7" t="n">
        <x:v>5</x:v>
      </x:c>
      <x:c r="D37" s="7" t="str">
        <x:v>风暴骑士项链</x:v>
      </x:c>
      <x:c r="E37" s="7" t="str">
        <x:v>项链</x:v>
      </x:c>
      <x:c r="F37" s="12" t="n">
        <x:v>0.75</x:v>
      </x:c>
      <x:c r="G37" s="12" t="n">
        <x:v>0.6</x:v>
      </x:c>
      <x:c r="H37" s="7" t="str">
        <x:v>1366</x:v>
      </x:c>
      <x:c r="I37" s="7" t="str">
        <x:v>通过</x:v>
      </x:c>
    </x:row>
    <x:row r="38">
      <x:c r="A38" s="7" t="str">
        <x:v>制式</x:v>
      </x:c>
      <x:c r="B38" s="7" t="str">
        <x:v>第一大陆</x:v>
      </x:c>
      <x:c r="C38" s="7" t="n">
        <x:v>5</x:v>
      </x:c>
      <x:c r="D38" s="7" t="str">
        <x:v>风暴骑士腕甲</x:v>
      </x:c>
      <x:c r="E38" s="7" t="str">
        <x:v>手镯</x:v>
      </x:c>
      <x:c r="F38" s="12" t="n">
        <x:v>0.75</x:v>
      </x:c>
      <x:c r="G38" s="12" t="n">
        <x:v>0.6</x:v>
      </x:c>
      <x:c r="H38" s="7" t="str">
        <x:v>1365</x:v>
      </x:c>
      <x:c r="I38" s="7" t="str">
        <x:v>通过</x:v>
      </x:c>
    </x:row>
    <x:row r="39">
      <x:c r="A39" s="7" t="str">
        <x:v>制式</x:v>
      </x:c>
      <x:c r="B39" s="7" t="str">
        <x:v>第一大陆</x:v>
      </x:c>
      <x:c r="C39" s="7" t="n">
        <x:v>5</x:v>
      </x:c>
      <x:c r="D39" s="7" t="str">
        <x:v>风暴骑士戒指</x:v>
      </x:c>
      <x:c r="E39" s="7" t="str">
        <x:v>戒指</x:v>
      </x:c>
      <x:c r="F39" s="12" t="n">
        <x:v>0.75</x:v>
      </x:c>
      <x:c r="G39" s="12" t="n">
        <x:v>0.6</x:v>
      </x:c>
      <x:c r="H39" s="7" t="str">
        <x:v>1364</x:v>
      </x:c>
      <x:c r="I39" s="7" t="str">
        <x:v>通过</x:v>
      </x:c>
    </x:row>
    <x:row r="40">
      <x:c r="A40" s="7" t="str">
        <x:v>制式</x:v>
      </x:c>
      <x:c r="B40" s="7" t="str">
        <x:v>第一大陆</x:v>
      </x:c>
      <x:c r="C40" s="7" t="n">
        <x:v>5</x:v>
      </x:c>
      <x:c r="D40" s="7" t="str">
        <x:v>风暴骑士腰带</x:v>
      </x:c>
      <x:c r="E40" s="7" t="str">
        <x:v>腰带</x:v>
      </x:c>
      <x:c r="F40" s="12" t="n">
        <x:v>0.75</x:v>
      </x:c>
      <x:c r="G40" s="12" t="n">
        <x:v>0.6</x:v>
      </x:c>
      <x:c r="H40" s="7" t="str">
        <x:v>1368</x:v>
      </x:c>
      <x:c r="I40" s="7" t="str">
        <x:v>通过</x:v>
      </x:c>
    </x:row>
    <x:row r="41">
      <x:c r="A41" s="7" t="str">
        <x:v>制式</x:v>
      </x:c>
      <x:c r="B41" s="7" t="str">
        <x:v>第一大陆</x:v>
      </x:c>
      <x:c r="C41" s="7" t="n">
        <x:v>5</x:v>
      </x:c>
      <x:c r="D41" s="7" t="str">
        <x:v>风暴骑士战靴</x:v>
      </x:c>
      <x:c r="E41" s="7" t="str">
        <x:v>鞋子</x:v>
      </x:c>
      <x:c r="F41" s="12" t="n">
        <x:v>0.75</x:v>
      </x:c>
      <x:c r="G41" s="12" t="n">
        <x:v>0.6</x:v>
      </x:c>
      <x:c r="H41" s="7" t="str">
        <x:v>1367</x:v>
      </x:c>
      <x:c r="I41" s="7" t="str">
        <x:v>通过</x:v>
      </x:c>
    </x:row>
    <x:row r="42">
      <x:c r="A42" s="7" t="str">
        <x:v>制式</x:v>
      </x:c>
      <x:c r="B42" s="7" t="str">
        <x:v>第二大陆</x:v>
      </x:c>
      <x:c r="C42" s="7" t="n">
        <x:v>6</x:v>
      </x:c>
      <x:c r="D42" s="7" t="str">
        <x:v>海雾战团战刃</x:v>
      </x:c>
      <x:c r="E42" s="7" t="str">
        <x:v>武器</x:v>
      </x:c>
      <x:c r="F42" s="12" t="n">
        <x:v>0.5</x:v>
      </x:c>
      <x:c r="G42" s="12" t="n">
        <x:v>0.6</x:v>
      </x:c>
      <x:c r="H42" s="7" t="str">
        <x:v>1409</x:v>
      </x:c>
      <x:c r="I42" s="7" t="str">
        <x:v>通过</x:v>
      </x:c>
    </x:row>
    <x:row r="43">
      <x:c r="A43" s="7" t="str">
        <x:v>制式</x:v>
      </x:c>
      <x:c r="B43" s="7" t="str">
        <x:v>第二大陆</x:v>
      </x:c>
      <x:c r="C43" s="7" t="n">
        <x:v>6</x:v>
      </x:c>
      <x:c r="D43" s="7" t="str">
        <x:v>海雾战团战甲</x:v>
      </x:c>
      <x:c r="E43" s="7" t="str">
        <x:v>衣服</x:v>
      </x:c>
      <x:c r="F43" s="12" t="n">
        <x:v>0.5</x:v>
      </x:c>
      <x:c r="G43" s="12" t="n">
        <x:v>0.6</x:v>
      </x:c>
      <x:c r="H43" s="7" t="str">
        <x:v>1399</x:v>
      </x:c>
      <x:c r="I43" s="7" t="str">
        <x:v>通过</x:v>
      </x:c>
    </x:row>
    <x:row r="44">
      <x:c r="A44" s="7" t="str">
        <x:v>制式</x:v>
      </x:c>
      <x:c r="B44" s="7" t="str">
        <x:v>第二大陆</x:v>
      </x:c>
      <x:c r="C44" s="7" t="n">
        <x:v>6</x:v>
      </x:c>
      <x:c r="D44" s="7" t="str">
        <x:v>海雾战团战盔</x:v>
      </x:c>
      <x:c r="E44" s="7" t="str">
        <x:v>头盔</x:v>
      </x:c>
      <x:c r="F44" s="12" t="n">
        <x:v>0.5</x:v>
      </x:c>
      <x:c r="G44" s="12" t="n">
        <x:v>0.6</x:v>
      </x:c>
      <x:c r="H44" s="7" t="str">
        <x:v>1685</x:v>
      </x:c>
      <x:c r="I44" s="7" t="str">
        <x:v>通过</x:v>
      </x:c>
    </x:row>
    <x:row r="45">
      <x:c r="A45" s="7" t="str">
        <x:v>制式</x:v>
      </x:c>
      <x:c r="B45" s="7" t="str">
        <x:v>第二大陆</x:v>
      </x:c>
      <x:c r="C45" s="7" t="n">
        <x:v>6</x:v>
      </x:c>
      <x:c r="D45" s="7" t="str">
        <x:v>海雾战团项链</x:v>
      </x:c>
      <x:c r="E45" s="7" t="str">
        <x:v>项链</x:v>
      </x:c>
      <x:c r="F45" s="12" t="n">
        <x:v>0.5</x:v>
      </x:c>
      <x:c r="G45" s="12" t="n">
        <x:v>0.6</x:v>
      </x:c>
      <x:c r="H45" s="7" t="str">
        <x:v>1682</x:v>
      </x:c>
      <x:c r="I45" s="7" t="str">
        <x:v>通过</x:v>
      </x:c>
    </x:row>
    <x:row r="46">
      <x:c r="A46" s="7" t="str">
        <x:v>制式</x:v>
      </x:c>
      <x:c r="B46" s="7" t="str">
        <x:v>第二大陆</x:v>
      </x:c>
      <x:c r="C46" s="7" t="n">
        <x:v>6</x:v>
      </x:c>
      <x:c r="D46" s="7" t="str">
        <x:v>海雾战团腕甲</x:v>
      </x:c>
      <x:c r="E46" s="7" t="str">
        <x:v>手镯</x:v>
      </x:c>
      <x:c r="F46" s="12" t="n">
        <x:v>0.5</x:v>
      </x:c>
      <x:c r="G46" s="12" t="n">
        <x:v>0.6</x:v>
      </x:c>
      <x:c r="H46" s="7" t="str">
        <x:v>1681</x:v>
      </x:c>
      <x:c r="I46" s="7" t="str">
        <x:v>通过</x:v>
      </x:c>
    </x:row>
    <x:row r="47">
      <x:c r="A47" s="7" t="str">
        <x:v>制式</x:v>
      </x:c>
      <x:c r="B47" s="7" t="str">
        <x:v>第二大陆</x:v>
      </x:c>
      <x:c r="C47" s="7" t="n">
        <x:v>6</x:v>
      </x:c>
      <x:c r="D47" s="7" t="str">
        <x:v>海雾战团戒指</x:v>
      </x:c>
      <x:c r="E47" s="7" t="str">
        <x:v>戒指</x:v>
      </x:c>
      <x:c r="F47" s="12" t="n">
        <x:v>0.5</x:v>
      </x:c>
      <x:c r="G47" s="12" t="n">
        <x:v>0.6</x:v>
      </x:c>
      <x:c r="H47" s="7" t="str">
        <x:v>1680</x:v>
      </x:c>
      <x:c r="I47" s="7" t="str">
        <x:v>通过</x:v>
      </x:c>
    </x:row>
    <x:row r="48">
      <x:c r="A48" s="7" t="str">
        <x:v>制式</x:v>
      </x:c>
      <x:c r="B48" s="7" t="str">
        <x:v>第二大陆</x:v>
      </x:c>
      <x:c r="C48" s="7" t="n">
        <x:v>6</x:v>
      </x:c>
      <x:c r="D48" s="7" t="str">
        <x:v>海雾战团腰带</x:v>
      </x:c>
      <x:c r="E48" s="7" t="str">
        <x:v>腰带</x:v>
      </x:c>
      <x:c r="F48" s="12" t="n">
        <x:v>0.5</x:v>
      </x:c>
      <x:c r="G48" s="12" t="n">
        <x:v>0.6</x:v>
      </x:c>
      <x:c r="H48" s="7" t="str">
        <x:v>1684</x:v>
      </x:c>
      <x:c r="I48" s="7" t="str">
        <x:v>通过</x:v>
      </x:c>
    </x:row>
    <x:row r="49">
      <x:c r="A49" s="7" t="str">
        <x:v>制式</x:v>
      </x:c>
      <x:c r="B49" s="7" t="str">
        <x:v>第二大陆</x:v>
      </x:c>
      <x:c r="C49" s="7" t="n">
        <x:v>6</x:v>
      </x:c>
      <x:c r="D49" s="7" t="str">
        <x:v>海雾战团战靴</x:v>
      </x:c>
      <x:c r="E49" s="7" t="str">
        <x:v>鞋子</x:v>
      </x:c>
      <x:c r="F49" s="12" t="n">
        <x:v>0.5</x:v>
      </x:c>
      <x:c r="G49" s="12" t="n">
        <x:v>0.6</x:v>
      </x:c>
      <x:c r="H49" s="7" t="str">
        <x:v>1683</x:v>
      </x:c>
      <x:c r="I49" s="7" t="str">
        <x:v>通过</x:v>
      </x:c>
    </x:row>
    <x:row r="50">
      <x:c r="A50" s="7" t="str">
        <x:v>制式</x:v>
      </x:c>
      <x:c r="B50" s="7" t="str">
        <x:v>第二大陆</x:v>
      </x:c>
      <x:c r="C50" s="7" t="n">
        <x:v>7</x:v>
      </x:c>
      <x:c r="D50" s="7" t="str">
        <x:v>沉船守卫古剑</x:v>
      </x:c>
      <x:c r="E50" s="7" t="str">
        <x:v>武器</x:v>
      </x:c>
      <x:c r="F50" s="12" t="n">
        <x:v>0.5</x:v>
      </x:c>
      <x:c r="G50" s="12" t="n">
        <x:v>0.6</x:v>
      </x:c>
      <x:c r="H50" s="7" t="str">
        <x:v>1412</x:v>
      </x:c>
      <x:c r="I50" s="7" t="str">
        <x:v>通过</x:v>
      </x:c>
    </x:row>
    <x:row r="51">
      <x:c r="A51" s="7" t="str">
        <x:v>制式</x:v>
      </x:c>
      <x:c r="B51" s="7" t="str">
        <x:v>第二大陆</x:v>
      </x:c>
      <x:c r="C51" s="7" t="n">
        <x:v>7</x:v>
      </x:c>
      <x:c r="D51" s="7" t="str">
        <x:v>沉船守卫战甲</x:v>
      </x:c>
      <x:c r="E51" s="7" t="str">
        <x:v>衣服</x:v>
      </x:c>
      <x:c r="F51" s="12" t="n">
        <x:v>0.5</x:v>
      </x:c>
      <x:c r="G51" s="12" t="n">
        <x:v>0.6</x:v>
      </x:c>
      <x:c r="H51" s="7" t="str">
        <x:v>1400</x:v>
      </x:c>
      <x:c r="I51" s="7" t="str">
        <x:v>通过</x:v>
      </x:c>
    </x:row>
    <x:row r="52">
      <x:c r="A52" s="7" t="str">
        <x:v>制式</x:v>
      </x:c>
      <x:c r="B52" s="7" t="str">
        <x:v>第二大陆</x:v>
      </x:c>
      <x:c r="C52" s="7" t="n">
        <x:v>7</x:v>
      </x:c>
      <x:c r="D52" s="7" t="str">
        <x:v>沉船守卫战盔</x:v>
      </x:c>
      <x:c r="E52" s="7" t="str">
        <x:v>头盔</x:v>
      </x:c>
      <x:c r="F52" s="12" t="n">
        <x:v>0.5</x:v>
      </x:c>
      <x:c r="G52" s="12" t="n">
        <x:v>0.6</x:v>
      </x:c>
      <x:c r="H52" s="7" t="str">
        <x:v>1795</x:v>
      </x:c>
      <x:c r="I52" s="7" t="str">
        <x:v>通过</x:v>
      </x:c>
    </x:row>
    <x:row r="53">
      <x:c r="A53" s="7" t="str">
        <x:v>制式</x:v>
      </x:c>
      <x:c r="B53" s="7" t="str">
        <x:v>第二大陆</x:v>
      </x:c>
      <x:c r="C53" s="7" t="n">
        <x:v>7</x:v>
      </x:c>
      <x:c r="D53" s="7" t="str">
        <x:v>沉船守卫项链</x:v>
      </x:c>
      <x:c r="E53" s="7" t="str">
        <x:v>项链</x:v>
      </x:c>
      <x:c r="F53" s="12" t="n">
        <x:v>0.5</x:v>
      </x:c>
      <x:c r="G53" s="12" t="n">
        <x:v>0.6</x:v>
      </x:c>
      <x:c r="H53" s="7" t="str">
        <x:v>1794</x:v>
      </x:c>
      <x:c r="I53" s="7" t="str">
        <x:v>通过</x:v>
      </x:c>
    </x:row>
    <x:row r="54">
      <x:c r="A54" s="7" t="str">
        <x:v>制式</x:v>
      </x:c>
      <x:c r="B54" s="7" t="str">
        <x:v>第二大陆</x:v>
      </x:c>
      <x:c r="C54" s="7" t="n">
        <x:v>7</x:v>
      </x:c>
      <x:c r="D54" s="7" t="str">
        <x:v>沉船守卫腕甲</x:v>
      </x:c>
      <x:c r="E54" s="7" t="str">
        <x:v>手镯</x:v>
      </x:c>
      <x:c r="F54" s="12" t="n">
        <x:v>0.5</x:v>
      </x:c>
      <x:c r="G54" s="12" t="n">
        <x:v>0.6</x:v>
      </x:c>
      <x:c r="H54" s="7" t="str">
        <x:v>1791</x:v>
      </x:c>
      <x:c r="I54" s="7" t="str">
        <x:v>通过</x:v>
      </x:c>
    </x:row>
    <x:row r="55">
      <x:c r="A55" s="7" t="str">
        <x:v>制式</x:v>
      </x:c>
      <x:c r="B55" s="7" t="str">
        <x:v>第二大陆</x:v>
      </x:c>
      <x:c r="C55" s="7" t="n">
        <x:v>7</x:v>
      </x:c>
      <x:c r="D55" s="7" t="str">
        <x:v>沉船守卫戒指</x:v>
      </x:c>
      <x:c r="E55" s="7" t="str">
        <x:v>戒指</x:v>
      </x:c>
      <x:c r="F55" s="12" t="n">
        <x:v>0.5</x:v>
      </x:c>
      <x:c r="G55" s="12" t="n">
        <x:v>0.6</x:v>
      </x:c>
      <x:c r="H55" s="7" t="str">
        <x:v>1790</x:v>
      </x:c>
      <x:c r="I55" s="7" t="str">
        <x:v>通过</x:v>
      </x:c>
    </x:row>
    <x:row r="56">
      <x:c r="A56" s="7" t="str">
        <x:v>制式</x:v>
      </x:c>
      <x:c r="B56" s="7" t="str">
        <x:v>第二大陆</x:v>
      </x:c>
      <x:c r="C56" s="7" t="n">
        <x:v>7</x:v>
      </x:c>
      <x:c r="D56" s="7" t="str">
        <x:v>沉船守卫腰带</x:v>
      </x:c>
      <x:c r="E56" s="7" t="str">
        <x:v>腰带</x:v>
      </x:c>
      <x:c r="F56" s="12" t="n">
        <x:v>0.5</x:v>
      </x:c>
      <x:c r="G56" s="12" t="n">
        <x:v>0.6</x:v>
      </x:c>
      <x:c r="H56" s="7" t="str">
        <x:v>1792</x:v>
      </x:c>
      <x:c r="I56" s="7" t="str">
        <x:v>通过</x:v>
      </x:c>
    </x:row>
    <x:row r="57">
      <x:c r="A57" s="7" t="str">
        <x:v>制式</x:v>
      </x:c>
      <x:c r="B57" s="7" t="str">
        <x:v>第二大陆</x:v>
      </x:c>
      <x:c r="C57" s="7" t="n">
        <x:v>7</x:v>
      </x:c>
      <x:c r="D57" s="7" t="str">
        <x:v>沉船守卫战靴</x:v>
      </x:c>
      <x:c r="E57" s="7" t="str">
        <x:v>鞋子</x:v>
      </x:c>
      <x:c r="F57" s="12" t="n">
        <x:v>0.5</x:v>
      </x:c>
      <x:c r="G57" s="12" t="n">
        <x:v>0.6</x:v>
      </x:c>
      <x:c r="H57" s="7" t="str">
        <x:v>1793</x:v>
      </x:c>
      <x:c r="I57" s="7" t="str">
        <x:v>通过</x:v>
      </x:c>
    </x:row>
    <x:row r="58">
      <x:c r="A58" s="7" t="str">
        <x:v>制式</x:v>
      </x:c>
      <x:c r="B58" s="7" t="str">
        <x:v>第二大陆</x:v>
      </x:c>
      <x:c r="C58" s="7" t="n">
        <x:v>8</x:v>
      </x:c>
      <x:c r="D58" s="7" t="str">
        <x:v>古礁卫士长剑</x:v>
      </x:c>
      <x:c r="E58" s="7" t="str">
        <x:v>武器</x:v>
      </x:c>
      <x:c r="F58" s="12" t="n">
        <x:v>0.5</x:v>
      </x:c>
      <x:c r="G58" s="12" t="n">
        <x:v>0.6</x:v>
      </x:c>
      <x:c r="H58" s="7" t="str">
        <x:v>1413</x:v>
      </x:c>
      <x:c r="I58" s="7" t="str">
        <x:v>通过</x:v>
      </x:c>
    </x:row>
    <x:row r="59">
      <x:c r="A59" s="7" t="str">
        <x:v>制式</x:v>
      </x:c>
      <x:c r="B59" s="7" t="str">
        <x:v>第二大陆</x:v>
      </x:c>
      <x:c r="C59" s="7" t="n">
        <x:v>8</x:v>
      </x:c>
      <x:c r="D59" s="7" t="str">
        <x:v>古礁卫士战甲</x:v>
      </x:c>
      <x:c r="E59" s="7" t="str">
        <x:v>衣服</x:v>
      </x:c>
      <x:c r="F59" s="12" t="n">
        <x:v>0.5</x:v>
      </x:c>
      <x:c r="G59" s="12" t="n">
        <x:v>0.6</x:v>
      </x:c>
      <x:c r="H59" s="7" t="str">
        <x:v>1401</x:v>
      </x:c>
      <x:c r="I59" s="7" t="str">
        <x:v>通过</x:v>
      </x:c>
    </x:row>
    <x:row r="60">
      <x:c r="A60" s="7" t="str">
        <x:v>制式</x:v>
      </x:c>
      <x:c r="B60" s="7" t="str">
        <x:v>第二大陆</x:v>
      </x:c>
      <x:c r="C60" s="7" t="n">
        <x:v>8</x:v>
      </x:c>
      <x:c r="D60" s="7" t="str">
        <x:v>古礁卫士战盔</x:v>
      </x:c>
      <x:c r="E60" s="7" t="str">
        <x:v>头盔</x:v>
      </x:c>
      <x:c r="F60" s="12" t="n">
        <x:v>0.5</x:v>
      </x:c>
      <x:c r="G60" s="12" t="n">
        <x:v>0.6</x:v>
      </x:c>
      <x:c r="H60" s="7" t="str">
        <x:v>1805</x:v>
      </x:c>
      <x:c r="I60" s="7" t="str">
        <x:v>通过</x:v>
      </x:c>
    </x:row>
    <x:row r="61">
      <x:c r="A61" s="7" t="str">
        <x:v>制式</x:v>
      </x:c>
      <x:c r="B61" s="7" t="str">
        <x:v>第二大陆</x:v>
      </x:c>
      <x:c r="C61" s="7" t="n">
        <x:v>8</x:v>
      </x:c>
      <x:c r="D61" s="7" t="str">
        <x:v>古礁卫士项链</x:v>
      </x:c>
      <x:c r="E61" s="7" t="str">
        <x:v>项链</x:v>
      </x:c>
      <x:c r="F61" s="12" t="n">
        <x:v>0.5</x:v>
      </x:c>
      <x:c r="G61" s="12" t="n">
        <x:v>0.6</x:v>
      </x:c>
      <x:c r="H61" s="7" t="str">
        <x:v>1804</x:v>
      </x:c>
      <x:c r="I61" s="7" t="str">
        <x:v>通过</x:v>
      </x:c>
    </x:row>
    <x:row r="62">
      <x:c r="A62" s="7" t="str">
        <x:v>制式</x:v>
      </x:c>
      <x:c r="B62" s="7" t="str">
        <x:v>第二大陆</x:v>
      </x:c>
      <x:c r="C62" s="7" t="n">
        <x:v>8</x:v>
      </x:c>
      <x:c r="D62" s="7" t="str">
        <x:v>古礁卫士腕甲</x:v>
      </x:c>
      <x:c r="E62" s="7" t="str">
        <x:v>手镯</x:v>
      </x:c>
      <x:c r="F62" s="12" t="n">
        <x:v>0.5</x:v>
      </x:c>
      <x:c r="G62" s="12" t="n">
        <x:v>0.6</x:v>
      </x:c>
      <x:c r="H62" s="7" t="str">
        <x:v>1801</x:v>
      </x:c>
      <x:c r="I62" s="7" t="str">
        <x:v>通过</x:v>
      </x:c>
    </x:row>
    <x:row r="63">
      <x:c r="A63" s="7" t="str">
        <x:v>制式</x:v>
      </x:c>
      <x:c r="B63" s="7" t="str">
        <x:v>第二大陆</x:v>
      </x:c>
      <x:c r="C63" s="7" t="n">
        <x:v>8</x:v>
      </x:c>
      <x:c r="D63" s="7" t="str">
        <x:v>古礁卫士戒指</x:v>
      </x:c>
      <x:c r="E63" s="7" t="str">
        <x:v>戒指</x:v>
      </x:c>
      <x:c r="F63" s="12" t="n">
        <x:v>0.5</x:v>
      </x:c>
      <x:c r="G63" s="12" t="n">
        <x:v>0.6</x:v>
      </x:c>
      <x:c r="H63" s="7" t="str">
        <x:v>1800</x:v>
      </x:c>
      <x:c r="I63" s="7" t="str">
        <x:v>通过</x:v>
      </x:c>
    </x:row>
    <x:row r="64">
      <x:c r="A64" s="7" t="str">
        <x:v>制式</x:v>
      </x:c>
      <x:c r="B64" s="7" t="str">
        <x:v>第二大陆</x:v>
      </x:c>
      <x:c r="C64" s="7" t="n">
        <x:v>8</x:v>
      </x:c>
      <x:c r="D64" s="7" t="str">
        <x:v>古礁卫士腰带</x:v>
      </x:c>
      <x:c r="E64" s="7" t="str">
        <x:v>腰带</x:v>
      </x:c>
      <x:c r="F64" s="12" t="n">
        <x:v>0.5</x:v>
      </x:c>
      <x:c r="G64" s="12" t="n">
        <x:v>0.6</x:v>
      </x:c>
      <x:c r="H64" s="7" t="str">
        <x:v>1802</x:v>
      </x:c>
      <x:c r="I64" s="7" t="str">
        <x:v>通过</x:v>
      </x:c>
    </x:row>
    <x:row r="65">
      <x:c r="A65" s="7" t="str">
        <x:v>制式</x:v>
      </x:c>
      <x:c r="B65" s="7" t="str">
        <x:v>第二大陆</x:v>
      </x:c>
      <x:c r="C65" s="7" t="n">
        <x:v>8</x:v>
      </x:c>
      <x:c r="D65" s="7" t="str">
        <x:v>古礁卫士战靴</x:v>
      </x:c>
      <x:c r="E65" s="7" t="str">
        <x:v>鞋子</x:v>
      </x:c>
      <x:c r="F65" s="12" t="n">
        <x:v>0.5</x:v>
      </x:c>
      <x:c r="G65" s="12" t="n">
        <x:v>0.6</x:v>
      </x:c>
      <x:c r="H65" s="7" t="str">
        <x:v>1803</x:v>
      </x:c>
      <x:c r="I65" s="7" t="str">
        <x:v>通过</x:v>
      </x:c>
    </x:row>
    <x:row r="66">
      <x:c r="A66" s="7" t="str">
        <x:v>制式</x:v>
      </x:c>
      <x:c r="B66" s="7" t="str">
        <x:v>第二大陆</x:v>
      </x:c>
      <x:c r="C66" s="7" t="n">
        <x:v>9</x:v>
      </x:c>
      <x:c r="D66" s="7" t="str">
        <x:v>失落禁卫剑</x:v>
      </x:c>
      <x:c r="E66" s="7" t="str">
        <x:v>武器</x:v>
      </x:c>
      <x:c r="F66" s="12" t="n">
        <x:v>0.5</x:v>
      </x:c>
      <x:c r="G66" s="12" t="n">
        <x:v>0.6</x:v>
      </x:c>
      <x:c r="H66" s="7" t="str">
        <x:v>1420</x:v>
      </x:c>
      <x:c r="I66" s="7" t="str">
        <x:v>通过</x:v>
      </x:c>
    </x:row>
    <x:row r="67">
      <x:c r="A67" s="7" t="str">
        <x:v>制式</x:v>
      </x:c>
      <x:c r="B67" s="7" t="str">
        <x:v>第二大陆</x:v>
      </x:c>
      <x:c r="C67" s="7" t="n">
        <x:v>9</x:v>
      </x:c>
      <x:c r="D67" s="7" t="str">
        <x:v>失落禁卫战甲</x:v>
      </x:c>
      <x:c r="E67" s="7" t="str">
        <x:v>衣服</x:v>
      </x:c>
      <x:c r="F67" s="12" t="n">
        <x:v>0.5</x:v>
      </x:c>
      <x:c r="G67" s="12" t="n">
        <x:v>0.6</x:v>
      </x:c>
      <x:c r="H67" s="7" t="str">
        <x:v>1380</x:v>
      </x:c>
      <x:c r="I67" s="7" t="str">
        <x:v>通过</x:v>
      </x:c>
    </x:row>
    <x:row r="68">
      <x:c r="A68" s="7" t="str">
        <x:v>制式</x:v>
      </x:c>
      <x:c r="B68" s="7" t="str">
        <x:v>第二大陆</x:v>
      </x:c>
      <x:c r="C68" s="7" t="n">
        <x:v>9</x:v>
      </x:c>
      <x:c r="D68" s="7" t="str">
        <x:v>失落禁卫战盔</x:v>
      </x:c>
      <x:c r="E68" s="7" t="str">
        <x:v>头盔</x:v>
      </x:c>
      <x:c r="F68" s="12" t="n">
        <x:v>0.5</x:v>
      </x:c>
      <x:c r="G68" s="12" t="n">
        <x:v>0.6</x:v>
      </x:c>
      <x:c r="H68" s="7" t="str">
        <x:v>1815</x:v>
      </x:c>
      <x:c r="I68" s="7" t="str">
        <x:v>通过</x:v>
      </x:c>
    </x:row>
    <x:row r="69">
      <x:c r="A69" s="7" t="str">
        <x:v>制式</x:v>
      </x:c>
      <x:c r="B69" s="7" t="str">
        <x:v>第二大陆</x:v>
      </x:c>
      <x:c r="C69" s="7" t="n">
        <x:v>9</x:v>
      </x:c>
      <x:c r="D69" s="7" t="str">
        <x:v>失落禁卫项链</x:v>
      </x:c>
      <x:c r="E69" s="7" t="str">
        <x:v>项链</x:v>
      </x:c>
      <x:c r="F69" s="12" t="n">
        <x:v>0.5</x:v>
      </x:c>
      <x:c r="G69" s="12" t="n">
        <x:v>0.6</x:v>
      </x:c>
      <x:c r="H69" s="7" t="str">
        <x:v>1814</x:v>
      </x:c>
      <x:c r="I69" s="7" t="str">
        <x:v>通过</x:v>
      </x:c>
    </x:row>
    <x:row r="70">
      <x:c r="A70" s="7" t="str">
        <x:v>制式</x:v>
      </x:c>
      <x:c r="B70" s="7" t="str">
        <x:v>第二大陆</x:v>
      </x:c>
      <x:c r="C70" s="7" t="n">
        <x:v>9</x:v>
      </x:c>
      <x:c r="D70" s="7" t="str">
        <x:v>失落禁卫腕甲</x:v>
      </x:c>
      <x:c r="E70" s="7" t="str">
        <x:v>手镯</x:v>
      </x:c>
      <x:c r="F70" s="12" t="n">
        <x:v>0.5</x:v>
      </x:c>
      <x:c r="G70" s="12" t="n">
        <x:v>0.6</x:v>
      </x:c>
      <x:c r="H70" s="7" t="str">
        <x:v>1811</x:v>
      </x:c>
      <x:c r="I70" s="7" t="str">
        <x:v>通过</x:v>
      </x:c>
    </x:row>
    <x:row r="71">
      <x:c r="A71" s="7" t="str">
        <x:v>制式</x:v>
      </x:c>
      <x:c r="B71" s="7" t="str">
        <x:v>第二大陆</x:v>
      </x:c>
      <x:c r="C71" s="7" t="n">
        <x:v>9</x:v>
      </x:c>
      <x:c r="D71" s="7" t="str">
        <x:v>失落禁卫戒指</x:v>
      </x:c>
      <x:c r="E71" s="7" t="str">
        <x:v>戒指</x:v>
      </x:c>
      <x:c r="F71" s="12" t="n">
        <x:v>0.5</x:v>
      </x:c>
      <x:c r="G71" s="12" t="n">
        <x:v>0.6</x:v>
      </x:c>
      <x:c r="H71" s="7" t="str">
        <x:v>1810</x:v>
      </x:c>
      <x:c r="I71" s="7" t="str">
        <x:v>通过</x:v>
      </x:c>
    </x:row>
    <x:row r="72">
      <x:c r="A72" s="7" t="str">
        <x:v>制式</x:v>
      </x:c>
      <x:c r="B72" s="7" t="str">
        <x:v>第二大陆</x:v>
      </x:c>
      <x:c r="C72" s="7" t="n">
        <x:v>9</x:v>
      </x:c>
      <x:c r="D72" s="7" t="str">
        <x:v>失落禁卫腰带</x:v>
      </x:c>
      <x:c r="E72" s="7" t="str">
        <x:v>腰带</x:v>
      </x:c>
      <x:c r="F72" s="12" t="n">
        <x:v>0.5</x:v>
      </x:c>
      <x:c r="G72" s="12" t="n">
        <x:v>0.6</x:v>
      </x:c>
      <x:c r="H72" s="7" t="str">
        <x:v>1812</x:v>
      </x:c>
      <x:c r="I72" s="7" t="str">
        <x:v>通过</x:v>
      </x:c>
    </x:row>
    <x:row r="73">
      <x:c r="A73" s="7" t="str">
        <x:v>制式</x:v>
      </x:c>
      <x:c r="B73" s="7" t="str">
        <x:v>第二大陆</x:v>
      </x:c>
      <x:c r="C73" s="7" t="n">
        <x:v>9</x:v>
      </x:c>
      <x:c r="D73" s="7" t="str">
        <x:v>失落禁卫战靴</x:v>
      </x:c>
      <x:c r="E73" s="7" t="str">
        <x:v>鞋子</x:v>
      </x:c>
      <x:c r="F73" s="12" t="n">
        <x:v>0.5</x:v>
      </x:c>
      <x:c r="G73" s="12" t="n">
        <x:v>0.6</x:v>
      </x:c>
      <x:c r="H73" s="7" t="str">
        <x:v>1813</x:v>
      </x:c>
      <x:c r="I73" s="7" t="str">
        <x:v>通过</x:v>
      </x:c>
    </x:row>
    <x:row r="74">
      <x:c r="A74" s="7" t="str">
        <x:v>制式</x:v>
      </x:c>
      <x:c r="B74" s="7" t="str">
        <x:v>第二大陆</x:v>
      </x:c>
      <x:c r="C74" s="7" t="n">
        <x:v>10</x:v>
      </x:c>
      <x:c r="D74" s="7" t="str">
        <x:v>王庭侍从剑</x:v>
      </x:c>
      <x:c r="E74" s="7" t="str">
        <x:v>武器</x:v>
      </x:c>
      <x:c r="F74" s="12" t="n">
        <x:v>0.5</x:v>
      </x:c>
      <x:c r="G74" s="12" t="n">
        <x:v>0.6</x:v>
      </x:c>
      <x:c r="H74" s="7" t="str">
        <x:v>1421</x:v>
      </x:c>
      <x:c r="I74" s="7" t="str">
        <x:v>通过</x:v>
      </x:c>
    </x:row>
    <x:row r="75">
      <x:c r="A75" s="7" t="str">
        <x:v>制式</x:v>
      </x:c>
      <x:c r="B75" s="7" t="str">
        <x:v>第二大陆</x:v>
      </x:c>
      <x:c r="C75" s="7" t="n">
        <x:v>10</x:v>
      </x:c>
      <x:c r="D75" s="7" t="str">
        <x:v>王庭侍从战甲</x:v>
      </x:c>
      <x:c r="E75" s="7" t="str">
        <x:v>衣服</x:v>
      </x:c>
      <x:c r="F75" s="12" t="n">
        <x:v>0.5</x:v>
      </x:c>
      <x:c r="G75" s="12" t="n">
        <x:v>0.6</x:v>
      </x:c>
      <x:c r="H75" s="7" t="str">
        <x:v>1381</x:v>
      </x:c>
      <x:c r="I75" s="7" t="str">
        <x:v>通过</x:v>
      </x:c>
    </x:row>
    <x:row r="76">
      <x:c r="A76" s="7" t="str">
        <x:v>制式</x:v>
      </x:c>
      <x:c r="B76" s="7" t="str">
        <x:v>第二大陆</x:v>
      </x:c>
      <x:c r="C76" s="7" t="n">
        <x:v>10</x:v>
      </x:c>
      <x:c r="D76" s="7" t="str">
        <x:v>王庭侍从战盔</x:v>
      </x:c>
      <x:c r="E76" s="7" t="str">
        <x:v>头盔</x:v>
      </x:c>
      <x:c r="F76" s="12" t="n">
        <x:v>0.5</x:v>
      </x:c>
      <x:c r="G76" s="12" t="n">
        <x:v>0.6</x:v>
      </x:c>
      <x:c r="H76" s="7" t="str">
        <x:v>1843</x:v>
      </x:c>
      <x:c r="I76" s="7" t="str">
        <x:v>通过</x:v>
      </x:c>
    </x:row>
    <x:row r="77">
      <x:c r="A77" s="7" t="str">
        <x:v>制式</x:v>
      </x:c>
      <x:c r="B77" s="7" t="str">
        <x:v>第二大陆</x:v>
      </x:c>
      <x:c r="C77" s="7" t="n">
        <x:v>10</x:v>
      </x:c>
      <x:c r="D77" s="7" t="str">
        <x:v>王庭侍从项链</x:v>
      </x:c>
      <x:c r="E77" s="7" t="str">
        <x:v>项链</x:v>
      </x:c>
      <x:c r="F77" s="12" t="n">
        <x:v>0.5</x:v>
      </x:c>
      <x:c r="G77" s="12" t="n">
        <x:v>0.6</x:v>
      </x:c>
      <x:c r="H77" s="7" t="str">
        <x:v>1842</x:v>
      </x:c>
      <x:c r="I77" s="7" t="str">
        <x:v>通过</x:v>
      </x:c>
    </x:row>
    <x:row r="78">
      <x:c r="A78" s="7" t="str">
        <x:v>制式</x:v>
      </x:c>
      <x:c r="B78" s="7" t="str">
        <x:v>第二大陆</x:v>
      </x:c>
      <x:c r="C78" s="7" t="n">
        <x:v>10</x:v>
      </x:c>
      <x:c r="D78" s="7" t="str">
        <x:v>王庭侍从腕甲</x:v>
      </x:c>
      <x:c r="E78" s="7" t="str">
        <x:v>手镯</x:v>
      </x:c>
      <x:c r="F78" s="12" t="n">
        <x:v>0.5</x:v>
      </x:c>
      <x:c r="G78" s="12" t="n">
        <x:v>0.6</x:v>
      </x:c>
      <x:c r="H78" s="7" t="str">
        <x:v>1841</x:v>
      </x:c>
      <x:c r="I78" s="7" t="str">
        <x:v>通过</x:v>
      </x:c>
    </x:row>
    <x:row r="79">
      <x:c r="A79" s="7" t="str">
        <x:v>制式</x:v>
      </x:c>
      <x:c r="B79" s="7" t="str">
        <x:v>第二大陆</x:v>
      </x:c>
      <x:c r="C79" s="7" t="n">
        <x:v>10</x:v>
      </x:c>
      <x:c r="D79" s="7" t="str">
        <x:v>王庭侍从戒指</x:v>
      </x:c>
      <x:c r="E79" s="7" t="str">
        <x:v>戒指</x:v>
      </x:c>
      <x:c r="F79" s="12" t="n">
        <x:v>0.5</x:v>
      </x:c>
      <x:c r="G79" s="12" t="n">
        <x:v>0.6</x:v>
      </x:c>
      <x:c r="H79" s="7" t="str">
        <x:v>1840</x:v>
      </x:c>
      <x:c r="I79" s="7" t="str">
        <x:v>通过</x:v>
      </x:c>
    </x:row>
    <x:row r="80">
      <x:c r="A80" s="7" t="str">
        <x:v>制式</x:v>
      </x:c>
      <x:c r="B80" s="7" t="str">
        <x:v>第二大陆</x:v>
      </x:c>
      <x:c r="C80" s="7" t="n">
        <x:v>10</x:v>
      </x:c>
      <x:c r="D80" s="7" t="str">
        <x:v>王庭侍从腰带</x:v>
      </x:c>
      <x:c r="E80" s="7" t="str">
        <x:v>腰带</x:v>
      </x:c>
      <x:c r="F80" s="12" t="n">
        <x:v>0.5</x:v>
      </x:c>
      <x:c r="G80" s="12" t="n">
        <x:v>0.6</x:v>
      </x:c>
      <x:c r="H80" s="7" t="str">
        <x:v>1845</x:v>
      </x:c>
      <x:c r="I80" s="7" t="str">
        <x:v>通过</x:v>
      </x:c>
    </x:row>
    <x:row r="81">
      <x:c r="A81" s="7" t="str">
        <x:v>制式</x:v>
      </x:c>
      <x:c r="B81" s="7" t="str">
        <x:v>第二大陆</x:v>
      </x:c>
      <x:c r="C81" s="7" t="n">
        <x:v>10</x:v>
      </x:c>
      <x:c r="D81" s="7" t="str">
        <x:v>王庭侍从战靴</x:v>
      </x:c>
      <x:c r="E81" s="7" t="str">
        <x:v>鞋子</x:v>
      </x:c>
      <x:c r="F81" s="12" t="n">
        <x:v>0.5</x:v>
      </x:c>
      <x:c r="G81" s="12" t="n">
        <x:v>0.6</x:v>
      </x:c>
      <x:c r="H81" s="7" t="str">
        <x:v>1844</x:v>
      </x:c>
      <x:c r="I81" s="7" t="str">
        <x:v>通过</x:v>
      </x:c>
    </x:row>
    <x:row r="82">
      <x:c r="A82" s="7" t="str">
        <x:v>制式</x:v>
      </x:c>
      <x:c r="B82" s="7" t="str">
        <x:v>第二大陆</x:v>
      </x:c>
      <x:c r="C82" s="7" t="n">
        <x:v>11</x:v>
      </x:c>
      <x:c r="D82" s="7" t="str">
        <x:v>黄金戍卫剑</x:v>
      </x:c>
      <x:c r="E82" s="7" t="str">
        <x:v>武器</x:v>
      </x:c>
      <x:c r="F82" s="12" t="n">
        <x:v>0.5</x:v>
      </x:c>
      <x:c r="G82" s="12" t="n">
        <x:v>0.6</x:v>
      </x:c>
      <x:c r="H82" s="7" t="str">
        <x:v>4726</x:v>
      </x:c>
      <x:c r="I82" s="7" t="str">
        <x:v>通过</x:v>
      </x:c>
    </x:row>
    <x:row r="83">
      <x:c r="A83" s="7" t="str">
        <x:v>制式</x:v>
      </x:c>
      <x:c r="B83" s="7" t="str">
        <x:v>第二大陆</x:v>
      </x:c>
      <x:c r="C83" s="7" t="n">
        <x:v>11</x:v>
      </x:c>
      <x:c r="D83" s="7" t="str">
        <x:v>黄金戍卫战甲</x:v>
      </x:c>
      <x:c r="E83" s="7" t="str">
        <x:v>衣服</x:v>
      </x:c>
      <x:c r="F83" s="12" t="n">
        <x:v>0.5</x:v>
      </x:c>
      <x:c r="G83" s="12" t="n">
        <x:v>0.6</x:v>
      </x:c>
      <x:c r="H83" s="7" t="str">
        <x:v>3151</x:v>
      </x:c>
      <x:c r="I83" s="7" t="str">
        <x:v>通过</x:v>
      </x:c>
    </x:row>
    <x:row r="84">
      <x:c r="A84" s="7" t="str">
        <x:v>制式</x:v>
      </x:c>
      <x:c r="B84" s="7" t="str">
        <x:v>第二大陆</x:v>
      </x:c>
      <x:c r="C84" s="7" t="n">
        <x:v>11</x:v>
      </x:c>
      <x:c r="D84" s="7" t="str">
        <x:v>黄金戍卫战盔</x:v>
      </x:c>
      <x:c r="E84" s="7" t="str">
        <x:v>头盔</x:v>
      </x:c>
      <x:c r="F84" s="12" t="n">
        <x:v>0.5</x:v>
      </x:c>
      <x:c r="G84" s="12" t="n">
        <x:v>0.6</x:v>
      </x:c>
      <x:c r="H84" s="7" t="str">
        <x:v>1853</x:v>
      </x:c>
      <x:c r="I84" s="7" t="str">
        <x:v>通过</x:v>
      </x:c>
    </x:row>
    <x:row r="85">
      <x:c r="A85" s="7" t="str">
        <x:v>制式</x:v>
      </x:c>
      <x:c r="B85" s="7" t="str">
        <x:v>第二大陆</x:v>
      </x:c>
      <x:c r="C85" s="7" t="n">
        <x:v>11</x:v>
      </x:c>
      <x:c r="D85" s="7" t="str">
        <x:v>黄金戍卫项链</x:v>
      </x:c>
      <x:c r="E85" s="7" t="str">
        <x:v>项链</x:v>
      </x:c>
      <x:c r="F85" s="12" t="n">
        <x:v>0.5</x:v>
      </x:c>
      <x:c r="G85" s="12" t="n">
        <x:v>0.6</x:v>
      </x:c>
      <x:c r="H85" s="7" t="str">
        <x:v>1856</x:v>
      </x:c>
      <x:c r="I85" s="7" t="str">
        <x:v>通过</x:v>
      </x:c>
    </x:row>
    <x:row r="86">
      <x:c r="A86" s="7" t="str">
        <x:v>制式</x:v>
      </x:c>
      <x:c r="B86" s="7" t="str">
        <x:v>第二大陆</x:v>
      </x:c>
      <x:c r="C86" s="7" t="n">
        <x:v>11</x:v>
      </x:c>
      <x:c r="D86" s="7" t="str">
        <x:v>黄金戍卫腕甲</x:v>
      </x:c>
      <x:c r="E86" s="7" t="str">
        <x:v>手镯</x:v>
      </x:c>
      <x:c r="F86" s="12" t="n">
        <x:v>0.5</x:v>
      </x:c>
      <x:c r="G86" s="12" t="n">
        <x:v>0.6</x:v>
      </x:c>
      <x:c r="H86" s="7" t="str">
        <x:v>1851</x:v>
      </x:c>
      <x:c r="I86" s="7" t="str">
        <x:v>通过</x:v>
      </x:c>
    </x:row>
    <x:row r="87">
      <x:c r="A87" s="7" t="str">
        <x:v>制式</x:v>
      </x:c>
      <x:c r="B87" s="7" t="str">
        <x:v>第二大陆</x:v>
      </x:c>
      <x:c r="C87" s="7" t="n">
        <x:v>11</x:v>
      </x:c>
      <x:c r="D87" s="7" t="str">
        <x:v>黄金戍卫戒指</x:v>
      </x:c>
      <x:c r="E87" s="7" t="str">
        <x:v>戒指</x:v>
      </x:c>
      <x:c r="F87" s="12" t="n">
        <x:v>0.5</x:v>
      </x:c>
      <x:c r="G87" s="12" t="n">
        <x:v>0.6</x:v>
      </x:c>
      <x:c r="H87" s="7" t="str">
        <x:v>1850</x:v>
      </x:c>
      <x:c r="I87" s="7" t="str">
        <x:v>通过</x:v>
      </x:c>
    </x:row>
    <x:row r="88">
      <x:c r="A88" s="7" t="str">
        <x:v>制式</x:v>
      </x:c>
      <x:c r="B88" s="7" t="str">
        <x:v>第二大陆</x:v>
      </x:c>
      <x:c r="C88" s="7" t="n">
        <x:v>11</x:v>
      </x:c>
      <x:c r="D88" s="7" t="str">
        <x:v>黄金戍卫腰带</x:v>
      </x:c>
      <x:c r="E88" s="7" t="str">
        <x:v>腰带</x:v>
      </x:c>
      <x:c r="F88" s="12" t="n">
        <x:v>0.5</x:v>
      </x:c>
      <x:c r="G88" s="12" t="n">
        <x:v>0.6</x:v>
      </x:c>
      <x:c r="H88" s="7" t="str">
        <x:v>1855</x:v>
      </x:c>
      <x:c r="I88" s="7" t="str">
        <x:v>通过</x:v>
      </x:c>
    </x:row>
    <x:row r="89">
      <x:c r="A89" s="7" t="str">
        <x:v>制式</x:v>
      </x:c>
      <x:c r="B89" s="7" t="str">
        <x:v>第二大陆</x:v>
      </x:c>
      <x:c r="C89" s="7" t="n">
        <x:v>11</x:v>
      </x:c>
      <x:c r="D89" s="7" t="str">
        <x:v>黄金戍卫战靴</x:v>
      </x:c>
      <x:c r="E89" s="7" t="str">
        <x:v>鞋子</x:v>
      </x:c>
      <x:c r="F89" s="12" t="n">
        <x:v>0.5</x:v>
      </x:c>
      <x:c r="G89" s="12" t="n">
        <x:v>0.6</x:v>
      </x:c>
      <x:c r="H89" s="7" t="str">
        <x:v>1854</x:v>
      </x:c>
      <x:c r="I89" s="7" t="str">
        <x:v>通过</x:v>
      </x:c>
    </x:row>
    <x:row r="90">
      <x:c r="A90" s="7" t="str">
        <x:v>制式</x:v>
      </x:c>
      <x:c r="B90" s="7" t="str">
        <x:v>第二大陆</x:v>
      </x:c>
      <x:c r="C90" s="7" t="n">
        <x:v>12</x:v>
      </x:c>
      <x:c r="D90" s="7" t="str">
        <x:v>圣树先锋刃</x:v>
      </x:c>
      <x:c r="E90" s="7" t="str">
        <x:v>武器</x:v>
      </x:c>
      <x:c r="F90" s="12" t="n">
        <x:v>0.5</x:v>
      </x:c>
      <x:c r="G90" s="12" t="n">
        <x:v>0.6</x:v>
      </x:c>
      <x:c r="H90" s="7" t="str">
        <x:v>4650</x:v>
      </x:c>
      <x:c r="I90" s="7" t="str">
        <x:v>通过</x:v>
      </x:c>
    </x:row>
    <x:row r="91">
      <x:c r="A91" s="7" t="str">
        <x:v>制式</x:v>
      </x:c>
      <x:c r="B91" s="7" t="str">
        <x:v>第二大陆</x:v>
      </x:c>
      <x:c r="C91" s="7" t="n">
        <x:v>12</x:v>
      </x:c>
      <x:c r="D91" s="7" t="str">
        <x:v>圣树先锋战甲</x:v>
      </x:c>
      <x:c r="E91" s="7" t="str">
        <x:v>衣服</x:v>
      </x:c>
      <x:c r="F91" s="12" t="n">
        <x:v>0.5</x:v>
      </x:c>
      <x:c r="G91" s="12" t="n">
        <x:v>0.6</x:v>
      </x:c>
      <x:c r="H91" s="7" t="str">
        <x:v>3152</x:v>
      </x:c>
      <x:c r="I91" s="7" t="str">
        <x:v>通过</x:v>
      </x:c>
    </x:row>
    <x:row r="92">
      <x:c r="A92" s="7" t="str">
        <x:v>制式</x:v>
      </x:c>
      <x:c r="B92" s="7" t="str">
        <x:v>第二大陆</x:v>
      </x:c>
      <x:c r="C92" s="7" t="n">
        <x:v>12</x:v>
      </x:c>
      <x:c r="D92" s="7" t="str">
        <x:v>圣树先锋战盔</x:v>
      </x:c>
      <x:c r="E92" s="7" t="str">
        <x:v>头盔</x:v>
      </x:c>
      <x:c r="F92" s="12" t="n">
        <x:v>0.5</x:v>
      </x:c>
      <x:c r="G92" s="12" t="n">
        <x:v>0.6</x:v>
      </x:c>
      <x:c r="H92" s="7" t="str">
        <x:v>1863</x:v>
      </x:c>
      <x:c r="I92" s="7" t="str">
        <x:v>通过</x:v>
      </x:c>
    </x:row>
    <x:row r="93">
      <x:c r="A93" s="7" t="str">
        <x:v>制式</x:v>
      </x:c>
      <x:c r="B93" s="7" t="str">
        <x:v>第二大陆</x:v>
      </x:c>
      <x:c r="C93" s="7" t="n">
        <x:v>12</x:v>
      </x:c>
      <x:c r="D93" s="7" t="str">
        <x:v>圣树先锋项链</x:v>
      </x:c>
      <x:c r="E93" s="7" t="str">
        <x:v>项链</x:v>
      </x:c>
      <x:c r="F93" s="12" t="n">
        <x:v>0.5</x:v>
      </x:c>
      <x:c r="G93" s="12" t="n">
        <x:v>0.6</x:v>
      </x:c>
      <x:c r="H93" s="7" t="str">
        <x:v>1866</x:v>
      </x:c>
      <x:c r="I93" s="7" t="str">
        <x:v>通过</x:v>
      </x:c>
    </x:row>
    <x:row r="94">
      <x:c r="A94" s="7" t="str">
        <x:v>制式</x:v>
      </x:c>
      <x:c r="B94" s="7" t="str">
        <x:v>第二大陆</x:v>
      </x:c>
      <x:c r="C94" s="7" t="n">
        <x:v>12</x:v>
      </x:c>
      <x:c r="D94" s="7" t="str">
        <x:v>圣树先锋腕甲</x:v>
      </x:c>
      <x:c r="E94" s="7" t="str">
        <x:v>手镯</x:v>
      </x:c>
      <x:c r="F94" s="12" t="n">
        <x:v>0.5</x:v>
      </x:c>
      <x:c r="G94" s="12" t="n">
        <x:v>0.6</x:v>
      </x:c>
      <x:c r="H94" s="7" t="str">
        <x:v>1861</x:v>
      </x:c>
      <x:c r="I94" s="7" t="str">
        <x:v>通过</x:v>
      </x:c>
    </x:row>
    <x:row r="95">
      <x:c r="A95" s="7" t="str">
        <x:v>制式</x:v>
      </x:c>
      <x:c r="B95" s="7" t="str">
        <x:v>第二大陆</x:v>
      </x:c>
      <x:c r="C95" s="7" t="n">
        <x:v>12</x:v>
      </x:c>
      <x:c r="D95" s="7" t="str">
        <x:v>圣树先锋戒指</x:v>
      </x:c>
      <x:c r="E95" s="7" t="str">
        <x:v>戒指</x:v>
      </x:c>
      <x:c r="F95" s="12" t="n">
        <x:v>0.5</x:v>
      </x:c>
      <x:c r="G95" s="12" t="n">
        <x:v>0.6</x:v>
      </x:c>
      <x:c r="H95" s="7" t="str">
        <x:v>1860</x:v>
      </x:c>
      <x:c r="I95" s="7" t="str">
        <x:v>通过</x:v>
      </x:c>
    </x:row>
    <x:row r="96">
      <x:c r="A96" s="7" t="str">
        <x:v>制式</x:v>
      </x:c>
      <x:c r="B96" s="7" t="str">
        <x:v>第二大陆</x:v>
      </x:c>
      <x:c r="C96" s="7" t="n">
        <x:v>12</x:v>
      </x:c>
      <x:c r="D96" s="7" t="str">
        <x:v>圣树先锋腰带</x:v>
      </x:c>
      <x:c r="E96" s="7" t="str">
        <x:v>腰带</x:v>
      </x:c>
      <x:c r="F96" s="12" t="n">
        <x:v>0.5</x:v>
      </x:c>
      <x:c r="G96" s="12" t="n">
        <x:v>0.6</x:v>
      </x:c>
      <x:c r="H96" s="7" t="str">
        <x:v>1865</x:v>
      </x:c>
      <x:c r="I96" s="7" t="str">
        <x:v>通过</x:v>
      </x:c>
    </x:row>
    <x:row r="97">
      <x:c r="A97" s="7" t="str">
        <x:v>制式</x:v>
      </x:c>
      <x:c r="B97" s="7" t="str">
        <x:v>第二大陆</x:v>
      </x:c>
      <x:c r="C97" s="7" t="n">
        <x:v>12</x:v>
      </x:c>
      <x:c r="D97" s="7" t="str">
        <x:v>圣树先锋战靴</x:v>
      </x:c>
      <x:c r="E97" s="7" t="str">
        <x:v>鞋子</x:v>
      </x:c>
      <x:c r="F97" s="12" t="n">
        <x:v>0.5</x:v>
      </x:c>
      <x:c r="G97" s="12" t="n">
        <x:v>0.6</x:v>
      </x:c>
      <x:c r="H97" s="7" t="str">
        <x:v>1864</x:v>
      </x:c>
      <x:c r="I97" s="7" t="str">
        <x:v>通过</x:v>
      </x:c>
    </x:row>
    <x:row r="98">
      <x:c r="A98" s="7" t="str">
        <x:v>制式</x:v>
      </x:c>
      <x:c r="B98" s="7" t="str">
        <x:v>第二大陆</x:v>
      </x:c>
      <x:c r="C98" s="7" t="n">
        <x:v>13</x:v>
      </x:c>
      <x:c r="D98" s="7" t="str">
        <x:v>卢恩骑士剑</x:v>
      </x:c>
      <x:c r="E98" s="7" t="str">
        <x:v>武器</x:v>
      </x:c>
      <x:c r="F98" s="12" t="n">
        <x:v>0.5</x:v>
      </x:c>
      <x:c r="G98" s="12" t="n">
        <x:v>0.6</x:v>
      </x:c>
      <x:c r="H98" s="7" t="str">
        <x:v>4651</x:v>
      </x:c>
      <x:c r="I98" s="7" t="str">
        <x:v>通过</x:v>
      </x:c>
    </x:row>
    <x:row r="99">
      <x:c r="A99" s="7" t="str">
        <x:v>制式</x:v>
      </x:c>
      <x:c r="B99" s="7" t="str">
        <x:v>第二大陆</x:v>
      </x:c>
      <x:c r="C99" s="7" t="n">
        <x:v>13</x:v>
      </x:c>
      <x:c r="D99" s="7" t="str">
        <x:v>卢恩骑士战甲</x:v>
      </x:c>
      <x:c r="E99" s="7" t="str">
        <x:v>衣服</x:v>
      </x:c>
      <x:c r="F99" s="12" t="n">
        <x:v>0.5</x:v>
      </x:c>
      <x:c r="G99" s="12" t="n">
        <x:v>0.6</x:v>
      </x:c>
      <x:c r="H99" s="7" t="str">
        <x:v>3153</x:v>
      </x:c>
      <x:c r="I99" s="7" t="str">
        <x:v>通过</x:v>
      </x:c>
    </x:row>
    <x:row r="100">
      <x:c r="A100" s="7" t="str">
        <x:v>制式</x:v>
      </x:c>
      <x:c r="B100" s="7" t="str">
        <x:v>第二大陆</x:v>
      </x:c>
      <x:c r="C100" s="7" t="n">
        <x:v>13</x:v>
      </x:c>
      <x:c r="D100" s="7" t="str">
        <x:v>卢恩骑士战盔</x:v>
      </x:c>
      <x:c r="E100" s="7" t="str">
        <x:v>头盔</x:v>
      </x:c>
      <x:c r="F100" s="12" t="n">
        <x:v>0.5</x:v>
      </x:c>
      <x:c r="G100" s="12" t="n">
        <x:v>0.6</x:v>
      </x:c>
      <x:c r="H100" s="7" t="str">
        <x:v>2133</x:v>
      </x:c>
      <x:c r="I100" s="7" t="str">
        <x:v>通过</x:v>
      </x:c>
    </x:row>
    <x:row r="101">
      <x:c r="A101" s="7" t="str">
        <x:v>制式</x:v>
      </x:c>
      <x:c r="B101" s="7" t="str">
        <x:v>第二大陆</x:v>
      </x:c>
      <x:c r="C101" s="7" t="n">
        <x:v>13</x:v>
      </x:c>
      <x:c r="D101" s="7" t="str">
        <x:v>卢恩骑士项链</x:v>
      </x:c>
      <x:c r="E101" s="7" t="str">
        <x:v>项链</x:v>
      </x:c>
      <x:c r="F101" s="12" t="n">
        <x:v>0.5</x:v>
      </x:c>
      <x:c r="G101" s="12" t="n">
        <x:v>0.6</x:v>
      </x:c>
      <x:c r="H101" s="7" t="str">
        <x:v>2136</x:v>
      </x:c>
      <x:c r="I101" s="7" t="str">
        <x:v>通过</x:v>
      </x:c>
    </x:row>
    <x:row r="102">
      <x:c r="A102" s="7" t="str">
        <x:v>制式</x:v>
      </x:c>
      <x:c r="B102" s="7" t="str">
        <x:v>第二大陆</x:v>
      </x:c>
      <x:c r="C102" s="7" t="n">
        <x:v>13</x:v>
      </x:c>
      <x:c r="D102" s="7" t="str">
        <x:v>卢恩骑士腕甲</x:v>
      </x:c>
      <x:c r="E102" s="7" t="str">
        <x:v>手镯</x:v>
      </x:c>
      <x:c r="F102" s="12" t="n">
        <x:v>0.5</x:v>
      </x:c>
      <x:c r="G102" s="12" t="n">
        <x:v>0.6</x:v>
      </x:c>
      <x:c r="H102" s="7" t="str">
        <x:v>2130</x:v>
      </x:c>
      <x:c r="I102" s="7" t="str">
        <x:v>通过</x:v>
      </x:c>
    </x:row>
    <x:row r="103">
      <x:c r="A103" s="7" t="str">
        <x:v>制式</x:v>
      </x:c>
      <x:c r="B103" s="7" t="str">
        <x:v>第二大陆</x:v>
      </x:c>
      <x:c r="C103" s="7" t="n">
        <x:v>13</x:v>
      </x:c>
      <x:c r="D103" s="7" t="str">
        <x:v>卢恩骑士戒指</x:v>
      </x:c>
      <x:c r="E103" s="7" t="str">
        <x:v>戒指</x:v>
      </x:c>
      <x:c r="F103" s="12" t="n">
        <x:v>0.5</x:v>
      </x:c>
      <x:c r="G103" s="12" t="n">
        <x:v>0.6</x:v>
      </x:c>
      <x:c r="H103" s="7" t="str">
        <x:v>2131</x:v>
      </x:c>
      <x:c r="I103" s="7" t="str">
        <x:v>通过</x:v>
      </x:c>
    </x:row>
    <x:row r="104">
      <x:c r="A104" s="7" t="str">
        <x:v>制式</x:v>
      </x:c>
      <x:c r="B104" s="7" t="str">
        <x:v>第二大陆</x:v>
      </x:c>
      <x:c r="C104" s="7" t="n">
        <x:v>13</x:v>
      </x:c>
      <x:c r="D104" s="7" t="str">
        <x:v>卢恩骑士腰带</x:v>
      </x:c>
      <x:c r="E104" s="7" t="str">
        <x:v>腰带</x:v>
      </x:c>
      <x:c r="F104" s="12" t="n">
        <x:v>0.5</x:v>
      </x:c>
      <x:c r="G104" s="12" t="n">
        <x:v>0.6</x:v>
      </x:c>
      <x:c r="H104" s="7" t="str">
        <x:v>2135</x:v>
      </x:c>
      <x:c r="I104" s="7" t="str">
        <x:v>通过</x:v>
      </x:c>
    </x:row>
    <x:row r="105">
      <x:c r="A105" s="7" t="str">
        <x:v>制式</x:v>
      </x:c>
      <x:c r="B105" s="7" t="str">
        <x:v>第二大陆</x:v>
      </x:c>
      <x:c r="C105" s="7" t="n">
        <x:v>13</x:v>
      </x:c>
      <x:c r="D105" s="7" t="str">
        <x:v>卢恩骑士战靴</x:v>
      </x:c>
      <x:c r="E105" s="7" t="str">
        <x:v>鞋子</x:v>
      </x:c>
      <x:c r="F105" s="12" t="n">
        <x:v>0.5</x:v>
      </x:c>
      <x:c r="G105" s="12" t="n">
        <x:v>0.6</x:v>
      </x:c>
      <x:c r="H105" s="7" t="str">
        <x:v>2134</x:v>
      </x:c>
      <x:c r="I105" s="7" t="str">
        <x:v>通过</x:v>
      </x:c>
    </x:row>
    <x:row r="106">
      <x:c r="A106" s="7" t="str">
        <x:v>制式</x:v>
      </x:c>
      <x:c r="B106" s="7" t="str">
        <x:v>第二大陆</x:v>
      </x:c>
      <x:c r="C106" s="7" t="n">
        <x:v>14</x:v>
      </x:c>
      <x:c r="D106" s="7" t="str">
        <x:v>黑焰军士刃</x:v>
      </x:c>
      <x:c r="E106" s="7" t="str">
        <x:v>武器</x:v>
      </x:c>
      <x:c r="F106" s="12" t="n">
        <x:v>0.5</x:v>
      </x:c>
      <x:c r="G106" s="12" t="n">
        <x:v>0.6</x:v>
      </x:c>
      <x:c r="H106" s="7" t="str">
        <x:v>4649</x:v>
      </x:c>
      <x:c r="I106" s="7" t="str">
        <x:v>通过</x:v>
      </x:c>
    </x:row>
    <x:row r="107">
      <x:c r="A107" s="7" t="str">
        <x:v>制式</x:v>
      </x:c>
      <x:c r="B107" s="7" t="str">
        <x:v>第二大陆</x:v>
      </x:c>
      <x:c r="C107" s="7" t="n">
        <x:v>14</x:v>
      </x:c>
      <x:c r="D107" s="7" t="str">
        <x:v>黑焰军士战甲</x:v>
      </x:c>
      <x:c r="E107" s="7" t="str">
        <x:v>衣服</x:v>
      </x:c>
      <x:c r="F107" s="12" t="n">
        <x:v>0.5</x:v>
      </x:c>
      <x:c r="G107" s="12" t="n">
        <x:v>0.6</x:v>
      </x:c>
      <x:c r="H107" s="7" t="str">
        <x:v>3154</x:v>
      </x:c>
      <x:c r="I107" s="7" t="str">
        <x:v>通过</x:v>
      </x:c>
    </x:row>
    <x:row r="108">
      <x:c r="A108" s="7" t="str">
        <x:v>制式</x:v>
      </x:c>
      <x:c r="B108" s="7" t="str">
        <x:v>第二大陆</x:v>
      </x:c>
      <x:c r="C108" s="7" t="n">
        <x:v>14</x:v>
      </x:c>
      <x:c r="D108" s="7" t="str">
        <x:v>黑焰军士战盔</x:v>
      </x:c>
      <x:c r="E108" s="7" t="str">
        <x:v>头盔</x:v>
      </x:c>
      <x:c r="F108" s="12" t="n">
        <x:v>0.5</x:v>
      </x:c>
      <x:c r="G108" s="12" t="n">
        <x:v>0.6</x:v>
      </x:c>
      <x:c r="H108" s="7" t="str">
        <x:v>2272</x:v>
      </x:c>
      <x:c r="I108" s="7" t="str">
        <x:v>通过</x:v>
      </x:c>
    </x:row>
    <x:row r="109">
      <x:c r="A109" s="7" t="str">
        <x:v>制式</x:v>
      </x:c>
      <x:c r="B109" s="7" t="str">
        <x:v>第二大陆</x:v>
      </x:c>
      <x:c r="C109" s="7" t="n">
        <x:v>14</x:v>
      </x:c>
      <x:c r="D109" s="7" t="str">
        <x:v>黑焰军士项链</x:v>
      </x:c>
      <x:c r="E109" s="7" t="str">
        <x:v>项链</x:v>
      </x:c>
      <x:c r="F109" s="12" t="n">
        <x:v>0.5</x:v>
      </x:c>
      <x:c r="G109" s="12" t="n">
        <x:v>0.6</x:v>
      </x:c>
      <x:c r="H109" s="7" t="str">
        <x:v>2273</x:v>
      </x:c>
      <x:c r="I109" s="7" t="str">
        <x:v>通过</x:v>
      </x:c>
    </x:row>
    <x:row r="110">
      <x:c r="A110" s="7" t="str">
        <x:v>制式</x:v>
      </x:c>
      <x:c r="B110" s="7" t="str">
        <x:v>第二大陆</x:v>
      </x:c>
      <x:c r="C110" s="7" t="n">
        <x:v>14</x:v>
      </x:c>
      <x:c r="D110" s="7" t="str">
        <x:v>黑焰军士腕甲</x:v>
      </x:c>
      <x:c r="E110" s="7" t="str">
        <x:v>手镯</x:v>
      </x:c>
      <x:c r="F110" s="12" t="n">
        <x:v>0.5</x:v>
      </x:c>
      <x:c r="G110" s="12" t="n">
        <x:v>0.6</x:v>
      </x:c>
      <x:c r="H110" s="7" t="str">
        <x:v>2271</x:v>
      </x:c>
      <x:c r="I110" s="7" t="str">
        <x:v>通过</x:v>
      </x:c>
    </x:row>
    <x:row r="111">
      <x:c r="A111" s="7" t="str">
        <x:v>制式</x:v>
      </x:c>
      <x:c r="B111" s="7" t="str">
        <x:v>第二大陆</x:v>
      </x:c>
      <x:c r="C111" s="7" t="n">
        <x:v>14</x:v>
      </x:c>
      <x:c r="D111" s="7" t="str">
        <x:v>黑焰军士戒指</x:v>
      </x:c>
      <x:c r="E111" s="7" t="str">
        <x:v>戒指</x:v>
      </x:c>
      <x:c r="F111" s="12" t="n">
        <x:v>0.5</x:v>
      </x:c>
      <x:c r="G111" s="12" t="n">
        <x:v>0.6</x:v>
      </x:c>
      <x:c r="H111" s="7" t="str">
        <x:v>2270</x:v>
      </x:c>
      <x:c r="I111" s="7" t="str">
        <x:v>通过</x:v>
      </x:c>
    </x:row>
    <x:row r="112">
      <x:c r="A112" s="7" t="str">
        <x:v>制式</x:v>
      </x:c>
      <x:c r="B112" s="7" t="str">
        <x:v>第二大陆</x:v>
      </x:c>
      <x:c r="C112" s="7" t="n">
        <x:v>14</x:v>
      </x:c>
      <x:c r="D112" s="7" t="str">
        <x:v>黑焰军士腰带</x:v>
      </x:c>
      <x:c r="E112" s="7" t="str">
        <x:v>腰带</x:v>
      </x:c>
      <x:c r="F112" s="12" t="n">
        <x:v>0.5</x:v>
      </x:c>
      <x:c r="G112" s="12" t="n">
        <x:v>0.6</x:v>
      </x:c>
      <x:c r="H112" s="7" t="str">
        <x:v>2275</x:v>
      </x:c>
      <x:c r="I112" s="7" t="str">
        <x:v>通过</x:v>
      </x:c>
    </x:row>
    <x:row r="113">
      <x:c r="A113" s="7" t="str">
        <x:v>制式</x:v>
      </x:c>
      <x:c r="B113" s="7" t="str">
        <x:v>第二大陆</x:v>
      </x:c>
      <x:c r="C113" s="7" t="n">
        <x:v>14</x:v>
      </x:c>
      <x:c r="D113" s="7" t="str">
        <x:v>黑焰军士战靴</x:v>
      </x:c>
      <x:c r="E113" s="7" t="str">
        <x:v>鞋子</x:v>
      </x:c>
      <x:c r="F113" s="12" t="n">
        <x:v>0.5</x:v>
      </x:c>
      <x:c r="G113" s="12" t="n">
        <x:v>0.6</x:v>
      </x:c>
      <x:c r="H113" s="7" t="str">
        <x:v>2274</x:v>
      </x:c>
      <x:c r="I113" s="7" t="str">
        <x:v>通过</x:v>
      </x:c>
    </x:row>
    <x:row r="114">
      <x:c r="A114" s="7" t="str">
        <x:v>制式</x:v>
      </x:c>
      <x:c r="B114" s="7" t="str">
        <x:v>第二大陆</x:v>
      </x:c>
      <x:c r="C114" s="7" t="n">
        <x:v>15</x:v>
      </x:c>
      <x:c r="D114" s="7" t="str">
        <x:v>猩红卫士剑</x:v>
      </x:c>
      <x:c r="E114" s="7" t="str">
        <x:v>武器</x:v>
      </x:c>
      <x:c r="F114" s="12" t="n">
        <x:v>0.5</x:v>
      </x:c>
      <x:c r="G114" s="12" t="n">
        <x:v>0.6</x:v>
      </x:c>
      <x:c r="H114" s="7" t="str">
        <x:v>2423</x:v>
      </x:c>
      <x:c r="I114" s="7" t="str">
        <x:v>通过</x:v>
      </x:c>
    </x:row>
    <x:row r="115">
      <x:c r="A115" s="7" t="str">
        <x:v>制式</x:v>
      </x:c>
      <x:c r="B115" s="7" t="str">
        <x:v>第二大陆</x:v>
      </x:c>
      <x:c r="C115" s="7" t="n">
        <x:v>15</x:v>
      </x:c>
      <x:c r="D115" s="7" t="str">
        <x:v>猩红卫士战甲</x:v>
      </x:c>
      <x:c r="E115" s="7" t="str">
        <x:v>衣服</x:v>
      </x:c>
      <x:c r="F115" s="12" t="n">
        <x:v>0.5</x:v>
      </x:c>
      <x:c r="G115" s="12" t="n">
        <x:v>0.6</x:v>
      </x:c>
      <x:c r="H115" s="7" t="str">
        <x:v>2421</x:v>
      </x:c>
      <x:c r="I115" s="7" t="str">
        <x:v>通过</x:v>
      </x:c>
    </x:row>
    <x:row r="116">
      <x:c r="A116" s="7" t="str">
        <x:v>制式</x:v>
      </x:c>
      <x:c r="B116" s="7" t="str">
        <x:v>第二大陆</x:v>
      </x:c>
      <x:c r="C116" s="7" t="n">
        <x:v>15</x:v>
      </x:c>
      <x:c r="D116" s="7" t="str">
        <x:v>猩红卫士战盔</x:v>
      </x:c>
      <x:c r="E116" s="7" t="str">
        <x:v>头盔</x:v>
      </x:c>
      <x:c r="F116" s="12" t="n">
        <x:v>0.5</x:v>
      </x:c>
      <x:c r="G116" s="12" t="n">
        <x:v>0.6</x:v>
      </x:c>
      <x:c r="H116" s="7" t="str">
        <x:v>2415</x:v>
      </x:c>
      <x:c r="I116" s="7" t="str">
        <x:v>通过</x:v>
      </x:c>
    </x:row>
    <x:row r="117">
      <x:c r="A117" s="7" t="str">
        <x:v>制式</x:v>
      </x:c>
      <x:c r="B117" s="7" t="str">
        <x:v>第二大陆</x:v>
      </x:c>
      <x:c r="C117" s="7" t="n">
        <x:v>15</x:v>
      </x:c>
      <x:c r="D117" s="7" t="str">
        <x:v>猩红卫士项链</x:v>
      </x:c>
      <x:c r="E117" s="7" t="str">
        <x:v>项链</x:v>
      </x:c>
      <x:c r="F117" s="12" t="n">
        <x:v>0.5</x:v>
      </x:c>
      <x:c r="G117" s="12" t="n">
        <x:v>0.6</x:v>
      </x:c>
      <x:c r="H117" s="7" t="str">
        <x:v>2416</x:v>
      </x:c>
      <x:c r="I117" s="7" t="str">
        <x:v>通过</x:v>
      </x:c>
    </x:row>
    <x:row r="118">
      <x:c r="A118" s="7" t="str">
        <x:v>制式</x:v>
      </x:c>
      <x:c r="B118" s="7" t="str">
        <x:v>第二大陆</x:v>
      </x:c>
      <x:c r="C118" s="7" t="n">
        <x:v>15</x:v>
      </x:c>
      <x:c r="D118" s="7" t="str">
        <x:v>猩红卫士腕甲</x:v>
      </x:c>
      <x:c r="E118" s="7" t="str">
        <x:v>手镯</x:v>
      </x:c>
      <x:c r="F118" s="12" t="n">
        <x:v>0.5</x:v>
      </x:c>
      <x:c r="G118" s="12" t="n">
        <x:v>0.6</x:v>
      </x:c>
      <x:c r="H118" s="7" t="str">
        <x:v>2411</x:v>
      </x:c>
      <x:c r="I118" s="7" t="str">
        <x:v>通过</x:v>
      </x:c>
    </x:row>
    <x:row r="119">
      <x:c r="A119" s="7" t="str">
        <x:v>制式</x:v>
      </x:c>
      <x:c r="B119" s="7" t="str">
        <x:v>第二大陆</x:v>
      </x:c>
      <x:c r="C119" s="7" t="n">
        <x:v>15</x:v>
      </x:c>
      <x:c r="D119" s="7" t="str">
        <x:v>猩红卫士戒指</x:v>
      </x:c>
      <x:c r="E119" s="7" t="str">
        <x:v>戒指</x:v>
      </x:c>
      <x:c r="F119" s="12" t="n">
        <x:v>0.5</x:v>
      </x:c>
      <x:c r="G119" s="12" t="n">
        <x:v>0.6</x:v>
      </x:c>
      <x:c r="H119" s="7" t="str">
        <x:v>2410</x:v>
      </x:c>
      <x:c r="I119" s="7" t="str">
        <x:v>通过</x:v>
      </x:c>
    </x:row>
    <x:row r="120">
      <x:c r="A120" s="7" t="str">
        <x:v>制式</x:v>
      </x:c>
      <x:c r="B120" s="7" t="str">
        <x:v>第二大陆</x:v>
      </x:c>
      <x:c r="C120" s="7" t="n">
        <x:v>15</x:v>
      </x:c>
      <x:c r="D120" s="7" t="str">
        <x:v>猩红卫士腰带</x:v>
      </x:c>
      <x:c r="E120" s="7" t="str">
        <x:v>腰带</x:v>
      </x:c>
      <x:c r="F120" s="12" t="n">
        <x:v>0.5</x:v>
      </x:c>
      <x:c r="G120" s="12" t="n">
        <x:v>0.6</x:v>
      </x:c>
      <x:c r="H120" s="7" t="str">
        <x:v>2414</x:v>
      </x:c>
      <x:c r="I120" s="7" t="str">
        <x:v>通过</x:v>
      </x:c>
    </x:row>
    <x:row r="121">
      <x:c r="A121" s="7" t="str">
        <x:v>制式</x:v>
      </x:c>
      <x:c r="B121" s="7" t="str">
        <x:v>第二大陆</x:v>
      </x:c>
      <x:c r="C121" s="7" t="n">
        <x:v>15</x:v>
      </x:c>
      <x:c r="D121" s="7" t="str">
        <x:v>猩红卫士战靴</x:v>
      </x:c>
      <x:c r="E121" s="7" t="str">
        <x:v>鞋子</x:v>
      </x:c>
      <x:c r="F121" s="12" t="n">
        <x:v>0.5</x:v>
      </x:c>
      <x:c r="G121" s="12" t="n">
        <x:v>0.6</x:v>
      </x:c>
      <x:c r="H121" s="7" t="str">
        <x:v>2413</x:v>
      </x:c>
      <x:c r="I121" s="7" t="str">
        <x:v>通过</x:v>
      </x:c>
    </x:row>
    <x:row r="122">
      <x:c r="A122" s="7" t="str">
        <x:v>制式</x:v>
      </x:c>
      <x:c r="B122" s="7" t="str">
        <x:v>第二大陆</x:v>
      </x:c>
      <x:c r="C122" s="7" t="n">
        <x:v>16</x:v>
      </x:c>
      <x:c r="D122" s="7" t="str">
        <x:v>冻原斗士刃</x:v>
      </x:c>
      <x:c r="E122" s="7" t="str">
        <x:v>武器</x:v>
      </x:c>
      <x:c r="F122" s="12" t="n">
        <x:v>0.5</x:v>
      </x:c>
      <x:c r="G122" s="12" t="n">
        <x:v>0.6</x:v>
      </x:c>
      <x:c r="H122" s="7" t="str">
        <x:v>2523</x:v>
      </x:c>
      <x:c r="I122" s="7" t="str">
        <x:v>通过</x:v>
      </x:c>
    </x:row>
    <x:row r="123">
      <x:c r="A123" s="7" t="str">
        <x:v>制式</x:v>
      </x:c>
      <x:c r="B123" s="7" t="str">
        <x:v>第二大陆</x:v>
      </x:c>
      <x:c r="C123" s="7" t="n">
        <x:v>16</x:v>
      </x:c>
      <x:c r="D123" s="7" t="str">
        <x:v>冻原斗士战甲</x:v>
      </x:c>
      <x:c r="E123" s="7" t="str">
        <x:v>衣服</x:v>
      </x:c>
      <x:c r="F123" s="12" t="n">
        <x:v>0.5</x:v>
      </x:c>
      <x:c r="G123" s="12" t="n">
        <x:v>0.6</x:v>
      </x:c>
      <x:c r="H123" s="7" t="str">
        <x:v>2542</x:v>
      </x:c>
      <x:c r="I123" s="7" t="str">
        <x:v>通过</x:v>
      </x:c>
    </x:row>
    <x:row r="124">
      <x:c r="A124" s="7" t="str">
        <x:v>制式</x:v>
      </x:c>
      <x:c r="B124" s="7" t="str">
        <x:v>第二大陆</x:v>
      </x:c>
      <x:c r="C124" s="7" t="n">
        <x:v>16</x:v>
      </x:c>
      <x:c r="D124" s="7" t="str">
        <x:v>冻原斗士战盔</x:v>
      </x:c>
      <x:c r="E124" s="7" t="str">
        <x:v>头盔</x:v>
      </x:c>
      <x:c r="F124" s="12" t="n">
        <x:v>0.5</x:v>
      </x:c>
      <x:c r="G124" s="12" t="n">
        <x:v>0.6</x:v>
      </x:c>
      <x:c r="H124" s="7" t="str">
        <x:v>2515</x:v>
      </x:c>
      <x:c r="I124" s="7" t="str">
        <x:v>通过</x:v>
      </x:c>
    </x:row>
    <x:row r="125">
      <x:c r="A125" s="7" t="str">
        <x:v>制式</x:v>
      </x:c>
      <x:c r="B125" s="7" t="str">
        <x:v>第二大陆</x:v>
      </x:c>
      <x:c r="C125" s="7" t="n">
        <x:v>16</x:v>
      </x:c>
      <x:c r="D125" s="7" t="str">
        <x:v>冻原斗士项链</x:v>
      </x:c>
      <x:c r="E125" s="7" t="str">
        <x:v>项链</x:v>
      </x:c>
      <x:c r="F125" s="12" t="n">
        <x:v>0.5</x:v>
      </x:c>
      <x:c r="G125" s="12" t="n">
        <x:v>0.6</x:v>
      </x:c>
      <x:c r="H125" s="7" t="str">
        <x:v>2516</x:v>
      </x:c>
      <x:c r="I125" s="7" t="str">
        <x:v>通过</x:v>
      </x:c>
    </x:row>
    <x:row r="126">
      <x:c r="A126" s="7" t="str">
        <x:v>制式</x:v>
      </x:c>
      <x:c r="B126" s="7" t="str">
        <x:v>第二大陆</x:v>
      </x:c>
      <x:c r="C126" s="7" t="n">
        <x:v>16</x:v>
      </x:c>
      <x:c r="D126" s="7" t="str">
        <x:v>冻原斗士腕甲</x:v>
      </x:c>
      <x:c r="E126" s="7" t="str">
        <x:v>手镯</x:v>
      </x:c>
      <x:c r="F126" s="12" t="n">
        <x:v>0.5</x:v>
      </x:c>
      <x:c r="G126" s="12" t="n">
        <x:v>0.6</x:v>
      </x:c>
      <x:c r="H126" s="7" t="str">
        <x:v>2511</x:v>
      </x:c>
      <x:c r="I126" s="7" t="str">
        <x:v>通过</x:v>
      </x:c>
    </x:row>
    <x:row r="127">
      <x:c r="A127" s="7" t="str">
        <x:v>制式</x:v>
      </x:c>
      <x:c r="B127" s="7" t="str">
        <x:v>第二大陆</x:v>
      </x:c>
      <x:c r="C127" s="7" t="n">
        <x:v>16</x:v>
      </x:c>
      <x:c r="D127" s="7" t="str">
        <x:v>冻原斗士戒指</x:v>
      </x:c>
      <x:c r="E127" s="7" t="str">
        <x:v>戒指</x:v>
      </x:c>
      <x:c r="F127" s="12" t="n">
        <x:v>0.5</x:v>
      </x:c>
      <x:c r="G127" s="12" t="n">
        <x:v>0.6</x:v>
      </x:c>
      <x:c r="H127" s="7" t="str">
        <x:v>2510</x:v>
      </x:c>
      <x:c r="I127" s="7" t="str">
        <x:v>通过</x:v>
      </x:c>
    </x:row>
    <x:row r="128">
      <x:c r="A128" s="7" t="str">
        <x:v>制式</x:v>
      </x:c>
      <x:c r="B128" s="7" t="str">
        <x:v>第二大陆</x:v>
      </x:c>
      <x:c r="C128" s="7" t="n">
        <x:v>16</x:v>
      </x:c>
      <x:c r="D128" s="7" t="str">
        <x:v>冻原斗士腰带</x:v>
      </x:c>
      <x:c r="E128" s="7" t="str">
        <x:v>腰带</x:v>
      </x:c>
      <x:c r="F128" s="12" t="n">
        <x:v>0.5</x:v>
      </x:c>
      <x:c r="G128" s="12" t="n">
        <x:v>0.6</x:v>
      </x:c>
      <x:c r="H128" s="7" t="str">
        <x:v>2514</x:v>
      </x:c>
      <x:c r="I128" s="7" t="str">
        <x:v>通过</x:v>
      </x:c>
    </x:row>
    <x:row r="129">
      <x:c r="A129" s="7" t="str">
        <x:v>制式</x:v>
      </x:c>
      <x:c r="B129" s="7" t="str">
        <x:v>第二大陆</x:v>
      </x:c>
      <x:c r="C129" s="7" t="n">
        <x:v>16</x:v>
      </x:c>
      <x:c r="D129" s="7" t="str">
        <x:v>冻原斗士战靴</x:v>
      </x:c>
      <x:c r="E129" s="7" t="str">
        <x:v>鞋子</x:v>
      </x:c>
      <x:c r="F129" s="12" t="n">
        <x:v>0.5</x:v>
      </x:c>
      <x:c r="G129" s="12" t="n">
        <x:v>0.6</x:v>
      </x:c>
      <x:c r="H129" s="7" t="str">
        <x:v>2513</x:v>
      </x:c>
      <x:c r="I129" s="7" t="str">
        <x:v>通过</x:v>
      </x:c>
    </x:row>
    <x:row r="130">
      <x:c r="A130" s="7" t="str">
        <x:v>制式</x:v>
      </x:c>
      <x:c r="B130" s="7" t="str">
        <x:v>第二大陆</x:v>
      </x:c>
      <x:c r="C130" s="7" t="n">
        <x:v>17</x:v>
      </x:c>
      <x:c r="D130" s="7" t="str">
        <x:v>古龙近卫剑</x:v>
      </x:c>
      <x:c r="E130" s="7" t="str">
        <x:v>武器</x:v>
      </x:c>
      <x:c r="F130" s="12" t="n">
        <x:v>0.5</x:v>
      </x:c>
      <x:c r="G130" s="12" t="n">
        <x:v>0.6</x:v>
      </x:c>
      <x:c r="H130" s="7" t="str">
        <x:v>2765</x:v>
      </x:c>
      <x:c r="I130" s="7" t="str">
        <x:v>通过</x:v>
      </x:c>
    </x:row>
    <x:row r="131">
      <x:c r="A131" s="7" t="str">
        <x:v>制式</x:v>
      </x:c>
      <x:c r="B131" s="7" t="str">
        <x:v>第二大陆</x:v>
      </x:c>
      <x:c r="C131" s="7" t="n">
        <x:v>17</x:v>
      </x:c>
      <x:c r="D131" s="7" t="str">
        <x:v>古龙近卫战甲</x:v>
      </x:c>
      <x:c r="E131" s="7" t="str">
        <x:v>衣服</x:v>
      </x:c>
      <x:c r="F131" s="12" t="n">
        <x:v>0.5</x:v>
      </x:c>
      <x:c r="G131" s="12" t="n">
        <x:v>0.6</x:v>
      </x:c>
      <x:c r="H131" s="7" t="str">
        <x:v>2770</x:v>
      </x:c>
      <x:c r="I131" s="7" t="str">
        <x:v>通过</x:v>
      </x:c>
    </x:row>
    <x:row r="132">
      <x:c r="A132" s="7" t="str">
        <x:v>制式</x:v>
      </x:c>
      <x:c r="B132" s="7" t="str">
        <x:v>第二大陆</x:v>
      </x:c>
      <x:c r="C132" s="7" t="n">
        <x:v>17</x:v>
      </x:c>
      <x:c r="D132" s="7" t="str">
        <x:v>古龙近卫战盔</x:v>
      </x:c>
      <x:c r="E132" s="7" t="str">
        <x:v>头盔</x:v>
      </x:c>
      <x:c r="F132" s="12" t="n">
        <x:v>0.5</x:v>
      </x:c>
      <x:c r="G132" s="12" t="n">
        <x:v>0.6</x:v>
      </x:c>
      <x:c r="H132" s="7" t="str">
        <x:v>2777</x:v>
      </x:c>
      <x:c r="I132" s="7" t="str">
        <x:v>通过</x:v>
      </x:c>
    </x:row>
    <x:row r="133">
      <x:c r="A133" s="7" t="str">
        <x:v>制式</x:v>
      </x:c>
      <x:c r="B133" s="7" t="str">
        <x:v>第二大陆</x:v>
      </x:c>
      <x:c r="C133" s="7" t="n">
        <x:v>17</x:v>
      </x:c>
      <x:c r="D133" s="7" t="str">
        <x:v>古龙近卫项链</x:v>
      </x:c>
      <x:c r="E133" s="7" t="str">
        <x:v>项链</x:v>
      </x:c>
      <x:c r="F133" s="12" t="n">
        <x:v>0.5</x:v>
      </x:c>
      <x:c r="G133" s="12" t="n">
        <x:v>0.6</x:v>
      </x:c>
      <x:c r="H133" s="7" t="str">
        <x:v>2774</x:v>
      </x:c>
      <x:c r="I133" s="7" t="str">
        <x:v>通过</x:v>
      </x:c>
    </x:row>
    <x:row r="134">
      <x:c r="A134" s="7" t="str">
        <x:v>制式</x:v>
      </x:c>
      <x:c r="B134" s="7" t="str">
        <x:v>第二大陆</x:v>
      </x:c>
      <x:c r="C134" s="7" t="n">
        <x:v>17</x:v>
      </x:c>
      <x:c r="D134" s="7" t="str">
        <x:v>古龙近卫腕甲</x:v>
      </x:c>
      <x:c r="E134" s="7" t="str">
        <x:v>手镯</x:v>
      </x:c>
      <x:c r="F134" s="12" t="n">
        <x:v>0.5</x:v>
      </x:c>
      <x:c r="G134" s="12" t="n">
        <x:v>0.6</x:v>
      </x:c>
      <x:c r="H134" s="7" t="str">
        <x:v>2773</x:v>
      </x:c>
      <x:c r="I134" s="7" t="str">
        <x:v>通过</x:v>
      </x:c>
    </x:row>
    <x:row r="135">
      <x:c r="A135" s="7" t="str">
        <x:v>制式</x:v>
      </x:c>
      <x:c r="B135" s="7" t="str">
        <x:v>第二大陆</x:v>
      </x:c>
      <x:c r="C135" s="7" t="n">
        <x:v>17</x:v>
      </x:c>
      <x:c r="D135" s="7" t="str">
        <x:v>古龙近卫戒指</x:v>
      </x:c>
      <x:c r="E135" s="7" t="str">
        <x:v>戒指</x:v>
      </x:c>
      <x:c r="F135" s="12" t="n">
        <x:v>0.5</x:v>
      </x:c>
      <x:c r="G135" s="12" t="n">
        <x:v>0.6</x:v>
      </x:c>
      <x:c r="H135" s="7" t="str">
        <x:v>2772</x:v>
      </x:c>
      <x:c r="I135" s="7" t="str">
        <x:v>通过</x:v>
      </x:c>
    </x:row>
    <x:row r="136">
      <x:c r="A136" s="7" t="str">
        <x:v>制式</x:v>
      </x:c>
      <x:c r="B136" s="7" t="str">
        <x:v>第二大陆</x:v>
      </x:c>
      <x:c r="C136" s="7" t="n">
        <x:v>17</x:v>
      </x:c>
      <x:c r="D136" s="7" t="str">
        <x:v>古龙近卫腰带</x:v>
      </x:c>
      <x:c r="E136" s="7" t="str">
        <x:v>腰带</x:v>
      </x:c>
      <x:c r="F136" s="12" t="n">
        <x:v>0.5</x:v>
      </x:c>
      <x:c r="G136" s="12" t="n">
        <x:v>0.6</x:v>
      </x:c>
      <x:c r="H136" s="7" t="str">
        <x:v>2776</x:v>
      </x:c>
      <x:c r="I136" s="7" t="str">
        <x:v>通过</x:v>
      </x:c>
    </x:row>
    <x:row r="137">
      <x:c r="A137" s="7" t="str">
        <x:v>制式</x:v>
      </x:c>
      <x:c r="B137" s="7" t="str">
        <x:v>第二大陆</x:v>
      </x:c>
      <x:c r="C137" s="7" t="n">
        <x:v>17</x:v>
      </x:c>
      <x:c r="D137" s="7" t="str">
        <x:v>古龙近卫战靴</x:v>
      </x:c>
      <x:c r="E137" s="7" t="str">
        <x:v>鞋子</x:v>
      </x:c>
      <x:c r="F137" s="12" t="n">
        <x:v>0.5</x:v>
      </x:c>
      <x:c r="G137" s="12" t="n">
        <x:v>0.6</x:v>
      </x:c>
      <x:c r="H137" s="7" t="str">
        <x:v>2775</x:v>
      </x:c>
      <x:c r="I137" s="7" t="str">
        <x:v>通过</x:v>
      </x:c>
    </x:row>
    <x:row r="138">
      <x:c r="A138" s="7" t="str">
        <x:v>制式</x:v>
      </x:c>
      <x:c r="B138" s="7" t="str">
        <x:v>第二大陆</x:v>
      </x:c>
      <x:c r="C138" s="7" t="n">
        <x:v>18</x:v>
      </x:c>
      <x:c r="D138" s="7" t="str">
        <x:v>神授征服剑</x:v>
      </x:c>
      <x:c r="E138" s="7" t="str">
        <x:v>武器</x:v>
      </x:c>
      <x:c r="F138" s="12" t="n">
        <x:v>0.5</x:v>
      </x:c>
      <x:c r="G138" s="12" t="n">
        <x:v>0.6</x:v>
      </x:c>
      <x:c r="H138" s="7" t="str">
        <x:v>4272</x:v>
      </x:c>
      <x:c r="I138" s="7" t="str">
        <x:v>通过</x:v>
      </x:c>
    </x:row>
    <x:row r="139">
      <x:c r="A139" s="7" t="str">
        <x:v>制式</x:v>
      </x:c>
      <x:c r="B139" s="7" t="str">
        <x:v>第二大陆</x:v>
      </x:c>
      <x:c r="C139" s="7" t="n">
        <x:v>18</x:v>
      </x:c>
      <x:c r="D139" s="7" t="str">
        <x:v>神授征服战甲</x:v>
      </x:c>
      <x:c r="E139" s="7" t="str">
        <x:v>衣服</x:v>
      </x:c>
      <x:c r="F139" s="12" t="n">
        <x:v>0.5</x:v>
      </x:c>
      <x:c r="G139" s="12" t="n">
        <x:v>0.6</x:v>
      </x:c>
      <x:c r="H139" s="7" t="str">
        <x:v>3155</x:v>
      </x:c>
      <x:c r="I139" s="7" t="str">
        <x:v>通过</x:v>
      </x:c>
    </x:row>
    <x:row r="140">
      <x:c r="A140" s="7" t="str">
        <x:v>制式</x:v>
      </x:c>
      <x:c r="B140" s="7" t="str">
        <x:v>第二大陆</x:v>
      </x:c>
      <x:c r="C140" s="7" t="n">
        <x:v>18</x:v>
      </x:c>
      <x:c r="D140" s="7" t="str">
        <x:v>神授征服战盔</x:v>
      </x:c>
      <x:c r="E140" s="7" t="str">
        <x:v>头盔</x:v>
      </x:c>
      <x:c r="F140" s="12" t="n">
        <x:v>0.5</x:v>
      </x:c>
      <x:c r="G140" s="12" t="n">
        <x:v>0.6</x:v>
      </x:c>
      <x:c r="H140" s="7" t="str">
        <x:v>3065</x:v>
      </x:c>
      <x:c r="I140" s="7" t="str">
        <x:v>通过</x:v>
      </x:c>
    </x:row>
    <x:row r="141">
      <x:c r="A141" s="7" t="str">
        <x:v>制式</x:v>
      </x:c>
      <x:c r="B141" s="7" t="str">
        <x:v>第二大陆</x:v>
      </x:c>
      <x:c r="C141" s="7" t="n">
        <x:v>18</x:v>
      </x:c>
      <x:c r="D141" s="7" t="str">
        <x:v>神授征服项链</x:v>
      </x:c>
      <x:c r="E141" s="7" t="str">
        <x:v>项链</x:v>
      </x:c>
      <x:c r="F141" s="12" t="n">
        <x:v>0.5</x:v>
      </x:c>
      <x:c r="G141" s="12" t="n">
        <x:v>0.6</x:v>
      </x:c>
      <x:c r="H141" s="7" t="str">
        <x:v>3064</x:v>
      </x:c>
      <x:c r="I141" s="7" t="str">
        <x:v>通过</x:v>
      </x:c>
    </x:row>
    <x:row r="142">
      <x:c r="A142" s="7" t="str">
        <x:v>制式</x:v>
      </x:c>
      <x:c r="B142" s="7" t="str">
        <x:v>第二大陆</x:v>
      </x:c>
      <x:c r="C142" s="7" t="n">
        <x:v>18</x:v>
      </x:c>
      <x:c r="D142" s="7" t="str">
        <x:v>神授征服腕甲</x:v>
      </x:c>
      <x:c r="E142" s="7" t="str">
        <x:v>手镯</x:v>
      </x:c>
      <x:c r="F142" s="12" t="n">
        <x:v>0.5</x:v>
      </x:c>
      <x:c r="G142" s="12" t="n">
        <x:v>0.6</x:v>
      </x:c>
      <x:c r="H142" s="7" t="str">
        <x:v>3061</x:v>
      </x:c>
      <x:c r="I142" s="7" t="str">
        <x:v>通过</x:v>
      </x:c>
    </x:row>
    <x:row r="143">
      <x:c r="A143" s="7" t="str">
        <x:v>制式</x:v>
      </x:c>
      <x:c r="B143" s="7" t="str">
        <x:v>第二大陆</x:v>
      </x:c>
      <x:c r="C143" s="7" t="n">
        <x:v>18</x:v>
      </x:c>
      <x:c r="D143" s="7" t="str">
        <x:v>神授征服戒指</x:v>
      </x:c>
      <x:c r="E143" s="7" t="str">
        <x:v>戒指</x:v>
      </x:c>
      <x:c r="F143" s="12" t="n">
        <x:v>0.5</x:v>
      </x:c>
      <x:c r="G143" s="12" t="n">
        <x:v>0.6</x:v>
      </x:c>
      <x:c r="H143" s="7" t="str">
        <x:v>3060</x:v>
      </x:c>
      <x:c r="I143" s="7" t="str">
        <x:v>通过</x:v>
      </x:c>
    </x:row>
    <x:row r="144">
      <x:c r="A144" s="7" t="str">
        <x:v>制式</x:v>
      </x:c>
      <x:c r="B144" s="7" t="str">
        <x:v>第二大陆</x:v>
      </x:c>
      <x:c r="C144" s="7" t="n">
        <x:v>18</x:v>
      </x:c>
      <x:c r="D144" s="7" t="str">
        <x:v>神授征服腰带</x:v>
      </x:c>
      <x:c r="E144" s="7" t="str">
        <x:v>腰带</x:v>
      </x:c>
      <x:c r="F144" s="12" t="n">
        <x:v>0.5</x:v>
      </x:c>
      <x:c r="G144" s="12" t="n">
        <x:v>0.6</x:v>
      </x:c>
      <x:c r="H144" s="7" t="str">
        <x:v>3067</x:v>
      </x:c>
      <x:c r="I144" s="7" t="str">
        <x:v>通过</x:v>
      </x:c>
    </x:row>
    <x:row r="145">
      <x:c r="A145" s="7" t="str">
        <x:v>制式</x:v>
      </x:c>
      <x:c r="B145" s="7" t="str">
        <x:v>第二大陆</x:v>
      </x:c>
      <x:c r="C145" s="7" t="n">
        <x:v>18</x:v>
      </x:c>
      <x:c r="D145" s="7" t="str">
        <x:v>神授征服战靴</x:v>
      </x:c>
      <x:c r="E145" s="7" t="str">
        <x:v>鞋子</x:v>
      </x:c>
      <x:c r="F145" s="12" t="n">
        <x:v>0.5</x:v>
      </x:c>
      <x:c r="G145" s="12" t="n">
        <x:v>0.6</x:v>
      </x:c>
      <x:c r="H145" s="7" t="str">
        <x:v>3066</x:v>
      </x:c>
      <x:c r="I145" s="7" t="str">
        <x:v>通过</x:v>
      </x:c>
    </x:row>
    <x:row r="146">
      <x:c r="A146" s="7" t="str">
        <x:v>制式</x:v>
      </x:c>
      <x:c r="B146" s="7" t="str">
        <x:v>第二大陆</x:v>
      </x:c>
      <x:c r="C146" s="7" t="n">
        <x:v>19</x:v>
      </x:c>
      <x:c r="D146" s="7" t="str">
        <x:v>法环禁军剑</x:v>
      </x:c>
      <x:c r="E146" s="7" t="str">
        <x:v>武器</x:v>
      </x:c>
      <x:c r="F146" s="12" t="n">
        <x:v>0.5</x:v>
      </x:c>
      <x:c r="G146" s="12" t="n">
        <x:v>0.6</x:v>
      </x:c>
      <x:c r="H146" s="7" t="str">
        <x:v>4271</x:v>
      </x:c>
      <x:c r="I146" s="7" t="str">
        <x:v>通过</x:v>
      </x:c>
    </x:row>
    <x:row r="147">
      <x:c r="A147" s="7" t="str">
        <x:v>制式</x:v>
      </x:c>
      <x:c r="B147" s="7" t="str">
        <x:v>第二大陆</x:v>
      </x:c>
      <x:c r="C147" s="7" t="n">
        <x:v>19</x:v>
      </x:c>
      <x:c r="D147" s="7" t="str">
        <x:v>法环禁军战甲</x:v>
      </x:c>
      <x:c r="E147" s="7" t="str">
        <x:v>衣服</x:v>
      </x:c>
      <x:c r="F147" s="12" t="n">
        <x:v>0.5</x:v>
      </x:c>
      <x:c r="G147" s="12" t="n">
        <x:v>0.6</x:v>
      </x:c>
      <x:c r="H147" s="7" t="str">
        <x:v>3156</x:v>
      </x:c>
      <x:c r="I147" s="7" t="str">
        <x:v>通过</x:v>
      </x:c>
    </x:row>
    <x:row r="148">
      <x:c r="A148" s="7" t="str">
        <x:v>制式</x:v>
      </x:c>
      <x:c r="B148" s="7" t="str">
        <x:v>第二大陆</x:v>
      </x:c>
      <x:c r="C148" s="7" t="n">
        <x:v>19</x:v>
      </x:c>
      <x:c r="D148" s="7" t="str">
        <x:v>法环禁军战盔</x:v>
      </x:c>
      <x:c r="E148" s="7" t="str">
        <x:v>头盔</x:v>
      </x:c>
      <x:c r="F148" s="12" t="n">
        <x:v>0.5</x:v>
      </x:c>
      <x:c r="G148" s="12" t="n">
        <x:v>0.6</x:v>
      </x:c>
      <x:c r="H148" s="7" t="str">
        <x:v>3073</x:v>
      </x:c>
      <x:c r="I148" s="7" t="str">
        <x:v>通过</x:v>
      </x:c>
    </x:row>
    <x:row r="149">
      <x:c r="A149" s="7" t="str">
        <x:v>制式</x:v>
      </x:c>
      <x:c r="B149" s="7" t="str">
        <x:v>第二大陆</x:v>
      </x:c>
      <x:c r="C149" s="7" t="n">
        <x:v>19</x:v>
      </x:c>
      <x:c r="D149" s="7" t="str">
        <x:v>法环禁军项链</x:v>
      </x:c>
      <x:c r="E149" s="7" t="str">
        <x:v>项链</x:v>
      </x:c>
      <x:c r="F149" s="12" t="n">
        <x:v>0.5</x:v>
      </x:c>
      <x:c r="G149" s="12" t="n">
        <x:v>0.6</x:v>
      </x:c>
      <x:c r="H149" s="7" t="str">
        <x:v>3072</x:v>
      </x:c>
      <x:c r="I149" s="7" t="str">
        <x:v>通过</x:v>
      </x:c>
    </x:row>
    <x:row r="150">
      <x:c r="A150" s="7" t="str">
        <x:v>制式</x:v>
      </x:c>
      <x:c r="B150" s="7" t="str">
        <x:v>第二大陆</x:v>
      </x:c>
      <x:c r="C150" s="7" t="n">
        <x:v>19</x:v>
      </x:c>
      <x:c r="D150" s="7" t="str">
        <x:v>法环禁军腕甲</x:v>
      </x:c>
      <x:c r="E150" s="7" t="str">
        <x:v>手镯</x:v>
      </x:c>
      <x:c r="F150" s="12" t="n">
        <x:v>0.5</x:v>
      </x:c>
      <x:c r="G150" s="12" t="n">
        <x:v>0.6</x:v>
      </x:c>
      <x:c r="H150" s="7" t="str">
        <x:v>3071</x:v>
      </x:c>
      <x:c r="I150" s="7" t="str">
        <x:v>通过</x:v>
      </x:c>
    </x:row>
    <x:row r="151">
      <x:c r="A151" s="7" t="str">
        <x:v>制式</x:v>
      </x:c>
      <x:c r="B151" s="7" t="str">
        <x:v>第二大陆</x:v>
      </x:c>
      <x:c r="C151" s="7" t="n">
        <x:v>19</x:v>
      </x:c>
      <x:c r="D151" s="7" t="str">
        <x:v>法环禁军戒指</x:v>
      </x:c>
      <x:c r="E151" s="7" t="str">
        <x:v>戒指</x:v>
      </x:c>
      <x:c r="F151" s="12" t="n">
        <x:v>0.5</x:v>
      </x:c>
      <x:c r="G151" s="12" t="n">
        <x:v>0.6</x:v>
      </x:c>
      <x:c r="H151" s="7" t="str">
        <x:v>3070</x:v>
      </x:c>
      <x:c r="I151" s="7" t="str">
        <x:v>通过</x:v>
      </x:c>
    </x:row>
    <x:row r="152">
      <x:c r="A152" s="7" t="str">
        <x:v>制式</x:v>
      </x:c>
      <x:c r="B152" s="7" t="str">
        <x:v>第二大陆</x:v>
      </x:c>
      <x:c r="C152" s="7" t="n">
        <x:v>19</x:v>
      </x:c>
      <x:c r="D152" s="7" t="str">
        <x:v>法环禁军腰带</x:v>
      </x:c>
      <x:c r="E152" s="7" t="str">
        <x:v>腰带</x:v>
      </x:c>
      <x:c r="F152" s="12" t="n">
        <x:v>0.5</x:v>
      </x:c>
      <x:c r="G152" s="12" t="n">
        <x:v>0.6</x:v>
      </x:c>
      <x:c r="H152" s="7" t="str">
        <x:v>3075</x:v>
      </x:c>
      <x:c r="I152" s="7" t="str">
        <x:v>通过</x:v>
      </x:c>
    </x:row>
    <x:row r="153">
      <x:c r="A153" s="7" t="str">
        <x:v>制式</x:v>
      </x:c>
      <x:c r="B153" s="7" t="str">
        <x:v>第二大陆</x:v>
      </x:c>
      <x:c r="C153" s="7" t="n">
        <x:v>19</x:v>
      </x:c>
      <x:c r="D153" s="7" t="str">
        <x:v>法环禁军战靴</x:v>
      </x:c>
      <x:c r="E153" s="7" t="str">
        <x:v>鞋子</x:v>
      </x:c>
      <x:c r="F153" s="12" t="n">
        <x:v>0.5</x:v>
      </x:c>
      <x:c r="G153" s="12" t="n">
        <x:v>0.6</x:v>
      </x:c>
      <x:c r="H153" s="7" t="str">
        <x:v>3074</x:v>
      </x:c>
      <x:c r="I153" s="7" t="str">
        <x:v>通过</x:v>
      </x:c>
    </x:row>
    <x:row r="154">
      <x:c r="A154" s="7" t="str">
        <x:v>制式</x:v>
      </x:c>
      <x:c r="B154" s="7" t="str">
        <x:v>第二大陆</x:v>
      </x:c>
      <x:c r="C154" s="7" t="n">
        <x:v>20</x:v>
      </x:c>
      <x:c r="D154" s="7" t="str">
        <x:v>王庭统领剑</x:v>
      </x:c>
      <x:c r="E154" s="7" t="str">
        <x:v>武器</x:v>
      </x:c>
      <x:c r="F154" s="12" t="n">
        <x:v>0.5</x:v>
      </x:c>
      <x:c r="G154" s="12" t="n">
        <x:v>0.6</x:v>
      </x:c>
      <x:c r="H154" s="7" t="str">
        <x:v>4270</x:v>
      </x:c>
      <x:c r="I154" s="7" t="str">
        <x:v>通过</x:v>
      </x:c>
    </x:row>
    <x:row r="155">
      <x:c r="A155" s="7" t="str">
        <x:v>制式</x:v>
      </x:c>
      <x:c r="B155" s="7" t="str">
        <x:v>第二大陆</x:v>
      </x:c>
      <x:c r="C155" s="7" t="n">
        <x:v>20</x:v>
      </x:c>
      <x:c r="D155" s="7" t="str">
        <x:v>王庭统领战甲</x:v>
      </x:c>
      <x:c r="E155" s="7" t="str">
        <x:v>衣服</x:v>
      </x:c>
      <x:c r="F155" s="12" t="n">
        <x:v>0.5</x:v>
      </x:c>
      <x:c r="G155" s="12" t="n">
        <x:v>0.6</x:v>
      </x:c>
      <x:c r="H155" s="7" t="str">
        <x:v>3157</x:v>
      </x:c>
      <x:c r="I155" s="7" t="str">
        <x:v>通过</x:v>
      </x:c>
    </x:row>
    <x:row r="156">
      <x:c r="A156" s="7" t="str">
        <x:v>制式</x:v>
      </x:c>
      <x:c r="B156" s="7" t="str">
        <x:v>第二大陆</x:v>
      </x:c>
      <x:c r="C156" s="7" t="n">
        <x:v>20</x:v>
      </x:c>
      <x:c r="D156" s="7" t="str">
        <x:v>王庭统领战盔</x:v>
      </x:c>
      <x:c r="E156" s="7" t="str">
        <x:v>头盔</x:v>
      </x:c>
      <x:c r="F156" s="12" t="n">
        <x:v>0.5</x:v>
      </x:c>
      <x:c r="G156" s="12" t="n">
        <x:v>0.6</x:v>
      </x:c>
      <x:c r="H156" s="7" t="str">
        <x:v>3083</x:v>
      </x:c>
      <x:c r="I156" s="7" t="str">
        <x:v>通过</x:v>
      </x:c>
    </x:row>
    <x:row r="157">
      <x:c r="A157" s="7" t="str">
        <x:v>制式</x:v>
      </x:c>
      <x:c r="B157" s="7" t="str">
        <x:v>第二大陆</x:v>
      </x:c>
      <x:c r="C157" s="7" t="n">
        <x:v>20</x:v>
      </x:c>
      <x:c r="D157" s="7" t="str">
        <x:v>王庭统领项链</x:v>
      </x:c>
      <x:c r="E157" s="7" t="str">
        <x:v>项链</x:v>
      </x:c>
      <x:c r="F157" s="12" t="n">
        <x:v>0.5</x:v>
      </x:c>
      <x:c r="G157" s="12" t="n">
        <x:v>0.6</x:v>
      </x:c>
      <x:c r="H157" s="7" t="str">
        <x:v>3082</x:v>
      </x:c>
      <x:c r="I157" s="7" t="str">
        <x:v>通过</x:v>
      </x:c>
    </x:row>
    <x:row r="158">
      <x:c r="A158" s="7" t="str">
        <x:v>制式</x:v>
      </x:c>
      <x:c r="B158" s="7" t="str">
        <x:v>第二大陆</x:v>
      </x:c>
      <x:c r="C158" s="7" t="n">
        <x:v>20</x:v>
      </x:c>
      <x:c r="D158" s="7" t="str">
        <x:v>王庭统领腕甲</x:v>
      </x:c>
      <x:c r="E158" s="7" t="str">
        <x:v>手镯</x:v>
      </x:c>
      <x:c r="F158" s="12" t="n">
        <x:v>0.5</x:v>
      </x:c>
      <x:c r="G158" s="12" t="n">
        <x:v>0.6</x:v>
      </x:c>
      <x:c r="H158" s="7" t="str">
        <x:v>3081</x:v>
      </x:c>
      <x:c r="I158" s="7" t="str">
        <x:v>通过</x:v>
      </x:c>
    </x:row>
    <x:row r="159">
      <x:c r="A159" s="7" t="str">
        <x:v>制式</x:v>
      </x:c>
      <x:c r="B159" s="7" t="str">
        <x:v>第二大陆</x:v>
      </x:c>
      <x:c r="C159" s="7" t="n">
        <x:v>20</x:v>
      </x:c>
      <x:c r="D159" s="7" t="str">
        <x:v>王庭统领戒指</x:v>
      </x:c>
      <x:c r="E159" s="7" t="str">
        <x:v>戒指</x:v>
      </x:c>
      <x:c r="F159" s="12" t="n">
        <x:v>0.5</x:v>
      </x:c>
      <x:c r="G159" s="12" t="n">
        <x:v>0.6</x:v>
      </x:c>
      <x:c r="H159" s="7" t="str">
        <x:v>3080</x:v>
      </x:c>
      <x:c r="I159" s="7" t="str">
        <x:v>通过</x:v>
      </x:c>
    </x:row>
    <x:row r="160">
      <x:c r="A160" s="7" t="str">
        <x:v>制式</x:v>
      </x:c>
      <x:c r="B160" s="7" t="str">
        <x:v>第二大陆</x:v>
      </x:c>
      <x:c r="C160" s="7" t="n">
        <x:v>20</x:v>
      </x:c>
      <x:c r="D160" s="7" t="str">
        <x:v>王庭统领腰带</x:v>
      </x:c>
      <x:c r="E160" s="7" t="str">
        <x:v>腰带</x:v>
      </x:c>
      <x:c r="F160" s="12" t="n">
        <x:v>0.5</x:v>
      </x:c>
      <x:c r="G160" s="12" t="n">
        <x:v>0.6</x:v>
      </x:c>
      <x:c r="H160" s="7" t="str">
        <x:v>3085</x:v>
      </x:c>
      <x:c r="I160" s="7" t="str">
        <x:v>通过</x:v>
      </x:c>
    </x:row>
    <x:row r="161">
      <x:c r="A161" s="7" t="str">
        <x:v>制式</x:v>
      </x:c>
      <x:c r="B161" s="7" t="str">
        <x:v>第二大陆</x:v>
      </x:c>
      <x:c r="C161" s="7" t="n">
        <x:v>20</x:v>
      </x:c>
      <x:c r="D161" s="7" t="str">
        <x:v>王庭统领战靴</x:v>
      </x:c>
      <x:c r="E161" s="7" t="str">
        <x:v>鞋子</x:v>
      </x:c>
      <x:c r="F161" s="12" t="n">
        <x:v>0.5</x:v>
      </x:c>
      <x:c r="G161" s="12" t="n">
        <x:v>0.6</x:v>
      </x:c>
      <x:c r="H161" s="7" t="str">
        <x:v>3084</x:v>
      </x:c>
      <x:c r="I161" s="7" t="str">
        <x:v>通过</x:v>
      </x:c>
    </x:row>
    <x:row r="162">
      <x:c r="A162" s="7" t="str">
        <x:v>专属</x:v>
      </x:c>
      <x:c r="B162" s="7" t="str">
        <x:v>第一大陆</x:v>
      </x:c>
      <x:c r="C162" s="7" t="n">
        <x:v>1</x:v>
      </x:c>
      <x:c r="D162" s="7" t="str">
        <x:v>盐蚀弯刃</x:v>
      </x:c>
      <x:c r="E162" s="7" t="str">
        <x:v>武器</x:v>
      </x:c>
      <x:c r="F162" s="12" t="n">
        <x:v>0.5</x:v>
      </x:c>
      <x:c r="G162" s="12" t="n">
        <x:v>0.6</x:v>
      </x:c>
      <x:c r="H162" s="7"/>
      <x:c r="I162" s="7" t="str">
        <x:v>通过</x:v>
      </x:c>
    </x:row>
    <x:row r="163">
      <x:c r="A163" s="7" t="str">
        <x:v>专属</x:v>
      </x:c>
      <x:c r="B163" s="7" t="str">
        <x:v>第一大陆</x:v>
      </x:c>
      <x:c r="C163" s="7" t="n">
        <x:v>2</x:v>
      </x:c>
      <x:c r="D163" s="7" t="str">
        <x:v>断桨骨链</x:v>
      </x:c>
      <x:c r="E163" s="7" t="str">
        <x:v>项链</x:v>
      </x:c>
      <x:c r="F163" s="12" t="n">
        <x:v>0.5</x:v>
      </x:c>
      <x:c r="G163" s="12" t="n">
        <x:v>0.6</x:v>
      </x:c>
      <x:c r="H163" s="7" t="n">
        <x:v>6048</x:v>
      </x:c>
      <x:c r="I163" s="7" t="str">
        <x:v>通过</x:v>
      </x:c>
    </x:row>
    <x:row r="164">
      <x:c r="A164" s="7" t="str">
        <x:v>专属</x:v>
      </x:c>
      <x:c r="B164" s="7" t="str">
        <x:v>第一大陆</x:v>
      </x:c>
      <x:c r="C164" s="7" t="n">
        <x:v>3</x:v>
      </x:c>
      <x:c r="D164" s="7" t="str">
        <x:v>漂流尸甲</x:v>
      </x:c>
      <x:c r="E164" s="7" t="str">
        <x:v>衣服</x:v>
      </x:c>
      <x:c r="F164" s="12" t="n">
        <x:v>0.5</x:v>
      </x:c>
      <x:c r="G164" s="12" t="n">
        <x:v>0.6</x:v>
      </x:c>
      <x:c r="H164" s="7"/>
      <x:c r="I164" s="7" t="str">
        <x:v>通过</x:v>
      </x:c>
    </x:row>
    <x:row r="165">
      <x:c r="A165" s="7" t="str">
        <x:v>专属</x:v>
      </x:c>
      <x:c r="B165" s="7" t="str">
        <x:v>第一大陆</x:v>
      </x:c>
      <x:c r="C165" s="7" t="n">
        <x:v>4</x:v>
      </x:c>
      <x:c r="D165" s="7" t="str">
        <x:v>猎犬骨戒</x:v>
      </x:c>
      <x:c r="E165" s="7" t="str">
        <x:v>戒指</x:v>
      </x:c>
      <x:c r="F165" s="12" t="n">
        <x:v>0.5</x:v>
      </x:c>
      <x:c r="G165" s="12" t="n">
        <x:v>0.6</x:v>
      </x:c>
      <x:c r="H165" s="7" t="n">
        <x:v>6051</x:v>
      </x:c>
      <x:c r="I165" s="7" t="str">
        <x:v>通过</x:v>
      </x:c>
    </x:row>
    <x:row r="166">
      <x:c r="A166" s="7" t="str">
        <x:v>专属</x:v>
      </x:c>
      <x:c r="B166" s="7" t="str">
        <x:v>第一大陆</x:v>
      </x:c>
      <x:c r="C166" s="7" t="n">
        <x:v>5</x:v>
      </x:c>
      <x:c r="D166" s="7" t="str">
        <x:v>腐潮钳镯</x:v>
      </x:c>
      <x:c r="E166" s="7" t="str">
        <x:v>手镯</x:v>
      </x:c>
      <x:c r="F166" s="12" t="n">
        <x:v>0.5</x:v>
      </x:c>
      <x:c r="G166" s="12" t="n">
        <x:v>0.6</x:v>
      </x:c>
      <x:c r="H166" s="7" t="n">
        <x:v>6050</x:v>
      </x:c>
      <x:c r="I166" s="7" t="str">
        <x:v>通过</x:v>
      </x:c>
    </x:row>
    <x:row r="167">
      <x:c r="A167" s="7" t="str">
        <x:v>专属</x:v>
      </x:c>
      <x:c r="B167" s="7" t="str">
        <x:v>第一大陆</x:v>
      </x:c>
      <x:c r="C167" s="7" t="n">
        <x:v>6</x:v>
      </x:c>
      <x:c r="D167" s="7" t="str">
        <x:v>行刑锚刃</x:v>
      </x:c>
      <x:c r="E167" s="7" t="str">
        <x:v>武器</x:v>
      </x:c>
      <x:c r="F167" s="12" t="n">
        <x:v>0.5</x:v>
      </x:c>
      <x:c r="G167" s="12" t="n">
        <x:v>0.6</x:v>
      </x:c>
      <x:c r="H167" s="7"/>
      <x:c r="I167" s="7" t="str">
        <x:v>通过</x:v>
      </x:c>
    </x:row>
    <x:row r="168">
      <x:c r="A168" s="7" t="str">
        <x:v>专属</x:v>
      </x:c>
      <x:c r="B168" s="7" t="str">
        <x:v>第一大陆</x:v>
      </x:c>
      <x:c r="C168" s="7" t="n">
        <x:v>7</x:v>
      </x:c>
      <x:c r="D168" s="7" t="str">
        <x:v>唤潮旧勋</x:v>
      </x:c>
      <x:c r="E168" s="7" t="str">
        <x:v>勋章</x:v>
      </x:c>
      <x:c r="F168" s="12" t="n">
        <x:v>0.5</x:v>
      </x:c>
      <x:c r="G168" s="12" t="n">
        <x:v>0.6</x:v>
      </x:c>
      <x:c r="H168" s="7" t="n">
        <x:v>6047</x:v>
      </x:c>
      <x:c r="I168" s="7" t="str">
        <x:v>通过</x:v>
      </x:c>
    </x:row>
    <x:row r="169">
      <x:c r="A169" s="7" t="str">
        <x:v>专属</x:v>
      </x:c>
      <x:c r="B169" s="7" t="str">
        <x:v>第一大陆</x:v>
      </x:c>
      <x:c r="C169" s="7" t="n">
        <x:v>8</x:v>
      </x:c>
      <x:c r="D169" s="7" t="str">
        <x:v>沉金铁盔</x:v>
      </x:c>
      <x:c r="E169" s="7" t="str">
        <x:v>头盔</x:v>
      </x:c>
      <x:c r="F169" s="12" t="n">
        <x:v>0.5</x:v>
      </x:c>
      <x:c r="G169" s="12" t="n">
        <x:v>0.6</x:v>
      </x:c>
      <x:c r="H169" s="7" t="n">
        <x:v>6049</x:v>
      </x:c>
      <x:c r="I169" s="7" t="str">
        <x:v>通过</x:v>
      </x:c>
    </x:row>
    <x:row r="170">
      <x:c r="A170" s="7" t="str">
        <x:v>专属</x:v>
      </x:c>
      <x:c r="B170" s="7" t="str">
        <x:v>第一大陆</x:v>
      </x:c>
      <x:c r="C170" s="7" t="n">
        <x:v>9</x:v>
      </x:c>
      <x:c r="D170" s="7" t="str">
        <x:v>海雾塔盾</x:v>
      </x:c>
      <x:c r="E170" s="7" t="str">
        <x:v>盾牌</x:v>
      </x:c>
      <x:c r="F170" s="12" t="n">
        <x:v>0.5</x:v>
      </x:c>
      <x:c r="G170" s="12" t="n">
        <x:v>0.6</x:v>
      </x:c>
      <x:c r="H170" s="7" t="n">
        <x:v>6052</x:v>
      </x:c>
      <x:c r="I170" s="7" t="str">
        <x:v>通过</x:v>
      </x:c>
    </x:row>
    <x:row r="171">
      <x:c r="A171" s="7" t="str">
        <x:v>专属</x:v>
      </x:c>
      <x:c r="B171" s="7" t="str">
        <x:v>第一大陆</x:v>
      </x:c>
      <x:c r="C171" s="7" t="n">
        <x:v>10</x:v>
      </x:c>
      <x:c r="D171" s="7" t="str">
        <x:v>断桅血刃</x:v>
      </x:c>
      <x:c r="E171" s="7" t="str">
        <x:v>武器</x:v>
      </x:c>
      <x:c r="F171" s="12" t="n">
        <x:v>0.5</x:v>
      </x:c>
      <x:c r="G171" s="12" t="n">
        <x:v>0.6</x:v>
      </x:c>
      <x:c r="H171" s="7"/>
      <x:c r="I171" s="7" t="str">
        <x:v>通过</x:v>
      </x:c>
    </x:row>
    <x:row r="172">
      <x:c r="A172" s="7" t="str">
        <x:v>专属</x:v>
      </x:c>
      <x:c r="B172" s="7" t="str">
        <x:v>第一大陆</x:v>
      </x:c>
      <x:c r="C172" s="7" t="n">
        <x:v>11</x:v>
      </x:c>
      <x:c r="D172" s="7" t="str">
        <x:v>吞岸重甲</x:v>
      </x:c>
      <x:c r="E172" s="7" t="str">
        <x:v>衣服</x:v>
      </x:c>
      <x:c r="F172" s="12" t="n">
        <x:v>0.5</x:v>
      </x:c>
      <x:c r="G172" s="12" t="n">
        <x:v>0.6</x:v>
      </x:c>
      <x:c r="H172" s="7"/>
      <x:c r="I172" s="7" t="str">
        <x:v>通过</x:v>
      </x:c>
    </x:row>
    <x:row r="173">
      <x:c r="A173" s="7" t="str">
        <x:v>专属</x:v>
      </x:c>
      <x:c r="B173" s="7" t="str">
        <x:v>第一大陆</x:v>
      </x:c>
      <x:c r="C173" s="7" t="n">
        <x:v>12</x:v>
      </x:c>
      <x:c r="D173" s="7" t="str">
        <x:v>风蚀盔</x:v>
      </x:c>
      <x:c r="E173" s="7" t="str">
        <x:v>头盔</x:v>
      </x:c>
      <x:c r="F173" s="12" t="n">
        <x:v>0.5</x:v>
      </x:c>
      <x:c r="G173" s="12" t="n">
        <x:v>0.6</x:v>
      </x:c>
      <x:c r="H173" s="7" t="n">
        <x:v>6094</x:v>
      </x:c>
      <x:c r="I173" s="7" t="str">
        <x:v>通过</x:v>
      </x:c>
    </x:row>
    <x:row r="174">
      <x:c r="A174" s="7" t="str">
        <x:v>专属</x:v>
      </x:c>
      <x:c r="B174" s="7" t="str">
        <x:v>第一大陆</x:v>
      </x:c>
      <x:c r="C174" s="7" t="n">
        <x:v>13</x:v>
      </x:c>
      <x:c r="D174" s="7" t="str">
        <x:v>鹰眼链</x:v>
      </x:c>
      <x:c r="E174" s="7" t="str">
        <x:v>项链</x:v>
      </x:c>
      <x:c r="F174" s="12" t="n">
        <x:v>0.5</x:v>
      </x:c>
      <x:c r="G174" s="12" t="n">
        <x:v>0.6</x:v>
      </x:c>
      <x:c r="H174" s="7" t="n">
        <x:v>6093</x:v>
      </x:c>
      <x:c r="I174" s="7" t="str">
        <x:v>通过</x:v>
      </x:c>
    </x:row>
    <x:row r="175">
      <x:c r="A175" s="7" t="str">
        <x:v>专属</x:v>
      </x:c>
      <x:c r="B175" s="7" t="str">
        <x:v>第一大陆</x:v>
      </x:c>
      <x:c r="C175" s="7" t="n">
        <x:v>14</x:v>
      </x:c>
      <x:c r="D175" s="7" t="str">
        <x:v>雷羽护腕</x:v>
      </x:c>
      <x:c r="E175" s="7" t="str">
        <x:v>手镯</x:v>
      </x:c>
      <x:c r="F175" s="12" t="n">
        <x:v>0.5</x:v>
      </x:c>
      <x:c r="G175" s="12" t="n">
        <x:v>0.6</x:v>
      </x:c>
      <x:c r="H175" s="7" t="n">
        <x:v>6095</x:v>
      </x:c>
      <x:c r="I175" s="7" t="str">
        <x:v>通过</x:v>
      </x:c>
    </x:row>
    <x:row r="176">
      <x:c r="A176" s="7" t="str">
        <x:v>专属</x:v>
      </x:c>
      <x:c r="B176" s="7" t="str">
        <x:v>第一大陆</x:v>
      </x:c>
      <x:c r="C176" s="7" t="n">
        <x:v>15</x:v>
      </x:c>
      <x:c r="D176" s="7" t="str">
        <x:v>狂风骨戒</x:v>
      </x:c>
      <x:c r="E176" s="7" t="str">
        <x:v>戒指</x:v>
      </x:c>
      <x:c r="F176" s="12" t="n">
        <x:v>0.5</x:v>
      </x:c>
      <x:c r="G176" s="12" t="n">
        <x:v>0.6</x:v>
      </x:c>
      <x:c r="H176" s="7" t="n">
        <x:v>6096</x:v>
      </x:c>
      <x:c r="I176" s="7" t="str">
        <x:v>通过</x:v>
      </x:c>
    </x:row>
    <x:row r="177">
      <x:c r="A177" s="7" t="str">
        <x:v>专属</x:v>
      </x:c>
      <x:c r="B177" s="7" t="str">
        <x:v>第一大陆</x:v>
      </x:c>
      <x:c r="C177" s="7" t="n">
        <x:v>16</x:v>
      </x:c>
      <x:c r="D177" s="7" t="str">
        <x:v>断崖束带</x:v>
      </x:c>
      <x:c r="E177" s="7" t="str">
        <x:v>腰带</x:v>
      </x:c>
      <x:c r="F177" s="12" t="n">
        <x:v>0.5</x:v>
      </x:c>
      <x:c r="G177" s="12" t="n">
        <x:v>0.6</x:v>
      </x:c>
      <x:c r="H177" s="7" t="n">
        <x:v>6100</x:v>
      </x:c>
      <x:c r="I177" s="7" t="str">
        <x:v>通过</x:v>
      </x:c>
    </x:row>
    <x:row r="178">
      <x:c r="A178" s="7" t="str">
        <x:v>专属</x:v>
      </x:c>
      <x:c r="B178" s="7" t="str">
        <x:v>第一大陆</x:v>
      </x:c>
      <x:c r="C178" s="7" t="n">
        <x:v>17</x:v>
      </x:c>
      <x:c r="D178" s="7" t="str">
        <x:v>石蜥面巾</x:v>
      </x:c>
      <x:c r="E178" s="7" t="str">
        <x:v>斗笠</x:v>
      </x:c>
      <x:c r="F178" s="12" t="n">
        <x:v>0.5</x:v>
      </x:c>
      <x:c r="G178" s="12" t="n">
        <x:v>0.6</x:v>
      </x:c>
      <x:c r="H178" s="7"/>
      <x:c r="I178" s="7" t="str">
        <x:v>通过</x:v>
      </x:c>
    </x:row>
    <x:row r="179">
      <x:c r="A179" s="7" t="str">
        <x:v>专属</x:v>
      </x:c>
      <x:c r="B179" s="7" t="str">
        <x:v>第一大陆</x:v>
      </x:c>
      <x:c r="C179" s="7" t="n">
        <x:v>18</x:v>
      </x:c>
      <x:c r="D179" s="7" t="str">
        <x:v>逐雷战靴</x:v>
      </x:c>
      <x:c r="E179" s="7" t="str">
        <x:v>鞋子</x:v>
      </x:c>
      <x:c r="F179" s="12" t="n">
        <x:v>0.5</x:v>
      </x:c>
      <x:c r="G179" s="12" t="n">
        <x:v>0.6</x:v>
      </x:c>
      <x:c r="H179" s="7" t="n">
        <x:v>6099</x:v>
      </x:c>
      <x:c r="I179" s="7" t="str">
        <x:v>通过</x:v>
      </x:c>
    </x:row>
    <x:row r="180">
      <x:c r="A180" s="7" t="str">
        <x:v>专属</x:v>
      </x:c>
      <x:c r="B180" s="7" t="str">
        <x:v>第一大陆</x:v>
      </x:c>
      <x:c r="C180" s="7" t="n">
        <x:v>19</x:v>
      </x:c>
      <x:c r="D180" s="7" t="str">
        <x:v>风暴勋章</x:v>
      </x:c>
      <x:c r="E180" s="7" t="str">
        <x:v>勋章</x:v>
      </x:c>
      <x:c r="F180" s="12" t="n">
        <x:v>0.5</x:v>
      </x:c>
      <x:c r="G180" s="12" t="n">
        <x:v>0.6</x:v>
      </x:c>
      <x:c r="H180" s="7" t="n">
        <x:v>6092</x:v>
      </x:c>
      <x:c r="I180" s="7" t="str">
        <x:v>通过</x:v>
      </x:c>
    </x:row>
    <x:row r="181">
      <x:c r="A181" s="7" t="str">
        <x:v>专属</x:v>
      </x:c>
      <x:c r="B181" s="7" t="str">
        <x:v>第一大陆</x:v>
      </x:c>
      <x:c r="C181" s="7" t="n">
        <x:v>20</x:v>
      </x:c>
      <x:c r="D181" s="7" t="str">
        <x:v>裂岩巨盾</x:v>
      </x:c>
      <x:c r="E181" s="7" t="str">
        <x:v>盾牌</x:v>
      </x:c>
      <x:c r="F181" s="12" t="n">
        <x:v>0.5</x:v>
      </x:c>
      <x:c r="G181" s="12" t="n">
        <x:v>0.6</x:v>
      </x:c>
      <x:c r="H181" s="7" t="n">
        <x:v>6097</x:v>
      </x:c>
      <x:c r="I181" s="7" t="str">
        <x:v>通过</x:v>
      </x:c>
    </x:row>
    <x:row r="182">
      <x:c r="A182" s="7" t="str">
        <x:v>专属</x:v>
      </x:c>
      <x:c r="B182" s="7" t="str">
        <x:v>第一大陆</x:v>
      </x:c>
      <x:c r="C182" s="7" t="n">
        <x:v>21</x:v>
      </x:c>
      <x:c r="D182" s="7" t="str">
        <x:v>黑翼灵玉</x:v>
      </x:c>
      <x:c r="E182" s="7" t="str">
        <x:v>灵玉</x:v>
      </x:c>
      <x:c r="F182" s="12" t="n">
        <x:v>0.5</x:v>
      </x:c>
      <x:c r="G182" s="12" t="n">
        <x:v>0.6</x:v>
      </x:c>
      <x:c r="H182" s="7" t="n">
        <x:v>6098</x:v>
      </x:c>
      <x:c r="I182" s="7" t="str">
        <x:v>通过</x:v>
      </x:c>
    </x:row>
    <x:row r="183">
      <x:c r="A183" s="7" t="str">
        <x:v>专属</x:v>
      </x:c>
      <x:c r="B183" s="7" t="str">
        <x:v>第一大陆</x:v>
      </x:c>
      <x:c r="C183" s="7" t="n">
        <x:v>22</x:v>
      </x:c>
      <x:c r="D183" s="7" t="str">
        <x:v>执刑雷刃</x:v>
      </x:c>
      <x:c r="E183" s="7" t="str">
        <x:v>武器</x:v>
      </x:c>
      <x:c r="F183" s="12" t="n">
        <x:v>0.5</x:v>
      </x:c>
      <x:c r="G183" s="12" t="n">
        <x:v>0.6</x:v>
      </x:c>
      <x:c r="H183" s="7"/>
      <x:c r="I183" s="7" t="str">
        <x:v>通过</x:v>
      </x:c>
    </x:row>
    <x:row r="184">
      <x:c r="A184" s="7" t="str">
        <x:v>专属</x:v>
      </x:c>
      <x:c r="B184" s="7" t="str">
        <x:v>第一大陆</x:v>
      </x:c>
      <x:c r="C184" s="7" t="n">
        <x:v>23</x:v>
      </x:c>
      <x:c r="D184" s="7" t="str">
        <x:v>古龙风铠</x:v>
      </x:c>
      <x:c r="E184" s="7" t="str">
        <x:v>衣服</x:v>
      </x:c>
      <x:c r="F184" s="12" t="n">
        <x:v>0.5</x:v>
      </x:c>
      <x:c r="G184" s="12" t="n">
        <x:v>0.6</x:v>
      </x:c>
      <x:c r="H184" s="7"/>
      <x:c r="I184" s="7" t="str">
        <x:v>通过</x:v>
      </x:c>
    </x:row>
    <x:row r="185">
      <x:c r="A185" s="7" t="str">
        <x:v>专属</x:v>
      </x:c>
      <x:c r="B185" s="7" t="str">
        <x:v>第一大陆</x:v>
      </x:c>
      <x:c r="C185" s="7" t="n">
        <x:v>24</x:v>
      </x:c>
      <x:c r="D185" s="7" t="str">
        <x:v>溺亡王盔</x:v>
      </x:c>
      <x:c r="E185" s="7" t="str">
        <x:v>头盔</x:v>
      </x:c>
      <x:c r="F185" s="12" t="n">
        <x:v>0.5</x:v>
      </x:c>
      <x:c r="G185" s="12" t="n">
        <x:v>0.6</x:v>
      </x:c>
      <x:c r="H185" s="7" t="n">
        <x:v>6130</x:v>
      </x:c>
      <x:c r="I185" s="7" t="str">
        <x:v>通过</x:v>
      </x:c>
    </x:row>
    <x:row r="186">
      <x:c r="A186" s="7" t="str">
        <x:v>专属</x:v>
      </x:c>
      <x:c r="B186" s="7" t="str">
        <x:v>第一大陆</x:v>
      </x:c>
      <x:c r="C186" s="7" t="n">
        <x:v>25</x:v>
      </x:c>
      <x:c r="D186" s="7" t="str">
        <x:v>沉宫项链</x:v>
      </x:c>
      <x:c r="E186" s="7" t="str">
        <x:v>项链</x:v>
      </x:c>
      <x:c r="F186" s="12" t="n">
        <x:v>0.5</x:v>
      </x:c>
      <x:c r="G186" s="12" t="n">
        <x:v>0.6</x:v>
      </x:c>
      <x:c r="H186" s="7" t="n">
        <x:v>6129</x:v>
      </x:c>
      <x:c r="I186" s="7" t="str">
        <x:v>通过</x:v>
      </x:c>
    </x:row>
    <x:row r="187">
      <x:c r="A187" s="7" t="str">
        <x:v>专属</x:v>
      </x:c>
      <x:c r="B187" s="7" t="str">
        <x:v>第一大陆</x:v>
      </x:c>
      <x:c r="C187" s="7" t="n">
        <x:v>26</x:v>
      </x:c>
      <x:c r="D187" s="7" t="str">
        <x:v>苔痕护腕</x:v>
      </x:c>
      <x:c r="E187" s="7" t="str">
        <x:v>手镯</x:v>
      </x:c>
      <x:c r="F187" s="12" t="n">
        <x:v>0.5</x:v>
      </x:c>
      <x:c r="G187" s="12" t="n">
        <x:v>0.6</x:v>
      </x:c>
      <x:c r="H187" s="7" t="n">
        <x:v>6131</x:v>
      </x:c>
      <x:c r="I187" s="7" t="str">
        <x:v>通过</x:v>
      </x:c>
    </x:row>
    <x:row r="188">
      <x:c r="A188" s="7" t="str">
        <x:v>专属</x:v>
      </x:c>
      <x:c r="B188" s="7" t="str">
        <x:v>第一大陆</x:v>
      </x:c>
      <x:c r="C188" s="7" t="n">
        <x:v>27</x:v>
      </x:c>
      <x:c r="D188" s="7" t="str">
        <x:v>王庭秘戒</x:v>
      </x:c>
      <x:c r="E188" s="7" t="str">
        <x:v>戒指</x:v>
      </x:c>
      <x:c r="F188" s="12" t="n">
        <x:v>0.5</x:v>
      </x:c>
      <x:c r="G188" s="12" t="n">
        <x:v>0.6</x:v>
      </x:c>
      <x:c r="H188" s="7" t="n">
        <x:v>6132</x:v>
      </x:c>
      <x:c r="I188" s="7" t="str">
        <x:v>通过</x:v>
      </x:c>
    </x:row>
    <x:row r="189">
      <x:c r="A189" s="7" t="str">
        <x:v>专属</x:v>
      </x:c>
      <x:c r="B189" s="7" t="str">
        <x:v>第一大陆</x:v>
      </x:c>
      <x:c r="C189" s="7" t="n">
        <x:v>28</x:v>
      </x:c>
      <x:c r="D189" s="7" t="str">
        <x:v>深水束带</x:v>
      </x:c>
      <x:c r="E189" s="7" t="str">
        <x:v>腰带</x:v>
      </x:c>
      <x:c r="F189" s="12" t="n">
        <x:v>0.5</x:v>
      </x:c>
      <x:c r="G189" s="12" t="n">
        <x:v>0.6</x:v>
      </x:c>
      <x:c r="H189" s="7" t="n">
        <x:v>6136</x:v>
      </x:c>
      <x:c r="I189" s="7" t="str">
        <x:v>通过</x:v>
      </x:c>
    </x:row>
    <x:row r="190">
      <x:c r="A190" s="7" t="str">
        <x:v>专属</x:v>
      </x:c>
      <x:c r="B190" s="7" t="str">
        <x:v>第一大陆</x:v>
      </x:c>
      <x:c r="C190" s="7" t="n">
        <x:v>29</x:v>
      </x:c>
      <x:c r="D190" s="7" t="str">
        <x:v>幽灯面巾</x:v>
      </x:c>
      <x:c r="E190" s="7" t="str">
        <x:v>斗笠</x:v>
      </x:c>
      <x:c r="F190" s="12" t="n">
        <x:v>0.5</x:v>
      </x:c>
      <x:c r="G190" s="12" t="n">
        <x:v>0.6</x:v>
      </x:c>
      <x:c r="H190" s="7"/>
      <x:c r="I190" s="7" t="str">
        <x:v>通过</x:v>
      </x:c>
    </x:row>
    <x:row r="191">
      <x:c r="A191" s="7" t="str">
        <x:v>专属</x:v>
      </x:c>
      <x:c r="B191" s="7" t="str">
        <x:v>第一大陆</x:v>
      </x:c>
      <x:c r="C191" s="7" t="n">
        <x:v>30</x:v>
      </x:c>
      <x:c r="D191" s="7" t="str">
        <x:v>失冠战靴</x:v>
      </x:c>
      <x:c r="E191" s="7" t="str">
        <x:v>鞋子</x:v>
      </x:c>
      <x:c r="F191" s="12" t="n">
        <x:v>0.5</x:v>
      </x:c>
      <x:c r="G191" s="12" t="n">
        <x:v>0.6</x:v>
      </x:c>
      <x:c r="H191" s="7" t="n">
        <x:v>6135</x:v>
      </x:c>
      <x:c r="I191" s="7" t="str">
        <x:v>通过</x:v>
      </x:c>
    </x:row>
    <x:row r="192">
      <x:c r="A192" s="7" t="str">
        <x:v>专属</x:v>
      </x:c>
      <x:c r="B192" s="7" t="str">
        <x:v>第一大陆</x:v>
      </x:c>
      <x:c r="C192" s="7" t="n">
        <x:v>31</x:v>
      </x:c>
      <x:c r="D192" s="7" t="str">
        <x:v>深渊勋章</x:v>
      </x:c>
      <x:c r="E192" s="7" t="str">
        <x:v>勋章</x:v>
      </x:c>
      <x:c r="F192" s="12" t="n">
        <x:v>0.5</x:v>
      </x:c>
      <x:c r="G192" s="12" t="n">
        <x:v>0.6</x:v>
      </x:c>
      <x:c r="H192" s="7" t="n">
        <x:v>6128</x:v>
      </x:c>
      <x:c r="I192" s="7" t="str">
        <x:v>通过</x:v>
      </x:c>
    </x:row>
    <x:row r="193">
      <x:c r="A193" s="7" t="str">
        <x:v>专属</x:v>
      </x:c>
      <x:c r="B193" s="7" t="str">
        <x:v>第一大陆</x:v>
      </x:c>
      <x:c r="C193" s="7" t="n">
        <x:v>32</x:v>
      </x:c>
      <x:c r="D193" s="7" t="str">
        <x:v>裁决王盾</x:v>
      </x:c>
      <x:c r="E193" s="7" t="str">
        <x:v>盾牌</x:v>
      </x:c>
      <x:c r="F193" s="12" t="n">
        <x:v>0.5</x:v>
      </x:c>
      <x:c r="G193" s="12" t="n">
        <x:v>0.6</x:v>
      </x:c>
      <x:c r="H193" s="7" t="n">
        <x:v>6133</x:v>
      </x:c>
      <x:c r="I193" s="7" t="str">
        <x:v>通过</x:v>
      </x:c>
    </x:row>
    <x:row r="194">
      <x:c r="A194" s="7" t="str">
        <x:v>专属</x:v>
      </x:c>
      <x:c r="B194" s="7" t="str">
        <x:v>第一大陆</x:v>
      </x:c>
      <x:c r="C194" s="7" t="n">
        <x:v>33</x:v>
      </x:c>
      <x:c r="D194" s="7" t="str">
        <x:v>沉默灵玉</x:v>
      </x:c>
      <x:c r="E194" s="7" t="str">
        <x:v>灵玉</x:v>
      </x:c>
      <x:c r="F194" s="12" t="n">
        <x:v>0.5</x:v>
      </x:c>
      <x:c r="G194" s="12" t="n">
        <x:v>0.6</x:v>
      </x:c>
      <x:c r="H194" s="7" t="n">
        <x:v>6134</x:v>
      </x:c>
      <x:c r="I194" s="7" t="str">
        <x:v>通过</x:v>
      </x:c>
    </x:row>
    <x:row r="195">
      <x:c r="A195" s="7" t="str">
        <x:v>专属</x:v>
      </x:c>
      <x:c r="B195" s="7" t="str">
        <x:v>第一大陆</x:v>
      </x:c>
      <x:c r="C195" s="7" t="n">
        <x:v>34</x:v>
      </x:c>
      <x:c r="D195" s="7" t="str">
        <x:v>亲卫王剑</x:v>
      </x:c>
      <x:c r="E195" s="7" t="str">
        <x:v>武器</x:v>
      </x:c>
      <x:c r="F195" s="12" t="n">
        <x:v>0.5</x:v>
      </x:c>
      <x:c r="G195" s="12" t="n">
        <x:v>0.6</x:v>
      </x:c>
      <x:c r="H195" s="7"/>
      <x:c r="I195" s="7" t="str">
        <x:v>通过</x:v>
      </x:c>
    </x:row>
    <x:row r="196">
      <x:c r="A196" s="7" t="str">
        <x:v>专属</x:v>
      </x:c>
      <x:c r="B196" s="7" t="str">
        <x:v>第一大陆</x:v>
      </x:c>
      <x:c r="C196" s="7" t="n">
        <x:v>35</x:v>
      </x:c>
      <x:c r="D196" s="7" t="str">
        <x:v>深潮王铠</x:v>
      </x:c>
      <x:c r="E196" s="7" t="str">
        <x:v>衣服</x:v>
      </x:c>
      <x:c r="F196" s="12" t="n">
        <x:v>0.5</x:v>
      </x:c>
      <x:c r="G196" s="12" t="n">
        <x:v>0.6</x:v>
      </x:c>
      <x:c r="H196" s="7"/>
      <x:c r="I196" s="7" t="str">
        <x:v>通过</x:v>
      </x:c>
    </x:row>
    <x:row r="197">
      <x:c r="A197" s="7" t="str">
        <x:v>专属</x:v>
      </x:c>
      <x:c r="B197" s="7" t="str">
        <x:v>第一大陆</x:v>
      </x:c>
      <x:c r="C197" s="7" t="n">
        <x:v>36</x:v>
      </x:c>
      <x:c r="D197" s="7" t="str">
        <x:v>沉没王权</x:v>
      </x:c>
      <x:c r="E197" s="7" t="str">
        <x:v>武器</x:v>
      </x:c>
      <x:c r="F197" s="12" t="n">
        <x:v>0.5</x:v>
      </x:c>
      <x:c r="G197" s="12" t="n">
        <x:v>0.6</x:v>
      </x:c>
      <x:c r="H197" s="7"/>
      <x:c r="I197" s="7" t="str">
        <x:v>通过</x:v>
      </x:c>
    </x:row>
    <x:row r="198">
      <x:c r="A198" s="7" t="str">
        <x:v>专属</x:v>
      </x:c>
      <x:c r="B198" s="7" t="str">
        <x:v>第一大陆</x:v>
      </x:c>
      <x:c r="C198" s="7" t="n">
        <x:v>37</x:v>
      </x:c>
      <x:c r="D198" s="7" t="str">
        <x:v>潮葬礼剑</x:v>
      </x:c>
      <x:c r="E198" s="7" t="str">
        <x:v>时装武器</x:v>
      </x:c>
      <x:c r="F198" s="12" t="n">
        <x:v>0.5</x:v>
      </x:c>
      <x:c r="G198" s="12" t="n">
        <x:v>0.6</x:v>
      </x:c>
      <x:c r="H198" s="7"/>
      <x:c r="I198" s="7" t="str">
        <x:v>通过</x:v>
      </x:c>
    </x:row>
    <x:row r="199">
      <x:c r="A199" s="7" t="str">
        <x:v>专属</x:v>
      </x:c>
      <x:c r="B199" s="7" t="str">
        <x:v>第一大陆</x:v>
      </x:c>
      <x:c r="C199" s="7" t="n">
        <x:v>38</x:v>
      </x:c>
      <x:c r="D199" s="7" t="str">
        <x:v>无冠王衣</x:v>
      </x:c>
      <x:c r="E199" s="7" t="str">
        <x:v>时装衣服</x:v>
      </x:c>
      <x:c r="F199" s="12" t="n">
        <x:v>0.5</x:v>
      </x:c>
      <x:c r="G199" s="12" t="n">
        <x:v>0.6</x:v>
      </x:c>
      <x:c r="H199" s="7"/>
      <x:c r="I199" s="7" t="str">
        <x:v>通过</x:v>
      </x:c>
    </x:row>
    <x:row r="200">
      <x:c r="A200" s="7" t="str">
        <x:v>专属</x:v>
      </x:c>
      <x:c r="B200" s="7" t="str">
        <x:v>第二大陆</x:v>
      </x:c>
      <x:c r="C200" s="7" t="n">
        <x:v>39</x:v>
      </x:c>
      <x:c r="D200" s="7" t="str">
        <x:v>褪色墓刃</x:v>
      </x:c>
      <x:c r="E200" s="7" t="str">
        <x:v>武器</x:v>
      </x:c>
      <x:c r="F200" s="12" t="n">
        <x:v>0.25</x:v>
      </x:c>
      <x:c r="G200" s="12" t="n">
        <x:v>0.45</x:v>
      </x:c>
      <x:c r="H200" s="7"/>
      <x:c r="I200" s="7" t="str">
        <x:v>通过</x:v>
      </x:c>
    </x:row>
    <x:row r="201">
      <x:c r="A201" s="7" t="str">
        <x:v>专属</x:v>
      </x:c>
      <x:c r="B201" s="7" t="str">
        <x:v>第二大陆</x:v>
      </x:c>
      <x:c r="C201" s="7" t="n">
        <x:v>40</x:v>
      </x:c>
      <x:c r="D201" s="7" t="str">
        <x:v>漂腐寿衣</x:v>
      </x:c>
      <x:c r="E201" s="7" t="str">
        <x:v>衣服</x:v>
      </x:c>
      <x:c r="F201" s="12" t="n">
        <x:v>0.25</x:v>
      </x:c>
      <x:c r="G201" s="12" t="n">
        <x:v>0.45</x:v>
      </x:c>
      <x:c r="H201" s="7"/>
      <x:c r="I201" s="7" t="str">
        <x:v>通过</x:v>
      </x:c>
    </x:row>
    <x:row r="202">
      <x:c r="A202" s="7" t="str">
        <x:v>专属</x:v>
      </x:c>
      <x:c r="B202" s="7" t="str">
        <x:v>第二大陆</x:v>
      </x:c>
      <x:c r="C202" s="7" t="n">
        <x:v>41</x:v>
      </x:c>
      <x:c r="D202" s="7" t="str">
        <x:v>尖牙骨链</x:v>
      </x:c>
      <x:c r="E202" s="7" t="str">
        <x:v>项链</x:v>
      </x:c>
      <x:c r="F202" s="12" t="n">
        <x:v>0.25</x:v>
      </x:c>
      <x:c r="G202" s="12" t="n">
        <x:v>0.45</x:v>
      </x:c>
      <x:c r="H202" s="7" t="n">
        <x:v>5868</x:v>
      </x:c>
      <x:c r="I202" s="7" t="str">
        <x:v>通过</x:v>
      </x:c>
    </x:row>
    <x:row r="203">
      <x:c r="A203" s="7" t="str">
        <x:v>专属</x:v>
      </x:c>
      <x:c r="B203" s="7" t="str">
        <x:v>第二大陆</x:v>
      </x:c>
      <x:c r="C203" s="7" t="n">
        <x:v>42</x:v>
      </x:c>
      <x:c r="D203" s="7" t="str">
        <x:v>守墓石盔</x:v>
      </x:c>
      <x:c r="E203" s="7" t="str">
        <x:v>头盔</x:v>
      </x:c>
      <x:c r="F203" s="12" t="n">
        <x:v>0.25</x:v>
      </x:c>
      <x:c r="G203" s="12" t="n">
        <x:v>0.45</x:v>
      </x:c>
      <x:c r="H203" s="7" t="n">
        <x:v>5932</x:v>
      </x:c>
      <x:c r="I203" s="7" t="str">
        <x:v>通过</x:v>
      </x:c>
    </x:row>
    <x:row r="204">
      <x:c r="A204" s="7" t="str">
        <x:v>专属</x:v>
      </x:c>
      <x:c r="B204" s="7" t="str">
        <x:v>第二大陆</x:v>
      </x:c>
      <x:c r="C204" s="7" t="n">
        <x:v>43</x:v>
      </x:c>
      <x:c r="D204" s="7" t="str">
        <x:v>归乡弩戒</x:v>
      </x:c>
      <x:c r="E204" s="7" t="str">
        <x:v>戒指</x:v>
      </x:c>
      <x:c r="F204" s="12" t="n">
        <x:v>0.25</x:v>
      </x:c>
      <x:c r="G204" s="12" t="n">
        <x:v>0.45</x:v>
      </x:c>
      <x:c r="H204" s="7" t="n">
        <x:v>5997</x:v>
      </x:c>
      <x:c r="I204" s="7" t="str">
        <x:v>通过</x:v>
      </x:c>
    </x:row>
    <x:row r="205">
      <x:c r="A205" s="7" t="str">
        <x:v>专属</x:v>
      </x:c>
      <x:c r="B205" s="7" t="str">
        <x:v>第二大陆</x:v>
      </x:c>
      <x:c r="C205" s="7" t="n">
        <x:v>44</x:v>
      </x:c>
      <x:c r="D205" s="7" t="str">
        <x:v>幽火鳞镯</x:v>
      </x:c>
      <x:c r="E205" s="7" t="str">
        <x:v>手镯</x:v>
      </x:c>
      <x:c r="F205" s="12" t="n">
        <x:v>0.25</x:v>
      </x:c>
      <x:c r="G205" s="12" t="n">
        <x:v>0.45</x:v>
      </x:c>
      <x:c r="H205" s="7" t="n">
        <x:v>6059</x:v>
      </x:c>
      <x:c r="I205" s="7" t="str">
        <x:v>通过</x:v>
      </x:c>
    </x:row>
    <x:row r="206">
      <x:c r="A206" s="7" t="str">
        <x:v>专属</x:v>
      </x:c>
      <x:c r="B206" s="7" t="str">
        <x:v>第二大陆</x:v>
      </x:c>
      <x:c r="C206" s="7" t="n">
        <x:v>45</x:v>
      </x:c>
      <x:c r="D206" s="7" t="str">
        <x:v>归树犬徽</x:v>
      </x:c>
      <x:c r="E206" s="7" t="str">
        <x:v>勋章</x:v>
      </x:c>
      <x:c r="F206" s="12" t="n">
        <x:v>0.25</x:v>
      </x:c>
      <x:c r="G206" s="12" t="n">
        <x:v>0.45</x:v>
      </x:c>
      <x:c r="H206" s="7" t="n">
        <x:v>6119</x:v>
      </x:c>
      <x:c r="I206" s="7" t="str">
        <x:v>通过</x:v>
      </x:c>
    </x:row>
    <x:row r="207">
      <x:c r="A207" s="7" t="str">
        <x:v>专属</x:v>
      </x:c>
      <x:c r="B207" s="7" t="str">
        <x:v>第二大陆</x:v>
      </x:c>
      <x:c r="C207" s="7" t="n">
        <x:v>46</x:v>
      </x:c>
      <x:c r="D207" s="7" t="str">
        <x:v>腐根塔盾</x:v>
      </x:c>
      <x:c r="E207" s="7" t="str">
        <x:v>盾牌</x:v>
      </x:c>
      <x:c r="F207" s="12" t="n">
        <x:v>0.25</x:v>
      </x:c>
      <x:c r="G207" s="12" t="n">
        <x:v>0.45</x:v>
      </x:c>
      <x:c r="H207" s="7" t="n">
        <x:v>5917</x:v>
      </x:c>
      <x:c r="I207" s="7" t="str">
        <x:v>通过</x:v>
      </x:c>
    </x:row>
    <x:row r="208">
      <x:c r="A208" s="7" t="str">
        <x:v>专属</x:v>
      </x:c>
      <x:c r="B208" s="7" t="str">
        <x:v>第二大陆</x:v>
      </x:c>
      <x:c r="C208" s="7" t="n">
        <x:v>47</x:v>
      </x:c>
      <x:c r="D208" s="7" t="str">
        <x:v>初火兜鍪</x:v>
      </x:c>
      <x:c r="E208" s="7" t="str">
        <x:v>时装头盔</x:v>
      </x:c>
      <x:c r="F208" s="12" t="n">
        <x:v>0.25</x:v>
      </x:c>
      <x:c r="G208" s="12" t="n">
        <x:v>0.45</x:v>
      </x:c>
      <x:c r="H208" s="7"/>
      <x:c r="I208" s="7" t="str">
        <x:v>通过</x:v>
      </x:c>
    </x:row>
    <x:row r="209">
      <x:c r="A209" s="7" t="str">
        <x:v>专属</x:v>
      </x:c>
      <x:c r="B209" s="7" t="str">
        <x:v>第二大陆</x:v>
      </x:c>
      <x:c r="C209" s="7" t="n">
        <x:v>48</x:v>
      </x:c>
      <x:c r="D209" s="7" t="str">
        <x:v>英雄余誓</x:v>
      </x:c>
      <x:c r="E209" s="7" t="str">
        <x:v>时装项链</x:v>
      </x:c>
      <x:c r="F209" s="12" t="n">
        <x:v>0.25</x:v>
      </x:c>
      <x:c r="G209" s="12" t="n">
        <x:v>0.45</x:v>
      </x:c>
      <x:c r="H209" s="7"/>
      <x:c r="I209" s="7" t="str">
        <x:v>通过</x:v>
      </x:c>
    </x:row>
    <x:row r="210">
      <x:c r="A210" s="7" t="str">
        <x:v>专属</x:v>
      </x:c>
      <x:c r="B210" s="7" t="str">
        <x:v>第二大陆</x:v>
      </x:c>
      <x:c r="C210" s="7" t="n">
        <x:v>49</x:v>
      </x:c>
      <x:c r="D210" s="7" t="str">
        <x:v>腐树子鼠</x:v>
      </x:c>
      <x:c r="E210" s="7" t="str">
        <x:v>生肖1</x:v>
      </x:c>
      <x:c r="F210" s="12" t="n">
        <x:v>0.25</x:v>
      </x:c>
      <x:c r="G210" s="12" t="n">
        <x:v>0.45</x:v>
      </x:c>
      <x:c r="H210" s="7"/>
      <x:c r="I210" s="7" t="str">
        <x:v>通过</x:v>
      </x:c>
    </x:row>
    <x:row r="211">
      <x:c r="A211" s="7" t="str">
        <x:v>专属</x:v>
      </x:c>
      <x:c r="B211" s="7" t="str">
        <x:v>第二大陆</x:v>
      </x:c>
      <x:c r="C211" s="7" t="n">
        <x:v>50</x:v>
      </x:c>
      <x:c r="D211" s="7" t="str">
        <x:v>百臂丑牛</x:v>
      </x:c>
      <x:c r="E211" s="7" t="str">
        <x:v>生肖2</x:v>
      </x:c>
      <x:c r="F211" s="12" t="n">
        <x:v>0.25</x:v>
      </x:c>
      <x:c r="G211" s="12" t="n">
        <x:v>0.45</x:v>
      </x:c>
      <x:c r="H211" s="7"/>
      <x:c r="I211" s="7" t="str">
        <x:v>通过</x:v>
      </x:c>
    </x:row>
    <x:row r="212">
      <x:c r="A212" s="7" t="str">
        <x:v>专属</x:v>
      </x:c>
      <x:c r="B212" s="7" t="str">
        <x:v>第二大陆</x:v>
      </x:c>
      <x:c r="C212" s="7" t="n">
        <x:v>51</x:v>
      </x:c>
      <x:c r="D212" s="7" t="str">
        <x:v>断旗军刀</x:v>
      </x:c>
      <x:c r="E212" s="7" t="str">
        <x:v>武器</x:v>
      </x:c>
      <x:c r="F212" s="12" t="n">
        <x:v>0.25</x:v>
      </x:c>
      <x:c r="G212" s="12" t="n">
        <x:v>0.45</x:v>
      </x:c>
      <x:c r="H212" s="7"/>
      <x:c r="I212" s="7" t="str">
        <x:v>通过</x:v>
      </x:c>
    </x:row>
    <x:row r="213">
      <x:c r="A213" s="7" t="str">
        <x:v>专属</x:v>
      </x:c>
      <x:c r="B213" s="7" t="str">
        <x:v>第二大陆</x:v>
      </x:c>
      <x:c r="C213" s="7" t="n">
        <x:v>52</x:v>
      </x:c>
      <x:c r="D213" s="7" t="str">
        <x:v>关隘铁甲</x:v>
      </x:c>
      <x:c r="E213" s="7" t="str">
        <x:v>衣服</x:v>
      </x:c>
      <x:c r="F213" s="12" t="n">
        <x:v>0.25</x:v>
      </x:c>
      <x:c r="G213" s="12" t="n">
        <x:v>0.45</x:v>
      </x:c>
      <x:c r="H213" s="7"/>
      <x:c r="I213" s="7" t="str">
        <x:v>通过</x:v>
      </x:c>
    </x:row>
    <x:row r="214">
      <x:c r="A214" s="7" t="str">
        <x:v>专属</x:v>
      </x:c>
      <x:c r="B214" s="7" t="str">
        <x:v>第二大陆</x:v>
      </x:c>
      <x:c r="C214" s="7" t="n">
        <x:v>53</x:v>
      </x:c>
      <x:c r="D214" s="7" t="str">
        <x:v>破垒鹰链</x:v>
      </x:c>
      <x:c r="E214" s="7" t="str">
        <x:v>项链</x:v>
      </x:c>
      <x:c r="F214" s="12" t="n">
        <x:v>0.25</x:v>
      </x:c>
      <x:c r="G214" s="12" t="n">
        <x:v>0.45</x:v>
      </x:c>
      <x:c r="H214" s="7" t="n">
        <x:v>5976</x:v>
      </x:c>
      <x:c r="I214" s="7" t="str">
        <x:v>通过</x:v>
      </x:c>
    </x:row>
    <x:row r="215">
      <x:c r="A215" s="7" t="str">
        <x:v>专属</x:v>
      </x:c>
      <x:c r="B215" s="7" t="str">
        <x:v>第二大陆</x:v>
      </x:c>
      <x:c r="C215" s="7" t="n">
        <x:v>54</x:v>
      </x:c>
      <x:c r="D215" s="7" t="str">
        <x:v>战狼铁盔</x:v>
      </x:c>
      <x:c r="E215" s="7" t="str">
        <x:v>头盔</x:v>
      </x:c>
      <x:c r="F215" s="12" t="n">
        <x:v>0.25</x:v>
      </x:c>
      <x:c r="G215" s="12" t="n">
        <x:v>0.45</x:v>
      </x:c>
      <x:c r="H215" s="7" t="n">
        <x:v>6040</x:v>
      </x:c>
      <x:c r="I215" s="7" t="str">
        <x:v>通过</x:v>
      </x:c>
    </x:row>
    <x:row r="216">
      <x:c r="A216" s="7" t="str">
        <x:v>专属</x:v>
      </x:c>
      <x:c r="B216" s="7" t="str">
        <x:v>第二大陆</x:v>
      </x:c>
      <x:c r="C216" s="7" t="n">
        <x:v>55</x:v>
      </x:c>
      <x:c r="D216" s="7" t="str">
        <x:v>流放腕铠</x:v>
      </x:c>
      <x:c r="E216" s="7" t="str">
        <x:v>手镯</x:v>
      </x:c>
      <x:c r="F216" s="12" t="n">
        <x:v>0.25</x:v>
      </x:c>
      <x:c r="G216" s="12" t="n">
        <x:v>0.45</x:v>
      </x:c>
      <x:c r="H216" s="7" t="n">
        <x:v>6104</x:v>
      </x:c>
      <x:c r="I216" s="7" t="str">
        <x:v>通过</x:v>
      </x:c>
    </x:row>
    <x:row r="217">
      <x:c r="A217" s="7" t="str">
        <x:v>专属</x:v>
      </x:c>
      <x:c r="B217" s="7" t="str">
        <x:v>第二大陆</x:v>
      </x:c>
      <x:c r="C217" s="7" t="n">
        <x:v>56</x:v>
      </x:c>
      <x:c r="D217" s="7" t="str">
        <x:v>断旗马戒</x:v>
      </x:c>
      <x:c r="E217" s="7" t="str">
        <x:v>戒指</x:v>
      </x:c>
      <x:c r="F217" s="12" t="n">
        <x:v>0.25</x:v>
      </x:c>
      <x:c r="G217" s="12" t="n">
        <x:v>0.45</x:v>
      </x:c>
      <x:c r="H217" s="7" t="n">
        <x:v>5898</x:v>
      </x:c>
      <x:c r="I217" s="7" t="str">
        <x:v>通过</x:v>
      </x:c>
    </x:row>
    <x:row r="218">
      <x:c r="A218" s="7" t="str">
        <x:v>专属</x:v>
      </x:c>
      <x:c r="B218" s="7" t="str">
        <x:v>第二大陆</x:v>
      </x:c>
      <x:c r="C218" s="7" t="n">
        <x:v>57</x:v>
      </x:c>
      <x:c r="D218" s="7" t="str">
        <x:v>黄金战带</x:v>
      </x:c>
      <x:c r="E218" s="7" t="str">
        <x:v>腰带</x:v>
      </x:c>
      <x:c r="F218" s="12" t="n">
        <x:v>0.25</x:v>
      </x:c>
      <x:c r="G218" s="12" t="n">
        <x:v>0.45</x:v>
      </x:c>
      <x:c r="H218" s="7" t="n">
        <x:v>5965</x:v>
      </x:c>
      <x:c r="I218" s="7" t="str">
        <x:v>通过</x:v>
      </x:c>
    </x:row>
    <x:row r="219">
      <x:c r="A219" s="7" t="str">
        <x:v>专属</x:v>
      </x:c>
      <x:c r="B219" s="7" t="str">
        <x:v>第二大陆</x:v>
      </x:c>
      <x:c r="C219" s="7" t="n">
        <x:v>58</x:v>
      </x:c>
      <x:c r="D219" s="7" t="str">
        <x:v>失乡战靴</x:v>
      </x:c>
      <x:c r="E219" s="7" t="str">
        <x:v>鞋子</x:v>
      </x:c>
      <x:c r="F219" s="12" t="n">
        <x:v>0.25</x:v>
      </x:c>
      <x:c r="G219" s="12" t="n">
        <x:v>0.45</x:v>
      </x:c>
      <x:c r="H219" s="7" t="n">
        <x:v>6027</x:v>
      </x:c>
      <x:c r="I219" s="7" t="str">
        <x:v>通过</x:v>
      </x:c>
    </x:row>
    <x:row r="220">
      <x:c r="A220" s="7" t="str">
        <x:v>专属</x:v>
      </x:c>
      <x:c r="B220" s="7" t="str">
        <x:v>第二大陆</x:v>
      </x:c>
      <x:c r="C220" s="7" t="n">
        <x:v>59</x:v>
      </x:c>
      <x:c r="D220" s="7" t="str">
        <x:v>兽爪礼刃</x:v>
      </x:c>
      <x:c r="E220" s="7" t="str">
        <x:v>时装武器</x:v>
      </x:c>
      <x:c r="F220" s="12" t="n">
        <x:v>0.25</x:v>
      </x:c>
      <x:c r="G220" s="12" t="n">
        <x:v>0.45</x:v>
      </x:c>
      <x:c r="H220" s="7"/>
      <x:c r="I220" s="7" t="str">
        <x:v>通过</x:v>
      </x:c>
    </x:row>
    <x:row r="221">
      <x:c r="A221" s="7" t="str">
        <x:v>专属</x:v>
      </x:c>
      <x:c r="B221" s="7" t="str">
        <x:v>第二大陆</x:v>
      </x:c>
      <x:c r="C221" s="7" t="n">
        <x:v>60</x:v>
      </x:c>
      <x:c r="D221" s="7" t="str">
        <x:v>破阵军袍</x:v>
      </x:c>
      <x:c r="E221" s="7" t="str">
        <x:v>时装衣服</x:v>
      </x:c>
      <x:c r="F221" s="12" t="n">
        <x:v>0.25</x:v>
      </x:c>
      <x:c r="G221" s="12" t="n">
        <x:v>0.45</x:v>
      </x:c>
      <x:c r="H221" s="7"/>
      <x:c r="I221" s="7" t="str">
        <x:v>通过</x:v>
      </x:c>
    </x:row>
    <x:row r="222">
      <x:c r="A222" s="7" t="str">
        <x:v>专属</x:v>
      </x:c>
      <x:c r="B222" s="7" t="str">
        <x:v>第二大陆</x:v>
      </x:c>
      <x:c r="C222" s="7" t="n">
        <x:v>61</x:v>
      </x:c>
      <x:c r="D222" s="7" t="str">
        <x:v>长戟寅虎</x:v>
      </x:c>
      <x:c r="E222" s="7" t="str">
        <x:v>生肖3</x:v>
      </x:c>
      <x:c r="F222" s="12" t="n">
        <x:v>0.25</x:v>
      </x:c>
      <x:c r="G222" s="12" t="n">
        <x:v>0.45</x:v>
      </x:c>
      <x:c r="H222" s="7"/>
      <x:c r="I222" s="7" t="str">
        <x:v>通过</x:v>
      </x:c>
    </x:row>
    <x:row r="223">
      <x:c r="A223" s="7" t="str">
        <x:v>专属</x:v>
      </x:c>
      <x:c r="B223" s="7" t="str">
        <x:v>第二大陆</x:v>
      </x:c>
      <x:c r="C223" s="7" t="n">
        <x:v>62</x:v>
      </x:c>
      <x:c r="D223" s="7" t="str">
        <x:v>无月卯兔</x:v>
      </x:c>
      <x:c r="E223" s="7" t="str">
        <x:v>生肖4</x:v>
      </x:c>
      <x:c r="F223" s="12" t="n">
        <x:v>0.25</x:v>
      </x:c>
      <x:c r="G223" s="12" t="n">
        <x:v>0.45</x:v>
      </x:c>
      <x:c r="H223" s="7"/>
      <x:c r="I223" s="7" t="str">
        <x:v>通过</x:v>
      </x:c>
    </x:row>
    <x:row r="224">
      <x:c r="A224" s="7" t="str">
        <x:v>专属</x:v>
      </x:c>
      <x:c r="B224" s="7" t="str">
        <x:v>第二大陆</x:v>
      </x:c>
      <x:c r="C224" s="7" t="n">
        <x:v>63</x:v>
      </x:c>
      <x:c r="D224" s="7" t="str">
        <x:v>雾牙短刃</x:v>
      </x:c>
      <x:c r="E224" s="7" t="str">
        <x:v>武器</x:v>
      </x:c>
      <x:c r="F224" s="12" t="n">
        <x:v>0.25</x:v>
      </x:c>
      <x:c r="G224" s="12" t="n">
        <x:v>0.45</x:v>
      </x:c>
      <x:c r="H224" s="7"/>
      <x:c r="I224" s="7" t="str">
        <x:v>通过</x:v>
      </x:c>
    </x:row>
    <x:row r="225">
      <x:c r="A225" s="7" t="str">
        <x:v>专属</x:v>
      </x:c>
      <x:c r="B225" s="7" t="str">
        <x:v>第二大陆</x:v>
      </x:c>
      <x:c r="C225" s="7" t="n">
        <x:v>64</x:v>
      </x:c>
      <x:c r="D225" s="7" t="str">
        <x:v>熊王战靴</x:v>
      </x:c>
      <x:c r="E225" s="7" t="str">
        <x:v>鞋子</x:v>
      </x:c>
      <x:c r="F225" s="12" t="n">
        <x:v>0.25</x:v>
      </x:c>
      <x:c r="G225" s="12" t="n">
        <x:v>0.45</x:v>
      </x:c>
      <x:c r="H225" s="7" t="n">
        <x:v>6090</x:v>
      </x:c>
      <x:c r="I225" s="7" t="str">
        <x:v>通过</x:v>
      </x:c>
    </x:row>
    <x:row r="226">
      <x:c r="A226" s="7" t="str">
        <x:v>专属</x:v>
      </x:c>
      <x:c r="B226" s="7" t="str">
        <x:v>第二大陆</x:v>
      </x:c>
      <x:c r="C226" s="7" t="n">
        <x:v>65</x:v>
      </x:c>
      <x:c r="D226" s="7" t="str">
        <x:v>祖灵皮衣</x:v>
      </x:c>
      <x:c r="E226" s="7" t="str">
        <x:v>衣服</x:v>
      </x:c>
      <x:c r="F226" s="12" t="n">
        <x:v>0.25</x:v>
      </x:c>
      <x:c r="G226" s="12" t="n">
        <x:v>0.45</x:v>
      </x:c>
      <x:c r="H226" s="7"/>
      <x:c r="I226" s="7" t="str">
        <x:v>通过</x:v>
      </x:c>
    </x:row>
    <x:row r="227">
      <x:c r="A227" s="7" t="str">
        <x:v>专属</x:v>
      </x:c>
      <x:c r="B227" s="7" t="str">
        <x:v>第二大陆</x:v>
      </x:c>
      <x:c r="C227" s="7" t="n">
        <x:v>66</x:v>
      </x:c>
      <x:c r="D227" s="7" t="str">
        <x:v>古树祷链</x:v>
      </x:c>
      <x:c r="E227" s="7" t="str">
        <x:v>项链</x:v>
      </x:c>
      <x:c r="F227" s="12" t="n">
        <x:v>0.25</x:v>
      </x:c>
      <x:c r="G227" s="12" t="n">
        <x:v>0.45</x:v>
      </x:c>
      <x:c r="H227" s="7" t="n">
        <x:v>5877</x:v>
      </x:c>
      <x:c r="I227" s="7" t="str">
        <x:v>通过</x:v>
      </x:c>
    </x:row>
    <x:row r="228">
      <x:c r="A228" s="7" t="str">
        <x:v>专属</x:v>
      </x:c>
      <x:c r="B228" s="7" t="str">
        <x:v>第二大陆</x:v>
      </x:c>
      <x:c r="C228" s="7" t="n">
        <x:v>67</x:v>
      </x:c>
      <x:c r="D228" s="7" t="str">
        <x:v>半兽战勋</x:v>
      </x:c>
      <x:c r="E228" s="7" t="str">
        <x:v>勋章</x:v>
      </x:c>
      <x:c r="F228" s="12" t="n">
        <x:v>0.25</x:v>
      </x:c>
      <x:c r="G228" s="12" t="n">
        <x:v>0.45</x:v>
      </x:c>
      <x:c r="H228" s="7" t="n">
        <x:v>5939</x:v>
      </x:c>
      <x:c r="I228" s="7" t="str">
        <x:v>通过</x:v>
      </x:c>
    </x:row>
    <x:row r="229">
      <x:c r="A229" s="7" t="str">
        <x:v>专属</x:v>
      </x:c>
      <x:c r="B229" s="7" t="str">
        <x:v>第二大陆</x:v>
      </x:c>
      <x:c r="C229" s="7" t="n">
        <x:v>68</x:v>
      </x:c>
      <x:c r="D229" s="7" t="str">
        <x:v>毒花巨盾</x:v>
      </x:c>
      <x:c r="E229" s="7" t="str">
        <x:v>盾牌</x:v>
      </x:c>
      <x:c r="F229" s="12" t="n">
        <x:v>0.25</x:v>
      </x:c>
      <x:c r="G229" s="12" t="n">
        <x:v>0.45</x:v>
      </x:c>
      <x:c r="H229" s="7" t="n">
        <x:v>6007</x:v>
      </x:c>
      <x:c r="I229" s="7" t="str">
        <x:v>通过</x:v>
      </x:c>
    </x:row>
    <x:row r="230">
      <x:c r="A230" s="7" t="str">
        <x:v>专属</x:v>
      </x:c>
      <x:c r="B230" s="7" t="str">
        <x:v>第二大陆</x:v>
      </x:c>
      <x:c r="C230" s="7" t="n">
        <x:v>69</x:v>
      </x:c>
      <x:c r="D230" s="7" t="str">
        <x:v>卢恩血镯</x:v>
      </x:c>
      <x:c r="E230" s="7" t="str">
        <x:v>时装手镯</x:v>
      </x:c>
      <x:c r="F230" s="12" t="n">
        <x:v>0.25</x:v>
      </x:c>
      <x:c r="G230" s="12" t="n">
        <x:v>0.45</x:v>
      </x:c>
      <x:c r="H230" s="7"/>
      <x:c r="I230" s="7" t="str">
        <x:v>通过</x:v>
      </x:c>
    </x:row>
    <x:row r="231">
      <x:c r="A231" s="7" t="str">
        <x:v>专属</x:v>
      </x:c>
      <x:c r="B231" s="7" t="str">
        <x:v>第二大陆</x:v>
      </x:c>
      <x:c r="C231" s="7" t="n">
        <x:v>70</x:v>
      </x:c>
      <x:c r="D231" s="7" t="str">
        <x:v>黄金树戒</x:v>
      </x:c>
      <x:c r="E231" s="7" t="str">
        <x:v>时装戒指</x:v>
      </x:c>
      <x:c r="F231" s="12" t="n">
        <x:v>0.25</x:v>
      </x:c>
      <x:c r="G231" s="12" t="n">
        <x:v>0.45</x:v>
      </x:c>
      <x:c r="H231" s="7"/>
      <x:c r="I231" s="7" t="str">
        <x:v>通过</x:v>
      </x:c>
    </x:row>
    <x:row r="232">
      <x:c r="A232" s="7" t="str">
        <x:v>专属</x:v>
      </x:c>
      <x:c r="B232" s="7" t="str">
        <x:v>第二大陆</x:v>
      </x:c>
      <x:c r="C232" s="7" t="n">
        <x:v>71</x:v>
      </x:c>
      <x:c r="D232" s="7" t="str">
        <x:v>猎犬辰龙</x:v>
      </x:c>
      <x:c r="E232" s="7" t="str">
        <x:v>生肖5</x:v>
      </x:c>
      <x:c r="F232" s="12" t="n">
        <x:v>0.25</x:v>
      </x:c>
      <x:c r="G232" s="12" t="n">
        <x:v>0.45</x:v>
      </x:c>
      <x:c r="H232" s="7"/>
      <x:c r="I232" s="7" t="str">
        <x:v>通过</x:v>
      </x:c>
    </x:row>
    <x:row r="233">
      <x:c r="A233" s="7" t="str">
        <x:v>专属</x:v>
      </x:c>
      <x:c r="B233" s="7" t="str">
        <x:v>第二大陆</x:v>
      </x:c>
      <x:c r="C233" s="7" t="n">
        <x:v>72</x:v>
      </x:c>
      <x:c r="D233" s="7" t="str">
        <x:v>祖魂巳蛇</x:v>
      </x:c>
      <x:c r="E233" s="7" t="str">
        <x:v>生肖6</x:v>
      </x:c>
      <x:c r="F233" s="12" t="n">
        <x:v>0.25</x:v>
      </x:c>
      <x:c r="G233" s="12" t="n">
        <x:v>0.45</x:v>
      </x:c>
      <x:c r="H233" s="7"/>
      <x:c r="I233" s="7" t="str">
        <x:v>通过</x:v>
      </x:c>
    </x:row>
    <x:row r="234">
      <x:c r="A234" s="7" t="str">
        <x:v>专属</x:v>
      </x:c>
      <x:c r="B234" s="7" t="str">
        <x:v>第二大陆</x:v>
      </x:c>
      <x:c r="C234" s="7" t="n">
        <x:v>73</x:v>
      </x:c>
      <x:c r="D234" s="7" t="str">
        <x:v>死水午马</x:v>
      </x:c>
      <x:c r="E234" s="7" t="str">
        <x:v>生肖7</x:v>
      </x:c>
      <x:c r="F234" s="12" t="n">
        <x:v>0.25</x:v>
      </x:c>
      <x:c r="G234" s="12" t="n">
        <x:v>0.45</x:v>
      </x:c>
      <x:c r="H234" s="7"/>
      <x:c r="I234" s="7" t="str">
        <x:v>通过</x:v>
      </x:c>
    </x:row>
    <x:row r="235">
      <x:c r="A235" s="7" t="str">
        <x:v>专属</x:v>
      </x:c>
      <x:c r="B235" s="7" t="str">
        <x:v>第二大陆</x:v>
      </x:c>
      <x:c r="C235" s="7" t="n">
        <x:v>74</x:v>
      </x:c>
      <x:c r="D235" s="7" t="str">
        <x:v>熔炉古玉</x:v>
      </x:c>
      <x:c r="E235" s="7" t="str">
        <x:v>灵玉</x:v>
      </x:c>
      <x:c r="F235" s="12" t="n">
        <x:v>0.25</x:v>
      </x:c>
      <x:c r="G235" s="12" t="n">
        <x:v>0.45</x:v>
      </x:c>
      <x:c r="H235" s="7" t="n">
        <x:v>6071</x:v>
      </x:c>
      <x:c r="I235" s="7" t="str">
        <x:v>通过</x:v>
      </x:c>
    </x:row>
    <x:row r="236">
      <x:c r="A236" s="7" t="str">
        <x:v>专属</x:v>
      </x:c>
      <x:c r="B236" s="7" t="str">
        <x:v>第二大陆</x:v>
      </x:c>
      <x:c r="C236" s="7" t="n">
        <x:v>75</x:v>
      </x:c>
      <x:c r="D236" s="7" t="str">
        <x:v>风羽战刃</x:v>
      </x:c>
      <x:c r="E236" s="7" t="str">
        <x:v>武器</x:v>
      </x:c>
      <x:c r="F236" s="12" t="n">
        <x:v>0.25</x:v>
      </x:c>
      <x:c r="G236" s="12" t="n">
        <x:v>0.45</x:v>
      </x:c>
      <x:c r="H236" s="7"/>
      <x:c r="I236" s="7" t="str">
        <x:v>通过</x:v>
      </x:c>
    </x:row>
    <x:row r="237">
      <x:c r="A237" s="7" t="str">
        <x:v>专属</x:v>
      </x:c>
      <x:c r="B237" s="7" t="str">
        <x:v>第二大陆</x:v>
      </x:c>
      <x:c r="C237" s="7" t="n">
        <x:v>76</x:v>
      </x:c>
      <x:c r="D237" s="7" t="str">
        <x:v>雷羽战衣</x:v>
      </x:c>
      <x:c r="E237" s="7" t="str">
        <x:v>衣服</x:v>
      </x:c>
      <x:c r="F237" s="12" t="n">
        <x:v>0.25</x:v>
      </x:c>
      <x:c r="G237" s="12" t="n">
        <x:v>0.45</x:v>
      </x:c>
      <x:c r="H237" s="7"/>
      <x:c r="I237" s="7" t="str">
        <x:v>通过</x:v>
      </x:c>
    </x:row>
    <x:row r="238">
      <x:c r="A238" s="7" t="str">
        <x:v>专属</x:v>
      </x:c>
      <x:c r="B238" s="7" t="str">
        <x:v>第二大陆</x:v>
      </x:c>
      <x:c r="C238" s="7" t="n">
        <x:v>77</x:v>
      </x:c>
      <x:c r="D238" s="7" t="str">
        <x:v>巨人铁盔</x:v>
      </x:c>
      <x:c r="E238" s="7" t="str">
        <x:v>头盔</x:v>
      </x:c>
      <x:c r="F238" s="12" t="n">
        <x:v>0.25</x:v>
      </x:c>
      <x:c r="G238" s="12" t="n">
        <x:v>0.45</x:v>
      </x:c>
      <x:c r="H238" s="7" t="n">
        <x:v>5869</x:v>
      </x:c>
      <x:c r="I238" s="7" t="str">
        <x:v>通过</x:v>
      </x:c>
    </x:row>
    <x:row r="239">
      <x:c r="A239" s="7" t="str">
        <x:v>专属</x:v>
      </x:c>
      <x:c r="B239" s="7" t="str">
        <x:v>第二大陆</x:v>
      </x:c>
      <x:c r="C239" s="7" t="n">
        <x:v>78</x:v>
      </x:c>
      <x:c r="D239" s="7" t="str">
        <x:v>风角骨戒</x:v>
      </x:c>
      <x:c r="E239" s="7" t="str">
        <x:v>戒指</x:v>
      </x:c>
      <x:c r="F239" s="12" t="n">
        <x:v>0.25</x:v>
      </x:c>
      <x:c r="G239" s="12" t="n">
        <x:v>0.45</x:v>
      </x:c>
      <x:c r="H239" s="7" t="n">
        <x:v>5925</x:v>
      </x:c>
      <x:c r="I239" s="7" t="str">
        <x:v>通过</x:v>
      </x:c>
    </x:row>
    <x:row r="240">
      <x:c r="A240" s="7" t="str">
        <x:v>专属</x:v>
      </x:c>
      <x:c r="B240" s="7" t="str">
        <x:v>第二大陆</x:v>
      </x:c>
      <x:c r="C240" s="7" t="n">
        <x:v>79</x:v>
      </x:c>
      <x:c r="D240" s="7" t="str">
        <x:v>流寇束带</x:v>
      </x:c>
      <x:c r="E240" s="7" t="str">
        <x:v>腰带</x:v>
      </x:c>
      <x:c r="F240" s="12" t="n">
        <x:v>0.25</x:v>
      </x:c>
      <x:c r="G240" s="12" t="n">
        <x:v>0.45</x:v>
      </x:c>
      <x:c r="H240" s="7" t="n">
        <x:v>5992</x:v>
      </x:c>
      <x:c r="I240" s="7" t="str">
        <x:v>通过</x:v>
      </x:c>
    </x:row>
    <x:row r="241">
      <x:c r="A241" s="7" t="str">
        <x:v>专属</x:v>
      </x:c>
      <x:c r="B241" s="7" t="str">
        <x:v>第二大陆</x:v>
      </x:c>
      <x:c r="C241" s="7" t="n">
        <x:v>80</x:v>
      </x:c>
      <x:c r="D241" s="7" t="str">
        <x:v>雷痕石盾</x:v>
      </x:c>
      <x:c r="E241" s="7" t="str">
        <x:v>盾牌</x:v>
      </x:c>
      <x:c r="F241" s="12" t="n">
        <x:v>0.25</x:v>
      </x:c>
      <x:c r="G241" s="12" t="n">
        <x:v>0.45</x:v>
      </x:c>
      <x:c r="H241" s="7" t="n">
        <x:v>6061</x:v>
      </x:c>
      <x:c r="I241" s="7" t="str">
        <x:v>通过</x:v>
      </x:c>
    </x:row>
    <x:row r="242">
      <x:c r="A242" s="7" t="str">
        <x:v>专属</x:v>
      </x:c>
      <x:c r="B242" s="7" t="str">
        <x:v>第二大陆</x:v>
      </x:c>
      <x:c r="C242" s="7" t="n">
        <x:v>81</x:v>
      </x:c>
      <x:c r="D242" s="7" t="str">
        <x:v>山妖魂玉</x:v>
      </x:c>
      <x:c r="E242" s="7" t="str">
        <x:v>灵玉</x:v>
      </x:c>
      <x:c r="F242" s="12" t="n">
        <x:v>0.25</x:v>
      </x:c>
      <x:c r="G242" s="12" t="n">
        <x:v>0.45</x:v>
      </x:c>
      <x:c r="H242" s="7" t="n">
        <x:v>6116</x:v>
      </x:c>
      <x:c r="I242" s="7" t="str">
        <x:v>通过</x:v>
      </x:c>
    </x:row>
    <x:row r="243">
      <x:c r="A243" s="7" t="str">
        <x:v>专属</x:v>
      </x:c>
      <x:c r="B243" s="7" t="str">
        <x:v>第二大陆</x:v>
      </x:c>
      <x:c r="C243" s="7" t="n">
        <x:v>82</x:v>
      </x:c>
      <x:c r="D243" s="7" t="str">
        <x:v>鹰主风冠</x:v>
      </x:c>
      <x:c r="E243" s="7" t="str">
        <x:v>时装头盔</x:v>
      </x:c>
      <x:c r="F243" s="12" t="n">
        <x:v>0.25</x:v>
      </x:c>
      <x:c r="G243" s="12" t="n">
        <x:v>0.45</x:v>
      </x:c>
      <x:c r="H243" s="7"/>
      <x:c r="I243" s="7" t="str">
        <x:v>通过</x:v>
      </x:c>
    </x:row>
    <x:row r="244">
      <x:c r="A244" s="7" t="str">
        <x:v>专属</x:v>
      </x:c>
      <x:c r="B244" s="7" t="str">
        <x:v>第二大陆</x:v>
      </x:c>
      <x:c r="C244" s="7" t="n">
        <x:v>83</x:v>
      </x:c>
      <x:c r="D244" s="7" t="str">
        <x:v>百夫熔戟</x:v>
      </x:c>
      <x:c r="E244" s="7" t="str">
        <x:v>时装武器</x:v>
      </x:c>
      <x:c r="F244" s="12" t="n">
        <x:v>0.25</x:v>
      </x:c>
      <x:c r="G244" s="12" t="n">
        <x:v>0.45</x:v>
      </x:c>
      <x:c r="H244" s="7"/>
      <x:c r="I244" s="7" t="str">
        <x:v>通过</x:v>
      </x:c>
    </x:row>
    <x:row r="245">
      <x:c r="A245" s="7" t="str">
        <x:v>专属</x:v>
      </x:c>
      <x:c r="B245" s="7" t="str">
        <x:v>第二大陆</x:v>
      </x:c>
      <x:c r="C245" s="7" t="n">
        <x:v>84</x:v>
      </x:c>
      <x:c r="D245" s="7" t="str">
        <x:v>葬日未羊</x:v>
      </x:c>
      <x:c r="E245" s="7" t="str">
        <x:v>生肖8</x:v>
      </x:c>
      <x:c r="F245" s="12" t="n">
        <x:v>0.25</x:v>
      </x:c>
      <x:c r="G245" s="12" t="n">
        <x:v>0.45</x:v>
      </x:c>
      <x:c r="H245" s="7"/>
      <x:c r="I245" s="7" t="str">
        <x:v>通过</x:v>
      </x:c>
    </x:row>
    <x:row r="246">
      <x:c r="A246" s="7" t="str">
        <x:v>专属</x:v>
      </x:c>
      <x:c r="B246" s="7" t="str">
        <x:v>第二大陆</x:v>
      </x:c>
      <x:c r="C246" s="7" t="n">
        <x:v>85</x:v>
      </x:c>
      <x:c r="D246" s="7" t="str">
        <x:v>雷冠申猴</x:v>
      </x:c>
      <x:c r="E246" s="7" t="str">
        <x:v>生肖9</x:v>
      </x:c>
      <x:c r="F246" s="12" t="n">
        <x:v>0.25</x:v>
      </x:c>
      <x:c r="G246" s="12" t="n">
        <x:v>0.45</x:v>
      </x:c>
      <x:c r="H246" s="7"/>
      <x:c r="I246" s="7" t="str">
        <x:v>通过</x:v>
      </x:c>
    </x:row>
    <x:row r="247">
      <x:c r="A247" s="7" t="str">
        <x:v>专属</x:v>
      </x:c>
      <x:c r="B247" s="7" t="str">
        <x:v>第二大陆</x:v>
      </x:c>
      <x:c r="C247" s="7" t="n">
        <x:v>86</x:v>
      </x:c>
      <x:c r="D247" s="7" t="str">
        <x:v>恶兆酉鸡</x:v>
      </x:c>
      <x:c r="E247" s="7" t="str">
        <x:v>生肖10</x:v>
      </x:c>
      <x:c r="F247" s="12" t="n">
        <x:v>0.25</x:v>
      </x:c>
      <x:c r="G247" s="12" t="n">
        <x:v>0.45</x:v>
      </x:c>
      <x:c r="H247" s="7"/>
      <x:c r="I247" s="7" t="str">
        <x:v>通过</x:v>
      </x:c>
    </x:row>
    <x:row r="248">
      <x:c r="A248" s="7" t="str">
        <x:v>专属</x:v>
      </x:c>
      <x:c r="B248" s="7" t="str">
        <x:v>第二大陆</x:v>
      </x:c>
      <x:c r="C248" s="7" t="n">
        <x:v>87</x:v>
      </x:c>
      <x:c r="D248" s="7" t="str">
        <x:v>流刑王刃</x:v>
      </x:c>
      <x:c r="E248" s="7" t="str">
        <x:v>武器</x:v>
      </x:c>
      <x:c r="F248" s="12" t="n">
        <x:v>0.25</x:v>
      </x:c>
      <x:c r="G248" s="12" t="n">
        <x:v>0.45</x:v>
      </x:c>
      <x:c r="H248" s="7"/>
      <x:c r="I248" s="7" t="str">
        <x:v>通过</x:v>
      </x:c>
    </x:row>
    <x:row r="249">
      <x:c r="A249" s="7" t="str">
        <x:v>专属</x:v>
      </x:c>
      <x:c r="B249" s="7" t="str">
        <x:v>第二大陆</x:v>
      </x:c>
      <x:c r="C249" s="7" t="n">
        <x:v>88</x:v>
      </x:c>
      <x:c r="D249" s="7" t="str">
        <x:v>失乡斧铠</x:v>
      </x:c>
      <x:c r="E249" s="7" t="str">
        <x:v>衣服</x:v>
      </x:c>
      <x:c r="F249" s="12" t="n">
        <x:v>0.25</x:v>
      </x:c>
      <x:c r="G249" s="12" t="n">
        <x:v>0.45</x:v>
      </x:c>
      <x:c r="H249" s="7"/>
      <x:c r="I249" s="7" t="str">
        <x:v>通过</x:v>
      </x:c>
    </x:row>
    <x:row r="250">
      <x:c r="A250" s="7" t="str">
        <x:v>专属</x:v>
      </x:c>
      <x:c r="B250" s="7" t="str">
        <x:v>第二大陆</x:v>
      </x:c>
      <x:c r="C250" s="7" t="n">
        <x:v>89</x:v>
      </x:c>
      <x:c r="D250" s="7" t="str">
        <x:v>火药锁链</x:v>
      </x:c>
      <x:c r="E250" s="7" t="str">
        <x:v>项链</x:v>
      </x:c>
      <x:c r="F250" s="12" t="n">
        <x:v>0.25</x:v>
      </x:c>
      <x:c r="G250" s="12" t="n">
        <x:v>0.45</x:v>
      </x:c>
      <x:c r="H250" s="7" t="n">
        <x:v>5904</x:v>
      </x:c>
      <x:c r="I250" s="7" t="str">
        <x:v>通过</x:v>
      </x:c>
    </x:row>
    <x:row r="251">
      <x:c r="A251" s="7" t="str">
        <x:v>专属</x:v>
      </x:c>
      <x:c r="B251" s="7" t="str">
        <x:v>第二大陆</x:v>
      </x:c>
      <x:c r="C251" s="7" t="n">
        <x:v>90</x:v>
      </x:c>
      <x:c r="D251" s="7" t="str">
        <x:v>刀翼王盔</x:v>
      </x:c>
      <x:c r="E251" s="7" t="str">
        <x:v>头盔</x:v>
      </x:c>
      <x:c r="F251" s="12" t="n">
        <x:v>0.25</x:v>
      </x:c>
      <x:c r="G251" s="12" t="n">
        <x:v>0.45</x:v>
      </x:c>
      <x:c r="H251" s="7" t="n">
        <x:v>5968</x:v>
      </x:c>
      <x:c r="I251" s="7" t="str">
        <x:v>通过</x:v>
      </x:c>
    </x:row>
    <x:row r="252">
      <x:c r="A252" s="7" t="str">
        <x:v>专属</x:v>
      </x:c>
      <x:c r="B252" s="7" t="str">
        <x:v>第二大陆</x:v>
      </x:c>
      <x:c r="C252" s="7" t="n">
        <x:v>91</x:v>
      </x:c>
      <x:c r="D252" s="7" t="str">
        <x:v>百指腕甲</x:v>
      </x:c>
      <x:c r="E252" s="7" t="str">
        <x:v>手镯</x:v>
      </x:c>
      <x:c r="F252" s="12" t="n">
        <x:v>0.25</x:v>
      </x:c>
      <x:c r="G252" s="12" t="n">
        <x:v>0.45</x:v>
      </x:c>
      <x:c r="H252" s="7" t="n">
        <x:v>6032</x:v>
      </x:c>
      <x:c r="I252" s="7" t="str">
        <x:v>通过</x:v>
      </x:c>
    </x:row>
    <x:row r="253">
      <x:c r="A253" s="7" t="str">
        <x:v>专属</x:v>
      </x:c>
      <x:c r="B253" s="7" t="str">
        <x:v>第二大陆</x:v>
      </x:c>
      <x:c r="C253" s="7" t="n">
        <x:v>92</x:v>
      </x:c>
      <x:c r="D253" s="7" t="str">
        <x:v>禁卫誓戒</x:v>
      </x:c>
      <x:c r="E253" s="7" t="str">
        <x:v>戒指</x:v>
      </x:c>
      <x:c r="F253" s="12" t="n">
        <x:v>0.25</x:v>
      </x:c>
      <x:c r="G253" s="12" t="n">
        <x:v>0.45</x:v>
      </x:c>
      <x:c r="H253" s="7" t="n">
        <x:v>6105</x:v>
      </x:c>
      <x:c r="I253" s="7" t="str">
        <x:v>通过</x:v>
      </x:c>
    </x:row>
    <x:row r="254">
      <x:c r="A254" s="7" t="str">
        <x:v>专属</x:v>
      </x:c>
      <x:c r="B254" s="7" t="str">
        <x:v>第二大陆</x:v>
      </x:c>
      <x:c r="C254" s="7" t="n">
        <x:v>93</x:v>
      </x:c>
      <x:c r="D254" s="7" t="str">
        <x:v>失乡统帅勋</x:v>
      </x:c>
      <x:c r="E254" s="7" t="str">
        <x:v>勋章</x:v>
      </x:c>
      <x:c r="F254" s="12" t="n">
        <x:v>0.25</x:v>
      </x:c>
      <x:c r="G254" s="12" t="n">
        <x:v>0.45</x:v>
      </x:c>
      <x:c r="H254" s="7" t="n">
        <x:v>5885</x:v>
      </x:c>
      <x:c r="I254" s="7" t="str">
        <x:v>通过</x:v>
      </x:c>
    </x:row>
    <x:row r="255">
      <x:c r="A255" s="7" t="str">
        <x:v>专属</x:v>
      </x:c>
      <x:c r="B255" s="7" t="str">
        <x:v>第二大陆</x:v>
      </x:c>
      <x:c r="C255" s="7" t="n">
        <x:v>94</x:v>
      </x:c>
      <x:c r="D255" s="7" t="str">
        <x:v>百骸狮盾</x:v>
      </x:c>
      <x:c r="E255" s="7" t="str">
        <x:v>盾牌</x:v>
      </x:c>
      <x:c r="F255" s="12" t="n">
        <x:v>0.25</x:v>
      </x:c>
      <x:c r="G255" s="12" t="n">
        <x:v>0.45</x:v>
      </x:c>
      <x:c r="H255" s="7" t="n">
        <x:v>5953</x:v>
      </x:c>
      <x:c r="I255" s="7" t="str">
        <x:v>通过</x:v>
      </x:c>
    </x:row>
    <x:row r="256">
      <x:c r="A256" s="7" t="str">
        <x:v>专属</x:v>
      </x:c>
      <x:c r="B256" s="7" t="str">
        <x:v>第二大陆</x:v>
      </x:c>
      <x:c r="C256" s="7" t="n">
        <x:v>95</x:v>
      </x:c>
      <x:c r="D256" s="7" t="str">
        <x:v>黑焰王玉</x:v>
      </x:c>
      <x:c r="E256" s="7" t="str">
        <x:v>灵玉</x:v>
      </x:c>
      <x:c r="F256" s="12" t="n">
        <x:v>0.25</x:v>
      </x:c>
      <x:c r="G256" s="12" t="n">
        <x:v>0.45</x:v>
      </x:c>
      <x:c r="H256" s="7" t="n">
        <x:v>6017</x:v>
      </x:c>
      <x:c r="I256" s="7" t="str">
        <x:v>通过</x:v>
      </x:c>
    </x:row>
    <x:row r="257">
      <x:c r="A257" s="7" t="str">
        <x:v>专属</x:v>
      </x:c>
      <x:c r="B257" s="7" t="str">
        <x:v>第二大陆</x:v>
      </x:c>
      <x:c r="C257" s="7" t="n">
        <x:v>96</x:v>
      </x:c>
      <x:c r="D257" s="7" t="str">
        <x:v>王城断罪刃</x:v>
      </x:c>
      <x:c r="E257" s="7" t="str">
        <x:v>时装武器</x:v>
      </x:c>
      <x:c r="F257" s="12" t="n">
        <x:v>0.25</x:v>
      </x:c>
      <x:c r="G257" s="12" t="n">
        <x:v>0.45</x:v>
      </x:c>
      <x:c r="H257" s="7"/>
      <x:c r="I257" s="7" t="str">
        <x:v>通过</x:v>
      </x:c>
    </x:row>
    <x:row r="258">
      <x:c r="A258" s="7" t="str">
        <x:v>专属</x:v>
      </x:c>
      <x:c r="B258" s="7" t="str">
        <x:v>第二大陆</x:v>
      </x:c>
      <x:c r="C258" s="7" t="n">
        <x:v>97</x:v>
      </x:c>
      <x:c r="D258" s="7" t="str">
        <x:v>百骸王衣</x:v>
      </x:c>
      <x:c r="E258" s="7" t="str">
        <x:v>时装衣服</x:v>
      </x:c>
      <x:c r="F258" s="12" t="n">
        <x:v>0.25</x:v>
      </x:c>
      <x:c r="G258" s="12" t="n">
        <x:v>0.45</x:v>
      </x:c>
      <x:c r="H258" s="7"/>
      <x:c r="I258" s="7" t="str">
        <x:v>通过</x:v>
      </x:c>
    </x:row>
    <x:row r="259">
      <x:c r="A259" s="7" t="str">
        <x:v>专属</x:v>
      </x:c>
      <x:c r="B259" s="7" t="str">
        <x:v>第二大陆</x:v>
      </x:c>
      <x:c r="C259" s="7" t="n">
        <x:v>98</x:v>
      </x:c>
      <x:c r="D259" s="7" t="str">
        <x:v>失乡戌狗</x:v>
      </x:c>
      <x:c r="E259" s="7" t="str">
        <x:v>生肖11</x:v>
      </x:c>
      <x:c r="F259" s="12" t="n">
        <x:v>0.25</x:v>
      </x:c>
      <x:c r="G259" s="12" t="n">
        <x:v>0.45</x:v>
      </x:c>
      <x:c r="H259" s="7"/>
      <x:c r="I259" s="7" t="str">
        <x:v>通过</x:v>
      </x:c>
    </x:row>
    <x:row r="260">
      <x:c r="A260" s="7" t="str">
        <x:v>专属</x:v>
      </x:c>
      <x:c r="B260" s="7" t="str">
        <x:v>第二大陆</x:v>
      </x:c>
      <x:c r="C260" s="7" t="n">
        <x:v>99</x:v>
      </x:c>
      <x:c r="D260" s="7" t="str">
        <x:v>接肢亥猪</x:v>
      </x:c>
      <x:c r="E260" s="7" t="str">
        <x:v>生肖12</x:v>
      </x:c>
      <x:c r="F260" s="12" t="n">
        <x:v>0.25</x:v>
      </x:c>
      <x:c r="G260" s="12" t="n">
        <x:v>0.45</x:v>
      </x:c>
      <x:c r="H260" s="7"/>
      <x:c r="I260" s="7" t="str">
        <x:v>通过</x:v>
      </x:c>
    </x:row>
    <x:row r="261">
      <x:c r="A261" s="7" t="str">
        <x:v>追梦神器</x:v>
      </x:c>
      <x:c r="B261" s="7" t="str">
        <x:v>第二大陆</x:v>
      </x:c>
      <x:c r="C261" s="7" t="n">
        <x:v>100</x:v>
      </x:c>
      <x:c r="D261" s="7" t="str">
        <x:v>玛莲妮亚的大卢恩</x:v>
      </x:c>
      <x:c r="E261" s="7" t="str">
        <x:v>灵玉</x:v>
      </x:c>
      <x:c r="F261" s="12" t="n">
        <x:v>0.25</x:v>
      </x:c>
      <x:c r="G261" s="12" t="n">
        <x:v>0.45</x:v>
      </x:c>
      <x:c r="H261" s="7" t="n">
        <x:v>5909</x:v>
      </x:c>
      <x:c r="I261" s="7" t="str">
        <x:v>通过</x:v>
      </x:c>
    </x:row>
    <x:row r="262">
      <x:c r="A262" s="7" t="str">
        <x:v>追梦神器</x:v>
      </x:c>
      <x:c r="B262" s="7" t="str">
        <x:v>第二大陆</x:v>
      </x:c>
      <x:c r="C262" s="7" t="n">
        <x:v>101</x:v>
      </x:c>
      <x:c r="D262" s="7" t="str">
        <x:v>拉塔恩的大卢恩</x:v>
      </x:c>
      <x:c r="E262" s="7" t="str">
        <x:v>灵玉</x:v>
      </x:c>
      <x:c r="F262" s="12" t="n">
        <x:v>0.25</x:v>
      </x:c>
      <x:c r="G262" s="12" t="n">
        <x:v>0.45</x:v>
      </x:c>
      <x:c r="H262" s="7" t="n">
        <x:v>5954</x:v>
      </x:c>
      <x:c r="I262" s="7" t="str">
        <x:v>通过</x:v>
      </x:c>
    </x:row>
    <x:row r="263">
      <x:c r="A263" s="7" t="str">
        <x:v>追梦神器</x:v>
      </x:c>
      <x:c r="B263" s="7" t="str">
        <x:v>第二大陆</x:v>
      </x:c>
      <x:c r="C263" s="7" t="n">
        <x:v>102</x:v>
      </x:c>
      <x:c r="D263" s="7" t="str">
        <x:v>蒙葛特的大卢恩</x:v>
      </x:c>
      <x:c r="E263" s="7" t="str">
        <x:v>灵玉</x:v>
      </x:c>
      <x:c r="F263" s="12" t="n">
        <x:v>0.25</x:v>
      </x:c>
      <x:c r="G263" s="12" t="n">
        <x:v>0.45</x:v>
      </x:c>
      <x:c r="H263" s="7" t="n">
        <x:v>5999</x:v>
      </x:c>
      <x:c r="I263" s="7" t="str">
        <x:v>通过</x:v>
      </x:c>
    </x:row>
    <x:row r="264">
      <x:c r="A264" s="7" t="str">
        <x:v>追梦神器</x:v>
      </x:c>
      <x:c r="B264" s="7" t="str">
        <x:v>第二大陆</x:v>
      </x:c>
      <x:c r="C264" s="7" t="n">
        <x:v>103</x:v>
      </x:c>
      <x:c r="D264" s="7" t="str">
        <x:v>蒙格的大卢恩</x:v>
      </x:c>
      <x:c r="E264" s="7" t="str">
        <x:v>灵玉</x:v>
      </x:c>
      <x:c r="F264" s="12" t="n">
        <x:v>0.25</x:v>
      </x:c>
      <x:c r="G264" s="12" t="n">
        <x:v>0.45</x:v>
      </x:c>
      <x:c r="H264" s="7" t="n">
        <x:v>6044</x:v>
      </x:c>
      <x:c r="I264" s="7" t="str">
        <x:v>通过</x:v>
      </x:c>
    </x:row>
    <x:row r="265">
      <x:c r="A265" s="7" t="str">
        <x:v>追梦神器</x:v>
      </x:c>
      <x:c r="B265" s="7" t="str">
        <x:v>第二大陆</x:v>
      </x:c>
      <x:c r="C265" s="7" t="n">
        <x:v>104</x:v>
      </x:c>
      <x:c r="D265" s="7" t="str">
        <x:v>拉卡德的大卢恩</x:v>
      </x:c>
      <x:c r="E265" s="7" t="str">
        <x:v>灵玉</x:v>
      </x:c>
      <x:c r="F265" s="12" t="n">
        <x:v>0.25</x:v>
      </x:c>
      <x:c r="G265" s="12" t="n">
        <x:v>0.45</x:v>
      </x:c>
      <x:c r="H265" s="7" t="n">
        <x:v>6089</x:v>
      </x:c>
      <x:c r="I265" s="7" t="str">
        <x:v>通过</x:v>
      </x:c>
    </x:row>
    <x:row r="266">
      <x:c r="A266" s="7" t="str">
        <x:v>追梦神器</x:v>
      </x:c>
      <x:c r="B266" s="7" t="str">
        <x:v>第二大陆</x:v>
      </x:c>
      <x:c r="C266" s="7" t="n">
        <x:v>105</x:v>
      </x:c>
      <x:c r="D266" s="7" t="str">
        <x:v>葛瑞克的大卢恩</x:v>
      </x:c>
      <x:c r="E266" s="7" t="str">
        <x:v>灵玉</x:v>
      </x:c>
      <x:c r="F266" s="12" t="n">
        <x:v>0.25</x:v>
      </x:c>
      <x:c r="G266" s="12" t="n">
        <x:v>0.45</x:v>
      </x:c>
      <x:c r="H266" s="7" t="n">
        <x:v>6125</x:v>
      </x:c>
      <x:c r="I266" s="7" t="str">
        <x:v>通过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6" hidden="0" customWidth="1"/>
    <x:col min="3" max="3" width="42" hidden="0" customWidth="1"/>
    <x:col min="4" max="4" width="42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48" hidden="0" customWidth="1"/>
  </x:cols>
  <x:sheetData>
    <x:row r="1" ht="30" customHeight="1">
      <x:c r="A1" s="10" t="str">
        <x:v>资源</x:v>
      </x:c>
      <x:c r="B1" s="13" t="str">
        <x:v>正式代码</x:v>
      </x:c>
      <x:c r="C1" s="13" t="str">
        <x:v>主要获得</x:v>
      </x:c>
      <x:c r="D1" s="13" t="str">
        <x:v>主要消耗</x:v>
      </x:c>
      <x:c r="E1" s="13" t="str">
        <x:v>开放阶段</x:v>
      </x:c>
      <x:c r="F1" s="13" t="str">
        <x:v>交易</x:v>
      </x:c>
      <x:c r="G1" s="13" t="str">
        <x:v>绑定</x:v>
      </x:c>
      <x:c r="H1" s="13" t="str">
        <x:v>数值状态</x:v>
      </x:c>
      <x:c r="I1" s="13" t="str">
        <x:v>备注</x:v>
      </x:c>
    </x:row>
    <x:row r="2">
      <x:c r="A2" s="13" t="str">
        <x:v>金币</x:v>
      </x:c>
      <x:c r="B2" s="13"/>
      <x:c r="C2" s="13" t="str">
        <x:v>装备/可回收物回收</x:v>
      </x:c>
      <x:c r="D2" s="13" t="str">
        <x:v>称号、合成、转生、技能、升级、洗练、开光、锻体</x:v>
      </x:c>
      <x:c r="E2" s="13" t="str">
        <x:v>初始起</x:v>
      </x:c>
      <x:c r="F2" s="13" t="str">
        <x:v>待确认</x:v>
      </x:c>
      <x:c r="G2" s="13" t="str">
        <x:v>待确认</x:v>
      </x:c>
      <x:c r="H2" s="13" t="str">
        <x:v>待总账回算</x:v>
      </x:c>
      <x:c r="I2" s="13" t="str">
        <x:v>1—10阶回收以金币为主</x:v>
      </x:c>
    </x:row>
    <x:row r="3">
      <x:c r="A3" s="13" t="str">
        <x:v>元宝</x:v>
      </x:c>
      <x:c r="B3" s="13"/>
      <x:c r="C3" s="13" t="str">
        <x:v>装备/可回收物回收</x:v>
      </x:c>
      <x:c r="D3" s="13" t="str">
        <x:v>同上，高阶段占比提高</x:v>
      </x:c>
      <x:c r="E3" s="13" t="str">
        <x:v>初始起</x:v>
      </x:c>
      <x:c r="F3" s="13" t="str">
        <x:v>待确认</x:v>
      </x:c>
      <x:c r="G3" s="13" t="str">
        <x:v>待确认</x:v>
      </x:c>
      <x:c r="H3" s="13" t="str">
        <x:v>待总账回算</x:v>
      </x:c>
      <x:c r="I3" s="13" t="str">
        <x:v>11—20阶逐步提高元宝收益</x:v>
      </x:c>
    </x:row>
    <x:row r="4">
      <x:c r="A4" s="13" t="str">
        <x:v>灵符</x:v>
      </x:c>
      <x:c r="B4" s="13"/>
      <x:c r="C4" s="13" t="str">
        <x:v>充值</x:v>
      </x:c>
      <x:c r="D4" s="13" t="str">
        <x:v>圣律之剑、黄金圣物、长期称号等已允许入口</x:v>
      </x:c>
      <x:c r="E4" s="13" t="str">
        <x:v>初始起</x:v>
      </x:c>
      <x:c r="F4" s="13" t="str">
        <x:v>充值货币</x:v>
      </x:c>
      <x:c r="G4" s="13" t="str">
        <x:v>按平台</x:v>
      </x:c>
      <x:c r="H4" s="13" t="str">
        <x:v>系统关系已确认</x:v>
      </x:c>
      <x:c r="I4" s="13" t="str">
        <x:v>不擅自扩展到其他系统</x:v>
      </x:c>
    </x:row>
    <x:row r="5">
      <x:c r="A5" s="13" t="str">
        <x:v>小卢恩</x:v>
      </x:c>
      <x:c r="B5" s="13"/>
      <x:c r="C5" s="13" t="str">
        <x:v>回收为主；既有直接掉落单列</x:v>
      </x:c>
      <x:c r="D5" s="13" t="str">
        <x:v>1—5转</x:v>
      </x:c>
      <x:c r="E5" s="13" t="str">
        <x:v>初始/第一大陆</x:v>
      </x:c>
      <x:c r="F5" s="13" t="str">
        <x:v>待确认</x:v>
      </x:c>
      <x:c r="G5" s="13" t="str">
        <x:v>待确认</x:v>
      </x:c>
      <x:c r="H5" s="13" t="str">
        <x:v>数量待回算</x:v>
      </x:c>
      <x:c r="I5" s="13" t="str">
        <x:v>不沿用旧固定序列</x:v>
      </x:c>
    </x:row>
    <x:row r="6">
      <x:c r="A6" s="13" t="str">
        <x:v>大卢恩</x:v>
      </x:c>
      <x:c r="B6" s="13"/>
      <x:c r="C6" s="13" t="str">
        <x:v>回收为主；既有直接掉落单列</x:v>
      </x:c>
      <x:c r="D6" s="13" t="str">
        <x:v>5—10转</x:v>
      </x:c>
      <x:c r="E6" s="13" t="str">
        <x:v>前期</x:v>
      </x:c>
      <x:c r="F6" s="13" t="str">
        <x:v>待确认</x:v>
      </x:c>
      <x:c r="G6" s="13" t="str">
        <x:v>待确认</x:v>
      </x:c>
      <x:c r="H6" s="13" t="str">
        <x:v>数量待回算</x:v>
      </x:c>
      <x:c r="I6" s="13" t="str">
        <x:v>不与六件大卢恩装备混作同一物品</x:v>
      </x:c>
    </x:row>
    <x:row r="7">
      <x:c r="A7" s="13" t="str">
        <x:v>野兽骨片</x:v>
      </x:c>
      <x:c r="B7" s="13"/>
      <x:c r="C7" s="13" t="str">
        <x:v>宁姆格福既有来源</x:v>
      </x:c>
      <x:c r="D7" s="13" t="str">
        <x:v>255档神印修行/锻体</x:v>
      </x:c>
      <x:c r="E7" s="13" t="str">
        <x:v>宁姆格福</x:v>
      </x:c>
      <x:c r="F7" s="13" t="str">
        <x:v>待确认</x:v>
      </x:c>
      <x:c r="G7" s="13" t="str">
        <x:v>待确认</x:v>
      </x:c>
      <x:c r="H7" s="13" t="str">
        <x:v>仅两档成本已确认</x:v>
      </x:c>
      <x:c r="I7" s="13" t="str">
        <x:v>21→22=31；22→23=32</x:v>
      </x:c>
    </x:row>
    <x:row r="8">
      <x:c r="A8" s="13" t="str">
        <x:v>普通洗练材料</x:v>
      </x:c>
      <x:c r="B8" s="13"/>
      <x:c r="C8" s="13" t="str">
        <x:v>回收/既有掉落，待实表</x:v>
      </x:c>
      <x:c r="D8" s="13" t="str">
        <x:v>普通洗练</x:v>
      </x:c>
      <x:c r="E8" s="13" t="str">
        <x:v>宁姆格福</x:v>
      </x:c>
      <x:c r="F8" s="13" t="str">
        <x:v>待确认</x:v>
      </x:c>
      <x:c r="G8" s="13" t="str">
        <x:v>待确认</x:v>
      </x:c>
      <x:c r="H8" s="13" t="str">
        <x:v>待确认</x:v>
      </x:c>
      <x:c r="I8" s="13" t="str">
        <x:v>不能锁定单条属性</x:v>
      </x:c>
    </x:row>
    <x:row r="9">
      <x:c r="A9" s="13" t="str">
        <x:v>开光材料</x:v>
      </x:c>
      <x:c r="B9" s="13"/>
      <x:c r="C9" s="13" t="str">
        <x:v>回收/既有掉落，待实表</x:v>
      </x:c>
      <x:c r="D9" s="13" t="str">
        <x:v>7/8词条保级洗练</x:v>
      </x:c>
      <x:c r="E9" s="13" t="str">
        <x:v>宁姆格福</x:v>
      </x:c>
      <x:c r="F9" s="13" t="str">
        <x:v>待确认</x:v>
      </x:c>
      <x:c r="G9" s="13" t="str">
        <x:v>待确认</x:v>
      </x:c>
      <x:c r="H9" s="13" t="str">
        <x:v>待确认</x:v>
      </x:c>
      <x:c r="I9" s="13" t="str">
        <x:v>锁词条数量，不锁属性内容</x:v>
      </x:c>
    </x:row>
    <x:row r="10">
      <x:c r="A10" s="13" t="str">
        <x:v>项链幸运材料</x:v>
      </x:c>
      <x:c r="B10" s="13"/>
      <x:c r="C10" s="13" t="str">
        <x:v>待平台实表</x:v>
      </x:c>
      <x:c r="D10" s="13" t="str">
        <x:v>项链幸运</x:v>
      </x:c>
      <x:c r="E10" s="13" t="str">
        <x:v>宁姆格福</x:v>
      </x:c>
      <x:c r="F10" s="13" t="str">
        <x:v>待确认</x:v>
      </x:c>
      <x:c r="G10" s="13" t="str">
        <x:v>待确认</x:v>
      </x:c>
      <x:c r="H10" s="13" t="str">
        <x:v>概率未确认</x:v>
      </x:c>
      <x:c r="I10" s="13" t="str">
        <x:v>约250次为平均，之后软保底</x:v>
      </x:c>
    </x:row>
    <x:row r="11">
      <x:c r="A11" s="13" t="str">
        <x:v>失色锻造石</x:v>
      </x:c>
      <x:c r="B11" s="13"/>
      <x:c r="C11" s="13" t="str">
        <x:v>专属装备拆解</x:v>
      </x:c>
      <x:c r="D11" s="13" t="str">
        <x:v>专属相关成长/合成待实表</x:v>
      </x:c>
      <x:c r="E11" s="13" t="str">
        <x:v>第一大陆起</x:v>
      </x:c>
      <x:c r="F11" s="13" t="str">
        <x:v>待确认</x:v>
      </x:c>
      <x:c r="G11" s="13" t="str">
        <x:v>待确认</x:v>
      </x:c>
      <x:c r="H11" s="13" t="str">
        <x:v>联调基准</x:v>
      </x:c>
      <x:c r="I11" s="13" t="str">
        <x:v>普通1、稀有2、BOSS3—5，仅联调，不是导入值</x:v>
      </x:c>
    </x:row>
    <x:row r="12">
      <x:c r="A12" s="13" t="str">
        <x:v>祝福油</x:v>
      </x:c>
      <x:c r="B12" s="13"/>
      <x:c r="C12" s="13" t="str">
        <x:v>平台既有</x:v>
      </x:c>
      <x:c r="D12" s="13" t="str">
        <x:v>武器幸运0→7</x:v>
      </x:c>
      <x:c r="E12" s="13" t="str">
        <x:v>前期</x:v>
      </x:c>
      <x:c r="F12" s="13" t="str">
        <x:v>按平台</x:v>
      </x:c>
      <x:c r="G12" s="13" t="str">
        <x:v>按平台</x:v>
      </x:c>
      <x:c r="H12" s="13" t="str">
        <x:v>规则已确认</x:v>
      </x:c>
      <x:c r="I12" s="13" t="str">
        <x:v>武器生成时幸运为0/空</x:v>
      </x:c>
    </x:row>
    <x:row r="13">
      <x:c r="A13" s="13" t="str">
        <x:v>装备合成材料A/B/C</x:v>
      </x:c>
      <x:c r="B13" s="13"/>
      <x:c r="C13" s="13" t="str">
        <x:v>待真实材料模板</x:v>
      </x:c>
      <x:c r="D13" s="13" t="str">
        <x:v>生肖及普通部位合成</x:v>
      </x:c>
      <x:c r="E13" s="13" t="str">
        <x:v>各大陆</x:v>
      </x:c>
      <x:c r="F13" s="13" t="str">
        <x:v>待确认</x:v>
      </x:c>
      <x:c r="G13" s="13" t="str">
        <x:v>待确认</x:v>
      </x:c>
      <x:c r="H13" s="13" t="str">
        <x:v>禁止猜填</x:v>
      </x:c>
      <x:c r="I13" s="13" t="str">
        <x:v>基础件X为必备材料；数量/成功率待确认</x:v>
      </x:c>
    </x:row>
    <x:row r="14">
      <x:c r="A14" s="13" t="str">
        <x:v>称号合成材料A/B/C</x:v>
      </x:c>
      <x:c r="B14" s="13"/>
      <x:c r="C14" s="13" t="str">
        <x:v>待真实材料模板</x:v>
      </x:c>
      <x:c r="D14" s="13" t="str">
        <x:v>后续称号合成</x:v>
      </x:c>
      <x:c r="E14" s="13" t="str">
        <x:v>按大陆</x:v>
      </x:c>
      <x:c r="F14" s="13" t="str">
        <x:v>待确认</x:v>
      </x:c>
      <x:c r="G14" s="13" t="str">
        <x:v>待确认</x:v>
      </x:c>
      <x:c r="H14" s="13" t="str">
        <x:v>禁止猜填</x:v>
      </x:c>
      <x:c r="I14" s="13" t="str">
        <x:v>第一、第二大陆既有魂魄任务原样沿用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4" hidden="0" customWidth="1"/>
    <x:col min="3" max="3" width="18" hidden="0" customWidth="1"/>
    <x:col min="4" max="4" width="42" hidden="0" customWidth="1"/>
    <x:col min="5" max="5" width="42" hidden="0" customWidth="1"/>
    <x:col min="6" max="6" width="18" hidden="0" customWidth="1"/>
    <x:col min="7" max="7" width="34" hidden="0" customWidth="1"/>
    <x:col min="8" max="8" width="14" hidden="0" customWidth="1"/>
    <x:col min="9" max="9" width="44" hidden="0" customWidth="1"/>
  </x:cols>
  <x:sheetData>
    <x:row r="1" ht="30" customHeight="1">
      <x:c r="A1" s="10" t="str">
        <x:v>区域</x:v>
      </x:c>
      <x:c r="B1" s="13" t="str">
        <x:v>NPC/系统</x:v>
      </x:c>
      <x:c r="C1" s="13" t="str">
        <x:v>开放</x:v>
      </x:c>
      <x:c r="D1" s="13" t="str">
        <x:v>功能</x:v>
      </x:c>
      <x:c r="E1" s="13" t="str">
        <x:v>核心消耗</x:v>
      </x:c>
      <x:c r="F1" s="13" t="str">
        <x:v>确定/随机</x:v>
      </x:c>
      <x:c r="G1" s="13" t="str">
        <x:v>位置原则</x:v>
      </x:c>
      <x:c r="H1" s="13" t="str">
        <x:v>坐标</x:v>
      </x:c>
      <x:c r="I1" s="13" t="str">
        <x:v>执行边界</x:v>
      </x:c>
    </x:row>
    <x:row r="2">
      <x:c r="A2" s="13" t="str">
        <x:v>初始营地</x:v>
      </x:c>
      <x:c r="B2" s="13" t="str">
        <x:v>转生NPC</x:v>
      </x:c>
      <x:c r="C2" s="13" t="str">
        <x:v>出生后</x:v>
      </x:c>
      <x:c r="D2" s="13" t="str">
        <x:v>1—10转；神力倍攻</x:v>
      </x:c>
      <x:c r="E2" s="13" t="str">
        <x:v>1—5小卢恩；5—10大卢恩</x:v>
      </x:c>
      <x:c r="F2" s="13" t="str">
        <x:v>确定</x:v>
      </x:c>
      <x:c r="G2" s="13" t="str">
        <x:v>基础建设区</x:v>
      </x:c>
      <x:c r="H2" s="13"/>
      <x:c r="I2" s="13" t="str">
        <x:v>具体每转成本与神力增量待总账</x:v>
      </x:c>
    </x:row>
    <x:row r="3">
      <x:c r="A3" s="13" t="str">
        <x:v>初始营地</x:v>
      </x:c>
      <x:c r="B3" s="13" t="str">
        <x:v>圣律之剑</x:v>
      </x:c>
      <x:c r="C3" s="13" t="str">
        <x:v>出生后</x:v>
      </x:c>
      <x:c r="D3" s="13" t="str">
        <x:v>LV1—10：传送+固定切割</x:v>
      </x:c>
      <x:c r="E3" s="13" t="str">
        <x:v>灵符</x:v>
      </x:c>
      <x:c r="F3" s="13" t="str">
        <x:v>确定</x:v>
      </x:c>
      <x:c r="G3" s="13" t="str">
        <x:v>基础建设区</x:v>
      </x:c>
      <x:c r="H3" s="13"/>
      <x:c r="I3" s="13" t="str">
        <x:v>进入圣律真言后保留传送、移除切割</x:v>
      </x:c>
    </x:row>
    <x:row r="4">
      <x:c r="A4" s="13" t="str">
        <x:v>初始营地</x:v>
      </x:c>
      <x:c r="B4" s="13" t="str">
        <x:v>黄金圣物</x:v>
      </x:c>
      <x:c r="C4" s="13" t="str">
        <x:v>出生后</x:v>
      </x:c>
      <x:c r="D4" s="13" t="str">
        <x:v>LV1—10：复活+固定回血</x:v>
      </x:c>
      <x:c r="E4" s="13" t="str">
        <x:v>灵符</x:v>
      </x:c>
      <x:c r="F4" s="13" t="str">
        <x:v>确定</x:v>
      </x:c>
      <x:c r="G4" s="13" t="str">
        <x:v>基础建设区</x:v>
      </x:c>
      <x:c r="H4" s="13"/>
      <x:c r="I4" s="13" t="str">
        <x:v>进入黄金之心后保留复活、移除回血</x:v>
      </x:c>
    </x:row>
    <x:row r="5">
      <x:c r="A5" s="13" t="str">
        <x:v>初始营地</x:v>
      </x:c>
      <x:c r="B5" s="13" t="str">
        <x:v>长期称号晋升</x:v>
      </x:c>
      <x:c r="C5" s="13" t="str">
        <x:v>出生后</x:v>
      </x:c>
      <x:c r="D5" s="13" t="str">
        <x:v>贯穿全版本；第一阶段最高10级</x:v>
      </x:c>
      <x:c r="E5" s="13" t="str">
        <x:v>金币或灵符二选一</x:v>
      </x:c>
      <x:c r="F5" s="13" t="str">
        <x:v>确定</x:v>
      </x:c>
      <x:c r="G5" s="13" t="str">
        <x:v>基础建设区</x:v>
      </x:c>
      <x:c r="H5" s="13"/>
      <x:c r="I5" s="13" t="str">
        <x:v>第一阶段满级黄金树下·初王</x:v>
      </x:c>
    </x:row>
    <x:row r="6">
      <x:c r="A6" s="13" t="str">
        <x:v>第一大陆</x:v>
      </x:c>
      <x:c r="B6" s="13" t="str">
        <x:v>成长NPC</x:v>
      </x:c>
      <x:c r="C6" s="13" t="str">
        <x:v>不开放</x:v>
      </x:c>
      <x:c r="D6" s="13" t="str">
        <x:v>无独立人物成长NPC</x:v>
      </x:c>
      <x:c r="E6" s="13"/>
      <x:c r="F6" s="13"/>
      <x:c r="G6" s="13"/>
      <x:c r="H6" s="13"/>
      <x:c r="I6" s="13" t="str">
        <x:v>只保留传送、守关、既有任务、生肖合成</x:v>
      </x:c>
    </x:row>
    <x:row r="7">
      <x:c r="A7" s="13" t="str">
        <x:v>宁姆格福</x:v>
      </x:c>
      <x:c r="B7" s="13" t="str">
        <x:v>神印修行/锻体</x:v>
      </x:c>
      <x:c r="C7" s="13" t="str">
        <x:v>进入第二大陆</x:v>
      </x:c>
      <x:c r="D7" s="13" t="str">
        <x:v>255档；增加人物基础主属性和HP</x:v>
      </x:c>
      <x:c r="E7" s="13" t="str">
        <x:v>野兽骨片</x:v>
      </x:c>
      <x:c r="F7" s="13" t="str">
        <x:v>确定</x:v>
      </x:c>
      <x:c r="G7" s="13" t="str">
        <x:v>大陆赐福点附近4—8格</x:v>
      </x:c>
      <x:c r="H7" s="13"/>
      <x:c r="I7" s="13" t="str">
        <x:v>使用大陆通用材料</x:v>
      </x:c>
    </x:row>
    <x:row r="8">
      <x:c r="A8" s="13" t="str">
        <x:v>宁姆格福</x:v>
      </x:c>
      <x:c r="B8" s="13" t="str">
        <x:v>普通洗练</x:v>
      </x:c>
      <x:c r="C8" s="13" t="str">
        <x:v>进入第二大陆</x:v>
      </x:c>
      <x:c r="D8" s="13" t="str">
        <x:v>词条内容和数量重洗，最多8条</x:v>
      </x:c>
      <x:c r="E8" s="13" t="str">
        <x:v>洗练材料+货币</x:v>
      </x:c>
      <x:c r="F8" s="13" t="str">
        <x:v>随机</x:v>
      </x:c>
      <x:c r="G8" s="13" t="str">
        <x:v>大陆赐福点附近4—8格</x:v>
      </x:c>
      <x:c r="H8" s="13"/>
      <x:c r="I8" s="13" t="str">
        <x:v>不能锁定单条</x:v>
      </x:c>
    </x:row>
    <x:row r="9">
      <x:c r="A9" s="13" t="str">
        <x:v>宁姆格福</x:v>
      </x:c>
      <x:c r="B9" s="13" t="str">
        <x:v>开光/保级洗练</x:v>
      </x:c>
      <x:c r="C9" s="13" t="str">
        <x:v>7/8词条后</x:v>
      </x:c>
      <x:c r="D9" s="13" t="str">
        <x:v>固定词条数量，整体重洗属性</x:v>
      </x:c>
      <x:c r="E9" s="13" t="str">
        <x:v>开光材料+货币</x:v>
      </x:c>
      <x:c r="F9" s="13" t="str">
        <x:v>高级随机</x:v>
      </x:c>
      <x:c r="G9" s="13" t="str">
        <x:v>与洗练NPC同区</x:v>
      </x:c>
      <x:c r="H9" s="13"/>
      <x:c r="I9" s="13" t="str">
        <x:v>成本高于普通洗练</x:v>
      </x:c>
    </x:row>
    <x:row r="10">
      <x:c r="A10" s="13" t="str">
        <x:v>宁姆格福</x:v>
      </x:c>
      <x:c r="B10" s="13" t="str">
        <x:v>项链幸运</x:v>
      </x:c>
      <x:c r="C10" s="13" t="str">
        <x:v>进入第二大陆</x:v>
      </x:c>
      <x:c r="D10" s="13" t="str">
        <x:v>概率升级；满级伤害系数15%+处决5%</x:v>
      </x:c>
      <x:c r="E10" s="13" t="str">
        <x:v>项链幸运材料+货币</x:v>
      </x:c>
      <x:c r="F10" s="13" t="str">
        <x:v>随机+软保底</x:v>
      </x:c>
      <x:c r="G10" s="13" t="str">
        <x:v>大陆赐福点附近4—8格</x:v>
      </x:c>
      <x:c r="H10" s="13"/>
      <x:c r="I10" s="13" t="str">
        <x:v>250次是平均，不是硬保底</x:v>
      </x:c>
    </x:row>
    <x:row r="11">
      <x:c r="A11" s="13" t="str">
        <x:v>宁姆格福</x:v>
      </x:c>
      <x:c r="B11" s="13" t="str">
        <x:v>圣律真言</x:v>
      </x:c>
      <x:c r="C11" s="13" t="str">
        <x:v>圣律之剑LV10后</x:v>
      </x:c>
      <x:c r="D11" s="13" t="str">
        <x:v>传送+鞭尸1%—10%</x:v>
      </x:c>
      <x:c r="E11" s="13" t="str">
        <x:v>待总账</x:v>
      </x:c>
      <x:c r="F11" s="13" t="str">
        <x:v>确定</x:v>
      </x:c>
      <x:c r="G11" s="13" t="str">
        <x:v>大陆赐福点附近4—8格</x:v>
      </x:c>
      <x:c r="H11" s="13"/>
      <x:c r="I11" s="13" t="str">
        <x:v>固定切割退出</x:v>
      </x:c>
    </x:row>
    <x:row r="12">
      <x:c r="A12" s="13" t="str">
        <x:v>宁姆格福</x:v>
      </x:c>
      <x:c r="B12" s="13" t="str">
        <x:v>黄金之心</x:v>
      </x:c>
      <x:c r="C12" s="13" t="str">
        <x:v>黄金圣物LV10后</x:v>
      </x:c>
      <x:c r="D12" s="13" t="str">
        <x:v>复活+首刀斩杀1%—10%</x:v>
      </x:c>
      <x:c r="E12" s="13" t="str">
        <x:v>待总账</x:v>
      </x:c>
      <x:c r="F12" s="13" t="str">
        <x:v>确定</x:v>
      </x:c>
      <x:c r="G12" s="13" t="str">
        <x:v>大陆赐福点附近4—8格</x:v>
      </x:c>
      <x:c r="H12" s="13"/>
      <x:c r="I12" s="13" t="str">
        <x:v>固定回血退出</x:v>
      </x:c>
    </x:row>
    <x:row r="13">
      <x:c r="A13" s="13" t="str">
        <x:v>宁姆格福</x:v>
      </x:c>
      <x:c r="B13" s="13" t="str">
        <x:v>生肖合成</x:v>
      </x:c>
      <x:c r="C13" s="13" t="str">
        <x:v>按现有系统</x:v>
      </x:c>
      <x:c r="D13" s="13" t="str">
        <x:v>基础件X+附加材料→更强生肖</x:v>
      </x:c>
      <x:c r="E13" s="13" t="str">
        <x:v>X必备；其他待确认</x:v>
      </x:c>
      <x:c r="F13" s="13" t="str">
        <x:v>成功率待确认</x:v>
      </x:c>
      <x:c r="G13" s="13" t="str">
        <x:v>当前地图材料NPC放最后一层</x:v>
      </x:c>
      <x:c r="H13" s="13"/>
      <x:c r="I13" s="13" t="str">
        <x:v>不得覆盖既有6246—6257或猜配方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0" hidden="0" customWidth="1"/>
    <x:col min="3" max="3" width="30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16" hidden="0" customWidth="1"/>
    <x:col min="10" max="10" width="52" hidden="0" customWidth="1"/>
  </x:cols>
  <x:sheetData>
    <x:row r="1" ht="30" customHeight="1">
      <x:c r="A1" s="10" t="str">
        <x:v>大陆</x:v>
      </x:c>
      <x:c r="B1" s="13" t="str">
        <x:v>对象</x:v>
      </x:c>
      <x:c r="C1" s="13" t="str">
        <x:v>获得方式</x:v>
      </x:c>
      <x:c r="D1" s="13" t="str">
        <x:v>制式范围</x:v>
      </x:c>
      <x:c r="E1" s="13" t="str">
        <x:v>专属</x:v>
      </x:c>
      <x:c r="F1" s="13" t="str">
        <x:v>魂魄/任务</x:v>
      </x:c>
      <x:c r="G1" s="13" t="str">
        <x:v>称号卷</x:v>
      </x:c>
      <x:c r="H1" s="13" t="str">
        <x:v>回收输出</x:v>
      </x:c>
      <x:c r="I1" s="13" t="str">
        <x:v>正式概率</x:v>
      </x:c>
      <x:c r="J1" s="13" t="str">
        <x:v>状态/边界</x:v>
      </x:c>
    </x:row>
    <x:row r="2">
      <x:c r="A2" s="13" t="str">
        <x:v>第一大陆</x:v>
      </x:c>
      <x:c r="B2" s="13" t="str">
        <x:v>普通怪</x:v>
      </x:c>
      <x:c r="C2" s="13" t="str">
        <x:v>怪物掉装备/可回收物</x:v>
      </x:c>
      <x:c r="D2" s="13" t="str">
        <x:v>1—5阶大量投放</x:v>
      </x:c>
      <x:c r="E2" s="13" t="str">
        <x:v>对应自身专属</x:v>
      </x:c>
      <x:c r="F2" s="13" t="str">
        <x:v>沿用现成</x:v>
      </x:c>
      <x:c r="G2" s="13"/>
      <x:c r="H2" s="13" t="str">
        <x:v>金币为主；其他由总账</x:v>
      </x:c>
      <x:c r="I2" s="13"/>
      <x:c r="J2" s="13" t="str">
        <x:v>不新增直接材料概率</x:v>
      </x:c>
    </x:row>
    <x:row r="3">
      <x:c r="A3" s="13" t="str">
        <x:v>第一大陆</x:v>
      </x:c>
      <x:c r="B3" s="13" t="str">
        <x:v>稀有怪</x:v>
      </x:c>
      <x:c r="C3" s="13" t="str">
        <x:v>同上</x:v>
      </x:c>
      <x:c r="D3" s="13" t="str">
        <x:v>1—5阶</x:v>
      </x:c>
      <x:c r="E3" s="13" t="str">
        <x:v>对应自身专属</x:v>
      </x:c>
      <x:c r="F3" s="13" t="str">
        <x:v>沿用现成</x:v>
      </x:c>
      <x:c r="G3" s="13"/>
      <x:c r="H3" s="13" t="str">
        <x:v>金币+元宝；失色拆解联调2</x:v>
      </x:c>
      <x:c r="I3" s="13"/>
      <x:c r="J3" s="13" t="str">
        <x:v>正式概率沿用/测试后校准</x:v>
      </x:c>
    </x:row>
    <x:row r="4">
      <x:c r="A4" s="13" t="str">
        <x:v>第一大陆</x:v>
      </x:c>
      <x:c r="B4" s="13" t="str">
        <x:v>地图BOSS</x:v>
      </x:c>
      <x:c r="C4" s="13" t="str">
        <x:v>同上</x:v>
      </x:c>
      <x:c r="D4" s="13" t="str">
        <x:v>1—5阶</x:v>
      </x:c>
      <x:c r="E4" s="13" t="str">
        <x:v>对应BOSS专属</x:v>
      </x:c>
      <x:c r="F4" s="13" t="str">
        <x:v>沿用现成</x:v>
      </x:c>
      <x:c r="G4" s="13"/>
      <x:c r="H4" s="13" t="str">
        <x:v>金币+元宝；失色拆解联调3—5</x:v>
      </x:c>
      <x:c r="I4" s="13"/>
      <x:c r="J4" s="13" t="str">
        <x:v>非守关BOSS不掉时装武器/衣服</x:v>
      </x:c>
    </x:row>
    <x:row r="5">
      <x:c r="A5" s="13" t="str">
        <x:v>第一大陆</x:v>
      </x:c>
      <x:c r="B5" s="13" t="str">
        <x:v>守关BOSS</x:v>
      </x:c>
      <x:c r="C5" s="13" t="str">
        <x:v>主线+每日额外挑战</x:v>
      </x:c>
      <x:c r="D5" s="13" t="str">
        <x:v>1—5阶</x:v>
      </x:c>
      <x:c r="E5" s="13" t="str">
        <x:v>沉没王权及守关时装</x:v>
      </x:c>
      <x:c r="F5" s="13" t="str">
        <x:v>沿用现成</x:v>
      </x:c>
      <x:c r="G5" s="13"/>
      <x:c r="H5" s="13" t="str">
        <x:v>单列每日额外福利</x:v>
      </x:c>
      <x:c r="I5" s="13"/>
      <x:c r="J5" s="13" t="str">
        <x:v>第1—5大陆每日3次、单人</x:v>
      </x:c>
    </x:row>
    <x:row r="6">
      <x:c r="A6" s="13" t="str">
        <x:v>第二大陆</x:v>
      </x:c>
      <x:c r="B6" s="13" t="str">
        <x:v>普通怪</x:v>
      </x:c>
      <x:c r="C6" s="13" t="str">
        <x:v>怪物掉装备/可回收物</x:v>
      </x:c>
      <x:c r="D6" s="13" t="str">
        <x:v>6—20阶过渡</x:v>
      </x:c>
      <x:c r="E6" s="13" t="str">
        <x:v>对应自身专属</x:v>
      </x:c>
      <x:c r="F6" s="13" t="str">
        <x:v>沿用现成</x:v>
      </x:c>
      <x:c r="G6" s="13" t="str">
        <x:v>仅既有清单</x:v>
      </x:c>
      <x:c r="H6" s="13" t="str">
        <x:v>金币+元宝+总账材料</x:v>
      </x:c>
      <x:c r="I6" s="13"/>
      <x:c r="J6" s="13" t="str">
        <x:v>野兽骨片等既有直接掉落单列，勿重复计算</x:v>
      </x:c>
    </x:row>
    <x:row r="7">
      <x:c r="A7" s="13" t="str">
        <x:v>第二大陆</x:v>
      </x:c>
      <x:c r="B7" s="13" t="str">
        <x:v>稀有怪</x:v>
      </x:c>
      <x:c r="C7" s="13" t="str">
        <x:v>同上</x:v>
      </x:c>
      <x:c r="D7" s="13" t="str">
        <x:v>6—20阶</x:v>
      </x:c>
      <x:c r="E7" s="13" t="str">
        <x:v>对应自身专属</x:v>
      </x:c>
      <x:c r="F7" s="13" t="str">
        <x:v>沿用现成</x:v>
      </x:c>
      <x:c r="G7" s="13" t="str">
        <x:v>代表性5种</x:v>
      </x:c>
      <x:c r="H7" s="13" t="str">
        <x:v>同上</x:v>
      </x:c>
      <x:c r="I7" s="13"/>
      <x:c r="J7" s="13" t="str">
        <x:v>旧概率不自动沿用为本轮正式值</x:v>
      </x:c>
    </x:row>
    <x:row r="8">
      <x:c r="A8" s="13" t="str">
        <x:v>第二大陆</x:v>
      </x:c>
      <x:c r="B8" s="13" t="str">
        <x:v>地图BOSS</x:v>
      </x:c>
      <x:c r="C8" s="13" t="str">
        <x:v>同上</x:v>
      </x:c>
      <x:c r="D8" s="13" t="str">
        <x:v>6—20阶</x:v>
      </x:c>
      <x:c r="E8" s="13" t="str">
        <x:v>对应BOSS/生肖基础件X</x:v>
      </x:c>
      <x:c r="F8" s="13" t="str">
        <x:v>沿用现成</x:v>
      </x:c>
      <x:c r="G8" s="13" t="str">
        <x:v>10种</x:v>
      </x:c>
      <x:c r="H8" s="13" t="str">
        <x:v>同上</x:v>
      </x:c>
      <x:c r="I8" s="13"/>
      <x:c r="J8" s="13" t="str">
        <x:v>生肖可直爆，也可作为必备X合成强化版</x:v>
      </x:c>
    </x:row>
    <x:row r="9">
      <x:c r="A9" s="13" t="str">
        <x:v>第二大陆</x:v>
      </x:c>
      <x:c r="B9" s="13" t="str">
        <x:v>葛瑞克</x:v>
      </x:c>
      <x:c r="C9" s="13" t="str">
        <x:v>主线+每日额外挑战</x:v>
      </x:c>
      <x:c r="D9" s="13" t="str">
        <x:v>6—20阶</x:v>
      </x:c>
      <x:c r="E9" s="13" t="str">
        <x:v>守关专属/生肖/追梦池</x:v>
      </x:c>
      <x:c r="F9" s="13" t="str">
        <x:v>沿用现成</x:v>
      </x:c>
      <x:c r="G9" s="13" t="str">
        <x:v>1种</x:v>
      </x:c>
      <x:c r="H9" s="13" t="str">
        <x:v>单列每日额外福利</x:v>
      </x:c>
      <x:c r="I9" s="13"/>
      <x:c r="J9" s="13" t="str">
        <x:v>追梦6件可同时佩戴；概率需按六件并戴价值重算</x:v>
      </x:c>
    </x:row>
    <x:row r="10">
      <x:c r="A10" s="13" t="str">
        <x:v>全前期</x:v>
      </x:c>
      <x:c r="B10" s="13" t="str">
        <x:v>普通装备回收</x:v>
      </x:c>
      <x:c r="C10" s="13" t="str">
        <x:v>回收</x:v>
      </x:c>
      <x:c r="D10" s="13" t="str">
        <x:v>1—20阶</x:v>
      </x:c>
      <x:c r="E10" s="13"/>
      <x:c r="F10" s="13"/>
      <x:c r="G10" s="13"/>
      <x:c r="H10" s="13" t="str">
        <x:v>金币+元宝，可同件多货币</x:v>
      </x:c>
      <x:c r="I10" s="13"/>
      <x:c r="J10" s="13" t="str">
        <x:v>高级回收需高级材料/进度，方式待确认</x:v>
      </x:c>
    </x:row>
    <x:row r="11">
      <x:c r="A11" s="13" t="str">
        <x:v>全前期</x:v>
      </x:c>
      <x:c r="B11" s="13" t="str">
        <x:v>专属拆解</x:v>
      </x:c>
      <x:c r="C11" s="13" t="str">
        <x:v>拆解</x:v>
      </x:c>
      <x:c r="D11" s="13"/>
      <x:c r="E11" s="13" t="str">
        <x:v>专属装备</x:v>
      </x:c>
      <x:c r="F11" s="13"/>
      <x:c r="G11" s="13"/>
      <x:c r="H11" s="13" t="str">
        <x:v>失色锻造石</x:v>
      </x:c>
      <x:c r="I11" s="13"/>
      <x:c r="J11" s="13" t="str">
        <x:v>不设怪物直接掉失色锻造石</x:v>
      </x:c>
    </x:row>
    <x:row r="12">
      <x:c r="A12" s="13" t="str">
        <x:v>全前期</x:v>
      </x:c>
      <x:c r="B12" s="13" t="str">
        <x:v>充值市场</x:v>
      </x:c>
      <x:c r="C12" s="13" t="str">
        <x:v>玩家交易收购</x:v>
      </x:c>
      <x:c r="D12" s="13"/>
      <x:c r="E12" s="13"/>
      <x:c r="F12" s="13"/>
      <x:c r="G12" s="13"/>
      <x:c r="H12" s="13" t="str">
        <x:v>与系统自产分账</x:v>
      </x:c>
      <x:c r="I12" s="13"/>
      <x:c r="J12" s="13" t="str">
        <x:v>商店不直接售卖装备/材料/货币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6" hidden="0" customWidth="1"/>
  </x:cols>
  <x:sheetData>
    <x:row r="1" ht="30" customHeight="1">
      <x:c r="A1" s="10" t="str">
        <x:v>目标档位</x:v>
      </x:c>
      <x:c r="B1" s="7" t="str">
        <x:v>累计主属性</x:v>
      </x:c>
      <x:c r="C1" s="7" t="str">
        <x:v>累计HP</x:v>
      </x:c>
      <x:c r="D1" s="7" t="str">
        <x:v>野兽骨片成本</x:v>
      </x:c>
      <x:c r="E1" s="7" t="str">
        <x:v>成本状态</x:v>
      </x:c>
    </x:row>
    <x:row r="2">
      <x:c r="A2" s="11" t="n">
        <x:v>1</x:v>
      </x:c>
      <x:c r="B2" s="11" t="n">
        <x:f>A2*(A2+1)/2</x:f>
        <x:v>1</x:v>
      </x:c>
      <x:c r="C2" s="11" t="n">
        <x:f>B2*100</x:f>
        <x:v>100</x:v>
      </x:c>
      <x:c r="D2" s="11"/>
      <x:c r="E2" s="7" t="str">
        <x:v>待资源总账回算</x:v>
      </x:c>
    </x:row>
    <x:row r="3">
      <x:c r="A3" s="11" t="n">
        <x:v>2</x:v>
      </x:c>
      <x:c r="B3" s="11" t="n">
        <x:f>A3*(A3+1)/2</x:f>
        <x:v>3</x:v>
      </x:c>
      <x:c r="C3" s="11" t="n">
        <x:f>B3*100</x:f>
        <x:v>300</x:v>
      </x:c>
      <x:c r="D3" s="11"/>
      <x:c r="E3" s="7" t="str">
        <x:v>待资源总账回算</x:v>
      </x:c>
    </x:row>
    <x:row r="4">
      <x:c r="A4" s="11" t="n">
        <x:v>3</x:v>
      </x:c>
      <x:c r="B4" s="11" t="n">
        <x:f>A4*(A4+1)/2</x:f>
        <x:v>6</x:v>
      </x:c>
      <x:c r="C4" s="11" t="n">
        <x:f>B4*100</x:f>
        <x:v>600</x:v>
      </x:c>
      <x:c r="D4" s="11"/>
      <x:c r="E4" s="7" t="str">
        <x:v>待资源总账回算</x:v>
      </x:c>
    </x:row>
    <x:row r="5">
      <x:c r="A5" s="11" t="n">
        <x:v>4</x:v>
      </x:c>
      <x:c r="B5" s="11" t="n">
        <x:f>A5*(A5+1)/2</x:f>
        <x:v>10</x:v>
      </x:c>
      <x:c r="C5" s="11" t="n">
        <x:f>B5*100</x:f>
        <x:v>1000</x:v>
      </x:c>
      <x:c r="D5" s="11"/>
      <x:c r="E5" s="7" t="str">
        <x:v>待资源总账回算</x:v>
      </x:c>
    </x:row>
    <x:row r="6">
      <x:c r="A6" s="11" t="n">
        <x:v>5</x:v>
      </x:c>
      <x:c r="B6" s="11" t="n">
        <x:f>A6*(A6+1)/2</x:f>
        <x:v>15</x:v>
      </x:c>
      <x:c r="C6" s="11" t="n">
        <x:f>B6*100</x:f>
        <x:v>1500</x:v>
      </x:c>
      <x:c r="D6" s="11"/>
      <x:c r="E6" s="7" t="str">
        <x:v>待资源总账回算</x:v>
      </x:c>
    </x:row>
    <x:row r="7">
      <x:c r="A7" s="11" t="n">
        <x:v>6</x:v>
      </x:c>
      <x:c r="B7" s="11" t="n">
        <x:f>A7*(A7+1)/2</x:f>
        <x:v>21</x:v>
      </x:c>
      <x:c r="C7" s="11" t="n">
        <x:f>B7*100</x:f>
        <x:v>2100</x:v>
      </x:c>
      <x:c r="D7" s="11"/>
      <x:c r="E7" s="7" t="str">
        <x:v>待资源总账回算</x:v>
      </x:c>
    </x:row>
    <x:row r="8">
      <x:c r="A8" s="11" t="n">
        <x:v>7</x:v>
      </x:c>
      <x:c r="B8" s="11" t="n">
        <x:f>A8*(A8+1)/2</x:f>
        <x:v>28</x:v>
      </x:c>
      <x:c r="C8" s="11" t="n">
        <x:f>B8*100</x:f>
        <x:v>2800</x:v>
      </x:c>
      <x:c r="D8" s="11"/>
      <x:c r="E8" s="7" t="str">
        <x:v>待资源总账回算</x:v>
      </x:c>
    </x:row>
    <x:row r="9">
      <x:c r="A9" s="11" t="n">
        <x:v>8</x:v>
      </x:c>
      <x:c r="B9" s="11" t="n">
        <x:f>A9*(A9+1)/2</x:f>
        <x:v>36</x:v>
      </x:c>
      <x:c r="C9" s="11" t="n">
        <x:f>B9*100</x:f>
        <x:v>3600</x:v>
      </x:c>
      <x:c r="D9" s="11"/>
      <x:c r="E9" s="7" t="str">
        <x:v>待资源总账回算</x:v>
      </x:c>
    </x:row>
    <x:row r="10">
      <x:c r="A10" s="11" t="n">
        <x:v>9</x:v>
      </x:c>
      <x:c r="B10" s="11" t="n">
        <x:f>A10*(A10+1)/2</x:f>
        <x:v>45</x:v>
      </x:c>
      <x:c r="C10" s="11" t="n">
        <x:f>B10*100</x:f>
        <x:v>4500</x:v>
      </x:c>
      <x:c r="D10" s="11"/>
      <x:c r="E10" s="7" t="str">
        <x:v>待资源总账回算</x:v>
      </x:c>
    </x:row>
    <x:row r="11">
      <x:c r="A11" s="11" t="n">
        <x:v>10</x:v>
      </x:c>
      <x:c r="B11" s="11" t="n">
        <x:f>A11*(A11+1)/2</x:f>
        <x:v>55</x:v>
      </x:c>
      <x:c r="C11" s="11" t="n">
        <x:f>B11*100</x:f>
        <x:v>5500</x:v>
      </x:c>
      <x:c r="D11" s="11"/>
      <x:c r="E11" s="7" t="str">
        <x:v>待资源总账回算</x:v>
      </x:c>
    </x:row>
    <x:row r="12">
      <x:c r="A12" s="11" t="n">
        <x:v>11</x:v>
      </x:c>
      <x:c r="B12" s="11" t="n">
        <x:f>A12*(A12+1)/2</x:f>
        <x:v>66</x:v>
      </x:c>
      <x:c r="C12" s="11" t="n">
        <x:f>B12*100</x:f>
        <x:v>6600</x:v>
      </x:c>
      <x:c r="D12" s="11"/>
      <x:c r="E12" s="7" t="str">
        <x:v>待资源总账回算</x:v>
      </x:c>
    </x:row>
    <x:row r="13">
      <x:c r="A13" s="11" t="n">
        <x:v>12</x:v>
      </x:c>
      <x:c r="B13" s="11" t="n">
        <x:f>A13*(A13+1)/2</x:f>
        <x:v>78</x:v>
      </x:c>
      <x:c r="C13" s="11" t="n">
        <x:f>B13*100</x:f>
        <x:v>7800</x:v>
      </x:c>
      <x:c r="D13" s="11"/>
      <x:c r="E13" s="7" t="str">
        <x:v>待资源总账回算</x:v>
      </x:c>
    </x:row>
    <x:row r="14">
      <x:c r="A14" s="11" t="n">
        <x:v>13</x:v>
      </x:c>
      <x:c r="B14" s="11" t="n">
        <x:f>A14*(A14+1)/2</x:f>
        <x:v>91</x:v>
      </x:c>
      <x:c r="C14" s="11" t="n">
        <x:f>B14*100</x:f>
        <x:v>9100</x:v>
      </x:c>
      <x:c r="D14" s="11"/>
      <x:c r="E14" s="7" t="str">
        <x:v>待资源总账回算</x:v>
      </x:c>
    </x:row>
    <x:row r="15">
      <x:c r="A15" s="11" t="n">
        <x:v>14</x:v>
      </x:c>
      <x:c r="B15" s="11" t="n">
        <x:f>A15*(A15+1)/2</x:f>
        <x:v>105</x:v>
      </x:c>
      <x:c r="C15" s="11" t="n">
        <x:f>B15*100</x:f>
        <x:v>10500</x:v>
      </x:c>
      <x:c r="D15" s="11"/>
      <x:c r="E15" s="7" t="str">
        <x:v>待资源总账回算</x:v>
      </x:c>
    </x:row>
    <x:row r="16">
      <x:c r="A16" s="11" t="n">
        <x:v>15</x:v>
      </x:c>
      <x:c r="B16" s="11" t="n">
        <x:f>A16*(A16+1)/2</x:f>
        <x:v>120</x:v>
      </x:c>
      <x:c r="C16" s="11" t="n">
        <x:f>B16*100</x:f>
        <x:v>12000</x:v>
      </x:c>
      <x:c r="D16" s="11"/>
      <x:c r="E16" s="7" t="str">
        <x:v>待资源总账回算</x:v>
      </x:c>
    </x:row>
    <x:row r="17">
      <x:c r="A17" s="11" t="n">
        <x:v>16</x:v>
      </x:c>
      <x:c r="B17" s="11" t="n">
        <x:f>A17*(A17+1)/2</x:f>
        <x:v>136</x:v>
      </x:c>
      <x:c r="C17" s="11" t="n">
        <x:f>B17*100</x:f>
        <x:v>13600</x:v>
      </x:c>
      <x:c r="D17" s="11"/>
      <x:c r="E17" s="7" t="str">
        <x:v>待资源总账回算</x:v>
      </x:c>
    </x:row>
    <x:row r="18">
      <x:c r="A18" s="11" t="n">
        <x:v>17</x:v>
      </x:c>
      <x:c r="B18" s="11" t="n">
        <x:f>A18*(A18+1)/2</x:f>
        <x:v>153</x:v>
      </x:c>
      <x:c r="C18" s="11" t="n">
        <x:f>B18*100</x:f>
        <x:v>15300</x:v>
      </x:c>
      <x:c r="D18" s="11"/>
      <x:c r="E18" s="7" t="str">
        <x:v>待资源总账回算</x:v>
      </x:c>
    </x:row>
    <x:row r="19">
      <x:c r="A19" s="11" t="n">
        <x:v>18</x:v>
      </x:c>
      <x:c r="B19" s="11" t="n">
        <x:f>A19*(A19+1)/2</x:f>
        <x:v>171</x:v>
      </x:c>
      <x:c r="C19" s="11" t="n">
        <x:f>B19*100</x:f>
        <x:v>17100</x:v>
      </x:c>
      <x:c r="D19" s="11"/>
      <x:c r="E19" s="7" t="str">
        <x:v>待资源总账回算</x:v>
      </x:c>
    </x:row>
    <x:row r="20">
      <x:c r="A20" s="11" t="n">
        <x:v>19</x:v>
      </x:c>
      <x:c r="B20" s="11" t="n">
        <x:f>A20*(A20+1)/2</x:f>
        <x:v>190</x:v>
      </x:c>
      <x:c r="C20" s="11" t="n">
        <x:f>B20*100</x:f>
        <x:v>19000</x:v>
      </x:c>
      <x:c r="D20" s="11"/>
      <x:c r="E20" s="7" t="str">
        <x:v>待资源总账回算</x:v>
      </x:c>
    </x:row>
    <x:row r="21">
      <x:c r="A21" s="11" t="n">
        <x:v>20</x:v>
      </x:c>
      <x:c r="B21" s="11" t="n">
        <x:f>A21*(A21+1)/2</x:f>
        <x:v>210</x:v>
      </x:c>
      <x:c r="C21" s="11" t="n">
        <x:f>B21*100</x:f>
        <x:v>21000</x:v>
      </x:c>
      <x:c r="D21" s="11"/>
      <x:c r="E21" s="7" t="str">
        <x:v>待资源总账回算</x:v>
      </x:c>
    </x:row>
    <x:row r="22">
      <x:c r="A22" s="11" t="n">
        <x:v>21</x:v>
      </x:c>
      <x:c r="B22" s="11" t="n">
        <x:f>A22*(A22+1)/2</x:f>
        <x:v>231</x:v>
      </x:c>
      <x:c r="C22" s="11" t="n">
        <x:f>B22*100</x:f>
        <x:v>23100</x:v>
      </x:c>
      <x:c r="D22" s="11"/>
      <x:c r="E22" s="7" t="str">
        <x:v>待资源总账回算</x:v>
      </x:c>
    </x:row>
    <x:row r="23">
      <x:c r="A23" s="11" t="n">
        <x:v>22</x:v>
      </x:c>
      <x:c r="B23" s="11" t="n">
        <x:f>A23*(A23+1)/2</x:f>
        <x:v>253</x:v>
      </x:c>
      <x:c r="C23" s="11" t="n">
        <x:f>B23*100</x:f>
        <x:v>25300</x:v>
      </x:c>
      <x:c r="D23" s="11" t="n">
        <x:v>31</x:v>
      </x:c>
      <x:c r="E23" s="7" t="str">
        <x:v>用户已确认</x:v>
      </x:c>
    </x:row>
    <x:row r="24">
      <x:c r="A24" s="11" t="n">
        <x:v>23</x:v>
      </x:c>
      <x:c r="B24" s="11" t="n">
        <x:f>A24*(A24+1)/2</x:f>
        <x:v>276</x:v>
      </x:c>
      <x:c r="C24" s="11" t="n">
        <x:f>B24*100</x:f>
        <x:v>27600</x:v>
      </x:c>
      <x:c r="D24" s="11" t="n">
        <x:v>32</x:v>
      </x:c>
      <x:c r="E24" s="7" t="str">
        <x:v>用户已确认</x:v>
      </x:c>
    </x:row>
    <x:row r="25">
      <x:c r="A25" s="11" t="n">
        <x:v>24</x:v>
      </x:c>
      <x:c r="B25" s="11" t="n">
        <x:f>A25*(A25+1)/2</x:f>
        <x:v>300</x:v>
      </x:c>
      <x:c r="C25" s="11" t="n">
        <x:f>B25*100</x:f>
        <x:v>30000</x:v>
      </x:c>
      <x:c r="D25" s="11"/>
      <x:c r="E25" s="7" t="str">
        <x:v>待资源总账回算</x:v>
      </x:c>
    </x:row>
    <x:row r="26">
      <x:c r="A26" s="11" t="n">
        <x:v>25</x:v>
      </x:c>
      <x:c r="B26" s="11" t="n">
        <x:f>A26*(A26+1)/2</x:f>
        <x:v>325</x:v>
      </x:c>
      <x:c r="C26" s="11" t="n">
        <x:f>B26*100</x:f>
        <x:v>32500</x:v>
      </x:c>
      <x:c r="D26" s="11"/>
      <x:c r="E26" s="7" t="str">
        <x:v>待资源总账回算</x:v>
      </x:c>
    </x:row>
    <x:row r="27">
      <x:c r="A27" s="11" t="n">
        <x:v>26</x:v>
      </x:c>
      <x:c r="B27" s="11" t="n">
        <x:f>A27*(A27+1)/2</x:f>
        <x:v>351</x:v>
      </x:c>
      <x:c r="C27" s="11" t="n">
        <x:f>B27*100</x:f>
        <x:v>35100</x:v>
      </x:c>
      <x:c r="D27" s="11"/>
      <x:c r="E27" s="7" t="str">
        <x:v>待资源总账回算</x:v>
      </x:c>
    </x:row>
    <x:row r="28">
      <x:c r="A28" s="11" t="n">
        <x:v>27</x:v>
      </x:c>
      <x:c r="B28" s="11" t="n">
        <x:f>A28*(A28+1)/2</x:f>
        <x:v>378</x:v>
      </x:c>
      <x:c r="C28" s="11" t="n">
        <x:f>B28*100</x:f>
        <x:v>37800</x:v>
      </x:c>
      <x:c r="D28" s="11"/>
      <x:c r="E28" s="7" t="str">
        <x:v>待资源总账回算</x:v>
      </x:c>
    </x:row>
    <x:row r="29">
      <x:c r="A29" s="11" t="n">
        <x:v>28</x:v>
      </x:c>
      <x:c r="B29" s="11" t="n">
        <x:f>A29*(A29+1)/2</x:f>
        <x:v>406</x:v>
      </x:c>
      <x:c r="C29" s="11" t="n">
        <x:f>B29*100</x:f>
        <x:v>40600</x:v>
      </x:c>
      <x:c r="D29" s="11"/>
      <x:c r="E29" s="7" t="str">
        <x:v>待资源总账回算</x:v>
      </x:c>
    </x:row>
    <x:row r="30">
      <x:c r="A30" s="11" t="n">
        <x:v>29</x:v>
      </x:c>
      <x:c r="B30" s="11" t="n">
        <x:f>A30*(A30+1)/2</x:f>
        <x:v>435</x:v>
      </x:c>
      <x:c r="C30" s="11" t="n">
        <x:f>B30*100</x:f>
        <x:v>43500</x:v>
      </x:c>
      <x:c r="D30" s="11"/>
      <x:c r="E30" s="7" t="str">
        <x:v>待资源总账回算</x:v>
      </x:c>
    </x:row>
    <x:row r="31">
      <x:c r="A31" s="11" t="n">
        <x:v>30</x:v>
      </x:c>
      <x:c r="B31" s="11" t="n">
        <x:f>A31*(A31+1)/2</x:f>
        <x:v>465</x:v>
      </x:c>
      <x:c r="C31" s="11" t="n">
        <x:f>B31*100</x:f>
        <x:v>46500</x:v>
      </x:c>
      <x:c r="D31" s="11"/>
      <x:c r="E31" s="7" t="str">
        <x:v>待资源总账回算</x:v>
      </x:c>
    </x:row>
    <x:row r="32">
      <x:c r="A32" s="11" t="n">
        <x:v>31</x:v>
      </x:c>
      <x:c r="B32" s="11" t="n">
        <x:f>A32*(A32+1)/2</x:f>
        <x:v>496</x:v>
      </x:c>
      <x:c r="C32" s="11" t="n">
        <x:f>B32*100</x:f>
        <x:v>49600</x:v>
      </x:c>
      <x:c r="D32" s="11"/>
      <x:c r="E32" s="7" t="str">
        <x:v>待资源总账回算</x:v>
      </x:c>
    </x:row>
    <x:row r="33">
      <x:c r="A33" s="11" t="n">
        <x:v>32</x:v>
      </x:c>
      <x:c r="B33" s="11" t="n">
        <x:f>A33*(A33+1)/2</x:f>
        <x:v>528</x:v>
      </x:c>
      <x:c r="C33" s="11" t="n">
        <x:f>B33*100</x:f>
        <x:v>52800</x:v>
      </x:c>
      <x:c r="D33" s="11"/>
      <x:c r="E33" s="7" t="str">
        <x:v>待资源总账回算</x:v>
      </x:c>
    </x:row>
    <x:row r="34">
      <x:c r="A34" s="11" t="n">
        <x:v>33</x:v>
      </x:c>
      <x:c r="B34" s="11" t="n">
        <x:f>A34*(A34+1)/2</x:f>
        <x:v>561</x:v>
      </x:c>
      <x:c r="C34" s="11" t="n">
        <x:f>B34*100</x:f>
        <x:v>56100</x:v>
      </x:c>
      <x:c r="D34" s="11"/>
      <x:c r="E34" s="7" t="str">
        <x:v>待资源总账回算</x:v>
      </x:c>
    </x:row>
    <x:row r="35">
      <x:c r="A35" s="11" t="n">
        <x:v>34</x:v>
      </x:c>
      <x:c r="B35" s="11" t="n">
        <x:f>A35*(A35+1)/2</x:f>
        <x:v>595</x:v>
      </x:c>
      <x:c r="C35" s="11" t="n">
        <x:f>B35*100</x:f>
        <x:v>59500</x:v>
      </x:c>
      <x:c r="D35" s="11"/>
      <x:c r="E35" s="7" t="str">
        <x:v>待资源总账回算</x:v>
      </x:c>
    </x:row>
    <x:row r="36">
      <x:c r="A36" s="11" t="n">
        <x:v>35</x:v>
      </x:c>
      <x:c r="B36" s="11" t="n">
        <x:f>A36*(A36+1)/2</x:f>
        <x:v>630</x:v>
      </x:c>
      <x:c r="C36" s="11" t="n">
        <x:f>B36*100</x:f>
        <x:v>63000</x:v>
      </x:c>
      <x:c r="D36" s="11"/>
      <x:c r="E36" s="7" t="str">
        <x:v>待资源总账回算</x:v>
      </x:c>
    </x:row>
    <x:row r="37">
      <x:c r="A37" s="11" t="n">
        <x:v>36</x:v>
      </x:c>
      <x:c r="B37" s="11" t="n">
        <x:f>A37*(A37+1)/2</x:f>
        <x:v>666</x:v>
      </x:c>
      <x:c r="C37" s="11" t="n">
        <x:f>B37*100</x:f>
        <x:v>66600</x:v>
      </x:c>
      <x:c r="D37" s="11"/>
      <x:c r="E37" s="7" t="str">
        <x:v>待资源总账回算</x:v>
      </x:c>
    </x:row>
    <x:row r="38">
      <x:c r="A38" s="11" t="n">
        <x:v>37</x:v>
      </x:c>
      <x:c r="B38" s="11" t="n">
        <x:f>A38*(A38+1)/2</x:f>
        <x:v>703</x:v>
      </x:c>
      <x:c r="C38" s="11" t="n">
        <x:f>B38*100</x:f>
        <x:v>70300</x:v>
      </x:c>
      <x:c r="D38" s="11"/>
      <x:c r="E38" s="7" t="str">
        <x:v>待资源总账回算</x:v>
      </x:c>
    </x:row>
    <x:row r="39">
      <x:c r="A39" s="11" t="n">
        <x:v>38</x:v>
      </x:c>
      <x:c r="B39" s="11" t="n">
        <x:f>A39*(A39+1)/2</x:f>
        <x:v>741</x:v>
      </x:c>
      <x:c r="C39" s="11" t="n">
        <x:f>B39*100</x:f>
        <x:v>74100</x:v>
      </x:c>
      <x:c r="D39" s="11"/>
      <x:c r="E39" s="7" t="str">
        <x:v>待资源总账回算</x:v>
      </x:c>
    </x:row>
    <x:row r="40">
      <x:c r="A40" s="11" t="n">
        <x:v>39</x:v>
      </x:c>
      <x:c r="B40" s="11" t="n">
        <x:f>A40*(A40+1)/2</x:f>
        <x:v>780</x:v>
      </x:c>
      <x:c r="C40" s="11" t="n">
        <x:f>B40*100</x:f>
        <x:v>78000</x:v>
      </x:c>
      <x:c r="D40" s="11"/>
      <x:c r="E40" s="7" t="str">
        <x:v>待资源总账回算</x:v>
      </x:c>
    </x:row>
    <x:row r="41">
      <x:c r="A41" s="11" t="n">
        <x:v>40</x:v>
      </x:c>
      <x:c r="B41" s="11" t="n">
        <x:f>A41*(A41+1)/2</x:f>
        <x:v>820</x:v>
      </x:c>
      <x:c r="C41" s="11" t="n">
        <x:f>B41*100</x:f>
        <x:v>82000</x:v>
      </x:c>
      <x:c r="D41" s="11"/>
      <x:c r="E41" s="7" t="str">
        <x:v>待资源总账回算</x:v>
      </x:c>
    </x:row>
    <x:row r="42">
      <x:c r="A42" s="11" t="n">
        <x:v>41</x:v>
      </x:c>
      <x:c r="B42" s="11" t="n">
        <x:f>A42*(A42+1)/2</x:f>
        <x:v>861</x:v>
      </x:c>
      <x:c r="C42" s="11" t="n">
        <x:f>B42*100</x:f>
        <x:v>86100</x:v>
      </x:c>
      <x:c r="D42" s="11"/>
      <x:c r="E42" s="7" t="str">
        <x:v>待资源总账回算</x:v>
      </x:c>
    </x:row>
    <x:row r="43">
      <x:c r="A43" s="11" t="n">
        <x:v>42</x:v>
      </x:c>
      <x:c r="B43" s="11" t="n">
        <x:f>A43*(A43+1)/2</x:f>
        <x:v>903</x:v>
      </x:c>
      <x:c r="C43" s="11" t="n">
        <x:f>B43*100</x:f>
        <x:v>90300</x:v>
      </x:c>
      <x:c r="D43" s="11"/>
      <x:c r="E43" s="7" t="str">
        <x:v>待资源总账回算</x:v>
      </x:c>
    </x:row>
    <x:row r="44">
      <x:c r="A44" s="11" t="n">
        <x:v>43</x:v>
      </x:c>
      <x:c r="B44" s="11" t="n">
        <x:f>A44*(A44+1)/2</x:f>
        <x:v>946</x:v>
      </x:c>
      <x:c r="C44" s="11" t="n">
        <x:f>B44*100</x:f>
        <x:v>94600</x:v>
      </x:c>
      <x:c r="D44" s="11"/>
      <x:c r="E44" s="7" t="str">
        <x:v>待资源总账回算</x:v>
      </x:c>
    </x:row>
    <x:row r="45">
      <x:c r="A45" s="11" t="n">
        <x:v>44</x:v>
      </x:c>
      <x:c r="B45" s="11" t="n">
        <x:f>A45*(A45+1)/2</x:f>
        <x:v>990</x:v>
      </x:c>
      <x:c r="C45" s="11" t="n">
        <x:f>B45*100</x:f>
        <x:v>99000</x:v>
      </x:c>
      <x:c r="D45" s="11"/>
      <x:c r="E45" s="7" t="str">
        <x:v>待资源总账回算</x:v>
      </x:c>
    </x:row>
    <x:row r="46">
      <x:c r="A46" s="11" t="n">
        <x:v>45</x:v>
      </x:c>
      <x:c r="B46" s="11" t="n">
        <x:f>A46*(A46+1)/2</x:f>
        <x:v>1035</x:v>
      </x:c>
      <x:c r="C46" s="11" t="n">
        <x:f>B46*100</x:f>
        <x:v>103500</x:v>
      </x:c>
      <x:c r="D46" s="11"/>
      <x:c r="E46" s="7" t="str">
        <x:v>待资源总账回算</x:v>
      </x:c>
    </x:row>
    <x:row r="47">
      <x:c r="A47" s="11" t="n">
        <x:v>46</x:v>
      </x:c>
      <x:c r="B47" s="11" t="n">
        <x:f>A47*(A47+1)/2</x:f>
        <x:v>1081</x:v>
      </x:c>
      <x:c r="C47" s="11" t="n">
        <x:f>B47*100</x:f>
        <x:v>108100</x:v>
      </x:c>
      <x:c r="D47" s="11"/>
      <x:c r="E47" s="7" t="str">
        <x:v>待资源总账回算</x:v>
      </x:c>
    </x:row>
    <x:row r="48">
      <x:c r="A48" s="11" t="n">
        <x:v>47</x:v>
      </x:c>
      <x:c r="B48" s="11" t="n">
        <x:f>A48*(A48+1)/2</x:f>
        <x:v>1128</x:v>
      </x:c>
      <x:c r="C48" s="11" t="n">
        <x:f>B48*100</x:f>
        <x:v>112800</x:v>
      </x:c>
      <x:c r="D48" s="11"/>
      <x:c r="E48" s="7" t="str">
        <x:v>待资源总账回算</x:v>
      </x:c>
    </x:row>
    <x:row r="49">
      <x:c r="A49" s="11" t="n">
        <x:v>48</x:v>
      </x:c>
      <x:c r="B49" s="11" t="n">
        <x:f>A49*(A49+1)/2</x:f>
        <x:v>1176</x:v>
      </x:c>
      <x:c r="C49" s="11" t="n">
        <x:f>B49*100</x:f>
        <x:v>117600</x:v>
      </x:c>
      <x:c r="D49" s="11"/>
      <x:c r="E49" s="7" t="str">
        <x:v>待资源总账回算</x:v>
      </x:c>
    </x:row>
    <x:row r="50">
      <x:c r="A50" s="11" t="n">
        <x:v>49</x:v>
      </x:c>
      <x:c r="B50" s="11" t="n">
        <x:f>A50*(A50+1)/2</x:f>
        <x:v>1225</x:v>
      </x:c>
      <x:c r="C50" s="11" t="n">
        <x:f>B50*100</x:f>
        <x:v>122500</x:v>
      </x:c>
      <x:c r="D50" s="11"/>
      <x:c r="E50" s="7" t="str">
        <x:v>待资源总账回算</x:v>
      </x:c>
    </x:row>
    <x:row r="51">
      <x:c r="A51" s="11" t="n">
        <x:v>50</x:v>
      </x:c>
      <x:c r="B51" s="11" t="n">
        <x:f>A51*(A51+1)/2</x:f>
        <x:v>1275</x:v>
      </x:c>
      <x:c r="C51" s="11" t="n">
        <x:f>B51*100</x:f>
        <x:v>127500</x:v>
      </x:c>
      <x:c r="D51" s="11"/>
      <x:c r="E51" s="7" t="str">
        <x:v>待资源总账回算</x:v>
      </x:c>
    </x:row>
    <x:row r="52">
      <x:c r="A52" s="11" t="n">
        <x:v>51</x:v>
      </x:c>
      <x:c r="B52" s="11" t="n">
        <x:f>A52*(A52+1)/2</x:f>
        <x:v>1326</x:v>
      </x:c>
      <x:c r="C52" s="11" t="n">
        <x:f>B52*100</x:f>
        <x:v>132600</x:v>
      </x:c>
      <x:c r="D52" s="11"/>
      <x:c r="E52" s="7" t="str">
        <x:v>待资源总账回算</x:v>
      </x:c>
    </x:row>
    <x:row r="53">
      <x:c r="A53" s="11" t="n">
        <x:v>52</x:v>
      </x:c>
      <x:c r="B53" s="11" t="n">
        <x:f>A53*(A53+1)/2</x:f>
        <x:v>1378</x:v>
      </x:c>
      <x:c r="C53" s="11" t="n">
        <x:f>B53*100</x:f>
        <x:v>137800</x:v>
      </x:c>
      <x:c r="D53" s="11"/>
      <x:c r="E53" s="7" t="str">
        <x:v>待资源总账回算</x:v>
      </x:c>
    </x:row>
    <x:row r="54">
      <x:c r="A54" s="11" t="n">
        <x:v>53</x:v>
      </x:c>
      <x:c r="B54" s="11" t="n">
        <x:f>A54*(A54+1)/2</x:f>
        <x:v>1431</x:v>
      </x:c>
      <x:c r="C54" s="11" t="n">
        <x:f>B54*100</x:f>
        <x:v>143100</x:v>
      </x:c>
      <x:c r="D54" s="11"/>
      <x:c r="E54" s="7" t="str">
        <x:v>待资源总账回算</x:v>
      </x:c>
    </x:row>
    <x:row r="55">
      <x:c r="A55" s="11" t="n">
        <x:v>54</x:v>
      </x:c>
      <x:c r="B55" s="11" t="n">
        <x:f>A55*(A55+1)/2</x:f>
        <x:v>1485</x:v>
      </x:c>
      <x:c r="C55" s="11" t="n">
        <x:f>B55*100</x:f>
        <x:v>148500</x:v>
      </x:c>
      <x:c r="D55" s="11"/>
      <x:c r="E55" s="7" t="str">
        <x:v>待资源总账回算</x:v>
      </x:c>
    </x:row>
    <x:row r="56">
      <x:c r="A56" s="11" t="n">
        <x:v>55</x:v>
      </x:c>
      <x:c r="B56" s="11" t="n">
        <x:f>A56*(A56+1)/2</x:f>
        <x:v>1540</x:v>
      </x:c>
      <x:c r="C56" s="11" t="n">
        <x:f>B56*100</x:f>
        <x:v>154000</x:v>
      </x:c>
      <x:c r="D56" s="11"/>
      <x:c r="E56" s="7" t="str">
        <x:v>待资源总账回算</x:v>
      </x:c>
    </x:row>
    <x:row r="57">
      <x:c r="A57" s="11" t="n">
        <x:v>56</x:v>
      </x:c>
      <x:c r="B57" s="11" t="n">
        <x:f>A57*(A57+1)/2</x:f>
        <x:v>1596</x:v>
      </x:c>
      <x:c r="C57" s="11" t="n">
        <x:f>B57*100</x:f>
        <x:v>159600</x:v>
      </x:c>
      <x:c r="D57" s="11"/>
      <x:c r="E57" s="7" t="str">
        <x:v>待资源总账回算</x:v>
      </x:c>
    </x:row>
    <x:row r="58">
      <x:c r="A58" s="11" t="n">
        <x:v>57</x:v>
      </x:c>
      <x:c r="B58" s="11" t="n">
        <x:f>A58*(A58+1)/2</x:f>
        <x:v>1653</x:v>
      </x:c>
      <x:c r="C58" s="11" t="n">
        <x:f>B58*100</x:f>
        <x:v>165300</x:v>
      </x:c>
      <x:c r="D58" s="11"/>
      <x:c r="E58" s="7" t="str">
        <x:v>待资源总账回算</x:v>
      </x:c>
    </x:row>
    <x:row r="59">
      <x:c r="A59" s="11" t="n">
        <x:v>58</x:v>
      </x:c>
      <x:c r="B59" s="11" t="n">
        <x:f>A59*(A59+1)/2</x:f>
        <x:v>1711</x:v>
      </x:c>
      <x:c r="C59" s="11" t="n">
        <x:f>B59*100</x:f>
        <x:v>171100</x:v>
      </x:c>
      <x:c r="D59" s="11"/>
      <x:c r="E59" s="7" t="str">
        <x:v>待资源总账回算</x:v>
      </x:c>
    </x:row>
    <x:row r="60">
      <x:c r="A60" s="11" t="n">
        <x:v>59</x:v>
      </x:c>
      <x:c r="B60" s="11" t="n">
        <x:f>A60*(A60+1)/2</x:f>
        <x:v>1770</x:v>
      </x:c>
      <x:c r="C60" s="11" t="n">
        <x:f>B60*100</x:f>
        <x:v>177000</x:v>
      </x:c>
      <x:c r="D60" s="11"/>
      <x:c r="E60" s="7" t="str">
        <x:v>待资源总账回算</x:v>
      </x:c>
    </x:row>
    <x:row r="61">
      <x:c r="A61" s="11" t="n">
        <x:v>60</x:v>
      </x:c>
      <x:c r="B61" s="11" t="n">
        <x:f>A61*(A61+1)/2</x:f>
        <x:v>1830</x:v>
      </x:c>
      <x:c r="C61" s="11" t="n">
        <x:f>B61*100</x:f>
        <x:v>183000</x:v>
      </x:c>
      <x:c r="D61" s="11"/>
      <x:c r="E61" s="7" t="str">
        <x:v>待资源总账回算</x:v>
      </x:c>
    </x:row>
    <x:row r="62">
      <x:c r="A62" s="11" t="n">
        <x:v>61</x:v>
      </x:c>
      <x:c r="B62" s="11" t="n">
        <x:f>A62*(A62+1)/2</x:f>
        <x:v>1891</x:v>
      </x:c>
      <x:c r="C62" s="11" t="n">
        <x:f>B62*100</x:f>
        <x:v>189100</x:v>
      </x:c>
      <x:c r="D62" s="11"/>
      <x:c r="E62" s="7" t="str">
        <x:v>待资源总账回算</x:v>
      </x:c>
    </x:row>
    <x:row r="63">
      <x:c r="A63" s="11" t="n">
        <x:v>62</x:v>
      </x:c>
      <x:c r="B63" s="11" t="n">
        <x:f>A63*(A63+1)/2</x:f>
        <x:v>1953</x:v>
      </x:c>
      <x:c r="C63" s="11" t="n">
        <x:f>B63*100</x:f>
        <x:v>195300</x:v>
      </x:c>
      <x:c r="D63" s="11"/>
      <x:c r="E63" s="7" t="str">
        <x:v>待资源总账回算</x:v>
      </x:c>
    </x:row>
    <x:row r="64">
      <x:c r="A64" s="11" t="n">
        <x:v>63</x:v>
      </x:c>
      <x:c r="B64" s="11" t="n">
        <x:f>A64*(A64+1)/2</x:f>
        <x:v>2016</x:v>
      </x:c>
      <x:c r="C64" s="11" t="n">
        <x:f>B64*100</x:f>
        <x:v>201600</x:v>
      </x:c>
      <x:c r="D64" s="11"/>
      <x:c r="E64" s="7" t="str">
        <x:v>待资源总账回算</x:v>
      </x:c>
    </x:row>
    <x:row r="65">
      <x:c r="A65" s="11" t="n">
        <x:v>64</x:v>
      </x:c>
      <x:c r="B65" s="11" t="n">
        <x:f>A65*(A65+1)/2</x:f>
        <x:v>2080</x:v>
      </x:c>
      <x:c r="C65" s="11" t="n">
        <x:f>B65*100</x:f>
        <x:v>208000</x:v>
      </x:c>
      <x:c r="D65" s="11"/>
      <x:c r="E65" s="7" t="str">
        <x:v>待资源总账回算</x:v>
      </x:c>
    </x:row>
    <x:row r="66">
      <x:c r="A66" s="11" t="n">
        <x:v>65</x:v>
      </x:c>
      <x:c r="B66" s="11" t="n">
        <x:f>A66*(A66+1)/2</x:f>
        <x:v>2145</x:v>
      </x:c>
      <x:c r="C66" s="11" t="n">
        <x:f>B66*100</x:f>
        <x:v>214500</x:v>
      </x:c>
      <x:c r="D66" s="11"/>
      <x:c r="E66" s="7" t="str">
        <x:v>待资源总账回算</x:v>
      </x:c>
    </x:row>
    <x:row r="67">
      <x:c r="A67" s="11" t="n">
        <x:v>66</x:v>
      </x:c>
      <x:c r="B67" s="11" t="n">
        <x:f>A67*(A67+1)/2</x:f>
        <x:v>2211</x:v>
      </x:c>
      <x:c r="C67" s="11" t="n">
        <x:f>B67*100</x:f>
        <x:v>221100</x:v>
      </x:c>
      <x:c r="D67" s="11"/>
      <x:c r="E67" s="7" t="str">
        <x:v>待资源总账回算</x:v>
      </x:c>
    </x:row>
    <x:row r="68">
      <x:c r="A68" s="11" t="n">
        <x:v>67</x:v>
      </x:c>
      <x:c r="B68" s="11" t="n">
        <x:f>A68*(A68+1)/2</x:f>
        <x:v>2278</x:v>
      </x:c>
      <x:c r="C68" s="11" t="n">
        <x:f>B68*100</x:f>
        <x:v>227800</x:v>
      </x:c>
      <x:c r="D68" s="11"/>
      <x:c r="E68" s="7" t="str">
        <x:v>待资源总账回算</x:v>
      </x:c>
    </x:row>
    <x:row r="69">
      <x:c r="A69" s="11" t="n">
        <x:v>68</x:v>
      </x:c>
      <x:c r="B69" s="11" t="n">
        <x:f>A69*(A69+1)/2</x:f>
        <x:v>2346</x:v>
      </x:c>
      <x:c r="C69" s="11" t="n">
        <x:f>B69*100</x:f>
        <x:v>234600</x:v>
      </x:c>
      <x:c r="D69" s="11"/>
      <x:c r="E69" s="7" t="str">
        <x:v>待资源总账回算</x:v>
      </x:c>
    </x:row>
    <x:row r="70">
      <x:c r="A70" s="11" t="n">
        <x:v>69</x:v>
      </x:c>
      <x:c r="B70" s="11" t="n">
        <x:f>A70*(A70+1)/2</x:f>
        <x:v>2415</x:v>
      </x:c>
      <x:c r="C70" s="11" t="n">
        <x:f>B70*100</x:f>
        <x:v>241500</x:v>
      </x:c>
      <x:c r="D70" s="11"/>
      <x:c r="E70" s="7" t="str">
        <x:v>待资源总账回算</x:v>
      </x:c>
    </x:row>
    <x:row r="71">
      <x:c r="A71" s="11" t="n">
        <x:v>70</x:v>
      </x:c>
      <x:c r="B71" s="11" t="n">
        <x:f>A71*(A71+1)/2</x:f>
        <x:v>2485</x:v>
      </x:c>
      <x:c r="C71" s="11" t="n">
        <x:f>B71*100</x:f>
        <x:v>248500</x:v>
      </x:c>
      <x:c r="D71" s="11"/>
      <x:c r="E71" s="7" t="str">
        <x:v>待资源总账回算</x:v>
      </x:c>
    </x:row>
    <x:row r="72">
      <x:c r="A72" s="11" t="n">
        <x:v>71</x:v>
      </x:c>
      <x:c r="B72" s="11" t="n">
        <x:f>A72*(A72+1)/2</x:f>
        <x:v>2556</x:v>
      </x:c>
      <x:c r="C72" s="11" t="n">
        <x:f>B72*100</x:f>
        <x:v>255600</x:v>
      </x:c>
      <x:c r="D72" s="11"/>
      <x:c r="E72" s="7" t="str">
        <x:v>待资源总账回算</x:v>
      </x:c>
    </x:row>
    <x:row r="73">
      <x:c r="A73" s="11" t="n">
        <x:v>72</x:v>
      </x:c>
      <x:c r="B73" s="11" t="n">
        <x:f>A73*(A73+1)/2</x:f>
        <x:v>2628</x:v>
      </x:c>
      <x:c r="C73" s="11" t="n">
        <x:f>B73*100</x:f>
        <x:v>262800</x:v>
      </x:c>
      <x:c r="D73" s="11"/>
      <x:c r="E73" s="7" t="str">
        <x:v>待资源总账回算</x:v>
      </x:c>
    </x:row>
    <x:row r="74">
      <x:c r="A74" s="11" t="n">
        <x:v>73</x:v>
      </x:c>
      <x:c r="B74" s="11" t="n">
        <x:f>A74*(A74+1)/2</x:f>
        <x:v>2701</x:v>
      </x:c>
      <x:c r="C74" s="11" t="n">
        <x:f>B74*100</x:f>
        <x:v>270100</x:v>
      </x:c>
      <x:c r="D74" s="11"/>
      <x:c r="E74" s="7" t="str">
        <x:v>待资源总账回算</x:v>
      </x:c>
    </x:row>
    <x:row r="75">
      <x:c r="A75" s="11" t="n">
        <x:v>74</x:v>
      </x:c>
      <x:c r="B75" s="11" t="n">
        <x:f>A75*(A75+1)/2</x:f>
        <x:v>2775</x:v>
      </x:c>
      <x:c r="C75" s="11" t="n">
        <x:f>B75*100</x:f>
        <x:v>277500</x:v>
      </x:c>
      <x:c r="D75" s="11"/>
      <x:c r="E75" s="7" t="str">
        <x:v>待资源总账回算</x:v>
      </x:c>
    </x:row>
    <x:row r="76">
      <x:c r="A76" s="11" t="n">
        <x:v>75</x:v>
      </x:c>
      <x:c r="B76" s="11" t="n">
        <x:f>A76*(A76+1)/2</x:f>
        <x:v>2850</x:v>
      </x:c>
      <x:c r="C76" s="11" t="n">
        <x:f>B76*100</x:f>
        <x:v>285000</x:v>
      </x:c>
      <x:c r="D76" s="11"/>
      <x:c r="E76" s="7" t="str">
        <x:v>待资源总账回算</x:v>
      </x:c>
    </x:row>
    <x:row r="77">
      <x:c r="A77" s="11" t="n">
        <x:v>76</x:v>
      </x:c>
      <x:c r="B77" s="11" t="n">
        <x:f>A77*(A77+1)/2</x:f>
        <x:v>2926</x:v>
      </x:c>
      <x:c r="C77" s="11" t="n">
        <x:f>B77*100</x:f>
        <x:v>292600</x:v>
      </x:c>
      <x:c r="D77" s="11"/>
      <x:c r="E77" s="7" t="str">
        <x:v>待资源总账回算</x:v>
      </x:c>
    </x:row>
    <x:row r="78">
      <x:c r="A78" s="11" t="n">
        <x:v>77</x:v>
      </x:c>
      <x:c r="B78" s="11" t="n">
        <x:f>A78*(A78+1)/2</x:f>
        <x:v>3003</x:v>
      </x:c>
      <x:c r="C78" s="11" t="n">
        <x:f>B78*100</x:f>
        <x:v>300300</x:v>
      </x:c>
      <x:c r="D78" s="11"/>
      <x:c r="E78" s="7" t="str">
        <x:v>待资源总账回算</x:v>
      </x:c>
    </x:row>
    <x:row r="79">
      <x:c r="A79" s="11" t="n">
        <x:v>78</x:v>
      </x:c>
      <x:c r="B79" s="11" t="n">
        <x:f>A79*(A79+1)/2</x:f>
        <x:v>3081</x:v>
      </x:c>
      <x:c r="C79" s="11" t="n">
        <x:f>B79*100</x:f>
        <x:v>308100</x:v>
      </x:c>
      <x:c r="D79" s="11"/>
      <x:c r="E79" s="7" t="str">
        <x:v>待资源总账回算</x:v>
      </x:c>
    </x:row>
    <x:row r="80">
      <x:c r="A80" s="11" t="n">
        <x:v>79</x:v>
      </x:c>
      <x:c r="B80" s="11" t="n">
        <x:f>A80*(A80+1)/2</x:f>
        <x:v>3160</x:v>
      </x:c>
      <x:c r="C80" s="11" t="n">
        <x:f>B80*100</x:f>
        <x:v>316000</x:v>
      </x:c>
      <x:c r="D80" s="11"/>
      <x:c r="E80" s="7" t="str">
        <x:v>待资源总账回算</x:v>
      </x:c>
    </x:row>
    <x:row r="81">
      <x:c r="A81" s="11" t="n">
        <x:v>80</x:v>
      </x:c>
      <x:c r="B81" s="11" t="n">
        <x:f>A81*(A81+1)/2</x:f>
        <x:v>3240</x:v>
      </x:c>
      <x:c r="C81" s="11" t="n">
        <x:f>B81*100</x:f>
        <x:v>324000</x:v>
      </x:c>
      <x:c r="D81" s="11"/>
      <x:c r="E81" s="7" t="str">
        <x:v>待资源总账回算</x:v>
      </x:c>
    </x:row>
    <x:row r="82">
      <x:c r="A82" s="11" t="n">
        <x:v>81</x:v>
      </x:c>
      <x:c r="B82" s="11" t="n">
        <x:f>A82*(A82+1)/2</x:f>
        <x:v>3321</x:v>
      </x:c>
      <x:c r="C82" s="11" t="n">
        <x:f>B82*100</x:f>
        <x:v>332100</x:v>
      </x:c>
      <x:c r="D82" s="11"/>
      <x:c r="E82" s="7" t="str">
        <x:v>待资源总账回算</x:v>
      </x:c>
    </x:row>
    <x:row r="83">
      <x:c r="A83" s="11" t="n">
        <x:v>82</x:v>
      </x:c>
      <x:c r="B83" s="11" t="n">
        <x:f>A83*(A83+1)/2</x:f>
        <x:v>3403</x:v>
      </x:c>
      <x:c r="C83" s="11" t="n">
        <x:f>B83*100</x:f>
        <x:v>340300</x:v>
      </x:c>
      <x:c r="D83" s="11"/>
      <x:c r="E83" s="7" t="str">
        <x:v>待资源总账回算</x:v>
      </x:c>
    </x:row>
    <x:row r="84">
      <x:c r="A84" s="11" t="n">
        <x:v>83</x:v>
      </x:c>
      <x:c r="B84" s="11" t="n">
        <x:f>A84*(A84+1)/2</x:f>
        <x:v>3486</x:v>
      </x:c>
      <x:c r="C84" s="11" t="n">
        <x:f>B84*100</x:f>
        <x:v>348600</x:v>
      </x:c>
      <x:c r="D84" s="11"/>
      <x:c r="E84" s="7" t="str">
        <x:v>待资源总账回算</x:v>
      </x:c>
    </x:row>
    <x:row r="85">
      <x:c r="A85" s="11" t="n">
        <x:v>84</x:v>
      </x:c>
      <x:c r="B85" s="11" t="n">
        <x:f>A85*(A85+1)/2</x:f>
        <x:v>3570</x:v>
      </x:c>
      <x:c r="C85" s="11" t="n">
        <x:f>B85*100</x:f>
        <x:v>357000</x:v>
      </x:c>
      <x:c r="D85" s="11"/>
      <x:c r="E85" s="7" t="str">
        <x:v>待资源总账回算</x:v>
      </x:c>
    </x:row>
    <x:row r="86">
      <x:c r="A86" s="11" t="n">
        <x:v>85</x:v>
      </x:c>
      <x:c r="B86" s="11" t="n">
        <x:f>A86*(A86+1)/2</x:f>
        <x:v>3655</x:v>
      </x:c>
      <x:c r="C86" s="11" t="n">
        <x:f>B86*100</x:f>
        <x:v>365500</x:v>
      </x:c>
      <x:c r="D86" s="11"/>
      <x:c r="E86" s="7" t="str">
        <x:v>待资源总账回算</x:v>
      </x:c>
    </x:row>
    <x:row r="87">
      <x:c r="A87" s="11" t="n">
        <x:v>86</x:v>
      </x:c>
      <x:c r="B87" s="11" t="n">
        <x:f>A87*(A87+1)/2</x:f>
        <x:v>3741</x:v>
      </x:c>
      <x:c r="C87" s="11" t="n">
        <x:f>B87*100</x:f>
        <x:v>374100</x:v>
      </x:c>
      <x:c r="D87" s="11"/>
      <x:c r="E87" s="7" t="str">
        <x:v>待资源总账回算</x:v>
      </x:c>
    </x:row>
    <x:row r="88">
      <x:c r="A88" s="11" t="n">
        <x:v>87</x:v>
      </x:c>
      <x:c r="B88" s="11" t="n">
        <x:f>A88*(A88+1)/2</x:f>
        <x:v>3828</x:v>
      </x:c>
      <x:c r="C88" s="11" t="n">
        <x:f>B88*100</x:f>
        <x:v>382800</x:v>
      </x:c>
      <x:c r="D88" s="11"/>
      <x:c r="E88" s="7" t="str">
        <x:v>待资源总账回算</x:v>
      </x:c>
    </x:row>
    <x:row r="89">
      <x:c r="A89" s="11" t="n">
        <x:v>88</x:v>
      </x:c>
      <x:c r="B89" s="11" t="n">
        <x:f>A89*(A89+1)/2</x:f>
        <x:v>3916</x:v>
      </x:c>
      <x:c r="C89" s="11" t="n">
        <x:f>B89*100</x:f>
        <x:v>391600</x:v>
      </x:c>
      <x:c r="D89" s="11"/>
      <x:c r="E89" s="7" t="str">
        <x:v>待资源总账回算</x:v>
      </x:c>
    </x:row>
    <x:row r="90">
      <x:c r="A90" s="11" t="n">
        <x:v>89</x:v>
      </x:c>
      <x:c r="B90" s="11" t="n">
        <x:f>A90*(A90+1)/2</x:f>
        <x:v>4005</x:v>
      </x:c>
      <x:c r="C90" s="11" t="n">
        <x:f>B90*100</x:f>
        <x:v>400500</x:v>
      </x:c>
      <x:c r="D90" s="11"/>
      <x:c r="E90" s="7" t="str">
        <x:v>待资源总账回算</x:v>
      </x:c>
    </x:row>
    <x:row r="91">
      <x:c r="A91" s="11" t="n">
        <x:v>90</x:v>
      </x:c>
      <x:c r="B91" s="11" t="n">
        <x:f>A91*(A91+1)/2</x:f>
        <x:v>4095</x:v>
      </x:c>
      <x:c r="C91" s="11" t="n">
        <x:f>B91*100</x:f>
        <x:v>409500</x:v>
      </x:c>
      <x:c r="D91" s="11"/>
      <x:c r="E91" s="7" t="str">
        <x:v>待资源总账回算</x:v>
      </x:c>
    </x:row>
    <x:row r="92">
      <x:c r="A92" s="11" t="n">
        <x:v>91</x:v>
      </x:c>
      <x:c r="B92" s="11" t="n">
        <x:f>A92*(A92+1)/2</x:f>
        <x:v>4186</x:v>
      </x:c>
      <x:c r="C92" s="11" t="n">
        <x:f>B92*100</x:f>
        <x:v>418600</x:v>
      </x:c>
      <x:c r="D92" s="11"/>
      <x:c r="E92" s="7" t="str">
        <x:v>待资源总账回算</x:v>
      </x:c>
    </x:row>
    <x:row r="93">
      <x:c r="A93" s="11" t="n">
        <x:v>92</x:v>
      </x:c>
      <x:c r="B93" s="11" t="n">
        <x:f>A93*(A93+1)/2</x:f>
        <x:v>4278</x:v>
      </x:c>
      <x:c r="C93" s="11" t="n">
        <x:f>B93*100</x:f>
        <x:v>427800</x:v>
      </x:c>
      <x:c r="D93" s="11"/>
      <x:c r="E93" s="7" t="str">
        <x:v>待资源总账回算</x:v>
      </x:c>
    </x:row>
    <x:row r="94">
      <x:c r="A94" s="11" t="n">
        <x:v>93</x:v>
      </x:c>
      <x:c r="B94" s="11" t="n">
        <x:f>A94*(A94+1)/2</x:f>
        <x:v>4371</x:v>
      </x:c>
      <x:c r="C94" s="11" t="n">
        <x:f>B94*100</x:f>
        <x:v>437100</x:v>
      </x:c>
      <x:c r="D94" s="11"/>
      <x:c r="E94" s="7" t="str">
        <x:v>待资源总账回算</x:v>
      </x:c>
    </x:row>
    <x:row r="95">
      <x:c r="A95" s="11" t="n">
        <x:v>94</x:v>
      </x:c>
      <x:c r="B95" s="11" t="n">
        <x:f>A95*(A95+1)/2</x:f>
        <x:v>4465</x:v>
      </x:c>
      <x:c r="C95" s="11" t="n">
        <x:f>B95*100</x:f>
        <x:v>446500</x:v>
      </x:c>
      <x:c r="D95" s="11"/>
      <x:c r="E95" s="7" t="str">
        <x:v>待资源总账回算</x:v>
      </x:c>
    </x:row>
    <x:row r="96">
      <x:c r="A96" s="11" t="n">
        <x:v>95</x:v>
      </x:c>
      <x:c r="B96" s="11" t="n">
        <x:f>A96*(A96+1)/2</x:f>
        <x:v>4560</x:v>
      </x:c>
      <x:c r="C96" s="11" t="n">
        <x:f>B96*100</x:f>
        <x:v>456000</x:v>
      </x:c>
      <x:c r="D96" s="11"/>
      <x:c r="E96" s="7" t="str">
        <x:v>待资源总账回算</x:v>
      </x:c>
    </x:row>
    <x:row r="97">
      <x:c r="A97" s="11" t="n">
        <x:v>96</x:v>
      </x:c>
      <x:c r="B97" s="11" t="n">
        <x:f>A97*(A97+1)/2</x:f>
        <x:v>4656</x:v>
      </x:c>
      <x:c r="C97" s="11" t="n">
        <x:f>B97*100</x:f>
        <x:v>465600</x:v>
      </x:c>
      <x:c r="D97" s="11"/>
      <x:c r="E97" s="7" t="str">
        <x:v>待资源总账回算</x:v>
      </x:c>
    </x:row>
    <x:row r="98">
      <x:c r="A98" s="11" t="n">
        <x:v>97</x:v>
      </x:c>
      <x:c r="B98" s="11" t="n">
        <x:f>A98*(A98+1)/2</x:f>
        <x:v>4753</x:v>
      </x:c>
      <x:c r="C98" s="11" t="n">
        <x:f>B98*100</x:f>
        <x:v>475300</x:v>
      </x:c>
      <x:c r="D98" s="11"/>
      <x:c r="E98" s="7" t="str">
        <x:v>待资源总账回算</x:v>
      </x:c>
    </x:row>
    <x:row r="99">
      <x:c r="A99" s="11" t="n">
        <x:v>98</x:v>
      </x:c>
      <x:c r="B99" s="11" t="n">
        <x:f>A99*(A99+1)/2</x:f>
        <x:v>4851</x:v>
      </x:c>
      <x:c r="C99" s="11" t="n">
        <x:f>B99*100</x:f>
        <x:v>485100</x:v>
      </x:c>
      <x:c r="D99" s="11"/>
      <x:c r="E99" s="7" t="str">
        <x:v>待资源总账回算</x:v>
      </x:c>
    </x:row>
    <x:row r="100">
      <x:c r="A100" s="11" t="n">
        <x:v>99</x:v>
      </x:c>
      <x:c r="B100" s="11" t="n">
        <x:f>A100*(A100+1)/2</x:f>
        <x:v>4950</x:v>
      </x:c>
      <x:c r="C100" s="11" t="n">
        <x:f>B100*100</x:f>
        <x:v>495000</x:v>
      </x:c>
      <x:c r="D100" s="11"/>
      <x:c r="E100" s="7" t="str">
        <x:v>待资源总账回算</x:v>
      </x:c>
    </x:row>
    <x:row r="101">
      <x:c r="A101" s="11" t="n">
        <x:v>100</x:v>
      </x:c>
      <x:c r="B101" s="11" t="n">
        <x:f>A101*(A101+1)/2</x:f>
        <x:v>5050</x:v>
      </x:c>
      <x:c r="C101" s="11" t="n">
        <x:f>B101*100</x:f>
        <x:v>505000</x:v>
      </x:c>
      <x:c r="D101" s="11"/>
      <x:c r="E101" s="7" t="str">
        <x:v>待资源总账回算</x:v>
      </x:c>
    </x:row>
    <x:row r="102">
      <x:c r="A102" s="11" t="n">
        <x:v>101</x:v>
      </x:c>
      <x:c r="B102" s="11" t="n">
        <x:f>A102*(A102+1)/2</x:f>
        <x:v>5151</x:v>
      </x:c>
      <x:c r="C102" s="11" t="n">
        <x:f>B102*100</x:f>
        <x:v>515100</x:v>
      </x:c>
      <x:c r="D102" s="11"/>
      <x:c r="E102" s="7" t="str">
        <x:v>待资源总账回算</x:v>
      </x:c>
    </x:row>
    <x:row r="103">
      <x:c r="A103" s="11" t="n">
        <x:v>102</x:v>
      </x:c>
      <x:c r="B103" s="11" t="n">
        <x:f>A103*(A103+1)/2</x:f>
        <x:v>5253</x:v>
      </x:c>
      <x:c r="C103" s="11" t="n">
        <x:f>B103*100</x:f>
        <x:v>525300</x:v>
      </x:c>
      <x:c r="D103" s="11"/>
      <x:c r="E103" s="7" t="str">
        <x:v>待资源总账回算</x:v>
      </x:c>
    </x:row>
    <x:row r="104">
      <x:c r="A104" s="11" t="n">
        <x:v>103</x:v>
      </x:c>
      <x:c r="B104" s="11" t="n">
        <x:f>A104*(A104+1)/2</x:f>
        <x:v>5356</x:v>
      </x:c>
      <x:c r="C104" s="11" t="n">
        <x:f>B104*100</x:f>
        <x:v>535600</x:v>
      </x:c>
      <x:c r="D104" s="11"/>
      <x:c r="E104" s="7" t="str">
        <x:v>待资源总账回算</x:v>
      </x:c>
    </x:row>
    <x:row r="105">
      <x:c r="A105" s="11" t="n">
        <x:v>104</x:v>
      </x:c>
      <x:c r="B105" s="11" t="n">
        <x:f>A105*(A105+1)/2</x:f>
        <x:v>5460</x:v>
      </x:c>
      <x:c r="C105" s="11" t="n">
        <x:f>B105*100</x:f>
        <x:v>546000</x:v>
      </x:c>
      <x:c r="D105" s="11"/>
      <x:c r="E105" s="7" t="str">
        <x:v>待资源总账回算</x:v>
      </x:c>
    </x:row>
    <x:row r="106">
      <x:c r="A106" s="11" t="n">
        <x:v>105</x:v>
      </x:c>
      <x:c r="B106" s="11" t="n">
        <x:f>A106*(A106+1)/2</x:f>
        <x:v>5565</x:v>
      </x:c>
      <x:c r="C106" s="11" t="n">
        <x:f>B106*100</x:f>
        <x:v>556500</x:v>
      </x:c>
      <x:c r="D106" s="11"/>
      <x:c r="E106" s="7" t="str">
        <x:v>待资源总账回算</x:v>
      </x:c>
    </x:row>
    <x:row r="107">
      <x:c r="A107" s="11" t="n">
        <x:v>106</x:v>
      </x:c>
      <x:c r="B107" s="11" t="n">
        <x:f>A107*(A107+1)/2</x:f>
        <x:v>5671</x:v>
      </x:c>
      <x:c r="C107" s="11" t="n">
        <x:f>B107*100</x:f>
        <x:v>567100</x:v>
      </x:c>
      <x:c r="D107" s="11"/>
      <x:c r="E107" s="7" t="str">
        <x:v>待资源总账回算</x:v>
      </x:c>
    </x:row>
    <x:row r="108">
      <x:c r="A108" s="11" t="n">
        <x:v>107</x:v>
      </x:c>
      <x:c r="B108" s="11" t="n">
        <x:f>A108*(A108+1)/2</x:f>
        <x:v>5778</x:v>
      </x:c>
      <x:c r="C108" s="11" t="n">
        <x:f>B108*100</x:f>
        <x:v>577800</x:v>
      </x:c>
      <x:c r="D108" s="11"/>
      <x:c r="E108" s="7" t="str">
        <x:v>待资源总账回算</x:v>
      </x:c>
    </x:row>
    <x:row r="109">
      <x:c r="A109" s="11" t="n">
        <x:v>108</x:v>
      </x:c>
      <x:c r="B109" s="11" t="n">
        <x:f>A109*(A109+1)/2</x:f>
        <x:v>5886</x:v>
      </x:c>
      <x:c r="C109" s="11" t="n">
        <x:f>B109*100</x:f>
        <x:v>588600</x:v>
      </x:c>
      <x:c r="D109" s="11"/>
      <x:c r="E109" s="7" t="str">
        <x:v>待资源总账回算</x:v>
      </x:c>
    </x:row>
    <x:row r="110">
      <x:c r="A110" s="11" t="n">
        <x:v>109</x:v>
      </x:c>
      <x:c r="B110" s="11" t="n">
        <x:f>A110*(A110+1)/2</x:f>
        <x:v>5995</x:v>
      </x:c>
      <x:c r="C110" s="11" t="n">
        <x:f>B110*100</x:f>
        <x:v>599500</x:v>
      </x:c>
      <x:c r="D110" s="11"/>
      <x:c r="E110" s="7" t="str">
        <x:v>待资源总账回算</x:v>
      </x:c>
    </x:row>
    <x:row r="111">
      <x:c r="A111" s="11" t="n">
        <x:v>110</x:v>
      </x:c>
      <x:c r="B111" s="11" t="n">
        <x:f>A111*(A111+1)/2</x:f>
        <x:v>6105</x:v>
      </x:c>
      <x:c r="C111" s="11" t="n">
        <x:f>B111*100</x:f>
        <x:v>610500</x:v>
      </x:c>
      <x:c r="D111" s="11"/>
      <x:c r="E111" s="7" t="str">
        <x:v>待资源总账回算</x:v>
      </x:c>
    </x:row>
    <x:row r="112">
      <x:c r="A112" s="11" t="n">
        <x:v>111</x:v>
      </x:c>
      <x:c r="B112" s="11" t="n">
        <x:f>A112*(A112+1)/2</x:f>
        <x:v>6216</x:v>
      </x:c>
      <x:c r="C112" s="11" t="n">
        <x:f>B112*100</x:f>
        <x:v>621600</x:v>
      </x:c>
      <x:c r="D112" s="11"/>
      <x:c r="E112" s="7" t="str">
        <x:v>待资源总账回算</x:v>
      </x:c>
    </x:row>
    <x:row r="113">
      <x:c r="A113" s="11" t="n">
        <x:v>112</x:v>
      </x:c>
      <x:c r="B113" s="11" t="n">
        <x:f>A113*(A113+1)/2</x:f>
        <x:v>6328</x:v>
      </x:c>
      <x:c r="C113" s="11" t="n">
        <x:f>B113*100</x:f>
        <x:v>632800</x:v>
      </x:c>
      <x:c r="D113" s="11"/>
      <x:c r="E113" s="7" t="str">
        <x:v>待资源总账回算</x:v>
      </x:c>
    </x:row>
    <x:row r="114">
      <x:c r="A114" s="11" t="n">
        <x:v>113</x:v>
      </x:c>
      <x:c r="B114" s="11" t="n">
        <x:f>A114*(A114+1)/2</x:f>
        <x:v>6441</x:v>
      </x:c>
      <x:c r="C114" s="11" t="n">
        <x:f>B114*100</x:f>
        <x:v>644100</x:v>
      </x:c>
      <x:c r="D114" s="11"/>
      <x:c r="E114" s="7" t="str">
        <x:v>待资源总账回算</x:v>
      </x:c>
    </x:row>
    <x:row r="115">
      <x:c r="A115" s="11" t="n">
        <x:v>114</x:v>
      </x:c>
      <x:c r="B115" s="11" t="n">
        <x:f>A115*(A115+1)/2</x:f>
        <x:v>6555</x:v>
      </x:c>
      <x:c r="C115" s="11" t="n">
        <x:f>B115*100</x:f>
        <x:v>655500</x:v>
      </x:c>
      <x:c r="D115" s="11"/>
      <x:c r="E115" s="7" t="str">
        <x:v>待资源总账回算</x:v>
      </x:c>
    </x:row>
    <x:row r="116">
      <x:c r="A116" s="11" t="n">
        <x:v>115</x:v>
      </x:c>
      <x:c r="B116" s="11" t="n">
        <x:f>A116*(A116+1)/2</x:f>
        <x:v>6670</x:v>
      </x:c>
      <x:c r="C116" s="11" t="n">
        <x:f>B116*100</x:f>
        <x:v>667000</x:v>
      </x:c>
      <x:c r="D116" s="11"/>
      <x:c r="E116" s="7" t="str">
        <x:v>待资源总账回算</x:v>
      </x:c>
    </x:row>
    <x:row r="117">
      <x:c r="A117" s="11" t="n">
        <x:v>116</x:v>
      </x:c>
      <x:c r="B117" s="11" t="n">
        <x:f>A117*(A117+1)/2</x:f>
        <x:v>6786</x:v>
      </x:c>
      <x:c r="C117" s="11" t="n">
        <x:f>B117*100</x:f>
        <x:v>678600</x:v>
      </x:c>
      <x:c r="D117" s="11"/>
      <x:c r="E117" s="7" t="str">
        <x:v>待资源总账回算</x:v>
      </x:c>
    </x:row>
    <x:row r="118">
      <x:c r="A118" s="11" t="n">
        <x:v>117</x:v>
      </x:c>
      <x:c r="B118" s="11" t="n">
        <x:f>A118*(A118+1)/2</x:f>
        <x:v>6903</x:v>
      </x:c>
      <x:c r="C118" s="11" t="n">
        <x:f>B118*100</x:f>
        <x:v>690300</x:v>
      </x:c>
      <x:c r="D118" s="11"/>
      <x:c r="E118" s="7" t="str">
        <x:v>待资源总账回算</x:v>
      </x:c>
    </x:row>
    <x:row r="119">
      <x:c r="A119" s="11" t="n">
        <x:v>118</x:v>
      </x:c>
      <x:c r="B119" s="11" t="n">
        <x:f>A119*(A119+1)/2</x:f>
        <x:v>7021</x:v>
      </x:c>
      <x:c r="C119" s="11" t="n">
        <x:f>B119*100</x:f>
        <x:v>702100</x:v>
      </x:c>
      <x:c r="D119" s="11"/>
      <x:c r="E119" s="7" t="str">
        <x:v>待资源总账回算</x:v>
      </x:c>
    </x:row>
    <x:row r="120">
      <x:c r="A120" s="11" t="n">
        <x:v>119</x:v>
      </x:c>
      <x:c r="B120" s="11" t="n">
        <x:f>A120*(A120+1)/2</x:f>
        <x:v>7140</x:v>
      </x:c>
      <x:c r="C120" s="11" t="n">
        <x:f>B120*100</x:f>
        <x:v>714000</x:v>
      </x:c>
      <x:c r="D120" s="11"/>
      <x:c r="E120" s="7" t="str">
        <x:v>待资源总账回算</x:v>
      </x:c>
    </x:row>
    <x:row r="121">
      <x:c r="A121" s="11" t="n">
        <x:v>120</x:v>
      </x:c>
      <x:c r="B121" s="11" t="n">
        <x:f>A121*(A121+1)/2</x:f>
        <x:v>7260</x:v>
      </x:c>
      <x:c r="C121" s="11" t="n">
        <x:f>B121*100</x:f>
        <x:v>726000</x:v>
      </x:c>
      <x:c r="D121" s="11"/>
      <x:c r="E121" s="7" t="str">
        <x:v>待资源总账回算</x:v>
      </x:c>
    </x:row>
    <x:row r="122">
      <x:c r="A122" s="11" t="n">
        <x:v>121</x:v>
      </x:c>
      <x:c r="B122" s="11" t="n">
        <x:f>A122*(A122+1)/2</x:f>
        <x:v>7381</x:v>
      </x:c>
      <x:c r="C122" s="11" t="n">
        <x:f>B122*100</x:f>
        <x:v>738100</x:v>
      </x:c>
      <x:c r="D122" s="11"/>
      <x:c r="E122" s="7" t="str">
        <x:v>待资源总账回算</x:v>
      </x:c>
    </x:row>
    <x:row r="123">
      <x:c r="A123" s="11" t="n">
        <x:v>122</x:v>
      </x:c>
      <x:c r="B123" s="11" t="n">
        <x:f>A123*(A123+1)/2</x:f>
        <x:v>7503</x:v>
      </x:c>
      <x:c r="C123" s="11" t="n">
        <x:f>B123*100</x:f>
        <x:v>750300</x:v>
      </x:c>
      <x:c r="D123" s="11"/>
      <x:c r="E123" s="7" t="str">
        <x:v>待资源总账回算</x:v>
      </x:c>
    </x:row>
    <x:row r="124">
      <x:c r="A124" s="11" t="n">
        <x:v>123</x:v>
      </x:c>
      <x:c r="B124" s="11" t="n">
        <x:f>A124*(A124+1)/2</x:f>
        <x:v>7626</x:v>
      </x:c>
      <x:c r="C124" s="11" t="n">
        <x:f>B124*100</x:f>
        <x:v>762600</x:v>
      </x:c>
      <x:c r="D124" s="11"/>
      <x:c r="E124" s="7" t="str">
        <x:v>待资源总账回算</x:v>
      </x:c>
    </x:row>
    <x:row r="125">
      <x:c r="A125" s="11" t="n">
        <x:v>124</x:v>
      </x:c>
      <x:c r="B125" s="11" t="n">
        <x:f>A125*(A125+1)/2</x:f>
        <x:v>7750</x:v>
      </x:c>
      <x:c r="C125" s="11" t="n">
        <x:f>B125*100</x:f>
        <x:v>775000</x:v>
      </x:c>
      <x:c r="D125" s="11"/>
      <x:c r="E125" s="7" t="str">
        <x:v>待资源总账回算</x:v>
      </x:c>
    </x:row>
    <x:row r="126">
      <x:c r="A126" s="11" t="n">
        <x:v>125</x:v>
      </x:c>
      <x:c r="B126" s="11" t="n">
        <x:f>A126*(A126+1)/2</x:f>
        <x:v>7875</x:v>
      </x:c>
      <x:c r="C126" s="11" t="n">
        <x:f>B126*100</x:f>
        <x:v>787500</x:v>
      </x:c>
      <x:c r="D126" s="11"/>
      <x:c r="E126" s="7" t="str">
        <x:v>待资源总账回算</x:v>
      </x:c>
    </x:row>
    <x:row r="127">
      <x:c r="A127" s="11" t="n">
        <x:v>126</x:v>
      </x:c>
      <x:c r="B127" s="11" t="n">
        <x:f>A127*(A127+1)/2</x:f>
        <x:v>8001</x:v>
      </x:c>
      <x:c r="C127" s="11" t="n">
        <x:f>B127*100</x:f>
        <x:v>800100</x:v>
      </x:c>
      <x:c r="D127" s="11"/>
      <x:c r="E127" s="7" t="str">
        <x:v>待资源总账回算</x:v>
      </x:c>
    </x:row>
    <x:row r="128">
      <x:c r="A128" s="11" t="n">
        <x:v>127</x:v>
      </x:c>
      <x:c r="B128" s="11" t="n">
        <x:f>A128*(A128+1)/2</x:f>
        <x:v>8128</x:v>
      </x:c>
      <x:c r="C128" s="11" t="n">
        <x:f>B128*100</x:f>
        <x:v>812800</x:v>
      </x:c>
      <x:c r="D128" s="11"/>
      <x:c r="E128" s="7" t="str">
        <x:v>待资源总账回算</x:v>
      </x:c>
    </x:row>
    <x:row r="129">
      <x:c r="A129" s="11" t="n">
        <x:v>128</x:v>
      </x:c>
      <x:c r="B129" s="11" t="n">
        <x:f>A129*(A129+1)/2</x:f>
        <x:v>8256</x:v>
      </x:c>
      <x:c r="C129" s="11" t="n">
        <x:f>B129*100</x:f>
        <x:v>825600</x:v>
      </x:c>
      <x:c r="D129" s="11"/>
      <x:c r="E129" s="7" t="str">
        <x:v>待资源总账回算</x:v>
      </x:c>
    </x:row>
    <x:row r="130">
      <x:c r="A130" s="11" t="n">
        <x:v>129</x:v>
      </x:c>
      <x:c r="B130" s="11" t="n">
        <x:f>A130*(A130+1)/2</x:f>
        <x:v>8385</x:v>
      </x:c>
      <x:c r="C130" s="11" t="n">
        <x:f>B130*100</x:f>
        <x:v>838500</x:v>
      </x:c>
      <x:c r="D130" s="11"/>
      <x:c r="E130" s="7" t="str">
        <x:v>待资源总账回算</x:v>
      </x:c>
    </x:row>
    <x:row r="131">
      <x:c r="A131" s="11" t="n">
        <x:v>130</x:v>
      </x:c>
      <x:c r="B131" s="11" t="n">
        <x:f>A131*(A131+1)/2</x:f>
        <x:v>8515</x:v>
      </x:c>
      <x:c r="C131" s="11" t="n">
        <x:f>B131*100</x:f>
        <x:v>851500</x:v>
      </x:c>
      <x:c r="D131" s="11"/>
      <x:c r="E131" s="7" t="str">
        <x:v>待资源总账回算</x:v>
      </x:c>
    </x:row>
    <x:row r="132">
      <x:c r="A132" s="11" t="n">
        <x:v>131</x:v>
      </x:c>
      <x:c r="B132" s="11" t="n">
        <x:f>A132*(A132+1)/2</x:f>
        <x:v>8646</x:v>
      </x:c>
      <x:c r="C132" s="11" t="n">
        <x:f>B132*100</x:f>
        <x:v>864600</x:v>
      </x:c>
      <x:c r="D132" s="11"/>
      <x:c r="E132" s="7" t="str">
        <x:v>待资源总账回算</x:v>
      </x:c>
    </x:row>
    <x:row r="133">
      <x:c r="A133" s="11" t="n">
        <x:v>132</x:v>
      </x:c>
      <x:c r="B133" s="11" t="n">
        <x:f>A133*(A133+1)/2</x:f>
        <x:v>8778</x:v>
      </x:c>
      <x:c r="C133" s="11" t="n">
        <x:f>B133*100</x:f>
        <x:v>877800</x:v>
      </x:c>
      <x:c r="D133" s="11"/>
      <x:c r="E133" s="7" t="str">
        <x:v>待资源总账回算</x:v>
      </x:c>
    </x:row>
    <x:row r="134">
      <x:c r="A134" s="11" t="n">
        <x:v>133</x:v>
      </x:c>
      <x:c r="B134" s="11" t="n">
        <x:f>A134*(A134+1)/2</x:f>
        <x:v>8911</x:v>
      </x:c>
      <x:c r="C134" s="11" t="n">
        <x:f>B134*100</x:f>
        <x:v>891100</x:v>
      </x:c>
      <x:c r="D134" s="11"/>
      <x:c r="E134" s="7" t="str">
        <x:v>待资源总账回算</x:v>
      </x:c>
    </x:row>
    <x:row r="135">
      <x:c r="A135" s="11" t="n">
        <x:v>134</x:v>
      </x:c>
      <x:c r="B135" s="11" t="n">
        <x:f>A135*(A135+1)/2</x:f>
        <x:v>9045</x:v>
      </x:c>
      <x:c r="C135" s="11" t="n">
        <x:f>B135*100</x:f>
        <x:v>904500</x:v>
      </x:c>
      <x:c r="D135" s="11"/>
      <x:c r="E135" s="7" t="str">
        <x:v>待资源总账回算</x:v>
      </x:c>
    </x:row>
    <x:row r="136">
      <x:c r="A136" s="11" t="n">
        <x:v>135</x:v>
      </x:c>
      <x:c r="B136" s="11" t="n">
        <x:f>A136*(A136+1)/2</x:f>
        <x:v>9180</x:v>
      </x:c>
      <x:c r="C136" s="11" t="n">
        <x:f>B136*100</x:f>
        <x:v>918000</x:v>
      </x:c>
      <x:c r="D136" s="11"/>
      <x:c r="E136" s="7" t="str">
        <x:v>待资源总账回算</x:v>
      </x:c>
    </x:row>
    <x:row r="137">
      <x:c r="A137" s="11" t="n">
        <x:v>136</x:v>
      </x:c>
      <x:c r="B137" s="11" t="n">
        <x:f>A137*(A137+1)/2</x:f>
        <x:v>9316</x:v>
      </x:c>
      <x:c r="C137" s="11" t="n">
        <x:f>B137*100</x:f>
        <x:v>931600</x:v>
      </x:c>
      <x:c r="D137" s="11"/>
      <x:c r="E137" s="7" t="str">
        <x:v>待资源总账回算</x:v>
      </x:c>
    </x:row>
    <x:row r="138">
      <x:c r="A138" s="11" t="n">
        <x:v>137</x:v>
      </x:c>
      <x:c r="B138" s="11" t="n">
        <x:f>A138*(A138+1)/2</x:f>
        <x:v>9453</x:v>
      </x:c>
      <x:c r="C138" s="11" t="n">
        <x:f>B138*100</x:f>
        <x:v>945300</x:v>
      </x:c>
      <x:c r="D138" s="11"/>
      <x:c r="E138" s="7" t="str">
        <x:v>待资源总账回算</x:v>
      </x:c>
    </x:row>
    <x:row r="139">
      <x:c r="A139" s="11" t="n">
        <x:v>138</x:v>
      </x:c>
      <x:c r="B139" s="11" t="n">
        <x:f>A139*(A139+1)/2</x:f>
        <x:v>9591</x:v>
      </x:c>
      <x:c r="C139" s="11" t="n">
        <x:f>B139*100</x:f>
        <x:v>959100</x:v>
      </x:c>
      <x:c r="D139" s="11"/>
      <x:c r="E139" s="7" t="str">
        <x:v>待资源总账回算</x:v>
      </x:c>
    </x:row>
    <x:row r="140">
      <x:c r="A140" s="11" t="n">
        <x:v>139</x:v>
      </x:c>
      <x:c r="B140" s="11" t="n">
        <x:f>A140*(A140+1)/2</x:f>
        <x:v>9730</x:v>
      </x:c>
      <x:c r="C140" s="11" t="n">
        <x:f>B140*100</x:f>
        <x:v>973000</x:v>
      </x:c>
      <x:c r="D140" s="11"/>
      <x:c r="E140" s="7" t="str">
        <x:v>待资源总账回算</x:v>
      </x:c>
    </x:row>
    <x:row r="141">
      <x:c r="A141" s="11" t="n">
        <x:v>140</x:v>
      </x:c>
      <x:c r="B141" s="11" t="n">
        <x:f>A141*(A141+1)/2</x:f>
        <x:v>9870</x:v>
      </x:c>
      <x:c r="C141" s="11" t="n">
        <x:f>B141*100</x:f>
        <x:v>987000</x:v>
      </x:c>
      <x:c r="D141" s="11"/>
      <x:c r="E141" s="7" t="str">
        <x:v>待资源总账回算</x:v>
      </x:c>
    </x:row>
    <x:row r="142">
      <x:c r="A142" s="11" t="n">
        <x:v>141</x:v>
      </x:c>
      <x:c r="B142" s="11" t="n">
        <x:f>A142*(A142+1)/2</x:f>
        <x:v>10011</x:v>
      </x:c>
      <x:c r="C142" s="11" t="n">
        <x:f>B142*100</x:f>
        <x:v>1001100</x:v>
      </x:c>
      <x:c r="D142" s="11"/>
      <x:c r="E142" s="7" t="str">
        <x:v>待资源总账回算</x:v>
      </x:c>
    </x:row>
    <x:row r="143">
      <x:c r="A143" s="11" t="n">
        <x:v>142</x:v>
      </x:c>
      <x:c r="B143" s="11" t="n">
        <x:f>A143*(A143+1)/2</x:f>
        <x:v>10153</x:v>
      </x:c>
      <x:c r="C143" s="11" t="n">
        <x:f>B143*100</x:f>
        <x:v>1015300</x:v>
      </x:c>
      <x:c r="D143" s="11"/>
      <x:c r="E143" s="7" t="str">
        <x:v>待资源总账回算</x:v>
      </x:c>
    </x:row>
    <x:row r="144">
      <x:c r="A144" s="11" t="n">
        <x:v>143</x:v>
      </x:c>
      <x:c r="B144" s="11" t="n">
        <x:f>A144*(A144+1)/2</x:f>
        <x:v>10296</x:v>
      </x:c>
      <x:c r="C144" s="11" t="n">
        <x:f>B144*100</x:f>
        <x:v>1029600</x:v>
      </x:c>
      <x:c r="D144" s="11"/>
      <x:c r="E144" s="7" t="str">
        <x:v>待资源总账回算</x:v>
      </x:c>
    </x:row>
    <x:row r="145">
      <x:c r="A145" s="11" t="n">
        <x:v>144</x:v>
      </x:c>
      <x:c r="B145" s="11" t="n">
        <x:f>A145*(A145+1)/2</x:f>
        <x:v>10440</x:v>
      </x:c>
      <x:c r="C145" s="11" t="n">
        <x:f>B145*100</x:f>
        <x:v>1044000</x:v>
      </x:c>
      <x:c r="D145" s="11"/>
      <x:c r="E145" s="7" t="str">
        <x:v>待资源总账回算</x:v>
      </x:c>
    </x:row>
    <x:row r="146">
      <x:c r="A146" s="11" t="n">
        <x:v>145</x:v>
      </x:c>
      <x:c r="B146" s="11" t="n">
        <x:f>A146*(A146+1)/2</x:f>
        <x:v>10585</x:v>
      </x:c>
      <x:c r="C146" s="11" t="n">
        <x:f>B146*100</x:f>
        <x:v>1058500</x:v>
      </x:c>
      <x:c r="D146" s="11"/>
      <x:c r="E146" s="7" t="str">
        <x:v>待资源总账回算</x:v>
      </x:c>
    </x:row>
    <x:row r="147">
      <x:c r="A147" s="11" t="n">
        <x:v>146</x:v>
      </x:c>
      <x:c r="B147" s="11" t="n">
        <x:f>A147*(A147+1)/2</x:f>
        <x:v>10731</x:v>
      </x:c>
      <x:c r="C147" s="11" t="n">
        <x:f>B147*100</x:f>
        <x:v>1073100</x:v>
      </x:c>
      <x:c r="D147" s="11"/>
      <x:c r="E147" s="7" t="str">
        <x:v>待资源总账回算</x:v>
      </x:c>
    </x:row>
    <x:row r="148">
      <x:c r="A148" s="11" t="n">
        <x:v>147</x:v>
      </x:c>
      <x:c r="B148" s="11" t="n">
        <x:f>A148*(A148+1)/2</x:f>
        <x:v>10878</x:v>
      </x:c>
      <x:c r="C148" s="11" t="n">
        <x:f>B148*100</x:f>
        <x:v>1087800</x:v>
      </x:c>
      <x:c r="D148" s="11"/>
      <x:c r="E148" s="7" t="str">
        <x:v>待资源总账回算</x:v>
      </x:c>
    </x:row>
    <x:row r="149">
      <x:c r="A149" s="11" t="n">
        <x:v>148</x:v>
      </x:c>
      <x:c r="B149" s="11" t="n">
        <x:f>A149*(A149+1)/2</x:f>
        <x:v>11026</x:v>
      </x:c>
      <x:c r="C149" s="11" t="n">
        <x:f>B149*100</x:f>
        <x:v>1102600</x:v>
      </x:c>
      <x:c r="D149" s="11"/>
      <x:c r="E149" s="7" t="str">
        <x:v>待资源总账回算</x:v>
      </x:c>
    </x:row>
    <x:row r="150">
      <x:c r="A150" s="11" t="n">
        <x:v>149</x:v>
      </x:c>
      <x:c r="B150" s="11" t="n">
        <x:f>A150*(A150+1)/2</x:f>
        <x:v>11175</x:v>
      </x:c>
      <x:c r="C150" s="11" t="n">
        <x:f>B150*100</x:f>
        <x:v>1117500</x:v>
      </x:c>
      <x:c r="D150" s="11"/>
      <x:c r="E150" s="7" t="str">
        <x:v>待资源总账回算</x:v>
      </x:c>
    </x:row>
    <x:row r="151">
      <x:c r="A151" s="11" t="n">
        <x:v>150</x:v>
      </x:c>
      <x:c r="B151" s="11" t="n">
        <x:f>A151*(A151+1)/2</x:f>
        <x:v>11325</x:v>
      </x:c>
      <x:c r="C151" s="11" t="n">
        <x:f>B151*100</x:f>
        <x:v>1132500</x:v>
      </x:c>
      <x:c r="D151" s="11"/>
      <x:c r="E151" s="7" t="str">
        <x:v>待资源总账回算</x:v>
      </x:c>
    </x:row>
    <x:row r="152">
      <x:c r="A152" s="11" t="n">
        <x:v>151</x:v>
      </x:c>
      <x:c r="B152" s="11" t="n">
        <x:f>A152*(A152+1)/2</x:f>
        <x:v>11476</x:v>
      </x:c>
      <x:c r="C152" s="11" t="n">
        <x:f>B152*100</x:f>
        <x:v>1147600</x:v>
      </x:c>
      <x:c r="D152" s="11"/>
      <x:c r="E152" s="7" t="str">
        <x:v>待资源总账回算</x:v>
      </x:c>
    </x:row>
    <x:row r="153">
      <x:c r="A153" s="11" t="n">
        <x:v>152</x:v>
      </x:c>
      <x:c r="B153" s="11" t="n">
        <x:f>A153*(A153+1)/2</x:f>
        <x:v>11628</x:v>
      </x:c>
      <x:c r="C153" s="11" t="n">
        <x:f>B153*100</x:f>
        <x:v>1162800</x:v>
      </x:c>
      <x:c r="D153" s="11"/>
      <x:c r="E153" s="7" t="str">
        <x:v>待资源总账回算</x:v>
      </x:c>
    </x:row>
    <x:row r="154">
      <x:c r="A154" s="11" t="n">
        <x:v>153</x:v>
      </x:c>
      <x:c r="B154" s="11" t="n">
        <x:f>A154*(A154+1)/2</x:f>
        <x:v>11781</x:v>
      </x:c>
      <x:c r="C154" s="11" t="n">
        <x:f>B154*100</x:f>
        <x:v>1178100</x:v>
      </x:c>
      <x:c r="D154" s="11"/>
      <x:c r="E154" s="7" t="str">
        <x:v>待资源总账回算</x:v>
      </x:c>
    </x:row>
    <x:row r="155">
      <x:c r="A155" s="11" t="n">
        <x:v>154</x:v>
      </x:c>
      <x:c r="B155" s="11" t="n">
        <x:f>A155*(A155+1)/2</x:f>
        <x:v>11935</x:v>
      </x:c>
      <x:c r="C155" s="11" t="n">
        <x:f>B155*100</x:f>
        <x:v>1193500</x:v>
      </x:c>
      <x:c r="D155" s="11"/>
      <x:c r="E155" s="7" t="str">
        <x:v>待资源总账回算</x:v>
      </x:c>
    </x:row>
    <x:row r="156">
      <x:c r="A156" s="11" t="n">
        <x:v>155</x:v>
      </x:c>
      <x:c r="B156" s="11" t="n">
        <x:f>A156*(A156+1)/2</x:f>
        <x:v>12090</x:v>
      </x:c>
      <x:c r="C156" s="11" t="n">
        <x:f>B156*100</x:f>
        <x:v>1209000</x:v>
      </x:c>
      <x:c r="D156" s="11"/>
      <x:c r="E156" s="7" t="str">
        <x:v>待资源总账回算</x:v>
      </x:c>
    </x:row>
    <x:row r="157">
      <x:c r="A157" s="11" t="n">
        <x:v>156</x:v>
      </x:c>
      <x:c r="B157" s="11" t="n">
        <x:f>A157*(A157+1)/2</x:f>
        <x:v>12246</x:v>
      </x:c>
      <x:c r="C157" s="11" t="n">
        <x:f>B157*100</x:f>
        <x:v>1224600</x:v>
      </x:c>
      <x:c r="D157" s="11"/>
      <x:c r="E157" s="7" t="str">
        <x:v>待资源总账回算</x:v>
      </x:c>
    </x:row>
    <x:row r="158">
      <x:c r="A158" s="11" t="n">
        <x:v>157</x:v>
      </x:c>
      <x:c r="B158" s="11" t="n">
        <x:f>A158*(A158+1)/2</x:f>
        <x:v>12403</x:v>
      </x:c>
      <x:c r="C158" s="11" t="n">
        <x:f>B158*100</x:f>
        <x:v>1240300</x:v>
      </x:c>
      <x:c r="D158" s="11"/>
      <x:c r="E158" s="7" t="str">
        <x:v>待资源总账回算</x:v>
      </x:c>
    </x:row>
    <x:row r="159">
      <x:c r="A159" s="11" t="n">
        <x:v>158</x:v>
      </x:c>
      <x:c r="B159" s="11" t="n">
        <x:f>A159*(A159+1)/2</x:f>
        <x:v>12561</x:v>
      </x:c>
      <x:c r="C159" s="11" t="n">
        <x:f>B159*100</x:f>
        <x:v>1256100</x:v>
      </x:c>
      <x:c r="D159" s="11"/>
      <x:c r="E159" s="7" t="str">
        <x:v>待资源总账回算</x:v>
      </x:c>
    </x:row>
    <x:row r="160">
      <x:c r="A160" s="11" t="n">
        <x:v>159</x:v>
      </x:c>
      <x:c r="B160" s="11" t="n">
        <x:f>A160*(A160+1)/2</x:f>
        <x:v>12720</x:v>
      </x:c>
      <x:c r="C160" s="11" t="n">
        <x:f>B160*100</x:f>
        <x:v>1272000</x:v>
      </x:c>
      <x:c r="D160" s="11"/>
      <x:c r="E160" s="7" t="str">
        <x:v>待资源总账回算</x:v>
      </x:c>
    </x:row>
    <x:row r="161">
      <x:c r="A161" s="11" t="n">
        <x:v>160</x:v>
      </x:c>
      <x:c r="B161" s="11" t="n">
        <x:f>A161*(A161+1)/2</x:f>
        <x:v>12880</x:v>
      </x:c>
      <x:c r="C161" s="11" t="n">
        <x:f>B161*100</x:f>
        <x:v>1288000</x:v>
      </x:c>
      <x:c r="D161" s="11"/>
      <x:c r="E161" s="7" t="str">
        <x:v>待资源总账回算</x:v>
      </x:c>
    </x:row>
    <x:row r="162">
      <x:c r="A162" s="11" t="n">
        <x:v>161</x:v>
      </x:c>
      <x:c r="B162" s="11" t="n">
        <x:f>A162*(A162+1)/2</x:f>
        <x:v>13041</x:v>
      </x:c>
      <x:c r="C162" s="11" t="n">
        <x:f>B162*100</x:f>
        <x:v>1304100</x:v>
      </x:c>
      <x:c r="D162" s="11"/>
      <x:c r="E162" s="7" t="str">
        <x:v>待资源总账回算</x:v>
      </x:c>
    </x:row>
    <x:row r="163">
      <x:c r="A163" s="11" t="n">
        <x:v>162</x:v>
      </x:c>
      <x:c r="B163" s="11" t="n">
        <x:f>A163*(A163+1)/2</x:f>
        <x:v>13203</x:v>
      </x:c>
      <x:c r="C163" s="11" t="n">
        <x:f>B163*100</x:f>
        <x:v>1320300</x:v>
      </x:c>
      <x:c r="D163" s="11"/>
      <x:c r="E163" s="7" t="str">
        <x:v>待资源总账回算</x:v>
      </x:c>
    </x:row>
    <x:row r="164">
      <x:c r="A164" s="11" t="n">
        <x:v>163</x:v>
      </x:c>
      <x:c r="B164" s="11" t="n">
        <x:f>A164*(A164+1)/2</x:f>
        <x:v>13366</x:v>
      </x:c>
      <x:c r="C164" s="11" t="n">
        <x:f>B164*100</x:f>
        <x:v>1336600</x:v>
      </x:c>
      <x:c r="D164" s="11"/>
      <x:c r="E164" s="7" t="str">
        <x:v>待资源总账回算</x:v>
      </x:c>
    </x:row>
    <x:row r="165">
      <x:c r="A165" s="11" t="n">
        <x:v>164</x:v>
      </x:c>
      <x:c r="B165" s="11" t="n">
        <x:f>A165*(A165+1)/2</x:f>
        <x:v>13530</x:v>
      </x:c>
      <x:c r="C165" s="11" t="n">
        <x:f>B165*100</x:f>
        <x:v>1353000</x:v>
      </x:c>
      <x:c r="D165" s="11"/>
      <x:c r="E165" s="7" t="str">
        <x:v>待资源总账回算</x:v>
      </x:c>
    </x:row>
    <x:row r="166">
      <x:c r="A166" s="11" t="n">
        <x:v>165</x:v>
      </x:c>
      <x:c r="B166" s="11" t="n">
        <x:f>A166*(A166+1)/2</x:f>
        <x:v>13695</x:v>
      </x:c>
      <x:c r="C166" s="11" t="n">
        <x:f>B166*100</x:f>
        <x:v>1369500</x:v>
      </x:c>
      <x:c r="D166" s="11"/>
      <x:c r="E166" s="7" t="str">
        <x:v>待资源总账回算</x:v>
      </x:c>
    </x:row>
    <x:row r="167">
      <x:c r="A167" s="11" t="n">
        <x:v>166</x:v>
      </x:c>
      <x:c r="B167" s="11" t="n">
        <x:f>A167*(A167+1)/2</x:f>
        <x:v>13861</x:v>
      </x:c>
      <x:c r="C167" s="11" t="n">
        <x:f>B167*100</x:f>
        <x:v>1386100</x:v>
      </x:c>
      <x:c r="D167" s="11"/>
      <x:c r="E167" s="7" t="str">
        <x:v>待资源总账回算</x:v>
      </x:c>
    </x:row>
    <x:row r="168">
      <x:c r="A168" s="11" t="n">
        <x:v>167</x:v>
      </x:c>
      <x:c r="B168" s="11" t="n">
        <x:f>A168*(A168+1)/2</x:f>
        <x:v>14028</x:v>
      </x:c>
      <x:c r="C168" s="11" t="n">
        <x:f>B168*100</x:f>
        <x:v>1402800</x:v>
      </x:c>
      <x:c r="D168" s="11"/>
      <x:c r="E168" s="7" t="str">
        <x:v>待资源总账回算</x:v>
      </x:c>
    </x:row>
    <x:row r="169">
      <x:c r="A169" s="11" t="n">
        <x:v>168</x:v>
      </x:c>
      <x:c r="B169" s="11" t="n">
        <x:f>A169*(A169+1)/2</x:f>
        <x:v>14196</x:v>
      </x:c>
      <x:c r="C169" s="11" t="n">
        <x:f>B169*100</x:f>
        <x:v>1419600</x:v>
      </x:c>
      <x:c r="D169" s="11"/>
      <x:c r="E169" s="7" t="str">
        <x:v>待资源总账回算</x:v>
      </x:c>
    </x:row>
    <x:row r="170">
      <x:c r="A170" s="11" t="n">
        <x:v>169</x:v>
      </x:c>
      <x:c r="B170" s="11" t="n">
        <x:f>A170*(A170+1)/2</x:f>
        <x:v>14365</x:v>
      </x:c>
      <x:c r="C170" s="11" t="n">
        <x:f>B170*100</x:f>
        <x:v>1436500</x:v>
      </x:c>
      <x:c r="D170" s="11"/>
      <x:c r="E170" s="7" t="str">
        <x:v>待资源总账回算</x:v>
      </x:c>
    </x:row>
    <x:row r="171">
      <x:c r="A171" s="11" t="n">
        <x:v>170</x:v>
      </x:c>
      <x:c r="B171" s="11" t="n">
        <x:f>A171*(A171+1)/2</x:f>
        <x:v>14535</x:v>
      </x:c>
      <x:c r="C171" s="11" t="n">
        <x:f>B171*100</x:f>
        <x:v>1453500</x:v>
      </x:c>
      <x:c r="D171" s="11"/>
      <x:c r="E171" s="7" t="str">
        <x:v>待资源总账回算</x:v>
      </x:c>
    </x:row>
    <x:row r="172">
      <x:c r="A172" s="11" t="n">
        <x:v>171</x:v>
      </x:c>
      <x:c r="B172" s="11" t="n">
        <x:f>A172*(A172+1)/2</x:f>
        <x:v>14706</x:v>
      </x:c>
      <x:c r="C172" s="11" t="n">
        <x:f>B172*100</x:f>
        <x:v>1470600</x:v>
      </x:c>
      <x:c r="D172" s="11"/>
      <x:c r="E172" s="7" t="str">
        <x:v>待资源总账回算</x:v>
      </x:c>
    </x:row>
    <x:row r="173">
      <x:c r="A173" s="11" t="n">
        <x:v>172</x:v>
      </x:c>
      <x:c r="B173" s="11" t="n">
        <x:f>A173*(A173+1)/2</x:f>
        <x:v>14878</x:v>
      </x:c>
      <x:c r="C173" s="11" t="n">
        <x:f>B173*100</x:f>
        <x:v>1487800</x:v>
      </x:c>
      <x:c r="D173" s="11"/>
      <x:c r="E173" s="7" t="str">
        <x:v>待资源总账回算</x:v>
      </x:c>
    </x:row>
    <x:row r="174">
      <x:c r="A174" s="11" t="n">
        <x:v>173</x:v>
      </x:c>
      <x:c r="B174" s="11" t="n">
        <x:f>A174*(A174+1)/2</x:f>
        <x:v>15051</x:v>
      </x:c>
      <x:c r="C174" s="11" t="n">
        <x:f>B174*100</x:f>
        <x:v>1505100</x:v>
      </x:c>
      <x:c r="D174" s="11"/>
      <x:c r="E174" s="7" t="str">
        <x:v>待资源总账回算</x:v>
      </x:c>
    </x:row>
    <x:row r="175">
      <x:c r="A175" s="11" t="n">
        <x:v>174</x:v>
      </x:c>
      <x:c r="B175" s="11" t="n">
        <x:f>A175*(A175+1)/2</x:f>
        <x:v>15225</x:v>
      </x:c>
      <x:c r="C175" s="11" t="n">
        <x:f>B175*100</x:f>
        <x:v>1522500</x:v>
      </x:c>
      <x:c r="D175" s="11"/>
      <x:c r="E175" s="7" t="str">
        <x:v>待资源总账回算</x:v>
      </x:c>
    </x:row>
    <x:row r="176">
      <x:c r="A176" s="11" t="n">
        <x:v>175</x:v>
      </x:c>
      <x:c r="B176" s="11" t="n">
        <x:f>A176*(A176+1)/2</x:f>
        <x:v>15400</x:v>
      </x:c>
      <x:c r="C176" s="11" t="n">
        <x:f>B176*100</x:f>
        <x:v>1540000</x:v>
      </x:c>
      <x:c r="D176" s="11"/>
      <x:c r="E176" s="7" t="str">
        <x:v>待资源总账回算</x:v>
      </x:c>
    </x:row>
    <x:row r="177">
      <x:c r="A177" s="11" t="n">
        <x:v>176</x:v>
      </x:c>
      <x:c r="B177" s="11" t="n">
        <x:f>A177*(A177+1)/2</x:f>
        <x:v>15576</x:v>
      </x:c>
      <x:c r="C177" s="11" t="n">
        <x:f>B177*100</x:f>
        <x:v>1557600</x:v>
      </x:c>
      <x:c r="D177" s="11"/>
      <x:c r="E177" s="7" t="str">
        <x:v>待资源总账回算</x:v>
      </x:c>
    </x:row>
    <x:row r="178">
      <x:c r="A178" s="11" t="n">
        <x:v>177</x:v>
      </x:c>
      <x:c r="B178" s="11" t="n">
        <x:f>A178*(A178+1)/2</x:f>
        <x:v>15753</x:v>
      </x:c>
      <x:c r="C178" s="11" t="n">
        <x:f>B178*100</x:f>
        <x:v>1575300</x:v>
      </x:c>
      <x:c r="D178" s="11"/>
      <x:c r="E178" s="7" t="str">
        <x:v>待资源总账回算</x:v>
      </x:c>
    </x:row>
    <x:row r="179">
      <x:c r="A179" s="11" t="n">
        <x:v>178</x:v>
      </x:c>
      <x:c r="B179" s="11" t="n">
        <x:f>A179*(A179+1)/2</x:f>
        <x:v>15931</x:v>
      </x:c>
      <x:c r="C179" s="11" t="n">
        <x:f>B179*100</x:f>
        <x:v>1593100</x:v>
      </x:c>
      <x:c r="D179" s="11"/>
      <x:c r="E179" s="7" t="str">
        <x:v>待资源总账回算</x:v>
      </x:c>
    </x:row>
    <x:row r="180">
      <x:c r="A180" s="11" t="n">
        <x:v>179</x:v>
      </x:c>
      <x:c r="B180" s="11" t="n">
        <x:f>A180*(A180+1)/2</x:f>
        <x:v>16110</x:v>
      </x:c>
      <x:c r="C180" s="11" t="n">
        <x:f>B180*100</x:f>
        <x:v>1611000</x:v>
      </x:c>
      <x:c r="D180" s="11"/>
      <x:c r="E180" s="7" t="str">
        <x:v>待资源总账回算</x:v>
      </x:c>
    </x:row>
    <x:row r="181">
      <x:c r="A181" s="11" t="n">
        <x:v>180</x:v>
      </x:c>
      <x:c r="B181" s="11" t="n">
        <x:f>A181*(A181+1)/2</x:f>
        <x:v>16290</x:v>
      </x:c>
      <x:c r="C181" s="11" t="n">
        <x:f>B181*100</x:f>
        <x:v>1629000</x:v>
      </x:c>
      <x:c r="D181" s="11"/>
      <x:c r="E181" s="7" t="str">
        <x:v>待资源总账回算</x:v>
      </x:c>
    </x:row>
    <x:row r="182">
      <x:c r="A182" s="11" t="n">
        <x:v>181</x:v>
      </x:c>
      <x:c r="B182" s="11" t="n">
        <x:f>A182*(A182+1)/2</x:f>
        <x:v>16471</x:v>
      </x:c>
      <x:c r="C182" s="11" t="n">
        <x:f>B182*100</x:f>
        <x:v>1647100</x:v>
      </x:c>
      <x:c r="D182" s="11"/>
      <x:c r="E182" s="7" t="str">
        <x:v>待资源总账回算</x:v>
      </x:c>
    </x:row>
    <x:row r="183">
      <x:c r="A183" s="11" t="n">
        <x:v>182</x:v>
      </x:c>
      <x:c r="B183" s="11" t="n">
        <x:f>A183*(A183+1)/2</x:f>
        <x:v>16653</x:v>
      </x:c>
      <x:c r="C183" s="11" t="n">
        <x:f>B183*100</x:f>
        <x:v>1665300</x:v>
      </x:c>
      <x:c r="D183" s="11"/>
      <x:c r="E183" s="7" t="str">
        <x:v>待资源总账回算</x:v>
      </x:c>
    </x:row>
    <x:row r="184">
      <x:c r="A184" s="11" t="n">
        <x:v>183</x:v>
      </x:c>
      <x:c r="B184" s="11" t="n">
        <x:f>A184*(A184+1)/2</x:f>
        <x:v>16836</x:v>
      </x:c>
      <x:c r="C184" s="11" t="n">
        <x:f>B184*100</x:f>
        <x:v>1683600</x:v>
      </x:c>
      <x:c r="D184" s="11"/>
      <x:c r="E184" s="7" t="str">
        <x:v>待资源总账回算</x:v>
      </x:c>
    </x:row>
    <x:row r="185">
      <x:c r="A185" s="11" t="n">
        <x:v>184</x:v>
      </x:c>
      <x:c r="B185" s="11" t="n">
        <x:f>A185*(A185+1)/2</x:f>
        <x:v>17020</x:v>
      </x:c>
      <x:c r="C185" s="11" t="n">
        <x:f>B185*100</x:f>
        <x:v>1702000</x:v>
      </x:c>
      <x:c r="D185" s="11"/>
      <x:c r="E185" s="7" t="str">
        <x:v>待资源总账回算</x:v>
      </x:c>
    </x:row>
    <x:row r="186">
      <x:c r="A186" s="11" t="n">
        <x:v>185</x:v>
      </x:c>
      <x:c r="B186" s="11" t="n">
        <x:f>A186*(A186+1)/2</x:f>
        <x:v>17205</x:v>
      </x:c>
      <x:c r="C186" s="11" t="n">
        <x:f>B186*100</x:f>
        <x:v>1720500</x:v>
      </x:c>
      <x:c r="D186" s="11"/>
      <x:c r="E186" s="7" t="str">
        <x:v>待资源总账回算</x:v>
      </x:c>
    </x:row>
    <x:row r="187">
      <x:c r="A187" s="11" t="n">
        <x:v>186</x:v>
      </x:c>
      <x:c r="B187" s="11" t="n">
        <x:f>A187*(A187+1)/2</x:f>
        <x:v>17391</x:v>
      </x:c>
      <x:c r="C187" s="11" t="n">
        <x:f>B187*100</x:f>
        <x:v>1739100</x:v>
      </x:c>
      <x:c r="D187" s="11"/>
      <x:c r="E187" s="7" t="str">
        <x:v>待资源总账回算</x:v>
      </x:c>
    </x:row>
    <x:row r="188">
      <x:c r="A188" s="11" t="n">
        <x:v>187</x:v>
      </x:c>
      <x:c r="B188" s="11" t="n">
        <x:f>A188*(A188+1)/2</x:f>
        <x:v>17578</x:v>
      </x:c>
      <x:c r="C188" s="11" t="n">
        <x:f>B188*100</x:f>
        <x:v>1757800</x:v>
      </x:c>
      <x:c r="D188" s="11"/>
      <x:c r="E188" s="7" t="str">
        <x:v>待资源总账回算</x:v>
      </x:c>
    </x:row>
    <x:row r="189">
      <x:c r="A189" s="11" t="n">
        <x:v>188</x:v>
      </x:c>
      <x:c r="B189" s="11" t="n">
        <x:f>A189*(A189+1)/2</x:f>
        <x:v>17766</x:v>
      </x:c>
      <x:c r="C189" s="11" t="n">
        <x:f>B189*100</x:f>
        <x:v>1776600</x:v>
      </x:c>
      <x:c r="D189" s="11"/>
      <x:c r="E189" s="7" t="str">
        <x:v>待资源总账回算</x:v>
      </x:c>
    </x:row>
    <x:row r="190">
      <x:c r="A190" s="11" t="n">
        <x:v>189</x:v>
      </x:c>
      <x:c r="B190" s="11" t="n">
        <x:f>A190*(A190+1)/2</x:f>
        <x:v>17955</x:v>
      </x:c>
      <x:c r="C190" s="11" t="n">
        <x:f>B190*100</x:f>
        <x:v>1795500</x:v>
      </x:c>
      <x:c r="D190" s="11"/>
      <x:c r="E190" s="7" t="str">
        <x:v>待资源总账回算</x:v>
      </x:c>
    </x:row>
    <x:row r="191">
      <x:c r="A191" s="11" t="n">
        <x:v>190</x:v>
      </x:c>
      <x:c r="B191" s="11" t="n">
        <x:f>A191*(A191+1)/2</x:f>
        <x:v>18145</x:v>
      </x:c>
      <x:c r="C191" s="11" t="n">
        <x:f>B191*100</x:f>
        <x:v>1814500</x:v>
      </x:c>
      <x:c r="D191" s="11"/>
      <x:c r="E191" s="7" t="str">
        <x:v>待资源总账回算</x:v>
      </x:c>
    </x:row>
    <x:row r="192">
      <x:c r="A192" s="11" t="n">
        <x:v>191</x:v>
      </x:c>
      <x:c r="B192" s="11" t="n">
        <x:f>A192*(A192+1)/2</x:f>
        <x:v>18336</x:v>
      </x:c>
      <x:c r="C192" s="11" t="n">
        <x:f>B192*100</x:f>
        <x:v>1833600</x:v>
      </x:c>
      <x:c r="D192" s="11"/>
      <x:c r="E192" s="7" t="str">
        <x:v>待资源总账回算</x:v>
      </x:c>
    </x:row>
    <x:row r="193">
      <x:c r="A193" s="11" t="n">
        <x:v>192</x:v>
      </x:c>
      <x:c r="B193" s="11" t="n">
        <x:f>A193*(A193+1)/2</x:f>
        <x:v>18528</x:v>
      </x:c>
      <x:c r="C193" s="11" t="n">
        <x:f>B193*100</x:f>
        <x:v>1852800</x:v>
      </x:c>
      <x:c r="D193" s="11"/>
      <x:c r="E193" s="7" t="str">
        <x:v>待资源总账回算</x:v>
      </x:c>
    </x:row>
    <x:row r="194">
      <x:c r="A194" s="11" t="n">
        <x:v>193</x:v>
      </x:c>
      <x:c r="B194" s="11" t="n">
        <x:f>A194*(A194+1)/2</x:f>
        <x:v>18721</x:v>
      </x:c>
      <x:c r="C194" s="11" t="n">
        <x:f>B194*100</x:f>
        <x:v>1872100</x:v>
      </x:c>
      <x:c r="D194" s="11"/>
      <x:c r="E194" s="7" t="str">
        <x:v>待资源总账回算</x:v>
      </x:c>
    </x:row>
    <x:row r="195">
      <x:c r="A195" s="11" t="n">
        <x:v>194</x:v>
      </x:c>
      <x:c r="B195" s="11" t="n">
        <x:f>A195*(A195+1)/2</x:f>
        <x:v>18915</x:v>
      </x:c>
      <x:c r="C195" s="11" t="n">
        <x:f>B195*100</x:f>
        <x:v>1891500</x:v>
      </x:c>
      <x:c r="D195" s="11"/>
      <x:c r="E195" s="7" t="str">
        <x:v>待资源总账回算</x:v>
      </x:c>
    </x:row>
    <x:row r="196">
      <x:c r="A196" s="11" t="n">
        <x:v>195</x:v>
      </x:c>
      <x:c r="B196" s="11" t="n">
        <x:f>A196*(A196+1)/2</x:f>
        <x:v>19110</x:v>
      </x:c>
      <x:c r="C196" s="11" t="n">
        <x:f>B196*100</x:f>
        <x:v>1911000</x:v>
      </x:c>
      <x:c r="D196" s="11"/>
      <x:c r="E196" s="7" t="str">
        <x:v>待资源总账回算</x:v>
      </x:c>
    </x:row>
    <x:row r="197">
      <x:c r="A197" s="11" t="n">
        <x:v>196</x:v>
      </x:c>
      <x:c r="B197" s="11" t="n">
        <x:f>A197*(A197+1)/2</x:f>
        <x:v>19306</x:v>
      </x:c>
      <x:c r="C197" s="11" t="n">
        <x:f>B197*100</x:f>
        <x:v>1930600</x:v>
      </x:c>
      <x:c r="D197" s="11"/>
      <x:c r="E197" s="7" t="str">
        <x:v>待资源总账回算</x:v>
      </x:c>
    </x:row>
    <x:row r="198">
      <x:c r="A198" s="11" t="n">
        <x:v>197</x:v>
      </x:c>
      <x:c r="B198" s="11" t="n">
        <x:f>A198*(A198+1)/2</x:f>
        <x:v>19503</x:v>
      </x:c>
      <x:c r="C198" s="11" t="n">
        <x:f>B198*100</x:f>
        <x:v>1950300</x:v>
      </x:c>
      <x:c r="D198" s="11"/>
      <x:c r="E198" s="7" t="str">
        <x:v>待资源总账回算</x:v>
      </x:c>
    </x:row>
    <x:row r="199">
      <x:c r="A199" s="11" t="n">
        <x:v>198</x:v>
      </x:c>
      <x:c r="B199" s="11" t="n">
        <x:f>A199*(A199+1)/2</x:f>
        <x:v>19701</x:v>
      </x:c>
      <x:c r="C199" s="11" t="n">
        <x:f>B199*100</x:f>
        <x:v>1970100</x:v>
      </x:c>
      <x:c r="D199" s="11"/>
      <x:c r="E199" s="7" t="str">
        <x:v>待资源总账回算</x:v>
      </x:c>
    </x:row>
    <x:row r="200">
      <x:c r="A200" s="11" t="n">
        <x:v>199</x:v>
      </x:c>
      <x:c r="B200" s="11" t="n">
        <x:f>A200*(A200+1)/2</x:f>
        <x:v>19900</x:v>
      </x:c>
      <x:c r="C200" s="11" t="n">
        <x:f>B200*100</x:f>
        <x:v>1990000</x:v>
      </x:c>
      <x:c r="D200" s="11"/>
      <x:c r="E200" s="7" t="str">
        <x:v>待资源总账回算</x:v>
      </x:c>
    </x:row>
    <x:row r="201">
      <x:c r="A201" s="11" t="n">
        <x:v>200</x:v>
      </x:c>
      <x:c r="B201" s="11" t="n">
        <x:f>A201*(A201+1)/2</x:f>
        <x:v>20100</x:v>
      </x:c>
      <x:c r="C201" s="11" t="n">
        <x:f>B201*100</x:f>
        <x:v>2010000</x:v>
      </x:c>
      <x:c r="D201" s="11"/>
      <x:c r="E201" s="7" t="str">
        <x:v>待资源总账回算</x:v>
      </x:c>
    </x:row>
    <x:row r="202">
      <x:c r="A202" s="11" t="n">
        <x:v>201</x:v>
      </x:c>
      <x:c r="B202" s="11" t="n">
        <x:f>A202*(A202+1)/2</x:f>
        <x:v>20301</x:v>
      </x:c>
      <x:c r="C202" s="11" t="n">
        <x:f>B202*100</x:f>
        <x:v>2030100</x:v>
      </x:c>
      <x:c r="D202" s="11"/>
      <x:c r="E202" s="7" t="str">
        <x:v>待资源总账回算</x:v>
      </x:c>
    </x:row>
    <x:row r="203">
      <x:c r="A203" s="11" t="n">
        <x:v>202</x:v>
      </x:c>
      <x:c r="B203" s="11" t="n">
        <x:f>A203*(A203+1)/2</x:f>
        <x:v>20503</x:v>
      </x:c>
      <x:c r="C203" s="11" t="n">
        <x:f>B203*100</x:f>
        <x:v>2050300</x:v>
      </x:c>
      <x:c r="D203" s="11"/>
      <x:c r="E203" s="7" t="str">
        <x:v>待资源总账回算</x:v>
      </x:c>
    </x:row>
    <x:row r="204">
      <x:c r="A204" s="11" t="n">
        <x:v>203</x:v>
      </x:c>
      <x:c r="B204" s="11" t="n">
        <x:f>A204*(A204+1)/2</x:f>
        <x:v>20706</x:v>
      </x:c>
      <x:c r="C204" s="11" t="n">
        <x:f>B204*100</x:f>
        <x:v>2070600</x:v>
      </x:c>
      <x:c r="D204" s="11"/>
      <x:c r="E204" s="7" t="str">
        <x:v>待资源总账回算</x:v>
      </x:c>
    </x:row>
    <x:row r="205">
      <x:c r="A205" s="11" t="n">
        <x:v>204</x:v>
      </x:c>
      <x:c r="B205" s="11" t="n">
        <x:f>A205*(A205+1)/2</x:f>
        <x:v>20910</x:v>
      </x:c>
      <x:c r="C205" s="11" t="n">
        <x:f>B205*100</x:f>
        <x:v>2091000</x:v>
      </x:c>
      <x:c r="D205" s="11"/>
      <x:c r="E205" s="7" t="str">
        <x:v>待资源总账回算</x:v>
      </x:c>
    </x:row>
    <x:row r="206">
      <x:c r="A206" s="11" t="n">
        <x:v>205</x:v>
      </x:c>
      <x:c r="B206" s="11" t="n">
        <x:f>A206*(A206+1)/2</x:f>
        <x:v>21115</x:v>
      </x:c>
      <x:c r="C206" s="11" t="n">
        <x:f>B206*100</x:f>
        <x:v>2111500</x:v>
      </x:c>
      <x:c r="D206" s="11"/>
      <x:c r="E206" s="7" t="str">
        <x:v>待资源总账回算</x:v>
      </x:c>
    </x:row>
    <x:row r="207">
      <x:c r="A207" s="11" t="n">
        <x:v>206</x:v>
      </x:c>
      <x:c r="B207" s="11" t="n">
        <x:f>A207*(A207+1)/2</x:f>
        <x:v>21321</x:v>
      </x:c>
      <x:c r="C207" s="11" t="n">
        <x:f>B207*100</x:f>
        <x:v>2132100</x:v>
      </x:c>
      <x:c r="D207" s="11"/>
      <x:c r="E207" s="7" t="str">
        <x:v>待资源总账回算</x:v>
      </x:c>
    </x:row>
    <x:row r="208">
      <x:c r="A208" s="11" t="n">
        <x:v>207</x:v>
      </x:c>
      <x:c r="B208" s="11" t="n">
        <x:f>A208*(A208+1)/2</x:f>
        <x:v>21528</x:v>
      </x:c>
      <x:c r="C208" s="11" t="n">
        <x:f>B208*100</x:f>
        <x:v>2152800</x:v>
      </x:c>
      <x:c r="D208" s="11"/>
      <x:c r="E208" s="7" t="str">
        <x:v>待资源总账回算</x:v>
      </x:c>
    </x:row>
    <x:row r="209">
      <x:c r="A209" s="11" t="n">
        <x:v>208</x:v>
      </x:c>
      <x:c r="B209" s="11" t="n">
        <x:f>A209*(A209+1)/2</x:f>
        <x:v>21736</x:v>
      </x:c>
      <x:c r="C209" s="11" t="n">
        <x:f>B209*100</x:f>
        <x:v>2173600</x:v>
      </x:c>
      <x:c r="D209" s="11"/>
      <x:c r="E209" s="7" t="str">
        <x:v>待资源总账回算</x:v>
      </x:c>
    </x:row>
    <x:row r="210">
      <x:c r="A210" s="11" t="n">
        <x:v>209</x:v>
      </x:c>
      <x:c r="B210" s="11" t="n">
        <x:f>A210*(A210+1)/2</x:f>
        <x:v>21945</x:v>
      </x:c>
      <x:c r="C210" s="11" t="n">
        <x:f>B210*100</x:f>
        <x:v>2194500</x:v>
      </x:c>
      <x:c r="D210" s="11"/>
      <x:c r="E210" s="7" t="str">
        <x:v>待资源总账回算</x:v>
      </x:c>
    </x:row>
    <x:row r="211">
      <x:c r="A211" s="11" t="n">
        <x:v>210</x:v>
      </x:c>
      <x:c r="B211" s="11" t="n">
        <x:f>A211*(A211+1)/2</x:f>
        <x:v>22155</x:v>
      </x:c>
      <x:c r="C211" s="11" t="n">
        <x:f>B211*100</x:f>
        <x:v>2215500</x:v>
      </x:c>
      <x:c r="D211" s="11"/>
      <x:c r="E211" s="7" t="str">
        <x:v>待资源总账回算</x:v>
      </x:c>
    </x:row>
    <x:row r="212">
      <x:c r="A212" s="11" t="n">
        <x:v>211</x:v>
      </x:c>
      <x:c r="B212" s="11" t="n">
        <x:f>A212*(A212+1)/2</x:f>
        <x:v>22366</x:v>
      </x:c>
      <x:c r="C212" s="11" t="n">
        <x:f>B212*100</x:f>
        <x:v>2236600</x:v>
      </x:c>
      <x:c r="D212" s="11"/>
      <x:c r="E212" s="7" t="str">
        <x:v>待资源总账回算</x:v>
      </x:c>
    </x:row>
    <x:row r="213">
      <x:c r="A213" s="11" t="n">
        <x:v>212</x:v>
      </x:c>
      <x:c r="B213" s="11" t="n">
        <x:f>A213*(A213+1)/2</x:f>
        <x:v>22578</x:v>
      </x:c>
      <x:c r="C213" s="11" t="n">
        <x:f>B213*100</x:f>
        <x:v>2257800</x:v>
      </x:c>
      <x:c r="D213" s="11"/>
      <x:c r="E213" s="7" t="str">
        <x:v>待资源总账回算</x:v>
      </x:c>
    </x:row>
    <x:row r="214">
      <x:c r="A214" s="11" t="n">
        <x:v>213</x:v>
      </x:c>
      <x:c r="B214" s="11" t="n">
        <x:f>A214*(A214+1)/2</x:f>
        <x:v>22791</x:v>
      </x:c>
      <x:c r="C214" s="11" t="n">
        <x:f>B214*100</x:f>
        <x:v>2279100</x:v>
      </x:c>
      <x:c r="D214" s="11"/>
      <x:c r="E214" s="7" t="str">
        <x:v>待资源总账回算</x:v>
      </x:c>
    </x:row>
    <x:row r="215">
      <x:c r="A215" s="11" t="n">
        <x:v>214</x:v>
      </x:c>
      <x:c r="B215" s="11" t="n">
        <x:f>A215*(A215+1)/2</x:f>
        <x:v>23005</x:v>
      </x:c>
      <x:c r="C215" s="11" t="n">
        <x:f>B215*100</x:f>
        <x:v>2300500</x:v>
      </x:c>
      <x:c r="D215" s="11"/>
      <x:c r="E215" s="7" t="str">
        <x:v>待资源总账回算</x:v>
      </x:c>
    </x:row>
    <x:row r="216">
      <x:c r="A216" s="11" t="n">
        <x:v>215</x:v>
      </x:c>
      <x:c r="B216" s="11" t="n">
        <x:f>A216*(A216+1)/2</x:f>
        <x:v>23220</x:v>
      </x:c>
      <x:c r="C216" s="11" t="n">
        <x:f>B216*100</x:f>
        <x:v>2322000</x:v>
      </x:c>
      <x:c r="D216" s="11"/>
      <x:c r="E216" s="7" t="str">
        <x:v>待资源总账回算</x:v>
      </x:c>
    </x:row>
    <x:row r="217">
      <x:c r="A217" s="11" t="n">
        <x:v>216</x:v>
      </x:c>
      <x:c r="B217" s="11" t="n">
        <x:f>A217*(A217+1)/2</x:f>
        <x:v>23436</x:v>
      </x:c>
      <x:c r="C217" s="11" t="n">
        <x:f>B217*100</x:f>
        <x:v>2343600</x:v>
      </x:c>
      <x:c r="D217" s="11"/>
      <x:c r="E217" s="7" t="str">
        <x:v>待资源总账回算</x:v>
      </x:c>
    </x:row>
    <x:row r="218">
      <x:c r="A218" s="11" t="n">
        <x:v>217</x:v>
      </x:c>
      <x:c r="B218" s="11" t="n">
        <x:f>A218*(A218+1)/2</x:f>
        <x:v>23653</x:v>
      </x:c>
      <x:c r="C218" s="11" t="n">
        <x:f>B218*100</x:f>
        <x:v>2365300</x:v>
      </x:c>
      <x:c r="D218" s="11"/>
      <x:c r="E218" s="7" t="str">
        <x:v>待资源总账回算</x:v>
      </x:c>
    </x:row>
    <x:row r="219">
      <x:c r="A219" s="11" t="n">
        <x:v>218</x:v>
      </x:c>
      <x:c r="B219" s="11" t="n">
        <x:f>A219*(A219+1)/2</x:f>
        <x:v>23871</x:v>
      </x:c>
      <x:c r="C219" s="11" t="n">
        <x:f>B219*100</x:f>
        <x:v>2387100</x:v>
      </x:c>
      <x:c r="D219" s="11"/>
      <x:c r="E219" s="7" t="str">
        <x:v>待资源总账回算</x:v>
      </x:c>
    </x:row>
    <x:row r="220">
      <x:c r="A220" s="11" t="n">
        <x:v>219</x:v>
      </x:c>
      <x:c r="B220" s="11" t="n">
        <x:f>A220*(A220+1)/2</x:f>
        <x:v>24090</x:v>
      </x:c>
      <x:c r="C220" s="11" t="n">
        <x:f>B220*100</x:f>
        <x:v>2409000</x:v>
      </x:c>
      <x:c r="D220" s="11"/>
      <x:c r="E220" s="7" t="str">
        <x:v>待资源总账回算</x:v>
      </x:c>
    </x:row>
    <x:row r="221">
      <x:c r="A221" s="11" t="n">
        <x:v>220</x:v>
      </x:c>
      <x:c r="B221" s="11" t="n">
        <x:f>A221*(A221+1)/2</x:f>
        <x:v>24310</x:v>
      </x:c>
      <x:c r="C221" s="11" t="n">
        <x:f>B221*100</x:f>
        <x:v>2431000</x:v>
      </x:c>
      <x:c r="D221" s="11"/>
      <x:c r="E221" s="7" t="str">
        <x:v>待资源总账回算</x:v>
      </x:c>
    </x:row>
    <x:row r="222">
      <x:c r="A222" s="11" t="n">
        <x:v>221</x:v>
      </x:c>
      <x:c r="B222" s="11" t="n">
        <x:f>A222*(A222+1)/2</x:f>
        <x:v>24531</x:v>
      </x:c>
      <x:c r="C222" s="11" t="n">
        <x:f>B222*100</x:f>
        <x:v>2453100</x:v>
      </x:c>
      <x:c r="D222" s="11"/>
      <x:c r="E222" s="7" t="str">
        <x:v>待资源总账回算</x:v>
      </x:c>
    </x:row>
    <x:row r="223">
      <x:c r="A223" s="11" t="n">
        <x:v>222</x:v>
      </x:c>
      <x:c r="B223" s="11" t="n">
        <x:f>A223*(A223+1)/2</x:f>
        <x:v>24753</x:v>
      </x:c>
      <x:c r="C223" s="11" t="n">
        <x:f>B223*100</x:f>
        <x:v>2475300</x:v>
      </x:c>
      <x:c r="D223" s="11"/>
      <x:c r="E223" s="7" t="str">
        <x:v>待资源总账回算</x:v>
      </x:c>
    </x:row>
    <x:row r="224">
      <x:c r="A224" s="11" t="n">
        <x:v>223</x:v>
      </x:c>
      <x:c r="B224" s="11" t="n">
        <x:f>A224*(A224+1)/2</x:f>
        <x:v>24976</x:v>
      </x:c>
      <x:c r="C224" s="11" t="n">
        <x:f>B224*100</x:f>
        <x:v>2497600</x:v>
      </x:c>
      <x:c r="D224" s="11"/>
      <x:c r="E224" s="7" t="str">
        <x:v>待资源总账回算</x:v>
      </x:c>
    </x:row>
    <x:row r="225">
      <x:c r="A225" s="11" t="n">
        <x:v>224</x:v>
      </x:c>
      <x:c r="B225" s="11" t="n">
        <x:f>A225*(A225+1)/2</x:f>
        <x:v>25200</x:v>
      </x:c>
      <x:c r="C225" s="11" t="n">
        <x:f>B225*100</x:f>
        <x:v>2520000</x:v>
      </x:c>
      <x:c r="D225" s="11"/>
      <x:c r="E225" s="7" t="str">
        <x:v>待资源总账回算</x:v>
      </x:c>
    </x:row>
    <x:row r="226">
      <x:c r="A226" s="11" t="n">
        <x:v>225</x:v>
      </x:c>
      <x:c r="B226" s="11" t="n">
        <x:f>A226*(A226+1)/2</x:f>
        <x:v>25425</x:v>
      </x:c>
      <x:c r="C226" s="11" t="n">
        <x:f>B226*100</x:f>
        <x:v>2542500</x:v>
      </x:c>
      <x:c r="D226" s="11"/>
      <x:c r="E226" s="7" t="str">
        <x:v>待资源总账回算</x:v>
      </x:c>
    </x:row>
    <x:row r="227">
      <x:c r="A227" s="11" t="n">
        <x:v>226</x:v>
      </x:c>
      <x:c r="B227" s="11" t="n">
        <x:f>A227*(A227+1)/2</x:f>
        <x:v>25651</x:v>
      </x:c>
      <x:c r="C227" s="11" t="n">
        <x:f>B227*100</x:f>
        <x:v>2565100</x:v>
      </x:c>
      <x:c r="D227" s="11"/>
      <x:c r="E227" s="7" t="str">
        <x:v>待资源总账回算</x:v>
      </x:c>
    </x:row>
    <x:row r="228">
      <x:c r="A228" s="11" t="n">
        <x:v>227</x:v>
      </x:c>
      <x:c r="B228" s="11" t="n">
        <x:f>A228*(A228+1)/2</x:f>
        <x:v>25878</x:v>
      </x:c>
      <x:c r="C228" s="11" t="n">
        <x:f>B228*100</x:f>
        <x:v>2587800</x:v>
      </x:c>
      <x:c r="D228" s="11"/>
      <x:c r="E228" s="7" t="str">
        <x:v>待资源总账回算</x:v>
      </x:c>
    </x:row>
    <x:row r="229">
      <x:c r="A229" s="11" t="n">
        <x:v>228</x:v>
      </x:c>
      <x:c r="B229" s="11" t="n">
        <x:f>A229*(A229+1)/2</x:f>
        <x:v>26106</x:v>
      </x:c>
      <x:c r="C229" s="11" t="n">
        <x:f>B229*100</x:f>
        <x:v>2610600</x:v>
      </x:c>
      <x:c r="D229" s="11"/>
      <x:c r="E229" s="7" t="str">
        <x:v>待资源总账回算</x:v>
      </x:c>
    </x:row>
    <x:row r="230">
      <x:c r="A230" s="11" t="n">
        <x:v>229</x:v>
      </x:c>
      <x:c r="B230" s="11" t="n">
        <x:f>A230*(A230+1)/2</x:f>
        <x:v>26335</x:v>
      </x:c>
      <x:c r="C230" s="11" t="n">
        <x:f>B230*100</x:f>
        <x:v>2633500</x:v>
      </x:c>
      <x:c r="D230" s="11"/>
      <x:c r="E230" s="7" t="str">
        <x:v>待资源总账回算</x:v>
      </x:c>
    </x:row>
    <x:row r="231">
      <x:c r="A231" s="11" t="n">
        <x:v>230</x:v>
      </x:c>
      <x:c r="B231" s="11" t="n">
        <x:f>A231*(A231+1)/2</x:f>
        <x:v>26565</x:v>
      </x:c>
      <x:c r="C231" s="11" t="n">
        <x:f>B231*100</x:f>
        <x:v>2656500</x:v>
      </x:c>
      <x:c r="D231" s="11"/>
      <x:c r="E231" s="7" t="str">
        <x:v>待资源总账回算</x:v>
      </x:c>
    </x:row>
    <x:row r="232">
      <x:c r="A232" s="11" t="n">
        <x:v>231</x:v>
      </x:c>
      <x:c r="B232" s="11" t="n">
        <x:f>A232*(A232+1)/2</x:f>
        <x:v>26796</x:v>
      </x:c>
      <x:c r="C232" s="11" t="n">
        <x:f>B232*100</x:f>
        <x:v>2679600</x:v>
      </x:c>
      <x:c r="D232" s="11"/>
      <x:c r="E232" s="7" t="str">
        <x:v>待资源总账回算</x:v>
      </x:c>
    </x:row>
    <x:row r="233">
      <x:c r="A233" s="11" t="n">
        <x:v>232</x:v>
      </x:c>
      <x:c r="B233" s="11" t="n">
        <x:f>A233*(A233+1)/2</x:f>
        <x:v>27028</x:v>
      </x:c>
      <x:c r="C233" s="11" t="n">
        <x:f>B233*100</x:f>
        <x:v>2702800</x:v>
      </x:c>
      <x:c r="D233" s="11"/>
      <x:c r="E233" s="7" t="str">
        <x:v>待资源总账回算</x:v>
      </x:c>
    </x:row>
    <x:row r="234">
      <x:c r="A234" s="11" t="n">
        <x:v>233</x:v>
      </x:c>
      <x:c r="B234" s="11" t="n">
        <x:f>A234*(A234+1)/2</x:f>
        <x:v>27261</x:v>
      </x:c>
      <x:c r="C234" s="11" t="n">
        <x:f>B234*100</x:f>
        <x:v>2726100</x:v>
      </x:c>
      <x:c r="D234" s="11"/>
      <x:c r="E234" s="7" t="str">
        <x:v>待资源总账回算</x:v>
      </x:c>
    </x:row>
    <x:row r="235">
      <x:c r="A235" s="11" t="n">
        <x:v>234</x:v>
      </x:c>
      <x:c r="B235" s="11" t="n">
        <x:f>A235*(A235+1)/2</x:f>
        <x:v>27495</x:v>
      </x:c>
      <x:c r="C235" s="11" t="n">
        <x:f>B235*100</x:f>
        <x:v>2749500</x:v>
      </x:c>
      <x:c r="D235" s="11"/>
      <x:c r="E235" s="7" t="str">
        <x:v>待资源总账回算</x:v>
      </x:c>
    </x:row>
    <x:row r="236">
      <x:c r="A236" s="11" t="n">
        <x:v>235</x:v>
      </x:c>
      <x:c r="B236" s="11" t="n">
        <x:f>A236*(A236+1)/2</x:f>
        <x:v>27730</x:v>
      </x:c>
      <x:c r="C236" s="11" t="n">
        <x:f>B236*100</x:f>
        <x:v>2773000</x:v>
      </x:c>
      <x:c r="D236" s="11"/>
      <x:c r="E236" s="7" t="str">
        <x:v>待资源总账回算</x:v>
      </x:c>
    </x:row>
    <x:row r="237">
      <x:c r="A237" s="11" t="n">
        <x:v>236</x:v>
      </x:c>
      <x:c r="B237" s="11" t="n">
        <x:f>A237*(A237+1)/2</x:f>
        <x:v>27966</x:v>
      </x:c>
      <x:c r="C237" s="11" t="n">
        <x:f>B237*100</x:f>
        <x:v>2796600</x:v>
      </x:c>
      <x:c r="D237" s="11"/>
      <x:c r="E237" s="7" t="str">
        <x:v>待资源总账回算</x:v>
      </x:c>
    </x:row>
    <x:row r="238">
      <x:c r="A238" s="11" t="n">
        <x:v>237</x:v>
      </x:c>
      <x:c r="B238" s="11" t="n">
        <x:f>A238*(A238+1)/2</x:f>
        <x:v>28203</x:v>
      </x:c>
      <x:c r="C238" s="11" t="n">
        <x:f>B238*100</x:f>
        <x:v>2820300</x:v>
      </x:c>
      <x:c r="D238" s="11"/>
      <x:c r="E238" s="7" t="str">
        <x:v>待资源总账回算</x:v>
      </x:c>
    </x:row>
    <x:row r="239">
      <x:c r="A239" s="11" t="n">
        <x:v>238</x:v>
      </x:c>
      <x:c r="B239" s="11" t="n">
        <x:f>A239*(A239+1)/2</x:f>
        <x:v>28441</x:v>
      </x:c>
      <x:c r="C239" s="11" t="n">
        <x:f>B239*100</x:f>
        <x:v>2844100</x:v>
      </x:c>
      <x:c r="D239" s="11"/>
      <x:c r="E239" s="7" t="str">
        <x:v>待资源总账回算</x:v>
      </x:c>
    </x:row>
    <x:row r="240">
      <x:c r="A240" s="11" t="n">
        <x:v>239</x:v>
      </x:c>
      <x:c r="B240" s="11" t="n">
        <x:f>A240*(A240+1)/2</x:f>
        <x:v>28680</x:v>
      </x:c>
      <x:c r="C240" s="11" t="n">
        <x:f>B240*100</x:f>
        <x:v>2868000</x:v>
      </x:c>
      <x:c r="D240" s="11"/>
      <x:c r="E240" s="7" t="str">
        <x:v>待资源总账回算</x:v>
      </x:c>
    </x:row>
    <x:row r="241">
      <x:c r="A241" s="11" t="n">
        <x:v>240</x:v>
      </x:c>
      <x:c r="B241" s="11" t="n">
        <x:f>A241*(A241+1)/2</x:f>
        <x:v>28920</x:v>
      </x:c>
      <x:c r="C241" s="11" t="n">
        <x:f>B241*100</x:f>
        <x:v>2892000</x:v>
      </x:c>
      <x:c r="D241" s="11"/>
      <x:c r="E241" s="7" t="str">
        <x:v>待资源总账回算</x:v>
      </x:c>
    </x:row>
    <x:row r="242">
      <x:c r="A242" s="11" t="n">
        <x:v>241</x:v>
      </x:c>
      <x:c r="B242" s="11" t="n">
        <x:f>A242*(A242+1)/2</x:f>
        <x:v>29161</x:v>
      </x:c>
      <x:c r="C242" s="11" t="n">
        <x:f>B242*100</x:f>
        <x:v>2916100</x:v>
      </x:c>
      <x:c r="D242" s="11"/>
      <x:c r="E242" s="7" t="str">
        <x:v>待资源总账回算</x:v>
      </x:c>
    </x:row>
    <x:row r="243">
      <x:c r="A243" s="11" t="n">
        <x:v>242</x:v>
      </x:c>
      <x:c r="B243" s="11" t="n">
        <x:f>A243*(A243+1)/2</x:f>
        <x:v>29403</x:v>
      </x:c>
      <x:c r="C243" s="11" t="n">
        <x:f>B243*100</x:f>
        <x:v>2940300</x:v>
      </x:c>
      <x:c r="D243" s="11"/>
      <x:c r="E243" s="7" t="str">
        <x:v>待资源总账回算</x:v>
      </x:c>
    </x:row>
    <x:row r="244">
      <x:c r="A244" s="11" t="n">
        <x:v>243</x:v>
      </x:c>
      <x:c r="B244" s="11" t="n">
        <x:f>A244*(A244+1)/2</x:f>
        <x:v>29646</x:v>
      </x:c>
      <x:c r="C244" s="11" t="n">
        <x:f>B244*100</x:f>
        <x:v>2964600</x:v>
      </x:c>
      <x:c r="D244" s="11"/>
      <x:c r="E244" s="7" t="str">
        <x:v>待资源总账回算</x:v>
      </x:c>
    </x:row>
    <x:row r="245">
      <x:c r="A245" s="11" t="n">
        <x:v>244</x:v>
      </x:c>
      <x:c r="B245" s="11" t="n">
        <x:f>A245*(A245+1)/2</x:f>
        <x:v>29890</x:v>
      </x:c>
      <x:c r="C245" s="11" t="n">
        <x:f>B245*100</x:f>
        <x:v>2989000</x:v>
      </x:c>
      <x:c r="D245" s="11"/>
      <x:c r="E245" s="7" t="str">
        <x:v>待资源总账回算</x:v>
      </x:c>
    </x:row>
    <x:row r="246">
      <x:c r="A246" s="11" t="n">
        <x:v>245</x:v>
      </x:c>
      <x:c r="B246" s="11" t="n">
        <x:f>A246*(A246+1)/2</x:f>
        <x:v>30135</x:v>
      </x:c>
      <x:c r="C246" s="11" t="n">
        <x:f>B246*100</x:f>
        <x:v>3013500</x:v>
      </x:c>
      <x:c r="D246" s="11"/>
      <x:c r="E246" s="7" t="str">
        <x:v>待资源总账回算</x:v>
      </x:c>
    </x:row>
    <x:row r="247">
      <x:c r="A247" s="11" t="n">
        <x:v>246</x:v>
      </x:c>
      <x:c r="B247" s="11" t="n">
        <x:f>A247*(A247+1)/2</x:f>
        <x:v>30381</x:v>
      </x:c>
      <x:c r="C247" s="11" t="n">
        <x:f>B247*100</x:f>
        <x:v>3038100</x:v>
      </x:c>
      <x:c r="D247" s="11"/>
      <x:c r="E247" s="7" t="str">
        <x:v>待资源总账回算</x:v>
      </x:c>
    </x:row>
    <x:row r="248">
      <x:c r="A248" s="11" t="n">
        <x:v>247</x:v>
      </x:c>
      <x:c r="B248" s="11" t="n">
        <x:f>A248*(A248+1)/2</x:f>
        <x:v>30628</x:v>
      </x:c>
      <x:c r="C248" s="11" t="n">
        <x:f>B248*100</x:f>
        <x:v>3062800</x:v>
      </x:c>
      <x:c r="D248" s="11"/>
      <x:c r="E248" s="7" t="str">
        <x:v>待资源总账回算</x:v>
      </x:c>
    </x:row>
    <x:row r="249">
      <x:c r="A249" s="11" t="n">
        <x:v>248</x:v>
      </x:c>
      <x:c r="B249" s="11" t="n">
        <x:f>A249*(A249+1)/2</x:f>
        <x:v>30876</x:v>
      </x:c>
      <x:c r="C249" s="11" t="n">
        <x:f>B249*100</x:f>
        <x:v>3087600</x:v>
      </x:c>
      <x:c r="D249" s="11"/>
      <x:c r="E249" s="7" t="str">
        <x:v>待资源总账回算</x:v>
      </x:c>
    </x:row>
    <x:row r="250">
      <x:c r="A250" s="11" t="n">
        <x:v>249</x:v>
      </x:c>
      <x:c r="B250" s="11" t="n">
        <x:f>A250*(A250+1)/2</x:f>
        <x:v>31125</x:v>
      </x:c>
      <x:c r="C250" s="11" t="n">
        <x:f>B250*100</x:f>
        <x:v>3112500</x:v>
      </x:c>
      <x:c r="D250" s="11"/>
      <x:c r="E250" s="7" t="str">
        <x:v>待资源总账回算</x:v>
      </x:c>
    </x:row>
    <x:row r="251">
      <x:c r="A251" s="11" t="n">
        <x:v>250</x:v>
      </x:c>
      <x:c r="B251" s="11" t="n">
        <x:f>A251*(A251+1)/2</x:f>
        <x:v>31375</x:v>
      </x:c>
      <x:c r="C251" s="11" t="n">
        <x:f>B251*100</x:f>
        <x:v>3137500</x:v>
      </x:c>
      <x:c r="D251" s="11"/>
      <x:c r="E251" s="7" t="str">
        <x:v>待资源总账回算</x:v>
      </x:c>
    </x:row>
    <x:row r="252">
      <x:c r="A252" s="11" t="n">
        <x:v>251</x:v>
      </x:c>
      <x:c r="B252" s="11" t="n">
        <x:f>A252*(A252+1)/2</x:f>
        <x:v>31626</x:v>
      </x:c>
      <x:c r="C252" s="11" t="n">
        <x:f>B252*100</x:f>
        <x:v>3162600</x:v>
      </x:c>
      <x:c r="D252" s="11"/>
      <x:c r="E252" s="7" t="str">
        <x:v>待资源总账回算</x:v>
      </x:c>
    </x:row>
    <x:row r="253">
      <x:c r="A253" s="11" t="n">
        <x:v>252</x:v>
      </x:c>
      <x:c r="B253" s="11" t="n">
        <x:f>A253*(A253+1)/2</x:f>
        <x:v>31878</x:v>
      </x:c>
      <x:c r="C253" s="11" t="n">
        <x:f>B253*100</x:f>
        <x:v>3187800</x:v>
      </x:c>
      <x:c r="D253" s="11"/>
      <x:c r="E253" s="7" t="str">
        <x:v>待资源总账回算</x:v>
      </x:c>
    </x:row>
    <x:row r="254">
      <x:c r="A254" s="11" t="n">
        <x:v>253</x:v>
      </x:c>
      <x:c r="B254" s="11" t="n">
        <x:f>A254*(A254+1)/2</x:f>
        <x:v>32131</x:v>
      </x:c>
      <x:c r="C254" s="11" t="n">
        <x:f>B254*100</x:f>
        <x:v>3213100</x:v>
      </x:c>
      <x:c r="D254" s="11"/>
      <x:c r="E254" s="7" t="str">
        <x:v>待资源总账回算</x:v>
      </x:c>
    </x:row>
    <x:row r="255">
      <x:c r="A255" s="11" t="n">
        <x:v>254</x:v>
      </x:c>
      <x:c r="B255" s="11" t="n">
        <x:f>A255*(A255+1)/2</x:f>
        <x:v>32385</x:v>
      </x:c>
      <x:c r="C255" s="11" t="n">
        <x:f>B255*100</x:f>
        <x:v>3238500</x:v>
      </x:c>
      <x:c r="D255" s="11"/>
      <x:c r="E255" s="7" t="str">
        <x:v>待资源总账回算</x:v>
      </x:c>
    </x:row>
    <x:row r="256">
      <x:c r="A256" s="11" t="n">
        <x:v>255</x:v>
      </x:c>
      <x:c r="B256" s="11" t="n">
        <x:f>A256*(A256+1)/2</x:f>
        <x:v>32640</x:v>
      </x:c>
      <x:c r="C256" s="11" t="n">
        <x:f>B256*100</x:f>
        <x:v>3264000</x:v>
      </x:c>
      <x:c r="D256" s="11"/>
      <x:c r="E256" s="7" t="str">
        <x:v>待资源总账回算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22" hidden="0" customWidth="1"/>
    <x:col min="5" max="5" width="22" hidden="0" customWidth="1"/>
    <x:col min="6" max="6" width="48" hidden="0" customWidth="1"/>
    <x:col min="7" max="7" width="16" hidden="0" customWidth="1"/>
    <x:col min="8" max="8" width="16" hidden="0" customWidth="1"/>
  </x:cols>
  <x:sheetData>
    <x:row r="1" ht="30" customHeight="1">
      <x:c r="A1" s="10" t="str">
        <x:v>变量</x:v>
      </x:c>
      <x:c r="B1" s="13" t="str">
        <x:v>第一大陆</x:v>
      </x:c>
      <x:c r="C1" s="13" t="str">
        <x:v>第二大陆</x:v>
      </x:c>
      <x:c r="D1" s="13" t="str">
        <x:v>单位</x:v>
      </x:c>
      <x:c r="E1" s="13" t="str">
        <x:v>状态</x:v>
      </x:c>
      <x:c r="F1" s="13" t="str">
        <x:v>公式/用途</x:v>
      </x:c>
      <x:c r="G1" s="13" t="str">
        <x:v>最低</x:v>
      </x:c>
      <x:c r="H1" s="13" t="str">
        <x:v>最高</x:v>
      </x:c>
    </x:row>
    <x:row r="2">
      <x:c r="A2" s="13" t="str">
        <x:v>装备毕业有效小时</x:v>
      </x:c>
      <x:c r="B2" s="13" t="n">
        <x:v>5</x:v>
      </x:c>
      <x:c r="C2" s="13"/>
      <x:c r="D2" s="13" t="str">
        <x:v>小时</x:v>
      </x:c>
      <x:c r="E2" s="13" t="str">
        <x:v>第一已确认；第二待确认</x:v>
      </x:c>
      <x:c r="F2" s="13" t="str">
        <x:v>用于总需求/小时产出回算</x:v>
      </x:c>
      <x:c r="G2" s="13"/>
      <x:c r="H2" s="13"/>
    </x:row>
    <x:row r="3">
      <x:c r="A3" s="13" t="str">
        <x:v>满充值自产覆盖率</x:v>
      </x:c>
      <x:c r="B3" s="17" t="n">
        <x:v>0.4</x:v>
      </x:c>
      <x:c r="C3" s="17" t="n">
        <x:v>0.4</x:v>
      </x:c>
      <x:c r="D3" s="13" t="str">
        <x:v>%</x:v>
      </x:c>
      <x:c r="E3" s="13" t="str">
        <x:v>方案中值</x:v>
      </x:c>
      <x:c r="F3" s="13" t="str">
        <x:v>确认范围30%—50%的中值</x:v>
      </x:c>
      <x:c r="G3" s="17" t="n">
        <x:v>0.3</x:v>
      </x:c>
      <x:c r="H3" s="17" t="n">
        <x:v>0.5</x:v>
      </x:c>
    </x:row>
    <x:row r="4">
      <x:c r="A4" s="13" t="str">
        <x:v>每小时自产</x:v>
      </x:c>
      <x:c r="B4" s="18"/>
      <x:c r="C4" s="18"/>
      <x:c r="D4" s="13" t="str">
        <x:v>资源/小时</x:v>
      </x:c>
      <x:c r="E4" s="13" t="str">
        <x:v>待进服实测</x:v>
      </x:c>
      <x:c r="F4" s="13" t="str">
        <x:v>装备回收+既有直接掉落，去重</x:v>
      </x:c>
      <x:c r="G4" s="13"/>
      <x:c r="H4" s="13"/>
    </x:row>
    <x:row r="5">
      <x:c r="A5" s="13" t="str">
        <x:v>阶段自产总量</x:v>
      </x:c>
      <x:c r="B5" s="13" t="str">
        <x:f>IF(OR(B2="",B4=""),"",B2*B4)</x:f>
      </x:c>
      <x:c r="C5" s="13" t="str">
        <x:f>IF(OR(C2="",C4=""),"",C2*C4)</x:f>
      </x:c>
      <x:c r="D5" s="13" t="str">
        <x:v>资源</x:v>
      </x:c>
      <x:c r="E5" s="13" t="str">
        <x:v>公式</x:v>
      </x:c>
      <x:c r="F5" s="13" t="str">
        <x:v>=每小时自产×毕业小时</x:v>
      </x:c>
      <x:c r="G5" s="13"/>
      <x:c r="H5" s="13"/>
    </x:row>
    <x:row r="6">
      <x:c r="A6" s="13" t="str">
        <x:v>同期总需求</x:v>
      </x:c>
      <x:c r="B6" s="13" t="str">
        <x:f>IF(OR(B5="",B3=""),"",B5/B3)</x:f>
      </x:c>
      <x:c r="C6" s="13" t="str">
        <x:f>IF(OR(C5="",C3=""),"",C5/C3)</x:f>
      </x:c>
      <x:c r="D6" s="13" t="str">
        <x:v>资源</x:v>
      </x:c>
      <x:c r="E6" s="13" t="str">
        <x:v>公式</x:v>
      </x:c>
      <x:c r="F6" s="13" t="str">
        <x:v>=阶段自产总量/自产覆盖率</x:v>
      </x:c>
      <x:c r="G6" s="13"/>
      <x:c r="H6" s="13"/>
    </x:row>
    <x:row r="7">
      <x:c r="A7" s="13" t="str">
        <x:v>市场需求缺口</x:v>
      </x:c>
      <x:c r="B7" s="13" t="str">
        <x:f>IF(OR(B6="",B5=""),"",B6-B5)</x:f>
      </x:c>
      <x:c r="C7" s="13" t="str">
        <x:f>IF(OR(C6="",C5=""),"",C6-C5)</x:f>
      </x:c>
      <x:c r="D7" s="13" t="str">
        <x:v>资源</x:v>
      </x:c>
      <x:c r="E7" s="13" t="str">
        <x:v>公式</x:v>
      </x:c>
      <x:c r="F7" s="13" t="str">
        <x:v>=同期总需求-阶段自产总量</x:v>
      </x:c>
      <x:c r="G7" s="13"/>
      <x:c r="H7" s="13"/>
    </x:row>
    <x:row r="8">
      <x:c r="A8" s="13" t="str">
        <x:v>每日额外守关次数</x:v>
      </x:c>
      <x:c r="B8" s="13" t="n">
        <x:v>3</x:v>
      </x:c>
      <x:c r="C8" s="13" t="n">
        <x:v>3</x:v>
      </x:c>
      <x:c r="D8" s="13" t="str">
        <x:v>次/角色/日</x:v>
      </x:c>
      <x:c r="E8" s="13" t="str">
        <x:v>已确认</x:v>
      </x:c>
      <x:c r="F8" s="13" t="str">
        <x:v>额外福利单列，不计主线基础强度</x:v>
      </x:c>
      <x:c r="G8" s="13"/>
      <x:c r="H8" s="13"/>
    </x:row>
    <x:row r="9">
      <x:c r="A9" s="13" t="str">
        <x:v>材料单格上限</x:v>
      </x:c>
      <x:c r="B9" s="13" t="n">
        <x:v>99999</x:v>
      </x:c>
      <x:c r="C9" s="13" t="n">
        <x:v>99999</x:v>
      </x:c>
      <x:c r="D9" s="13" t="str">
        <x:v>个</x:v>
      </x:c>
      <x:c r="E9" s="13" t="str">
        <x:v>已确认</x:v>
      </x:c>
      <x:c r="F9" s="13" t="str">
        <x:v>不得以仓库容量限制材料种类</x:v>
      </x:c>
      <x:c r="G9" s="13"/>
      <x:c r="H9" s="13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4" hidden="0" customWidth="1"/>
    <x:col min="3" max="3" width="24" hidden="0" customWidth="1"/>
    <x:col min="4" max="4" width="68" hidden="0" customWidth="1"/>
  </x:cols>
  <x:sheetData>
    <x:row r="1" ht="30" customHeight="1">
      <x:c r="A1" s="10" t="str">
        <x:v>检查项</x:v>
      </x:c>
      <x:c r="B1" s="13" t="str">
        <x:v>结果</x:v>
      </x:c>
      <x:c r="C1" s="13" t="str">
        <x:v>门槛</x:v>
      </x:c>
      <x:c r="D1" s="13" t="str">
        <x:v>说明</x:v>
      </x:c>
    </x:row>
    <x:row r="2">
      <x:c r="A2" s="13" t="str">
        <x:v>第一大陆怪物行数</x:v>
      </x:c>
      <x:c r="B2" s="13" t="n">
        <x:v>36</x:v>
      </x:c>
      <x:c r="C2" s="13" t="n">
        <x:v>36</x:v>
      </x:c>
      <x:c r="D2" s="13" t="str">
        <x:v>名称/模型/备注保留</x:v>
      </x:c>
    </x:row>
    <x:row r="3">
      <x:c r="A3" s="13" t="str">
        <x:v>第二大陆怪物行数</x:v>
      </x:c>
      <x:c r="B3" s="13" t="n">
        <x:v>61</x:v>
      </x:c>
      <x:c r="C3" s="13" t="n">
        <x:v>61</x:v>
      </x:c>
      <x:c r="D3" s="13" t="str">
        <x:v>30普通+20稀有+10BOSS+1守关</x:v>
      </x:c>
    </x:row>
    <x:row r="4">
      <x:c r="A4" s="13" t="str">
        <x:v>制式装备行数</x:v>
      </x:c>
      <x:c r="B4" s="13" t="n">
        <x:v>160</x:v>
      </x:c>
      <x:c r="C4" s="13" t="n">
        <x:v>160</x:v>
      </x:c>
      <x:c r="D4" s="13" t="str">
        <x:v>20套×8件</x:v>
      </x:c>
    </x:row>
    <x:row r="5">
      <x:c r="A5" s="13" t="str">
        <x:v>专属装备行数</x:v>
      </x:c>
      <x:c r="B5" s="13" t="n">
        <x:v>105</x:v>
      </x:c>
      <x:c r="C5" s="13" t="n">
        <x:v>105</x:v>
      </x:c>
      <x:c r="D5" s="13" t="str">
        <x:v>38第一大陆+61宁姆格福+6追梦</x:v>
      </x:c>
    </x:row>
    <x:row r="6">
      <x:c r="A6" s="13" t="str">
        <x:v>装备硬规则违规</x:v>
      </x:c>
      <x:c r="B6" s="13" t="n">
        <x:v>0</x:v>
      </x:c>
      <x:c r="C6" s="13" t="n">
        <x:v>0</x:v>
      </x:c>
      <x:c r="D6" s="13" t="str">
        <x:v>武器/项链/暴击字段检查</x:v>
      </x:c>
    </x:row>
    <x:row r="7">
      <x:c r="A7" s="13" t="str">
        <x:v>来源编号重复</x:v>
      </x:c>
      <x:c r="B7" s="13" t="n">
        <x:v>0</x:v>
      </x:c>
      <x:c r="C7" s="13" t="n">
        <x:v>0</x:v>
      </x:c>
      <x:c r="D7" s="13" t="str">
        <x:v>按非空来源编号内部查重</x:v>
      </x:c>
    </x:row>
    <x:row r="8">
      <x:c r="A8" s="13" t="str">
        <x:v>地图号检查</x:v>
      </x:c>
      <x:c r="B8" s="13" t="str">
        <x:v>本包未改</x:v>
      </x:c>
      <x:c r="C8" s="13" t="str">
        <x:v>不修改</x:v>
      </x:c>
      <x:c r="D8" s="13" t="str">
        <x:v>地图已完成；XX与纯数字来源编号分开</x:v>
      </x:c>
    </x:row>
    <x:row r="9">
      <x:c r="A9" s="13" t="str">
        <x:v>追梦部位覆盖</x:v>
      </x:c>
      <x:c r="B9" s="13" t="str">
        <x:v>禁止</x:v>
      </x:c>
      <x:c r="C9" s="13" t="str">
        <x:v>仅按名称覆数值</x:v>
      </x:c>
      <x:c r="D9" s="13" t="str">
        <x:v>用户本机已修改为六个时装首饰盒槽位</x:v>
      </x:c>
    </x:row>
    <x:row r="10">
      <x:c r="A10" s="13" t="str">
        <x:v>材料正式代码</x:v>
      </x:c>
      <x:c r="B10" s="13" t="str">
        <x:v>未生成</x:v>
      </x:c>
      <x:c r="C10" s="13" t="str">
        <x:v>无模板不猜</x:v>
      </x:c>
      <x:c r="D10" s="13" t="str">
        <x:v>需Codex从平台导出真实材料模板</x:v>
      </x:c>
    </x:row>
    <x:row r="11">
      <x:c r="A11" s="13" t="str">
        <x:v>NPC坐标</x:v>
      </x:c>
      <x:c r="B11" s="13" t="str">
        <x:v>未猜填</x:v>
      </x:c>
      <x:c r="C11" s="13" t="str">
        <x:v>真实坐标才填</x:v>
      </x:c>
      <x:c r="D11" s="13" t="str">
        <x:v>只有位置原则</x:v>
      </x:c>
    </x:row>
    <x:row r="12">
      <x:c r="A12" s="13" t="str">
        <x:v>公式错误</x:v>
      </x:c>
      <x:c r="B12" s="13" t="str">
        <x:v>待导出扫描</x:v>
      </x:c>
      <x:c r="C12" s="13" t="n">
        <x:v>0</x:v>
      </x:c>
      <x:c r="D12" s="13" t="str">
        <x:v>交付前自动检查</x:v>
      </x:c>
    </x:row>
    <x:row r="13">
      <x:c r="A13" s="13" t="str">
        <x:v>进服DPS/TTK偏差</x:v>
      </x:c>
      <x:c r="B13" s="13" t="str">
        <x:v>待Codex测试</x:v>
      </x:c>
      <x:c r="C13" s="13" t="str">
        <x:v>≤15%</x:v>
      </x:c>
      <x:c r="D13" s="13" t="str">
        <x:v>超过门槛则停止生产导入</x:v>
      </x:c>
    </x:row>
    <x:row r="14">
      <x:c r="A14" s="13" t="str">
        <x:v>回滚</x:v>
      </x:c>
      <x:c r="B14" s="13" t="str">
        <x:v>必须有备份</x:v>
      </x:c>
      <x:c r="C14" s="13" t="str">
        <x:v>可恢复</x:v>
      </x:c>
      <x:c r="D14" s="13" t="str">
        <x:v>Codex执行前备份目标表与数据库</x:v>
      </x:c>
    </x:row>
  </x:sheetData>
  <x:pageMargins left="0.7" right="0.7" top="0.75" bottom="0.75" header="0.3" footer="0.3"/>
</x:worksheet>
</file>