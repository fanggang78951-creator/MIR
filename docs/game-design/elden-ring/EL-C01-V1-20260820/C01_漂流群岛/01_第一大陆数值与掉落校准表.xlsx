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0896e268c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陆基线" sheetId="1" r:id="R71aef69029264b51"/>
    <x:sheet xmlns:r="http://schemas.openxmlformats.org/officeDocument/2006/relationships" name="怪物数值" sheetId="2" r:id="Rf4c02e36934b4342"/>
    <x:sheet xmlns:r="http://schemas.openxmlformats.org/officeDocument/2006/relationships" name="装备预算" sheetId="3" r:id="Rac91ab8342cd4185"/>
    <x:sheet xmlns:r="http://schemas.openxmlformats.org/officeDocument/2006/relationships" name="掉落校准" sheetId="4" r:id="Rfa2149793aad4482"/>
    <x:sheet xmlns:r="http://schemas.openxmlformats.org/officeDocument/2006/relationships" name="NPC与任务" sheetId="5" r:id="R8d177baae83c462b"/>
    <x:sheet xmlns:r="http://schemas.openxmlformats.org/officeDocument/2006/relationships" name="校验" sheetId="6" r:id="Ra913bd69509d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%"/>
    <x:numFmt numFmtId="202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17365D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vertical="center"/>
    </x:xf>
    <x:xf numFmtId="0" fontId="2" fillId="2" borderId="12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b0f82710a49b4" /><Relationship Type="http://schemas.openxmlformats.org/officeDocument/2006/relationships/theme" Target="/xl/theme/theme1.xml" Id="R8c767cae12014965" /><Relationship Type="http://schemas.openxmlformats.org/officeDocument/2006/relationships/sharedStrings" Target="/xl/sharedStrings.xml" Id="R5b190e128aac42ac" /><Relationship Type="http://schemas.openxmlformats.org/officeDocument/2006/relationships/worksheet" Target="/xl/worksheets/sheet1.xml" Id="R71aef69029264b51" /><Relationship Type="http://schemas.openxmlformats.org/officeDocument/2006/relationships/worksheet" Target="/xl/worksheets/sheet2.xml" Id="Rf4c02e36934b4342" /><Relationship Type="http://schemas.openxmlformats.org/officeDocument/2006/relationships/worksheet" Target="/xl/worksheets/sheet3.xml" Id="Rac91ab8342cd4185" /><Relationship Type="http://schemas.openxmlformats.org/officeDocument/2006/relationships/worksheet" Target="/xl/worksheets/sheet4.xml" Id="Rfa2149793aad4482" /><Relationship Type="http://schemas.openxmlformats.org/officeDocument/2006/relationships/worksheet" Target="/xl/worksheets/sheet5.xml" Id="R8d177baae83c462b" /><Relationship Type="http://schemas.openxmlformats.org/officeDocument/2006/relationships/worksheet" Target="/xl/worksheets/sheet6.xml" Id="Ra913bd69509d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6" hidden="0" customWidth="1"/>
    <x:col min="4" max="4" width="44" hidden="0" customWidth="1"/>
    <x:col min="5" max="5" width="12" hidden="0" customWidth="1"/>
    <x:col min="6" max="6" width="24" hidden="0" customWidth="1"/>
  </x:cols>
  <x:sheetData>
    <x:row r="1">
      <x:c r="A1" s="24" t="str">
        <x:v>参数</x:v>
      </x:c>
      <x:c r="B1" s="25" t="str">
        <x:v>第一大陆值</x:v>
      </x:c>
      <x:c r="C1" s="25" t="str">
        <x:v>单位</x:v>
      </x:c>
      <x:c r="D1" s="25" t="str">
        <x:v>计算依据</x:v>
      </x:c>
      <x:c r="E1" s="25" t="str">
        <x:v>状态</x:v>
      </x:c>
      <x:c r="F1" s="26" t="str">
        <x:v>版本</x:v>
      </x:c>
    </x:row>
    <x:row r="2">
      <x:c r="A2" s="6" t="str">
        <x:v>人物原始攻击毕业参考</x:v>
      </x:c>
      <x:c r="B2" s="7" t="n">
        <x:v>1800</x:v>
      </x:c>
      <x:c r="C2" s="7" t="str">
        <x:v>点</x:v>
      </x:c>
      <x:c r="D2" s="7" t="str">
        <x:v>压低基础攻击，输出乘区由装备承担</x:v>
      </x:c>
      <x:c r="E2" s="7" t="str">
        <x:v>第一版</x:v>
      </x:c>
      <x:c r="F2" s="8" t="str">
        <x:v>EL-C01-V1-20260820</x:v>
      </x:c>
    </x:row>
    <x:row r="3">
      <x:c r="A3" s="6" t="str">
        <x:v>人物HP毕业参考</x:v>
      </x:c>
      <x:c r="B3" s="7" t="n">
        <x:v>120000</x:v>
      </x:c>
      <x:c r="C3" s="7" t="str">
        <x:v>点</x:v>
      </x:c>
      <x:c r="D3" s="7" t="str">
        <x:v>用于怪物攻击回推</x:v>
      </x:c>
      <x:c r="E3" s="7" t="str">
        <x:v>第一版</x:v>
      </x:c>
      <x:c r="F3" s="8" t="str">
        <x:v>EL-C01-V1-20260820</x:v>
      </x:c>
    </x:row>
    <x:row r="4">
      <x:c r="A4" s="6" t="str">
        <x:v>守关BOSS血量</x:v>
      </x:c>
      <x:c r="B4" s="7" t="n">
        <x:v>10000000</x:v>
      </x:c>
      <x:c r="C4" s="7" t="str">
        <x:v>点</x:v>
      </x:c>
      <x:c r="D4" s="7" t="str">
        <x:v>十大陆×20母线起点</x:v>
      </x:c>
      <x:c r="E4" s="7" t="str">
        <x:v>锁定</x:v>
      </x:c>
      <x:c r="F4" s="8" t="str">
        <x:v>EL-C01-V1-20260820</x:v>
      </x:c>
    </x:row>
    <x:row r="5">
      <x:c r="A5" s="6" t="str">
        <x:v>人物实际爆率</x:v>
      </x:c>
      <x:c r="B5" s="7" t="n">
        <x:v>5</x:v>
      </x:c>
      <x:c r="C5" s="7" t="str">
        <x:v>倍</x:v>
      </x:c>
      <x:c r="D5" s="7" t="str">
        <x:v>(1+称号100%)×(1+装备150%)</x:v>
      </x:c>
      <x:c r="E5" s="7" t="str">
        <x:v>锁定</x:v>
      </x:c>
      <x:c r="F5" s="8" t="str">
        <x:v>EL-C01-V1-20260820</x:v>
      </x:c>
    </x:row>
    <x:row r="6">
      <x:c r="A6" s="6" t="str">
        <x:v>称号累计韧性</x:v>
      </x:c>
      <x:c r="B6" s="7" t="n">
        <x:v>7</x:v>
      </x:c>
      <x:c r="C6" s="7" t="str">
        <x:v>点</x:v>
      </x:c>
      <x:c r="D6" s="7" t="str">
        <x:v>五阶段1/1/1/2/2</x:v>
      </x:c>
      <x:c r="E6" s="7" t="str">
        <x:v>锁定</x:v>
      </x:c>
      <x:c r="F6" s="8" t="str">
        <x:v>EL-C01-V1-20260820</x:v>
      </x:c>
    </x:row>
    <x:row r="7">
      <x:c r="A7" s="6" t="str">
        <x:v>最佳普通衣服韧性</x:v>
      </x:c>
      <x:c r="B7" s="7" t="n">
        <x:v>3</x:v>
      </x:c>
      <x:c r="C7" s="7" t="str">
        <x:v>点</x:v>
      </x:c>
      <x:c r="D7" s="7" t="str">
        <x:v>深潮王铠</x:v>
      </x:c>
      <x:c r="E7" s="7" t="str">
        <x:v>锁定</x:v>
      </x:c>
      <x:c r="F7" s="8" t="str">
        <x:v>EL-C01-V1-20260820</x:v>
      </x:c>
    </x:row>
    <x:row r="8">
      <x:c r="A8" s="6" t="str">
        <x:v>最终地图韧性门槛</x:v>
      </x:c>
      <x:c r="B8" s="7" t="n">
        <x:v>9</x:v>
      </x:c>
      <x:c r="C8" s="7" t="str">
        <x:v>点</x:v>
      </x:c>
      <x:c r="D8" s="7" t="str">
        <x:v>毕业总韧性10，留1点容错</x:v>
      </x:c>
      <x:c r="E8" s="7" t="str">
        <x:v>锁定</x:v>
      </x:c>
      <x:c r="F8" s="8" t="str">
        <x:v>EL-C01-V1-20260820</x:v>
      </x:c>
    </x:row>
    <x:row r="9">
      <x:c r="A9" s="6" t="str">
        <x:v>通用材料</x:v>
      </x:c>
      <x:c r="B9" s="7" t="str">
        <x:v>海蚀铁片</x:v>
      </x:c>
      <x:c r="C9" s="7" t="str">
        <x:v>物品</x:v>
      </x:c>
      <x:c r="D9" s="7" t="str">
        <x:v>普通怪基础1/75</x:v>
      </x:c>
      <x:c r="E9" s="7" t="str">
        <x:v>锁定</x:v>
      </x:c>
      <x:c r="F9" s="8" t="str">
        <x:v>EL-C01-V1-20260820</x:v>
      </x:c>
    </x:row>
    <x:row r="10">
      <x:c r="A10" s="6" t="str">
        <x:v>稀有材料</x:v>
      </x:c>
      <x:c r="B10" s="7" t="str">
        <x:v>潮痕结晶</x:v>
      </x:c>
      <x:c r="C10" s="7" t="str">
        <x:v>物品</x:v>
      </x:c>
      <x:c r="D10" s="7" t="str">
        <x:v>稀有怪基础1/75</x:v>
      </x:c>
      <x:c r="E10" s="7" t="str">
        <x:v>锁定</x:v>
      </x:c>
      <x:c r="F10" s="8" t="str">
        <x:v>EL-C01-V1-20260820</x:v>
      </x:c>
    </x:row>
    <x:row r="11">
      <x:c r="A11" s="6" t="str">
        <x:v>金币中位收入</x:v>
      </x:c>
      <x:c r="B11" s="7" t="n">
        <x:v>200000</x:v>
      </x:c>
      <x:c r="C11" s="7" t="str">
        <x:v>金币/小时</x:v>
      </x:c>
      <x:c r="D11" s="7" t="str">
        <x:v>称号与任务奖励折算基准</x:v>
      </x:c>
      <x:c r="E11" s="7" t="str">
        <x:v>第一版</x:v>
      </x:c>
      <x:c r="F11" s="8" t="str">
        <x:v>EL-C01-V1-20260820</x:v>
      </x:c>
    </x:row>
    <x:row r="12">
      <x:c r="A12" s="9" t="str">
        <x:v>地图尺寸参与设计</x:v>
      </x:c>
      <x:c r="B12" s="10" t="str">
        <x:v>否</x:v>
      </x:c>
      <x:c r="C12" s="10" t="str">
        <x:v>布尔</x:v>
      </x:c>
      <x:c r="D12" s="10" t="str">
        <x:v>用户明确要求忽略</x:v>
      </x:c>
      <x:c r="E12" s="10" t="str">
        <x:v>锁定</x:v>
      </x:c>
      <x:c r="F12" s="11" t="str">
        <x:v>EL-C01-V1-20260820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24" hidden="0" customWidth="1"/>
    <x:col min="4" max="4" width="10" hidden="0" customWidth="1"/>
    <x:col min="5" max="5" width="12" hidden="0" customWidth="1"/>
    <x:col min="6" max="6" width="24" hidden="0" customWidth="1"/>
    <x:col min="7" max="7" width="9" hidden="0" customWidth="1"/>
    <x:col min="8" max="8" width="14" hidden="0" customWidth="1"/>
    <x:col min="9" max="9" width="16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9" hidden="0" customWidth="1"/>
    <x:col min="15" max="15" width="22" hidden="0" customWidth="1"/>
    <x:col min="16" max="16" width="20" hidden="0" customWidth="1"/>
  </x:cols>
  <x:sheetData>
    <x:row r="1">
      <x:c r="A1" s="24" t="str">
        <x:v>怪物ID</x:v>
      </x:c>
      <x:c r="B1" s="25" t="str">
        <x:v>地图组</x:v>
      </x:c>
      <x:c r="C1" s="25" t="str">
        <x:v>地图号</x:v>
      </x:c>
      <x:c r="D1" s="25" t="str">
        <x:v>层级</x:v>
      </x:c>
      <x:c r="E1" s="25" t="str">
        <x:v>类型</x:v>
      </x:c>
      <x:c r="F1" s="25" t="str">
        <x:v>怪物名</x:v>
      </x:c>
      <x:c r="G1" s="25" t="str">
        <x:v>等级</x:v>
      </x:c>
      <x:c r="H1" s="25" t="str">
        <x:v>经验</x:v>
      </x:c>
      <x:c r="I1" s="25" t="str">
        <x:v>血量</x:v>
      </x:c>
      <x:c r="J1" s="25" t="str">
        <x:v>防御</x:v>
      </x:c>
      <x:c r="K1" s="25" t="str">
        <x:v>魔防</x:v>
      </x:c>
      <x:c r="L1" s="25" t="str">
        <x:v>最小攻击</x:v>
      </x:c>
      <x:c r="M1" s="25" t="str">
        <x:v>最大攻击</x:v>
      </x:c>
      <x:c r="N1" s="25" t="str">
        <x:v>命中</x:v>
      </x:c>
      <x:c r="O1" s="25" t="str">
        <x:v>主要专属</x:v>
      </x:c>
      <x:c r="P1" s="26" t="str">
        <x:v>状态</x:v>
      </x:c>
    </x:row>
    <x:row r="2">
      <x:c r="A2" s="6" t="str">
        <x:v>EL-MON-C01-G01-N01</x:v>
      </x:c>
      <x:c r="B2" s="7" t="str">
        <x:v>失乡者海岸</x:v>
      </x:c>
      <x:c r="C2" s="7" t="str">
        <x:v>XX113</x:v>
      </x:c>
      <x:c r="D2" s="7" t="str">
        <x:v>1-1</x:v>
      </x:c>
      <x:c r="E2" s="7" t="str">
        <x:v>normal</x:v>
      </x:c>
      <x:c r="F2" s="7" t="str">
        <x:v>盐蚀流民</x:v>
      </x:c>
      <x:c r="G2" s="7" t="n">
        <x:v>10</x:v>
      </x:c>
      <x:c r="H2" s="27" t="n">
        <x:v>3400</x:v>
      </x:c>
      <x:c r="I2" s="27" t="n">
        <x:v>42000</x:v>
      </x:c>
      <x:c r="J2" s="7" t="n">
        <x:v>220</x:v>
      </x:c>
      <x:c r="K2" s="7" t="n">
        <x:v>180</x:v>
      </x:c>
      <x:c r="L2" s="7" t="n">
        <x:v>600</x:v>
      </x:c>
      <x:c r="M2" s="7" t="n">
        <x:v>830</x:v>
      </x:c>
      <x:c r="N2" s="7" t="n">
        <x:v>500</x:v>
      </x:c>
      <x:c r="O2" s="7" t="str">
        <x:v>盐蚀弯刃</x:v>
      </x:c>
      <x:c r="P2" s="8" t="str">
        <x:v>设计数据完成，未部署</x:v>
      </x:c>
    </x:row>
    <x:row r="3">
      <x:c r="A3" s="6" t="str">
        <x:v>EL-MON-C01-G01-N02</x:v>
      </x:c>
      <x:c r="B3" s="7" t="str">
        <x:v>失乡者海岸</x:v>
      </x:c>
      <x:c r="C3" s="7" t="str">
        <x:v>XX113</x:v>
      </x:c>
      <x:c r="D3" s="7" t="str">
        <x:v>1-1</x:v>
      </x:c>
      <x:c r="E3" s="7" t="str">
        <x:v>normal</x:v>
      </x:c>
      <x:c r="F3" s="7" t="str">
        <x:v>断桨弩手</x:v>
      </x:c>
      <x:c r="G3" s="7" t="n">
        <x:v>12</x:v>
      </x:c>
      <x:c r="H3" s="27" t="n">
        <x:v>3800</x:v>
      </x:c>
      <x:c r="I3" s="27" t="n">
        <x:v>47000</x:v>
      </x:c>
      <x:c r="J3" s="7" t="n">
        <x:v>250</x:v>
      </x:c>
      <x:c r="K3" s="7" t="n">
        <x:v>200</x:v>
      </x:c>
      <x:c r="L3" s="7" t="n">
        <x:v>600</x:v>
      </x:c>
      <x:c r="M3" s="7" t="n">
        <x:v>840</x:v>
      </x:c>
      <x:c r="N3" s="7" t="n">
        <x:v>500</x:v>
      </x:c>
      <x:c r="O3" s="7" t="str">
        <x:v>断桨骨链</x:v>
      </x:c>
      <x:c r="P3" s="8" t="str">
        <x:v>设计数据完成，未部署</x:v>
      </x:c>
    </x:row>
    <x:row r="4">
      <x:c r="A4" s="6" t="str">
        <x:v>EL-MON-C01-G01-N03</x:v>
      </x:c>
      <x:c r="B4" s="7" t="str">
        <x:v>失乡者海岸</x:v>
      </x:c>
      <x:c r="C4" s="7" t="str">
        <x:v>XX113、XX112</x:v>
      </x:c>
      <x:c r="D4" s="7" t="str">
        <x:v>1-2</x:v>
      </x:c>
      <x:c r="E4" s="7" t="str">
        <x:v>normal</x:v>
      </x:c>
      <x:c r="F4" s="7" t="str">
        <x:v>漂流尸兵</x:v>
      </x:c>
      <x:c r="G4" s="7" t="n">
        <x:v>14</x:v>
      </x:c>
      <x:c r="H4" s="27" t="n">
        <x:v>4200</x:v>
      </x:c>
      <x:c r="I4" s="27" t="n">
        <x:v>52000</x:v>
      </x:c>
      <x:c r="J4" s="7" t="n">
        <x:v>270</x:v>
      </x:c>
      <x:c r="K4" s="7" t="n">
        <x:v>220</x:v>
      </x:c>
      <x:c r="L4" s="7" t="n">
        <x:v>750</x:v>
      </x:c>
      <x:c r="M4" s="7" t="n">
        <x:v>1040</x:v>
      </x:c>
      <x:c r="N4" s="7" t="n">
        <x:v>500</x:v>
      </x:c>
      <x:c r="O4" s="7" t="str">
        <x:v>漂流尸甲</x:v>
      </x:c>
      <x:c r="P4" s="8" t="str">
        <x:v>设计数据完成，未部署</x:v>
      </x:c>
    </x:row>
    <x:row r="5">
      <x:c r="A5" s="6" t="str">
        <x:v>EL-MON-C01-G01-N04</x:v>
      </x:c>
      <x:c r="B5" s="7" t="str">
        <x:v>失乡者海岸</x:v>
      </x:c>
      <x:c r="C5" s="7" t="str">
        <x:v>XX112</x:v>
      </x:c>
      <x:c r="D5" s="7" t="str">
        <x:v>2-2</x:v>
      </x:c>
      <x:c r="E5" s="7" t="str">
        <x:v>normal</x:v>
      </x:c>
      <x:c r="F5" s="7" t="str">
        <x:v>失乡猎犬</x:v>
      </x:c>
      <x:c r="G5" s="7" t="n">
        <x:v>16</x:v>
      </x:c>
      <x:c r="H5" s="27" t="n">
        <x:v>4600</x:v>
      </x:c>
      <x:c r="I5" s="27" t="n">
        <x:v>57000</x:v>
      </x:c>
      <x:c r="J5" s="7" t="n">
        <x:v>300</x:v>
      </x:c>
      <x:c r="K5" s="7" t="n">
        <x:v>250</x:v>
      </x:c>
      <x:c r="L5" s="7" t="n">
        <x:v>680</x:v>
      </x:c>
      <x:c r="M5" s="7" t="n">
        <x:v>940</x:v>
      </x:c>
      <x:c r="N5" s="7" t="n">
        <x:v>500</x:v>
      </x:c>
      <x:c r="O5" s="7" t="str">
        <x:v>猎犬骨戒</x:v>
      </x:c>
      <x:c r="P5" s="8" t="str">
        <x:v>设计数据完成，未部署</x:v>
      </x:c>
    </x:row>
    <x:row r="6">
      <x:c r="A6" s="6" t="str">
        <x:v>EL-MON-C01-G01-N05</x:v>
      </x:c>
      <x:c r="B6" s="7" t="str">
        <x:v>失乡者海岸</x:v>
      </x:c>
      <x:c r="C6" s="7" t="str">
        <x:v>XX112、XX330</x:v>
      </x:c>
      <x:c r="D6" s="7" t="str">
        <x:v>2-3</x:v>
      </x:c>
      <x:c r="E6" s="7" t="str">
        <x:v>normal</x:v>
      </x:c>
      <x:c r="F6" s="7" t="str">
        <x:v>腐潮巨蟹</x:v>
      </x:c>
      <x:c r="G6" s="7" t="n">
        <x:v>18</x:v>
      </x:c>
      <x:c r="H6" s="27" t="n">
        <x:v>5000</x:v>
      </x:c>
      <x:c r="I6" s="27" t="n">
        <x:v>62000</x:v>
      </x:c>
      <x:c r="J6" s="7" t="n">
        <x:v>380</x:v>
      </x:c>
      <x:c r="K6" s="7" t="n">
        <x:v>270</x:v>
      </x:c>
      <x:c r="L6" s="7" t="n">
        <x:v>1040</x:v>
      </x:c>
      <x:c r="M6" s="7" t="n">
        <x:v>1440</x:v>
      </x:c>
      <x:c r="N6" s="7" t="n">
        <x:v>500</x:v>
      </x:c>
      <x:c r="O6" s="7" t="str">
        <x:v>腐潮钳镯</x:v>
      </x:c>
      <x:c r="P6" s="8" t="str">
        <x:v>设计数据完成，未部署</x:v>
      </x:c>
    </x:row>
    <x:row r="7">
      <x:c r="A7" s="6" t="str">
        <x:v>EL-MON-C01-G01-R01</x:v>
      </x:c>
      <x:c r="B7" s="7" t="str">
        <x:v>失乡者海岸</x:v>
      </x:c>
      <x:c r="C7" s="7" t="str">
        <x:v>XX113、XX112</x:v>
      </x:c>
      <x:c r="D7" s="7" t="str">
        <x:v>1-2</x:v>
      </x:c>
      <x:c r="E7" s="7" t="str">
        <x:v>rare</x:v>
      </x:c>
      <x:c r="F7" s="7" t="str">
        <x:v>铁锚行刑者</x:v>
      </x:c>
      <x:c r="G7" s="7" t="n">
        <x:v>20</x:v>
      </x:c>
      <x:c r="H7" s="27" t="n">
        <x:v>19900</x:v>
      </x:c>
      <x:c r="I7" s="27" t="n">
        <x:v>166000</x:v>
      </x:c>
      <x:c r="J7" s="7" t="n">
        <x:v>390</x:v>
      </x:c>
      <x:c r="K7" s="7" t="n">
        <x:v>320</x:v>
      </x:c>
      <x:c r="L7" s="7" t="n">
        <x:v>1200</x:v>
      </x:c>
      <x:c r="M7" s="7" t="n">
        <x:v>1660</x:v>
      </x:c>
      <x:c r="N7" s="7" t="n">
        <x:v>500</x:v>
      </x:c>
      <x:c r="O7" s="7" t="str">
        <x:v>行刑锚刃</x:v>
      </x:c>
      <x:c r="P7" s="8" t="str">
        <x:v>设计数据完成，未部署</x:v>
      </x:c>
    </x:row>
    <x:row r="8">
      <x:c r="A8" s="6" t="str">
        <x:v>EL-MON-C01-G01-R02</x:v>
      </x:c>
      <x:c r="B8" s="7" t="str">
        <x:v>失乡者海岸</x:v>
      </x:c>
      <x:c r="C8" s="7" t="str">
        <x:v>XX112</x:v>
      </x:c>
      <x:c r="D8" s="7" t="str">
        <x:v>2-2</x:v>
      </x:c>
      <x:c r="E8" s="7" t="str">
        <x:v>rare</x:v>
      </x:c>
      <x:c r="F8" s="7" t="str">
        <x:v>唤潮祷师</x:v>
      </x:c>
      <x:c r="G8" s="7" t="n">
        <x:v>22</x:v>
      </x:c>
      <x:c r="H8" s="27" t="n">
        <x:v>22200</x:v>
      </x:c>
      <x:c r="I8" s="27" t="n">
        <x:v>185000</x:v>
      </x:c>
      <x:c r="J8" s="7" t="n">
        <x:v>380</x:v>
      </x:c>
      <x:c r="K8" s="7" t="n">
        <x:v>480</x:v>
      </x:c>
      <x:c r="L8" s="7" t="n">
        <x:v>1200</x:v>
      </x:c>
      <x:c r="M8" s="7" t="n">
        <x:v>1670</x:v>
      </x:c>
      <x:c r="N8" s="7" t="n">
        <x:v>500</x:v>
      </x:c>
      <x:c r="O8" s="7" t="str">
        <x:v>唤潮旧勋</x:v>
      </x:c>
      <x:c r="P8" s="8" t="str">
        <x:v>设计数据完成，未部署</x:v>
      </x:c>
    </x:row>
    <x:row r="9">
      <x:c r="A9" s="6" t="str">
        <x:v>EL-MON-C01-G01-R03</x:v>
      </x:c>
      <x:c r="B9" s="7" t="str">
        <x:v>失乡者海岸</x:v>
      </x:c>
      <x:c r="C9" s="7" t="str">
        <x:v>XX112、XX330</x:v>
      </x:c>
      <x:c r="D9" s="7" t="str">
        <x:v>2-3</x:v>
      </x:c>
      <x:c r="E9" s="7" t="str">
        <x:v>rare</x:v>
      </x:c>
      <x:c r="F9" s="7" t="str">
        <x:v>沉船守财者</x:v>
      </x:c>
      <x:c r="G9" s="7" t="n">
        <x:v>24</x:v>
      </x:c>
      <x:c r="H9" s="27" t="n">
        <x:v>24600</x:v>
      </x:c>
      <x:c r="I9" s="27" t="n">
        <x:v>205000</x:v>
      </x:c>
      <x:c r="J9" s="7" t="n">
        <x:v>550</x:v>
      </x:c>
      <x:c r="K9" s="7" t="n">
        <x:v>390</x:v>
      </x:c>
      <x:c r="L9" s="7" t="n">
        <x:v>1690</x:v>
      </x:c>
      <x:c r="M9" s="7" t="n">
        <x:v>2350</x:v>
      </x:c>
      <x:c r="N9" s="7" t="n">
        <x:v>500</x:v>
      </x:c>
      <x:c r="O9" s="7" t="str">
        <x:v>沉金铁盔</x:v>
      </x:c>
      <x:c r="P9" s="8" t="str">
        <x:v>设计数据完成，未部署</x:v>
      </x:c>
    </x:row>
    <x:row r="10">
      <x:c r="A10" s="6" t="str">
        <x:v>EL-MON-C01-G01-R04</x:v>
      </x:c>
      <x:c r="B10" s="7" t="str">
        <x:v>失乡者海岸</x:v>
      </x:c>
      <x:c r="C10" s="7" t="str">
        <x:v>XX330</x:v>
      </x:c>
      <x:c r="D10" s="7" t="str">
        <x:v>3-3</x:v>
      </x:c>
      <x:c r="E10" s="7" t="str">
        <x:v>rare</x:v>
      </x:c>
      <x:c r="F10" s="7" t="str">
        <x:v>海雾骑士</x:v>
      </x:c>
      <x:c r="G10" s="7" t="n">
        <x:v>26</x:v>
      </x:c>
      <x:c r="H10" s="27" t="n">
        <x:v>26900</x:v>
      </x:c>
      <x:c r="I10" s="27" t="n">
        <x:v>224000</x:v>
      </x:c>
      <x:c r="J10" s="7" t="n">
        <x:v>600</x:v>
      </x:c>
      <x:c r="K10" s="7" t="n">
        <x:v>430</x:v>
      </x:c>
      <x:c r="L10" s="7" t="n">
        <x:v>1610</x:v>
      </x:c>
      <x:c r="M10" s="7" t="n">
        <x:v>2240</x:v>
      </x:c>
      <x:c r="N10" s="7" t="n">
        <x:v>500</x:v>
      </x:c>
      <x:c r="O10" s="7" t="str">
        <x:v>海雾塔盾</x:v>
      </x:c>
      <x:c r="P10" s="8" t="str">
        <x:v>设计数据完成，未部署</x:v>
      </x:c>
    </x:row>
    <x:row r="11">
      <x:c r="A11" s="6" t="str">
        <x:v>EL-MON-C01-G01-B01</x:v>
      </x:c>
      <x:c r="B11" s="7" t="str">
        <x:v>失乡者海岸</x:v>
      </x:c>
      <x:c r="C11" s="7" t="str">
        <x:v>XX112</x:v>
      </x:c>
      <x:c r="D11" s="7" t="str">
        <x:v>2-2</x:v>
      </x:c>
      <x:c r="E11" s="7" t="str">
        <x:v>boss</x:v>
      </x:c>
      <x:c r="F11" s="7" t="str">
        <x:v>断桅船长·赫恩</x:v>
      </x:c>
      <x:c r="G11" s="7" t="n">
        <x:v>28</x:v>
      </x:c>
      <x:c r="H11" s="27" t="n">
        <x:v>234000</x:v>
      </x:c>
      <x:c r="I11" s="27" t="n">
        <x:v>1170000</x:v>
      </x:c>
      <x:c r="J11" s="7" t="n">
        <x:v>610</x:v>
      </x:c>
      <x:c r="K11" s="7" t="n">
        <x:v>500</x:v>
      </x:c>
      <x:c r="L11" s="7" t="n">
        <x:v>2740</x:v>
      </x:c>
      <x:c r="M11" s="7" t="n">
        <x:v>3800</x:v>
      </x:c>
      <x:c r="N11" s="7" t="n">
        <x:v>500</x:v>
      </x:c>
      <x:c r="O11" s="7" t="str">
        <x:v>断桅血刃</x:v>
      </x:c>
      <x:c r="P11" s="8" t="str">
        <x:v>设计数据完成，未部署</x:v>
      </x:c>
    </x:row>
    <x:row r="12">
      <x:c r="A12" s="6" t="str">
        <x:v>EL-MON-C01-G01-B02</x:v>
      </x:c>
      <x:c r="B12" s="7" t="str">
        <x:v>失乡者海岸</x:v>
      </x:c>
      <x:c r="C12" s="7" t="str">
        <x:v>XX330</x:v>
      </x:c>
      <x:c r="D12" s="7" t="str">
        <x:v>3-3</x:v>
      </x:c>
      <x:c r="E12" s="7" t="str">
        <x:v>boss</x:v>
      </x:c>
      <x:c r="F12" s="7" t="str">
        <x:v>吞岸巨兽·格拉姆</x:v>
      </x:c>
      <x:c r="G12" s="7" t="n">
        <x:v>30</x:v>
      </x:c>
      <x:c r="H12" s="27" t="n">
        <x:v>260000</x:v>
      </x:c>
      <x:c r="I12" s="27" t="n">
        <x:v>1300000</x:v>
      </x:c>
      <x:c r="J12" s="7" t="n">
        <x:v>780</x:v>
      </x:c>
      <x:c r="K12" s="7" t="n">
        <x:v>560</x:v>
      </x:c>
      <x:c r="L12" s="7" t="n">
        <x:v>3500</x:v>
      </x:c>
      <x:c r="M12" s="7" t="n">
        <x:v>4860</x:v>
      </x:c>
      <x:c r="N12" s="7" t="n">
        <x:v>500</x:v>
      </x:c>
      <x:c r="O12" s="7" t="str">
        <x:v>吞岸重甲</x:v>
      </x:c>
      <x:c r="P12" s="8" t="str">
        <x:v>设计数据完成，未部署</x:v>
      </x:c>
    </x:row>
    <x:row r="13">
      <x:c r="A13" s="6" t="str">
        <x:v>EL-MON-C01-G02-N01</x:v>
      </x:c>
      <x:c r="B13" s="7" t="str">
        <x:v>风暴断崖</x:v>
      </x:c>
      <x:c r="C13" s="7" t="str">
        <x:v>XX327、XX328、XX329、XX106</x:v>
      </x:c>
      <x:c r="D13" s="7" t="str">
        <x:v>1-4</x:v>
      </x:c>
      <x:c r="E13" s="7" t="str">
        <x:v>normal</x:v>
      </x:c>
      <x:c r="F13" s="7" t="str">
        <x:v>风蚀守卫</x:v>
      </x:c>
      <x:c r="G13" s="7" t="n">
        <x:v>32</x:v>
      </x:c>
      <x:c r="H13" s="27" t="n">
        <x:v>4200</x:v>
      </x:c>
      <x:c r="I13" s="27" t="n">
        <x:v>53000</x:v>
      </x:c>
      <x:c r="J13" s="7" t="n">
        <x:v>320</x:v>
      </x:c>
      <x:c r="K13" s="7" t="n">
        <x:v>230</x:v>
      </x:c>
      <x:c r="L13" s="7" t="n">
        <x:v>760</x:v>
      </x:c>
      <x:c r="M13" s="7" t="n">
        <x:v>1060</x:v>
      </x:c>
      <x:c r="N13" s="7" t="n">
        <x:v>500</x:v>
      </x:c>
      <x:c r="O13" s="7" t="str">
        <x:v>风蚀盔</x:v>
      </x:c>
      <x:c r="P13" s="8" t="str">
        <x:v>设计数据完成，未部署</x:v>
      </x:c>
    </x:row>
    <x:row r="14">
      <x:c r="A14" s="6" t="str">
        <x:v>EL-MON-C01-G02-N02</x:v>
      </x:c>
      <x:c r="B14" s="7" t="str">
        <x:v>风暴断崖</x:v>
      </x:c>
      <x:c r="C14" s="7" t="str">
        <x:v>XX327、XX328、XX329、XX106</x:v>
      </x:c>
      <x:c r="D14" s="7" t="str">
        <x:v>1-4</x:v>
      </x:c>
      <x:c r="E14" s="7" t="str">
        <x:v>normal</x:v>
      </x:c>
      <x:c r="F14" s="7" t="str">
        <x:v>断崖弩手</x:v>
      </x:c>
      <x:c r="G14" s="7" t="n">
        <x:v>34</x:v>
      </x:c>
      <x:c r="H14" s="27" t="n">
        <x:v>4600</x:v>
      </x:c>
      <x:c r="I14" s="27" t="n">
        <x:v>58000</x:v>
      </x:c>
      <x:c r="J14" s="7" t="n">
        <x:v>300</x:v>
      </x:c>
      <x:c r="K14" s="7" t="n">
        <x:v>250</x:v>
      </x:c>
      <x:c r="L14" s="7" t="n">
        <x:v>760</x:v>
      </x:c>
      <x:c r="M14" s="7" t="n">
        <x:v>1050</x:v>
      </x:c>
      <x:c r="N14" s="7" t="n">
        <x:v>500</x:v>
      </x:c>
      <x:c r="O14" s="7" t="str">
        <x:v>鹰眼链</x:v>
      </x:c>
      <x:c r="P14" s="8" t="str">
        <x:v>设计数据完成，未部署</x:v>
      </x:c>
    </x:row>
    <x:row r="15">
      <x:c r="A15" s="6" t="str">
        <x:v>EL-MON-C01-G02-N03</x:v>
      </x:c>
      <x:c r="B15" s="7" t="str">
        <x:v>风暴断崖</x:v>
      </x:c>
      <x:c r="C15" s="7" t="str">
        <x:v>XX327、XX328、XX329、XX106</x:v>
      </x:c>
      <x:c r="D15" s="7" t="str">
        <x:v>1-4</x:v>
      </x:c>
      <x:c r="E15" s="7" t="str">
        <x:v>normal</x:v>
      </x:c>
      <x:c r="F15" s="7" t="str">
        <x:v>雷羽鹰</x:v>
      </x:c>
      <x:c r="G15" s="7" t="n">
        <x:v>36</x:v>
      </x:c>
      <x:c r="H15" s="27" t="n">
        <x:v>5000</x:v>
      </x:c>
      <x:c r="I15" s="27" t="n">
        <x:v>63000</x:v>
      </x:c>
      <x:c r="J15" s="7" t="n">
        <x:v>330</x:v>
      </x:c>
      <x:c r="K15" s="7" t="n">
        <x:v>270</x:v>
      </x:c>
      <x:c r="L15" s="7" t="n">
        <x:v>750</x:v>
      </x:c>
      <x:c r="M15" s="7" t="n">
        <x:v>1040</x:v>
      </x:c>
      <x:c r="N15" s="7" t="n">
        <x:v>500</x:v>
      </x:c>
      <x:c r="O15" s="7" t="str">
        <x:v>雷羽护腕</x:v>
      </x:c>
      <x:c r="P15" s="8" t="str">
        <x:v>设计数据完成，未部署</x:v>
      </x:c>
    </x:row>
    <x:row r="16">
      <x:c r="A16" s="6" t="str">
        <x:v>EL-MON-C01-G02-N04</x:v>
      </x:c>
      <x:c r="B16" s="7" t="str">
        <x:v>风暴断崖</x:v>
      </x:c>
      <x:c r="C16" s="7" t="str">
        <x:v>XX328、XX329、XX106</x:v>
      </x:c>
      <x:c r="D16" s="7" t="str">
        <x:v>2-4</x:v>
      </x:c>
      <x:c r="E16" s="7" t="str">
        <x:v>normal</x:v>
      </x:c>
      <x:c r="F16" s="7" t="str">
        <x:v>狂风战奴</x:v>
      </x:c>
      <x:c r="G16" s="7" t="n">
        <x:v>38</x:v>
      </x:c>
      <x:c r="H16" s="27" t="n">
        <x:v>5500</x:v>
      </x:c>
      <x:c r="I16" s="27" t="n">
        <x:v>69000</x:v>
      </x:c>
      <x:c r="J16" s="7" t="n">
        <x:v>360</x:v>
      </x:c>
      <x:c r="K16" s="7" t="n">
        <x:v>300</x:v>
      </x:c>
      <x:c r="L16" s="7" t="n">
        <x:v>810</x:v>
      </x:c>
      <x:c r="M16" s="7" t="n">
        <x:v>1130</x:v>
      </x:c>
      <x:c r="N16" s="7" t="n">
        <x:v>500</x:v>
      </x:c>
      <x:c r="O16" s="7" t="str">
        <x:v>狂风骨戒</x:v>
      </x:c>
      <x:c r="P16" s="8" t="str">
        <x:v>设计数据完成，未部署</x:v>
      </x:c>
    </x:row>
    <x:row r="17">
      <x:c r="A17" s="6" t="str">
        <x:v>EL-MON-C01-G02-N05</x:v>
      </x:c>
      <x:c r="B17" s="7" t="str">
        <x:v>风暴断崖</x:v>
      </x:c>
      <x:c r="C17" s="7" t="str">
        <x:v>XX328、XX329、XX106</x:v>
      </x:c>
      <x:c r="D17" s="7" t="str">
        <x:v>2-4</x:v>
      </x:c>
      <x:c r="E17" s="7" t="str">
        <x:v>normal</x:v>
      </x:c>
      <x:c r="F17" s="7" t="str">
        <x:v>坠崖亡兵</x:v>
      </x:c>
      <x:c r="G17" s="7" t="n">
        <x:v>40</x:v>
      </x:c>
      <x:c r="H17" s="27" t="n">
        <x:v>5900</x:v>
      </x:c>
      <x:c r="I17" s="27" t="n">
        <x:v>74000</x:v>
      </x:c>
      <x:c r="J17" s="7" t="n">
        <x:v>390</x:v>
      </x:c>
      <x:c r="K17" s="7" t="n">
        <x:v>320</x:v>
      </x:c>
      <x:c r="L17" s="7" t="n">
        <x:v>1070</x:v>
      </x:c>
      <x:c r="M17" s="7" t="n">
        <x:v>1480</x:v>
      </x:c>
      <x:c r="N17" s="7" t="n">
        <x:v>500</x:v>
      </x:c>
      <x:c r="O17" s="7" t="str">
        <x:v>断崖束带</x:v>
      </x:c>
      <x:c r="P17" s="8" t="str">
        <x:v>设计数据完成，未部署</x:v>
      </x:c>
    </x:row>
    <x:row r="18">
      <x:c r="A18" s="6" t="str">
        <x:v>EL-MON-C01-G02-N06</x:v>
      </x:c>
      <x:c r="B18" s="7" t="str">
        <x:v>风暴断崖</x:v>
      </x:c>
      <x:c r="C18" s="7" t="str">
        <x:v>XX329、XX106</x:v>
      </x:c>
      <x:c r="D18" s="7" t="str">
        <x:v>3-4</x:v>
      </x:c>
      <x:c r="E18" s="7" t="str">
        <x:v>normal</x:v>
      </x:c>
      <x:c r="F18" s="7" t="str">
        <x:v>崖穴石蜥</x:v>
      </x:c>
      <x:c r="G18" s="7" t="n">
        <x:v>42</x:v>
      </x:c>
      <x:c r="H18" s="27" t="n">
        <x:v>6300</x:v>
      </x:c>
      <x:c r="I18" s="27" t="n">
        <x:v>79000</x:v>
      </x:c>
      <x:c r="J18" s="7" t="n">
        <x:v>420</x:v>
      </x:c>
      <x:c r="K18" s="7" t="n">
        <x:v>340</x:v>
      </x:c>
      <x:c r="L18" s="7" t="n">
        <x:v>1140</x:v>
      </x:c>
      <x:c r="M18" s="7" t="n">
        <x:v>1580</x:v>
      </x:c>
      <x:c r="N18" s="7" t="n">
        <x:v>500</x:v>
      </x:c>
      <x:c r="O18" s="7" t="str">
        <x:v>石蜥面巾</x:v>
      </x:c>
      <x:c r="P18" s="8" t="str">
        <x:v>设计数据完成，未部署</x:v>
      </x:c>
    </x:row>
    <x:row r="19">
      <x:c r="A19" s="6" t="str">
        <x:v>EL-MON-C01-G02-R01</x:v>
      </x:c>
      <x:c r="B19" s="7" t="str">
        <x:v>风暴断崖</x:v>
      </x:c>
      <x:c r="C19" s="7" t="str">
        <x:v>XX327、XX328</x:v>
      </x:c>
      <x:c r="D19" s="7" t="str">
        <x:v>1-2</x:v>
      </x:c>
      <x:c r="E19" s="7" t="str">
        <x:v>rare</x:v>
      </x:c>
      <x:c r="F19" s="7" t="str">
        <x:v>逐雷骑士</x:v>
      </x:c>
      <x:c r="G19" s="7" t="n">
        <x:v>44</x:v>
      </x:c>
      <x:c r="H19" s="27" t="n">
        <x:v>25200</x:v>
      </x:c>
      <x:c r="I19" s="27" t="n">
        <x:v>210000</x:v>
      </x:c>
      <x:c r="J19" s="7" t="n">
        <x:v>560</x:v>
      </x:c>
      <x:c r="K19" s="7" t="n">
        <x:v>400</x:v>
      </x:c>
      <x:c r="L19" s="7" t="n">
        <x:v>1510</x:v>
      </x:c>
      <x:c r="M19" s="7" t="n">
        <x:v>2100</x:v>
      </x:c>
      <x:c r="N19" s="7" t="n">
        <x:v>500</x:v>
      </x:c>
      <x:c r="O19" s="7" t="str">
        <x:v>逐雷战靴</x:v>
      </x:c>
      <x:c r="P19" s="8" t="str">
        <x:v>设计数据完成，未部署</x:v>
      </x:c>
    </x:row>
    <x:row r="20">
      <x:c r="A20" s="6" t="str">
        <x:v>EL-MON-C01-G02-R02</x:v>
      </x:c>
      <x:c r="B20" s="7" t="str">
        <x:v>风暴断崖</x:v>
      </x:c>
      <x:c r="C20" s="7" t="str">
        <x:v>XX328、XX329</x:v>
      </x:c>
      <x:c r="D20" s="7" t="str">
        <x:v>2-3</x:v>
      </x:c>
      <x:c r="E20" s="7" t="str">
        <x:v>rare</x:v>
      </x:c>
      <x:c r="F20" s="7" t="str">
        <x:v>风暴祭司</x:v>
      </x:c>
      <x:c r="G20" s="7" t="n">
        <x:v>46</x:v>
      </x:c>
      <x:c r="H20" s="27" t="n">
        <x:v>28200</x:v>
      </x:c>
      <x:c r="I20" s="27" t="n">
        <x:v>235000</x:v>
      </x:c>
      <x:c r="J20" s="7" t="n">
        <x:v>480</x:v>
      </x:c>
      <x:c r="K20" s="7" t="n">
        <x:v>610</x:v>
      </x:c>
      <x:c r="L20" s="7" t="n">
        <x:v>1530</x:v>
      </x:c>
      <x:c r="M20" s="7" t="n">
        <x:v>2120</x:v>
      </x:c>
      <x:c r="N20" s="7" t="n">
        <x:v>500</x:v>
      </x:c>
      <x:c r="O20" s="7" t="str">
        <x:v>风暴勋章</x:v>
      </x:c>
      <x:c r="P20" s="8" t="str">
        <x:v>设计数据完成，未部署</x:v>
      </x:c>
    </x:row>
    <x:row r="21">
      <x:c r="A21" s="6" t="str">
        <x:v>EL-MON-C01-G02-R03</x:v>
      </x:c>
      <x:c r="B21" s="7" t="str">
        <x:v>风暴断崖</x:v>
      </x:c>
      <x:c r="C21" s="7" t="str">
        <x:v>XX329、XX106</x:v>
      </x:c>
      <x:c r="D21" s="7" t="str">
        <x:v>3-4</x:v>
      </x:c>
      <x:c r="E21" s="7" t="str">
        <x:v>rare</x:v>
      </x:c>
      <x:c r="F21" s="7" t="str">
        <x:v>裂岩巨人</x:v>
      </x:c>
      <x:c r="G21" s="7" t="n">
        <x:v>48</x:v>
      </x:c>
      <x:c r="H21" s="27" t="n">
        <x:v>31200</x:v>
      </x:c>
      <x:c r="I21" s="27" t="n">
        <x:v>260000</x:v>
      </x:c>
      <x:c r="J21" s="7" t="n">
        <x:v>700</x:v>
      </x:c>
      <x:c r="K21" s="7" t="n">
        <x:v>500</x:v>
      </x:c>
      <x:c r="L21" s="7" t="n">
        <x:v>2150</x:v>
      </x:c>
      <x:c r="M21" s="7" t="n">
        <x:v>2990</x:v>
      </x:c>
      <x:c r="N21" s="7" t="n">
        <x:v>500</x:v>
      </x:c>
      <x:c r="O21" s="7" t="str">
        <x:v>裂岩巨盾</x:v>
      </x:c>
      <x:c r="P21" s="8" t="str">
        <x:v>设计数据完成，未部署</x:v>
      </x:c>
    </x:row>
    <x:row r="22">
      <x:c r="A22" s="6" t="str">
        <x:v>EL-MON-C01-G02-R04</x:v>
      </x:c>
      <x:c r="B22" s="7" t="str">
        <x:v>风暴断崖</x:v>
      </x:c>
      <x:c r="C22" s="7" t="str">
        <x:v>XX106</x:v>
      </x:c>
      <x:c r="D22" s="7" t="str">
        <x:v>4-4</x:v>
      </x:c>
      <x:c r="E22" s="7" t="str">
        <x:v>rare</x:v>
      </x:c>
      <x:c r="F22" s="7" t="str">
        <x:v>黑翼猎杀者</x:v>
      </x:c>
      <x:c r="G22" s="7" t="n">
        <x:v>50</x:v>
      </x:c>
      <x:c r="H22" s="27" t="n">
        <x:v>34200</x:v>
      </x:c>
      <x:c r="I22" s="27" t="n">
        <x:v>285000</x:v>
      </x:c>
      <x:c r="J22" s="7" t="n">
        <x:v>660</x:v>
      </x:c>
      <x:c r="K22" s="7" t="n">
        <x:v>540</x:v>
      </x:c>
      <x:c r="L22" s="7" t="n">
        <x:v>1680</x:v>
      </x:c>
      <x:c r="M22" s="7" t="n">
        <x:v>2330</x:v>
      </x:c>
      <x:c r="N22" s="7" t="n">
        <x:v>500</x:v>
      </x:c>
      <x:c r="O22" s="7" t="str">
        <x:v>黑翼灵玉</x:v>
      </x:c>
      <x:c r="P22" s="8" t="str">
        <x:v>设计数据完成，未部署</x:v>
      </x:c>
    </x:row>
    <x:row r="23">
      <x:c r="A23" s="6" t="str">
        <x:v>EL-MON-C01-G02-B01</x:v>
      </x:c>
      <x:c r="B23" s="7" t="str">
        <x:v>风暴断崖</x:v>
      </x:c>
      <x:c r="C23" s="7" t="str">
        <x:v>XX329</x:v>
      </x:c>
      <x:c r="D23" s="7" t="str">
        <x:v>3-3</x:v>
      </x:c>
      <x:c r="E23" s="7" t="str">
        <x:v>boss</x:v>
      </x:c>
      <x:c r="F23" s="7" t="str">
        <x:v>风暴执刑官·巴鲁克</x:v>
      </x:c>
      <x:c r="G23" s="7" t="n">
        <x:v>52</x:v>
      </x:c>
      <x:c r="H23" s="27" t="n">
        <x:v>297000</x:v>
      </x:c>
      <x:c r="I23" s="27" t="n">
        <x:v>1485000</x:v>
      </x:c>
      <x:c r="J23" s="7" t="n">
        <x:v>780</x:v>
      </x:c>
      <x:c r="K23" s="7" t="n">
        <x:v>640</x:v>
      </x:c>
      <x:c r="L23" s="7" t="n">
        <x:v>3480</x:v>
      </x:c>
      <x:c r="M23" s="7" t="n">
        <x:v>4830</x:v>
      </x:c>
      <x:c r="N23" s="7" t="n">
        <x:v>500</x:v>
      </x:c>
      <x:c r="O23" s="7" t="str">
        <x:v>执刑雷刃</x:v>
      </x:c>
      <x:c r="P23" s="8" t="str">
        <x:v>设计数据完成，未部署</x:v>
      </x:c>
    </x:row>
    <x:row r="24">
      <x:c r="A24" s="6" t="str">
        <x:v>EL-MON-C01-G02-B02</x:v>
      </x:c>
      <x:c r="B24" s="7" t="str">
        <x:v>风暴断崖</x:v>
      </x:c>
      <x:c r="C24" s="7" t="str">
        <x:v>XX106</x:v>
      </x:c>
      <x:c r="D24" s="7" t="str">
        <x:v>4-4</x:v>
      </x:c>
      <x:c r="E24" s="7" t="str">
        <x:v>boss</x:v>
      </x:c>
      <x:c r="F24" s="7" t="str">
        <x:v>断崖古龙·赛尔</x:v>
      </x:c>
      <x:c r="G24" s="7" t="n">
        <x:v>55</x:v>
      </x:c>
      <x:c r="H24" s="27" t="n">
        <x:v>330000</x:v>
      </x:c>
      <x:c r="I24" s="27" t="n">
        <x:v>1650000</x:v>
      </x:c>
      <x:c r="J24" s="7" t="n">
        <x:v>1000</x:v>
      </x:c>
      <x:c r="K24" s="7" t="n">
        <x:v>710</x:v>
      </x:c>
      <x:c r="L24" s="7" t="n">
        <x:v>4440</x:v>
      </x:c>
      <x:c r="M24" s="7" t="n">
        <x:v>6170</x:v>
      </x:c>
      <x:c r="N24" s="7" t="n">
        <x:v>500</x:v>
      </x:c>
      <x:c r="O24" s="7" t="str">
        <x:v>古龙风铠</x:v>
      </x:c>
      <x:c r="P24" s="8" t="str">
        <x:v>设计数据完成，未部署</x:v>
      </x:c>
    </x:row>
    <x:row r="25">
      <x:c r="A25" s="6" t="str">
        <x:v>EL-MON-C01-G03-N01</x:v>
      </x:c>
      <x:c r="B25" s="7" t="str">
        <x:v>沉没王庭</x:v>
      </x:c>
      <x:c r="C25" s="7" t="str">
        <x:v>XX102、XX103、XX104</x:v>
      </x:c>
      <x:c r="D25" s="7" t="str">
        <x:v>1-3</x:v>
      </x:c>
      <x:c r="E25" s="7" t="str">
        <x:v>normal</x:v>
      </x:c>
      <x:c r="F25" s="7" t="str">
        <x:v>溺亡禁卫</x:v>
      </x:c>
      <x:c r="G25" s="7" t="n">
        <x:v>58</x:v>
      </x:c>
      <x:c r="H25" s="27" t="n">
        <x:v>5100</x:v>
      </x:c>
      <x:c r="I25" s="27" t="n">
        <x:v>64000</x:v>
      </x:c>
      <x:c r="J25" s="7" t="n">
        <x:v>390</x:v>
      </x:c>
      <x:c r="K25" s="7" t="n">
        <x:v>280</x:v>
      </x:c>
      <x:c r="L25" s="7" t="n">
        <x:v>920</x:v>
      </x:c>
      <x:c r="M25" s="7" t="n">
        <x:v>1280</x:v>
      </x:c>
      <x:c r="N25" s="7" t="n">
        <x:v>500</x:v>
      </x:c>
      <x:c r="O25" s="7" t="str">
        <x:v>溺亡王盔</x:v>
      </x:c>
      <x:c r="P25" s="8" t="str">
        <x:v>设计数据完成，未部署</x:v>
      </x:c>
    </x:row>
    <x:row r="26">
      <x:c r="A26" s="6" t="str">
        <x:v>EL-MON-C01-G03-N02</x:v>
      </x:c>
      <x:c r="B26" s="7" t="str">
        <x:v>沉没王庭</x:v>
      </x:c>
      <x:c r="C26" s="7" t="str">
        <x:v>XX102、XX103、XX104</x:v>
      </x:c>
      <x:c r="D26" s="7" t="str">
        <x:v>1-3</x:v>
      </x:c>
      <x:c r="E26" s="7" t="str">
        <x:v>normal</x:v>
      </x:c>
      <x:c r="F26" s="7" t="str">
        <x:v>沉宫侍从</x:v>
      </x:c>
      <x:c r="G26" s="7" t="n">
        <x:v>60</x:v>
      </x:c>
      <x:c r="H26" s="27" t="n">
        <x:v>5600</x:v>
      </x:c>
      <x:c r="I26" s="27" t="n">
        <x:v>70000</x:v>
      </x:c>
      <x:c r="J26" s="7" t="n">
        <x:v>370</x:v>
      </x:c>
      <x:c r="K26" s="7" t="n">
        <x:v>300</x:v>
      </x:c>
      <x:c r="L26" s="7" t="n">
        <x:v>830</x:v>
      </x:c>
      <x:c r="M26" s="7" t="n">
        <x:v>1150</x:v>
      </x:c>
      <x:c r="N26" s="7" t="n">
        <x:v>500</x:v>
      </x:c>
      <x:c r="O26" s="7" t="str">
        <x:v>沉宫项链</x:v>
      </x:c>
      <x:c r="P26" s="8" t="str">
        <x:v>设计数据完成，未部署</x:v>
      </x:c>
    </x:row>
    <x:row r="27">
      <x:c r="A27" s="6" t="str">
        <x:v>EL-MON-C01-G03-N03</x:v>
      </x:c>
      <x:c r="B27" s="7" t="str">
        <x:v>沉没王庭</x:v>
      </x:c>
      <x:c r="C27" s="7" t="str">
        <x:v>XX102、XX103、XX104</x:v>
      </x:c>
      <x:c r="D27" s="7" t="str">
        <x:v>1-3</x:v>
      </x:c>
      <x:c r="E27" s="7" t="str">
        <x:v>normal</x:v>
      </x:c>
      <x:c r="F27" s="7" t="str">
        <x:v>苔甲骑兵</x:v>
      </x:c>
      <x:c r="G27" s="7" t="n">
        <x:v>62</x:v>
      </x:c>
      <x:c r="H27" s="27" t="n">
        <x:v>6200</x:v>
      </x:c>
      <x:c r="I27" s="27" t="n">
        <x:v>77000</x:v>
      </x:c>
      <x:c r="J27" s="7" t="n">
        <x:v>400</x:v>
      </x:c>
      <x:c r="K27" s="7" t="n">
        <x:v>330</x:v>
      </x:c>
      <x:c r="L27" s="7" t="n">
        <x:v>1110</x:v>
      </x:c>
      <x:c r="M27" s="7" t="n">
        <x:v>1540</x:v>
      </x:c>
      <x:c r="N27" s="7" t="n">
        <x:v>500</x:v>
      </x:c>
      <x:c r="O27" s="7" t="str">
        <x:v>苔痕护腕</x:v>
      </x:c>
      <x:c r="P27" s="8" t="str">
        <x:v>设计数据完成，未部署</x:v>
      </x:c>
    </x:row>
    <x:row r="28">
      <x:c r="A28" s="6" t="str">
        <x:v>EL-MON-C01-G03-N04</x:v>
      </x:c>
      <x:c r="B28" s="7" t="str">
        <x:v>沉没王庭</x:v>
      </x:c>
      <x:c r="C28" s="7" t="str">
        <x:v>XX103、XX104</x:v>
      </x:c>
      <x:c r="D28" s="7" t="str">
        <x:v>2-3</x:v>
      </x:c>
      <x:c r="E28" s="7" t="str">
        <x:v>normal</x:v>
      </x:c>
      <x:c r="F28" s="7" t="str">
        <x:v>王庭咒师</x:v>
      </x:c>
      <x:c r="G28" s="7" t="n">
        <x:v>64</x:v>
      </x:c>
      <x:c r="H28" s="27" t="n">
        <x:v>6600</x:v>
      </x:c>
      <x:c r="I28" s="27" t="n">
        <x:v>83000</x:v>
      </x:c>
      <x:c r="J28" s="7" t="n">
        <x:v>440</x:v>
      </x:c>
      <x:c r="K28" s="7" t="n">
        <x:v>480</x:v>
      </x:c>
      <x:c r="L28" s="7" t="n">
        <x:v>1080</x:v>
      </x:c>
      <x:c r="M28" s="7" t="n">
        <x:v>1500</x:v>
      </x:c>
      <x:c r="N28" s="7" t="n">
        <x:v>500</x:v>
      </x:c>
      <x:c r="O28" s="7" t="str">
        <x:v>王庭秘戒</x:v>
      </x:c>
      <x:c r="P28" s="8" t="str">
        <x:v>设计数据完成，未部署</x:v>
      </x:c>
    </x:row>
    <x:row r="29">
      <x:c r="A29" s="6" t="str">
        <x:v>EL-MON-C01-G03-N05</x:v>
      </x:c>
      <x:c r="B29" s="7" t="str">
        <x:v>沉没王庭</x:v>
      </x:c>
      <x:c r="C29" s="7" t="str">
        <x:v>XX103、XX104</x:v>
      </x:c>
      <x:c r="D29" s="7" t="str">
        <x:v>2-3</x:v>
      </x:c>
      <x:c r="E29" s="7" t="str">
        <x:v>normal</x:v>
      </x:c>
      <x:c r="F29" s="7" t="str">
        <x:v>深水石像</x:v>
      </x:c>
      <x:c r="G29" s="7" t="n">
        <x:v>66</x:v>
      </x:c>
      <x:c r="H29" s="27" t="n">
        <x:v>7200</x:v>
      </x:c>
      <x:c r="I29" s="27" t="n">
        <x:v>90000</x:v>
      </x:c>
      <x:c r="J29" s="7" t="n">
        <x:v>540</x:v>
      </x:c>
      <x:c r="K29" s="7" t="n">
        <x:v>390</x:v>
      </x:c>
      <x:c r="L29" s="7" t="n">
        <x:v>1480</x:v>
      </x:c>
      <x:c r="M29" s="7" t="n">
        <x:v>2060</x:v>
      </x:c>
      <x:c r="N29" s="7" t="n">
        <x:v>500</x:v>
      </x:c>
      <x:c r="O29" s="7" t="str">
        <x:v>深水束带</x:v>
      </x:c>
      <x:c r="P29" s="8" t="str">
        <x:v>设计数据完成，未部署</x:v>
      </x:c>
    </x:row>
    <x:row r="30">
      <x:c r="A30" s="6" t="str">
        <x:v>EL-MON-C01-G03-N06</x:v>
      </x:c>
      <x:c r="B30" s="7" t="str">
        <x:v>沉没王庭</x:v>
      </x:c>
      <x:c r="C30" s="7" t="str">
        <x:v>XX104</x:v>
      </x:c>
      <x:c r="D30" s="7" t="str">
        <x:v>3-3</x:v>
      </x:c>
      <x:c r="E30" s="7" t="str">
        <x:v>normal</x:v>
      </x:c>
      <x:c r="F30" s="7" t="str">
        <x:v>幽灯侍者</x:v>
      </x:c>
      <x:c r="G30" s="7" t="n">
        <x:v>68</x:v>
      </x:c>
      <x:c r="H30" s="27" t="n">
        <x:v>7700</x:v>
      </x:c>
      <x:c r="I30" s="27" t="n">
        <x:v>96000</x:v>
      </x:c>
      <x:c r="J30" s="7" t="n">
        <x:v>500</x:v>
      </x:c>
      <x:c r="K30" s="7" t="n">
        <x:v>410</x:v>
      </x:c>
      <x:c r="L30" s="7" t="n">
        <x:v>1380</x:v>
      </x:c>
      <x:c r="M30" s="7" t="n">
        <x:v>1920</x:v>
      </x:c>
      <x:c r="N30" s="7" t="n">
        <x:v>500</x:v>
      </x:c>
      <x:c r="O30" s="7" t="str">
        <x:v>幽灯面巾</x:v>
      </x:c>
      <x:c r="P30" s="8" t="str">
        <x:v>设计数据完成，未部署</x:v>
      </x:c>
    </x:row>
    <x:row r="31">
      <x:c r="A31" s="6" t="str">
        <x:v>EL-MON-C01-G03-R01</x:v>
      </x:c>
      <x:c r="B31" s="7" t="str">
        <x:v>沉没王庭</x:v>
      </x:c>
      <x:c r="C31" s="7" t="str">
        <x:v>XX102、XX103</x:v>
      </x:c>
      <x:c r="D31" s="7" t="str">
        <x:v>1-2</x:v>
      </x:c>
      <x:c r="E31" s="7" t="str">
        <x:v>rare</x:v>
      </x:c>
      <x:c r="F31" s="7" t="str">
        <x:v>失冠王子</x:v>
      </x:c>
      <x:c r="G31" s="7" t="n">
        <x:v>70</x:v>
      </x:c>
      <x:c r="H31" s="27" t="n">
        <x:v>30600</x:v>
      </x:c>
      <x:c r="I31" s="27" t="n">
        <x:v>255000</x:v>
      </x:c>
      <x:c r="J31" s="7" t="n">
        <x:v>680</x:v>
      </x:c>
      <x:c r="K31" s="7" t="n">
        <x:v>490</x:v>
      </x:c>
      <x:c r="L31" s="7" t="n">
        <x:v>2110</x:v>
      </x:c>
      <x:c r="M31" s="7" t="n">
        <x:v>2930</x:v>
      </x:c>
      <x:c r="N31" s="7" t="n">
        <x:v>500</x:v>
      </x:c>
      <x:c r="O31" s="7" t="str">
        <x:v>失冠战靴</x:v>
      </x:c>
      <x:c r="P31" s="8" t="str">
        <x:v>设计数据完成，未部署</x:v>
      </x:c>
    </x:row>
    <x:row r="32">
      <x:c r="A32" s="6" t="str">
        <x:v>EL-MON-C01-G03-R02</x:v>
      </x:c>
      <x:c r="B32" s="7" t="str">
        <x:v>沉没王庭</x:v>
      </x:c>
      <x:c r="C32" s="7" t="str">
        <x:v>XX103、XX104</x:v>
      </x:c>
      <x:c r="D32" s="7" t="str">
        <x:v>2-3</x:v>
      </x:c>
      <x:c r="E32" s="7" t="str">
        <x:v>rare</x:v>
      </x:c>
      <x:c r="F32" s="7" t="str">
        <x:v>深渊看守</x:v>
      </x:c>
      <x:c r="G32" s="7" t="n">
        <x:v>72</x:v>
      </x:c>
      <x:c r="H32" s="27" t="n">
        <x:v>34200</x:v>
      </x:c>
      <x:c r="I32" s="27" t="n">
        <x:v>285000</x:v>
      </x:c>
      <x:c r="J32" s="7" t="n">
        <x:v>760</x:v>
      </x:c>
      <x:c r="K32" s="7" t="n">
        <x:v>550</x:v>
      </x:c>
      <x:c r="L32" s="7" t="n">
        <x:v>2050</x:v>
      </x:c>
      <x:c r="M32" s="7" t="n">
        <x:v>2850</x:v>
      </x:c>
      <x:c r="N32" s="7" t="n">
        <x:v>500</x:v>
      </x:c>
      <x:c r="O32" s="7" t="str">
        <x:v>深渊勋章</x:v>
      </x:c>
      <x:c r="P32" s="8" t="str">
        <x:v>设计数据完成，未部署</x:v>
      </x:c>
    </x:row>
    <x:row r="33">
      <x:c r="A33" s="6" t="str">
        <x:v>EL-MON-C01-G03-R03</x:v>
      </x:c>
      <x:c r="B33" s="7" t="str">
        <x:v>沉没王庭</x:v>
      </x:c>
      <x:c r="C33" s="7" t="str">
        <x:v>XX104</x:v>
      </x:c>
      <x:c r="D33" s="7" t="str">
        <x:v>3-3</x:v>
      </x:c>
      <x:c r="E33" s="7" t="str">
        <x:v>rare</x:v>
      </x:c>
      <x:c r="F33" s="7" t="str">
        <x:v>王庭裁决官</x:v>
      </x:c>
      <x:c r="G33" s="7" t="n">
        <x:v>74</x:v>
      </x:c>
      <x:c r="H33" s="27" t="n">
        <x:v>37800</x:v>
      </x:c>
      <x:c r="I33" s="27" t="n">
        <x:v>315000</x:v>
      </x:c>
      <x:c r="J33" s="7" t="n">
        <x:v>850</x:v>
      </x:c>
      <x:c r="K33" s="7" t="n">
        <x:v>600</x:v>
      </x:c>
      <x:c r="L33" s="7" t="n">
        <x:v>2610</x:v>
      </x:c>
      <x:c r="M33" s="7" t="n">
        <x:v>3620</x:v>
      </x:c>
      <x:c r="N33" s="7" t="n">
        <x:v>500</x:v>
      </x:c>
      <x:c r="O33" s="7" t="str">
        <x:v>裁决王盾</x:v>
      </x:c>
      <x:c r="P33" s="8" t="str">
        <x:v>设计数据完成，未部署</x:v>
      </x:c>
    </x:row>
    <x:row r="34">
      <x:c r="A34" s="6" t="str">
        <x:v>EL-MON-C01-G03-R04</x:v>
      </x:c>
      <x:c r="B34" s="7" t="str">
        <x:v>沉没王庭</x:v>
      </x:c>
      <x:c r="C34" s="7" t="str">
        <x:v>XX104</x:v>
      </x:c>
      <x:c r="D34" s="7" t="str">
        <x:v>3-3</x:v>
      </x:c>
      <x:c r="E34" s="7" t="str">
        <x:v>rare</x:v>
      </x:c>
      <x:c r="F34" s="7" t="str">
        <x:v>沉默女祭司</x:v>
      </x:c>
      <x:c r="G34" s="7" t="n">
        <x:v>76</x:v>
      </x:c>
      <x:c r="H34" s="27" t="n">
        <x:v>41400</x:v>
      </x:c>
      <x:c r="I34" s="27" t="n">
        <x:v>345000</x:v>
      </x:c>
      <x:c r="J34" s="7" t="n">
        <x:v>710</x:v>
      </x:c>
      <x:c r="K34" s="7" t="n">
        <x:v>890</x:v>
      </x:c>
      <x:c r="L34" s="7" t="n">
        <x:v>2040</x:v>
      </x:c>
      <x:c r="M34" s="7" t="n">
        <x:v>2830</x:v>
      </x:c>
      <x:c r="N34" s="7" t="n">
        <x:v>500</x:v>
      </x:c>
      <x:c r="O34" s="7" t="str">
        <x:v>沉默灵玉</x:v>
      </x:c>
      <x:c r="P34" s="8" t="str">
        <x:v>设计数据完成，未部署</x:v>
      </x:c>
    </x:row>
    <x:row r="35">
      <x:c r="A35" s="6" t="str">
        <x:v>EL-MON-C01-G03-B01</x:v>
      </x:c>
      <x:c r="B35" s="7" t="str">
        <x:v>沉没王庭</x:v>
      </x:c>
      <x:c r="C35" s="7" t="str">
        <x:v>XX103</x:v>
      </x:c>
      <x:c r="D35" s="7" t="str">
        <x:v>2-2</x:v>
      </x:c>
      <x:c r="E35" s="7" t="str">
        <x:v>boss</x:v>
      </x:c>
      <x:c r="F35" s="7" t="str">
        <x:v>溺王亲卫长·萨恩</x:v>
      </x:c>
      <x:c r="G35" s="7" t="n">
        <x:v>80</x:v>
      </x:c>
      <x:c r="H35" s="27" t="n">
        <x:v>360000</x:v>
      </x:c>
      <x:c r="I35" s="27" t="n">
        <x:v>1800000</x:v>
      </x:c>
      <x:c r="J35" s="7" t="n">
        <x:v>1090</x:v>
      </x:c>
      <x:c r="K35" s="7" t="n">
        <x:v>770</x:v>
      </x:c>
      <x:c r="L35" s="7" t="n">
        <x:v>4850</x:v>
      </x:c>
      <x:c r="M35" s="7" t="n">
        <x:v>6730</x:v>
      </x:c>
      <x:c r="N35" s="7" t="n">
        <x:v>500</x:v>
      </x:c>
      <x:c r="O35" s="7" t="str">
        <x:v>亲卫王剑</x:v>
      </x:c>
      <x:c r="P35" s="8" t="str">
        <x:v>设计数据完成，未部署</x:v>
      </x:c>
    </x:row>
    <x:row r="36">
      <x:c r="A36" s="6" t="str">
        <x:v>EL-MON-C01-G03-B02</x:v>
      </x:c>
      <x:c r="B36" s="7" t="str">
        <x:v>沉没王庭</x:v>
      </x:c>
      <x:c r="C36" s="7" t="str">
        <x:v>XX104</x:v>
      </x:c>
      <x:c r="D36" s="7" t="str">
        <x:v>3-3</x:v>
      </x:c>
      <x:c r="E36" s="7" t="str">
        <x:v>boss</x:v>
      </x:c>
      <x:c r="F36" s="7" t="str">
        <x:v>深潮大祭司·伊莱娜</x:v>
      </x:c>
      <x:c r="G36" s="7" t="n">
        <x:v>85</x:v>
      </x:c>
      <x:c r="H36" s="27" t="n">
        <x:v>400000</x:v>
      </x:c>
      <x:c r="I36" s="27" t="n">
        <x:v>2000000</x:v>
      </x:c>
      <x:c r="J36" s="7" t="n">
        <x:v>920</x:v>
      </x:c>
      <x:c r="K36" s="7" t="n">
        <x:v>1160</x:v>
      </x:c>
      <x:c r="L36" s="7" t="n">
        <x:v>4210</x:v>
      </x:c>
      <x:c r="M36" s="7" t="n">
        <x:v>5850</x:v>
      </x:c>
      <x:c r="N36" s="7" t="n">
        <x:v>500</x:v>
      </x:c>
      <x:c r="O36" s="7" t="str">
        <x:v>深潮王铠</x:v>
      </x:c>
      <x:c r="P36" s="8" t="str">
        <x:v>设计数据完成，未部署</x:v>
      </x:c>
    </x:row>
    <x:row r="37">
      <x:c r="A37" s="9" t="str">
        <x:v>EL-MON-C01-G03-G01</x:v>
      </x:c>
      <x:c r="B37" s="10" t="str">
        <x:v>沉没王庭</x:v>
      </x:c>
      <x:c r="C37" s="10" t="str">
        <x:v>XX105</x:v>
      </x:c>
      <x:c r="D37" s="10" t="str">
        <x:v>4-4</x:v>
      </x:c>
      <x:c r="E37" s="10" t="str">
        <x:v>gate_boss</x:v>
      </x:c>
      <x:c r="F37" s="10" t="str">
        <x:v>沉没之王·奥德里安</x:v>
      </x:c>
      <x:c r="G37" s="10" t="n">
        <x:v>90</x:v>
      </x:c>
      <x:c r="H37" s="28" t="n">
        <x:v>2500000</x:v>
      </x:c>
      <x:c r="I37" s="28" t="n">
        <x:v>10000000</x:v>
      </x:c>
      <x:c r="J37" s="10" t="n">
        <x:v>1380</x:v>
      </x:c>
      <x:c r="K37" s="10" t="n">
        <x:v>980</x:v>
      </x:c>
      <x:c r="L37" s="10" t="n">
        <x:v>11520</x:v>
      </x:c>
      <x:c r="M37" s="10" t="n">
        <x:v>16000</x:v>
      </x:c>
      <x:c r="N37" s="10" t="n">
        <x:v>500</x:v>
      </x:c>
      <x:c r="O37" s="10" t="str">
        <x:v>沉没王权</x:v>
      </x:c>
      <x:c r="P37" s="11" t="str">
        <x:v>设计数据完成，未部署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24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9" hidden="0" customWidth="1"/>
    <x:col min="18" max="18" width="11" hidden="0" customWidth="1"/>
    <x:col min="19" max="19" width="11" hidden="0" customWidth="1"/>
    <x:col min="20" max="20" width="16" hidden="0" customWidth="1"/>
    <x:col min="21" max="21" width="24" hidden="0" customWidth="1"/>
  </x:cols>
  <x:sheetData>
    <x:row r="1">
      <x:c r="A1" s="24" t="str">
        <x:v>装备ID</x:v>
      </x:c>
      <x:c r="B1" s="25" t="str">
        <x:v>装备名</x:v>
      </x:c>
      <x:c r="C1" s="25" t="str">
        <x:v>部位</x:v>
      </x:c>
      <x:c r="D1" s="25" t="str">
        <x:v>来源怪物</x:v>
      </x:c>
      <x:c r="E1" s="25" t="str">
        <x:v>来源类型</x:v>
      </x:c>
      <x:c r="F1" s="25" t="str">
        <x:v>来源编号</x:v>
      </x:c>
      <x:c r="G1" s="25" t="str">
        <x:v>主要专属</x:v>
      </x:c>
      <x:c r="H1" s="25" t="str">
        <x:v>守关追加</x:v>
      </x:c>
      <x:c r="I1" s="25" t="str">
        <x:v>攻击加成</x:v>
      </x:c>
      <x:c r="J1" s="25" t="str">
        <x:v>打怪伤害</x:v>
      </x:c>
      <x:c r="K1" s="25" t="str">
        <x:v>暴击伤害</x:v>
      </x:c>
      <x:c r="L1" s="25" t="str">
        <x:v>攻击伤害</x:v>
      </x:c>
      <x:c r="M1" s="25" t="str">
        <x:v>伤害系数</x:v>
      </x:c>
      <x:c r="N1" s="25" t="str">
        <x:v>致命几率</x:v>
      </x:c>
      <x:c r="O1" s="25" t="str">
        <x:v>致命伤害</x:v>
      </x:c>
      <x:c r="P1" s="25" t="str">
        <x:v>对怪吸收</x:v>
      </x:c>
      <x:c r="Q1" s="25" t="str">
        <x:v>韧性</x:v>
      </x:c>
      <x:c r="R1" s="25" t="str">
        <x:v>最大爆率</x:v>
      </x:c>
      <x:c r="S1" s="25" t="str">
        <x:v>毕业计数</x:v>
      </x:c>
      <x:c r="T1" s="25" t="str">
        <x:v>毕业爆率贡献</x:v>
      </x:c>
      <x:c r="U1" s="26" t="str">
        <x:v>版本</x:v>
      </x:c>
    </x:row>
    <x:row r="2">
      <x:c r="A2" s="6" t="str">
        <x:v>EL-EQP-C01-001</x:v>
      </x:c>
      <x:c r="B2" s="7" t="str">
        <x:v>盐蚀弯刃</x:v>
      </x:c>
      <x:c r="C2" s="7" t="str">
        <x:v>武器</x:v>
      </x:c>
      <x:c r="D2" s="7" t="str">
        <x:v>盐蚀流民</x:v>
      </x:c>
      <x:c r="E2" s="7" t="str">
        <x:v>normal</x:v>
      </x:c>
      <x:c r="F2" s="7"/>
      <x:c r="G2" s="7" t="str">
        <x:v>是</x:v>
      </x:c>
      <x:c r="H2" s="7" t="str">
        <x:v>否</x:v>
      </x:c>
      <x:c r="I2" s="7" t="n">
        <x:v>2</x:v>
      </x:c>
      <x:c r="J2" s="7" t="n">
        <x:v>2</x:v>
      </x:c>
      <x:c r="K2" s="7" t="n">
        <x:v>3</x:v>
      </x:c>
      <x:c r="L2" s="7"/>
      <x:c r="M2" s="7"/>
      <x:c r="N2" s="7"/>
      <x:c r="O2" s="7"/>
      <x:c r="P2" s="7"/>
      <x:c r="Q2" s="7"/>
      <x:c r="R2" s="7" t="n">
        <x:v>2</x:v>
      </x:c>
      <x:c r="S2" s="7" t="n">
        <x:v>0</x:v>
      </x:c>
      <x:c r="T2" s="7" t="n">
        <x:f>R2*S2</x:f>
        <x:v>0</x:v>
      </x:c>
      <x:c r="U2" s="8" t="str">
        <x:v>EL-C01-V1-20260820</x:v>
      </x:c>
    </x:row>
    <x:row r="3">
      <x:c r="A3" s="6" t="str">
        <x:v>EL-EQP-C01-002</x:v>
      </x:c>
      <x:c r="B3" s="7" t="str">
        <x:v>断桨骨链</x:v>
      </x:c>
      <x:c r="C3" s="7" t="str">
        <x:v>项链</x:v>
      </x:c>
      <x:c r="D3" s="7" t="str">
        <x:v>断桨弩手</x:v>
      </x:c>
      <x:c r="E3" s="7" t="str">
        <x:v>normal</x:v>
      </x:c>
      <x:c r="F3" s="7" t="n">
        <x:v>6048</x:v>
      </x:c>
      <x:c r="G3" s="7" t="str">
        <x:v>是</x:v>
      </x:c>
      <x:c r="H3" s="7" t="str">
        <x:v>否</x:v>
      </x:c>
      <x:c r="I3" s="7" t="n">
        <x:v>2</x:v>
      </x:c>
      <x:c r="J3" s="7" t="n">
        <x:v>2</x:v>
      </x:c>
      <x:c r="K3" s="7" t="n">
        <x:v>3</x:v>
      </x:c>
      <x:c r="L3" s="7"/>
      <x:c r="M3" s="7"/>
      <x:c r="N3" s="7"/>
      <x:c r="O3" s="7"/>
      <x:c r="P3" s="7"/>
      <x:c r="Q3" s="7"/>
      <x:c r="R3" s="7" t="n">
        <x:v>2</x:v>
      </x:c>
      <x:c r="S3" s="7" t="n">
        <x:v>0</x:v>
      </x:c>
      <x:c r="T3" s="7" t="n">
        <x:f>R3*S3</x:f>
        <x:v>0</x:v>
      </x:c>
      <x:c r="U3" s="8" t="str">
        <x:v>EL-C01-V1-20260820</x:v>
      </x:c>
    </x:row>
    <x:row r="4">
      <x:c r="A4" s="6" t="str">
        <x:v>EL-EQP-C01-003</x:v>
      </x:c>
      <x:c r="B4" s="7" t="str">
        <x:v>漂流尸甲</x:v>
      </x:c>
      <x:c r="C4" s="7" t="str">
        <x:v>衣服</x:v>
      </x:c>
      <x:c r="D4" s="7" t="str">
        <x:v>漂流尸兵</x:v>
      </x:c>
      <x:c r="E4" s="7" t="str">
        <x:v>normal</x:v>
      </x:c>
      <x:c r="F4" s="7"/>
      <x:c r="G4" s="7" t="str">
        <x:v>是</x:v>
      </x:c>
      <x:c r="H4" s="7" t="str">
        <x:v>否</x:v>
      </x:c>
      <x:c r="I4" s="7" t="n">
        <x:v>2</x:v>
      </x:c>
      <x:c r="J4" s="7" t="n">
        <x:v>2</x:v>
      </x:c>
      <x:c r="K4" s="7" t="n">
        <x:v>3</x:v>
      </x:c>
      <x:c r="L4" s="7"/>
      <x:c r="M4" s="7"/>
      <x:c r="N4" s="7"/>
      <x:c r="O4" s="7"/>
      <x:c r="P4" s="7"/>
      <x:c r="Q4" s="7" t="n">
        <x:v>1</x:v>
      </x:c>
      <x:c r="R4" s="7" t="n">
        <x:v>2</x:v>
      </x:c>
      <x:c r="S4" s="7" t="n">
        <x:v>0</x:v>
      </x:c>
      <x:c r="T4" s="7" t="n">
        <x:f>R4*S4</x:f>
        <x:v>0</x:v>
      </x:c>
      <x:c r="U4" s="8" t="str">
        <x:v>EL-C01-V1-20260820</x:v>
      </x:c>
    </x:row>
    <x:row r="5">
      <x:c r="A5" s="6" t="str">
        <x:v>EL-EQP-C01-004</x:v>
      </x:c>
      <x:c r="B5" s="7" t="str">
        <x:v>猎犬骨戒</x:v>
      </x:c>
      <x:c r="C5" s="7" t="str">
        <x:v>戒指</x:v>
      </x:c>
      <x:c r="D5" s="7" t="str">
        <x:v>失乡猎犬</x:v>
      </x:c>
      <x:c r="E5" s="7" t="str">
        <x:v>normal</x:v>
      </x:c>
      <x:c r="F5" s="7" t="n">
        <x:v>6051</x:v>
      </x:c>
      <x:c r="G5" s="7" t="str">
        <x:v>是</x:v>
      </x:c>
      <x:c r="H5" s="7" t="str">
        <x:v>否</x:v>
      </x:c>
      <x:c r="I5" s="7" t="n">
        <x:v>2</x:v>
      </x:c>
      <x:c r="J5" s="7" t="n">
        <x:v>2</x:v>
      </x:c>
      <x:c r="K5" s="7" t="n">
        <x:v>3</x:v>
      </x:c>
      <x:c r="L5" s="7"/>
      <x:c r="M5" s="7"/>
      <x:c r="N5" s="7"/>
      <x:c r="O5" s="7"/>
      <x:c r="P5" s="7"/>
      <x:c r="Q5" s="7"/>
      <x:c r="R5" s="7" t="n">
        <x:v>2</x:v>
      </x:c>
      <x:c r="S5" s="7" t="n">
        <x:v>0</x:v>
      </x:c>
      <x:c r="T5" s="7" t="n">
        <x:f>R5*S5</x:f>
        <x:v>0</x:v>
      </x:c>
      <x:c r="U5" s="8" t="str">
        <x:v>EL-C01-V1-20260820</x:v>
      </x:c>
    </x:row>
    <x:row r="6">
      <x:c r="A6" s="6" t="str">
        <x:v>EL-EQP-C01-005</x:v>
      </x:c>
      <x:c r="B6" s="7" t="str">
        <x:v>腐潮钳镯</x:v>
      </x:c>
      <x:c r="C6" s="7" t="str">
        <x:v>手镯</x:v>
      </x:c>
      <x:c r="D6" s="7" t="str">
        <x:v>腐潮巨蟹</x:v>
      </x:c>
      <x:c r="E6" s="7" t="str">
        <x:v>normal</x:v>
      </x:c>
      <x:c r="F6" s="7" t="n">
        <x:v>6050</x:v>
      </x:c>
      <x:c r="G6" s="7" t="str">
        <x:v>是</x:v>
      </x:c>
      <x:c r="H6" s="7" t="str">
        <x:v>否</x:v>
      </x:c>
      <x:c r="I6" s="7" t="n">
        <x:v>2</x:v>
      </x:c>
      <x:c r="J6" s="7" t="n">
        <x:v>2</x:v>
      </x:c>
      <x:c r="K6" s="7" t="n">
        <x:v>3</x:v>
      </x:c>
      <x:c r="L6" s="7"/>
      <x:c r="M6" s="7"/>
      <x:c r="N6" s="7"/>
      <x:c r="O6" s="7"/>
      <x:c r="P6" s="7"/>
      <x:c r="Q6" s="7"/>
      <x:c r="R6" s="7" t="n">
        <x:v>2</x:v>
      </x:c>
      <x:c r="S6" s="7" t="n">
        <x:v>0</x:v>
      </x:c>
      <x:c r="T6" s="7" t="n">
        <x:f>R6*S6</x:f>
        <x:v>0</x:v>
      </x:c>
      <x:c r="U6" s="8" t="str">
        <x:v>EL-C01-V1-20260820</x:v>
      </x:c>
    </x:row>
    <x:row r="7">
      <x:c r="A7" s="6" t="str">
        <x:v>EL-EQP-C01-006</x:v>
      </x:c>
      <x:c r="B7" s="7" t="str">
        <x:v>行刑锚刃</x:v>
      </x:c>
      <x:c r="C7" s="7" t="str">
        <x:v>武器</x:v>
      </x:c>
      <x:c r="D7" s="7" t="str">
        <x:v>铁锚行刑者</x:v>
      </x:c>
      <x:c r="E7" s="7" t="str">
        <x:v>rare</x:v>
      </x:c>
      <x:c r="F7" s="7"/>
      <x:c r="G7" s="7" t="str">
        <x:v>是</x:v>
      </x:c>
      <x:c r="H7" s="7" t="str">
        <x:v>否</x:v>
      </x:c>
      <x:c r="I7" s="7" t="n">
        <x:v>4</x:v>
      </x:c>
      <x:c r="J7" s="7" t="n">
        <x:v>3</x:v>
      </x:c>
      <x:c r="K7" s="7" t="n">
        <x:v>5</x:v>
      </x:c>
      <x:c r="L7" s="7" t="n">
        <x:v>1</x:v>
      </x:c>
      <x:c r="M7" s="7"/>
      <x:c r="N7" s="7"/>
      <x:c r="O7" s="7"/>
      <x:c r="P7" s="7"/>
      <x:c r="Q7" s="7"/>
      <x:c r="R7" s="7" t="n">
        <x:v>4</x:v>
      </x:c>
      <x:c r="S7" s="7" t="n">
        <x:v>0</x:v>
      </x:c>
      <x:c r="T7" s="7" t="n">
        <x:f>R7*S7</x:f>
        <x:v>0</x:v>
      </x:c>
      <x:c r="U7" s="8" t="str">
        <x:v>EL-C01-V1-20260820</x:v>
      </x:c>
    </x:row>
    <x:row r="8">
      <x:c r="A8" s="6" t="str">
        <x:v>EL-EQP-C01-007</x:v>
      </x:c>
      <x:c r="B8" s="7" t="str">
        <x:v>唤潮旧勋</x:v>
      </x:c>
      <x:c r="C8" s="7" t="str">
        <x:v>勋章</x:v>
      </x:c>
      <x:c r="D8" s="7" t="str">
        <x:v>唤潮祷师</x:v>
      </x:c>
      <x:c r="E8" s="7" t="str">
        <x:v>rare</x:v>
      </x:c>
      <x:c r="F8" s="7" t="n">
        <x:v>6047</x:v>
      </x:c>
      <x:c r="G8" s="7" t="str">
        <x:v>是</x:v>
      </x:c>
      <x:c r="H8" s="7" t="str">
        <x:v>否</x:v>
      </x:c>
      <x:c r="I8" s="7" t="n">
        <x:v>4</x:v>
      </x:c>
      <x:c r="J8" s="7" t="n">
        <x:v>3</x:v>
      </x:c>
      <x:c r="K8" s="7" t="n">
        <x:v>5</x:v>
      </x:c>
      <x:c r="L8" s="7" t="n">
        <x:v>1</x:v>
      </x:c>
      <x:c r="M8" s="7"/>
      <x:c r="N8" s="7"/>
      <x:c r="O8" s="7"/>
      <x:c r="P8" s="7"/>
      <x:c r="Q8" s="7"/>
      <x:c r="R8" s="7" t="n">
        <x:v>4</x:v>
      </x:c>
      <x:c r="S8" s="7" t="n">
        <x:v>0</x:v>
      </x:c>
      <x:c r="T8" s="7" t="n">
        <x:f>R8*S8</x:f>
        <x:v>0</x:v>
      </x:c>
      <x:c r="U8" s="8" t="str">
        <x:v>EL-C01-V1-20260820</x:v>
      </x:c>
    </x:row>
    <x:row r="9">
      <x:c r="A9" s="6" t="str">
        <x:v>EL-EQP-C01-008</x:v>
      </x:c>
      <x:c r="B9" s="7" t="str">
        <x:v>沉金铁盔</x:v>
      </x:c>
      <x:c r="C9" s="7" t="str">
        <x:v>头盔</x:v>
      </x:c>
      <x:c r="D9" s="7" t="str">
        <x:v>沉船守财者</x:v>
      </x:c>
      <x:c r="E9" s="7" t="str">
        <x:v>rare</x:v>
      </x:c>
      <x:c r="F9" s="7" t="n">
        <x:v>6049</x:v>
      </x:c>
      <x:c r="G9" s="7" t="str">
        <x:v>是</x:v>
      </x:c>
      <x:c r="H9" s="7" t="str">
        <x:v>否</x:v>
      </x:c>
      <x:c r="I9" s="7" t="n">
        <x:v>4</x:v>
      </x:c>
      <x:c r="J9" s="7" t="n">
        <x:v>3</x:v>
      </x:c>
      <x:c r="K9" s="7" t="n">
        <x:v>5</x:v>
      </x:c>
      <x:c r="L9" s="7" t="n">
        <x:v>1</x:v>
      </x:c>
      <x:c r="M9" s="7"/>
      <x:c r="N9" s="7"/>
      <x:c r="O9" s="7"/>
      <x:c r="P9" s="7"/>
      <x:c r="Q9" s="7"/>
      <x:c r="R9" s="7" t="n">
        <x:v>4</x:v>
      </x:c>
      <x:c r="S9" s="7" t="n">
        <x:v>0</x:v>
      </x:c>
      <x:c r="T9" s="7" t="n">
        <x:f>R9*S9</x:f>
        <x:v>0</x:v>
      </x:c>
      <x:c r="U9" s="8" t="str">
        <x:v>EL-C01-V1-20260820</x:v>
      </x:c>
    </x:row>
    <x:row r="10">
      <x:c r="A10" s="6" t="str">
        <x:v>EL-EQP-C01-009</x:v>
      </x:c>
      <x:c r="B10" s="7" t="str">
        <x:v>海雾塔盾</x:v>
      </x:c>
      <x:c r="C10" s="7" t="str">
        <x:v>盾牌</x:v>
      </x:c>
      <x:c r="D10" s="7" t="str">
        <x:v>海雾骑士</x:v>
      </x:c>
      <x:c r="E10" s="7" t="str">
        <x:v>rare</x:v>
      </x:c>
      <x:c r="F10" s="7" t="n">
        <x:v>6052</x:v>
      </x:c>
      <x:c r="G10" s="7" t="str">
        <x:v>是</x:v>
      </x:c>
      <x:c r="H10" s="7" t="str">
        <x:v>否</x:v>
      </x:c>
      <x:c r="I10" s="7" t="n">
        <x:v>4</x:v>
      </x:c>
      <x:c r="J10" s="7" t="n">
        <x:v>3</x:v>
      </x:c>
      <x:c r="K10" s="7" t="n">
        <x:v>5</x:v>
      </x:c>
      <x:c r="L10" s="7" t="n">
        <x:v>1</x:v>
      </x:c>
      <x:c r="M10" s="7"/>
      <x:c r="N10" s="7"/>
      <x:c r="O10" s="7"/>
      <x:c r="P10" s="7"/>
      <x:c r="Q10" s="7"/>
      <x:c r="R10" s="7" t="n">
        <x:v>4</x:v>
      </x:c>
      <x:c r="S10" s="7" t="n">
        <x:v>0</x:v>
      </x:c>
      <x:c r="T10" s="7" t="n">
        <x:f>R10*S10</x:f>
        <x:v>0</x:v>
      </x:c>
      <x:c r="U10" s="8" t="str">
        <x:v>EL-C01-V1-20260820</x:v>
      </x:c>
    </x:row>
    <x:row r="11">
      <x:c r="A11" s="6" t="str">
        <x:v>EL-EQP-C01-010</x:v>
      </x:c>
      <x:c r="B11" s="7" t="str">
        <x:v>断桅血刃</x:v>
      </x:c>
      <x:c r="C11" s="7" t="str">
        <x:v>武器</x:v>
      </x:c>
      <x:c r="D11" s="7" t="str">
        <x:v>断桅船长·赫恩</x:v>
      </x:c>
      <x:c r="E11" s="7" t="str">
        <x:v>boss</x:v>
      </x:c>
      <x:c r="F11" s="7"/>
      <x:c r="G11" s="7" t="str">
        <x:v>是</x:v>
      </x:c>
      <x:c r="H11" s="7" t="str">
        <x:v>否</x:v>
      </x:c>
      <x:c r="I11" s="7" t="n">
        <x:v>6</x:v>
      </x:c>
      <x:c r="J11" s="7" t="n">
        <x:v>5</x:v>
      </x:c>
      <x:c r="K11" s="7" t="n">
        <x:v>7</x:v>
      </x:c>
      <x:c r="L11" s="7" t="n">
        <x:v>1</x:v>
      </x:c>
      <x:c r="M11" s="7"/>
      <x:c r="N11" s="7"/>
      <x:c r="O11" s="7"/>
      <x:c r="P11" s="7" t="n">
        <x:v>2</x:v>
      </x:c>
      <x:c r="Q11" s="7"/>
      <x:c r="R11" s="7" t="n">
        <x:v>6</x:v>
      </x:c>
      <x:c r="S11" s="7" t="n">
        <x:v>0</x:v>
      </x:c>
      <x:c r="T11" s="7" t="n">
        <x:f>R11*S11</x:f>
        <x:v>0</x:v>
      </x:c>
      <x:c r="U11" s="8" t="str">
        <x:v>EL-C01-V1-20260820</x:v>
      </x:c>
    </x:row>
    <x:row r="12">
      <x:c r="A12" s="6" t="str">
        <x:v>EL-EQP-C01-011</x:v>
      </x:c>
      <x:c r="B12" s="7" t="str">
        <x:v>吞岸重甲</x:v>
      </x:c>
      <x:c r="C12" s="7" t="str">
        <x:v>衣服</x:v>
      </x:c>
      <x:c r="D12" s="7" t="str">
        <x:v>吞岸巨兽·格拉姆</x:v>
      </x:c>
      <x:c r="E12" s="7" t="str">
        <x:v>boss</x:v>
      </x:c>
      <x:c r="F12" s="7"/>
      <x:c r="G12" s="7" t="str">
        <x:v>是</x:v>
      </x:c>
      <x:c r="H12" s="7" t="str">
        <x:v>否</x:v>
      </x:c>
      <x:c r="I12" s="7" t="n">
        <x:v>6</x:v>
      </x:c>
      <x:c r="J12" s="7" t="n">
        <x:v>5</x:v>
      </x:c>
      <x:c r="K12" s="7" t="n">
        <x:v>7</x:v>
      </x:c>
      <x:c r="L12" s="7" t="n">
        <x:v>1</x:v>
      </x:c>
      <x:c r="M12" s="7"/>
      <x:c r="N12" s="7"/>
      <x:c r="O12" s="7"/>
      <x:c r="P12" s="7" t="n">
        <x:v>2</x:v>
      </x:c>
      <x:c r="Q12" s="7" t="n">
        <x:v>2</x:v>
      </x:c>
      <x:c r="R12" s="7" t="n">
        <x:v>6</x:v>
      </x:c>
      <x:c r="S12" s="7" t="n">
        <x:v>0</x:v>
      </x:c>
      <x:c r="T12" s="7" t="n">
        <x:f>R12*S12</x:f>
        <x:v>0</x:v>
      </x:c>
      <x:c r="U12" s="8" t="str">
        <x:v>EL-C01-V1-20260820</x:v>
      </x:c>
    </x:row>
    <x:row r="13">
      <x:c r="A13" s="6" t="str">
        <x:v>EL-EQP-C01-012</x:v>
      </x:c>
      <x:c r="B13" s="7" t="str">
        <x:v>风蚀盔</x:v>
      </x:c>
      <x:c r="C13" s="7" t="str">
        <x:v>头盔</x:v>
      </x:c>
      <x:c r="D13" s="7" t="str">
        <x:v>风蚀守卫</x:v>
      </x:c>
      <x:c r="E13" s="7" t="str">
        <x:v>normal</x:v>
      </x:c>
      <x:c r="F13" s="7" t="n">
        <x:v>6094</x:v>
      </x:c>
      <x:c r="G13" s="7" t="str">
        <x:v>是</x:v>
      </x:c>
      <x:c r="H13" s="7" t="str">
        <x:v>否</x:v>
      </x:c>
      <x:c r="I13" s="7" t="n">
        <x:v>3</x:v>
      </x:c>
      <x:c r="J13" s="7" t="n">
        <x:v>2</x:v>
      </x:c>
      <x:c r="K13" s="7" t="n">
        <x:v>4</x:v>
      </x:c>
      <x:c r="L13" s="7"/>
      <x:c r="M13" s="7"/>
      <x:c r="N13" s="7"/>
      <x:c r="O13" s="7"/>
      <x:c r="P13" s="7"/>
      <x:c r="Q13" s="7"/>
      <x:c r="R13" s="7" t="n">
        <x:v>3</x:v>
      </x:c>
      <x:c r="S13" s="7" t="n">
        <x:v>0</x:v>
      </x:c>
      <x:c r="T13" s="7" t="n">
        <x:f>R13*S13</x:f>
        <x:v>0</x:v>
      </x:c>
      <x:c r="U13" s="8" t="str">
        <x:v>EL-C01-V1-20260820</x:v>
      </x:c>
    </x:row>
    <x:row r="14">
      <x:c r="A14" s="6" t="str">
        <x:v>EL-EQP-C01-013</x:v>
      </x:c>
      <x:c r="B14" s="7" t="str">
        <x:v>鹰眼链</x:v>
      </x:c>
      <x:c r="C14" s="7" t="str">
        <x:v>项链</x:v>
      </x:c>
      <x:c r="D14" s="7" t="str">
        <x:v>断崖弩手</x:v>
      </x:c>
      <x:c r="E14" s="7" t="str">
        <x:v>normal</x:v>
      </x:c>
      <x:c r="F14" s="7" t="n">
        <x:v>6093</x:v>
      </x:c>
      <x:c r="G14" s="7" t="str">
        <x:v>是</x:v>
      </x:c>
      <x:c r="H14" s="7" t="str">
        <x:v>否</x:v>
      </x:c>
      <x:c r="I14" s="7" t="n">
        <x:v>3</x:v>
      </x:c>
      <x:c r="J14" s="7" t="n">
        <x:v>2</x:v>
      </x:c>
      <x:c r="K14" s="7" t="n">
        <x:v>4</x:v>
      </x:c>
      <x:c r="L14" s="7"/>
      <x:c r="M14" s="7"/>
      <x:c r="N14" s="7"/>
      <x:c r="O14" s="7"/>
      <x:c r="P14" s="7"/>
      <x:c r="Q14" s="7"/>
      <x:c r="R14" s="7" t="n">
        <x:v>3</x:v>
      </x:c>
      <x:c r="S14" s="7" t="n">
        <x:v>0</x:v>
      </x:c>
      <x:c r="T14" s="7" t="n">
        <x:f>R14*S14</x:f>
        <x:v>0</x:v>
      </x:c>
      <x:c r="U14" s="8" t="str">
        <x:v>EL-C01-V1-20260820</x:v>
      </x:c>
    </x:row>
    <x:row r="15">
      <x:c r="A15" s="6" t="str">
        <x:v>EL-EQP-C01-014</x:v>
      </x:c>
      <x:c r="B15" s="7" t="str">
        <x:v>雷羽护腕</x:v>
      </x:c>
      <x:c r="C15" s="7" t="str">
        <x:v>手镯</x:v>
      </x:c>
      <x:c r="D15" s="7" t="str">
        <x:v>雷羽鹰</x:v>
      </x:c>
      <x:c r="E15" s="7" t="str">
        <x:v>normal</x:v>
      </x:c>
      <x:c r="F15" s="7" t="n">
        <x:v>6095</x:v>
      </x:c>
      <x:c r="G15" s="7" t="str">
        <x:v>是</x:v>
      </x:c>
      <x:c r="H15" s="7" t="str">
        <x:v>否</x:v>
      </x:c>
      <x:c r="I15" s="7" t="n">
        <x:v>3</x:v>
      </x:c>
      <x:c r="J15" s="7" t="n">
        <x:v>2</x:v>
      </x:c>
      <x:c r="K15" s="7" t="n">
        <x:v>4</x:v>
      </x:c>
      <x:c r="L15" s="7"/>
      <x:c r="M15" s="7"/>
      <x:c r="N15" s="7"/>
      <x:c r="O15" s="7"/>
      <x:c r="P15" s="7"/>
      <x:c r="Q15" s="7"/>
      <x:c r="R15" s="7" t="n">
        <x:v>3</x:v>
      </x:c>
      <x:c r="S15" s="7" t="n">
        <x:v>0</x:v>
      </x:c>
      <x:c r="T15" s="7" t="n">
        <x:f>R15*S15</x:f>
        <x:v>0</x:v>
      </x:c>
      <x:c r="U15" s="8" t="str">
        <x:v>EL-C01-V1-20260820</x:v>
      </x:c>
    </x:row>
    <x:row r="16">
      <x:c r="A16" s="6" t="str">
        <x:v>EL-EQP-C01-015</x:v>
      </x:c>
      <x:c r="B16" s="7" t="str">
        <x:v>狂风骨戒</x:v>
      </x:c>
      <x:c r="C16" s="7" t="str">
        <x:v>戒指</x:v>
      </x:c>
      <x:c r="D16" s="7" t="str">
        <x:v>狂风战奴</x:v>
      </x:c>
      <x:c r="E16" s="7" t="str">
        <x:v>normal</x:v>
      </x:c>
      <x:c r="F16" s="7" t="n">
        <x:v>6096</x:v>
      </x:c>
      <x:c r="G16" s="7" t="str">
        <x:v>是</x:v>
      </x:c>
      <x:c r="H16" s="7" t="str">
        <x:v>否</x:v>
      </x:c>
      <x:c r="I16" s="7" t="n">
        <x:v>3</x:v>
      </x:c>
      <x:c r="J16" s="7" t="n">
        <x:v>2</x:v>
      </x:c>
      <x:c r="K16" s="7" t="n">
        <x:v>4</x:v>
      </x:c>
      <x:c r="L16" s="7"/>
      <x:c r="M16" s="7"/>
      <x:c r="N16" s="7"/>
      <x:c r="O16" s="7"/>
      <x:c r="P16" s="7"/>
      <x:c r="Q16" s="7"/>
      <x:c r="R16" s="7" t="n">
        <x:v>3</x:v>
      </x:c>
      <x:c r="S16" s="7" t="n">
        <x:v>0</x:v>
      </x:c>
      <x:c r="T16" s="7" t="n">
        <x:f>R16*S16</x:f>
        <x:v>0</x:v>
      </x:c>
      <x:c r="U16" s="8" t="str">
        <x:v>EL-C01-V1-20260820</x:v>
      </x:c>
    </x:row>
    <x:row r="17">
      <x:c r="A17" s="6" t="str">
        <x:v>EL-EQP-C01-016</x:v>
      </x:c>
      <x:c r="B17" s="7" t="str">
        <x:v>断崖束带</x:v>
      </x:c>
      <x:c r="C17" s="7" t="str">
        <x:v>腰带</x:v>
      </x:c>
      <x:c r="D17" s="7" t="str">
        <x:v>坠崖亡兵</x:v>
      </x:c>
      <x:c r="E17" s="7" t="str">
        <x:v>normal</x:v>
      </x:c>
      <x:c r="F17" s="7" t="n">
        <x:v>6100</x:v>
      </x:c>
      <x:c r="G17" s="7" t="str">
        <x:v>是</x:v>
      </x:c>
      <x:c r="H17" s="7" t="str">
        <x:v>否</x:v>
      </x:c>
      <x:c r="I17" s="7" t="n">
        <x:v>3</x:v>
      </x:c>
      <x:c r="J17" s="7" t="n">
        <x:v>2</x:v>
      </x:c>
      <x:c r="K17" s="7" t="n">
        <x:v>4</x:v>
      </x:c>
      <x:c r="L17" s="7"/>
      <x:c r="M17" s="7"/>
      <x:c r="N17" s="7"/>
      <x:c r="O17" s="7"/>
      <x:c r="P17" s="7"/>
      <x:c r="Q17" s="7"/>
      <x:c r="R17" s="7" t="n">
        <x:v>3</x:v>
      </x:c>
      <x:c r="S17" s="7" t="n">
        <x:v>0</x:v>
      </x:c>
      <x:c r="T17" s="7" t="n">
        <x:f>R17*S17</x:f>
        <x:v>0</x:v>
      </x:c>
      <x:c r="U17" s="8" t="str">
        <x:v>EL-C01-V1-20260820</x:v>
      </x:c>
    </x:row>
    <x:row r="18">
      <x:c r="A18" s="6" t="str">
        <x:v>EL-EQP-C01-017</x:v>
      </x:c>
      <x:c r="B18" s="7" t="str">
        <x:v>石蜥面巾</x:v>
      </x:c>
      <x:c r="C18" s="7" t="str">
        <x:v>斗笠</x:v>
      </x:c>
      <x:c r="D18" s="7" t="str">
        <x:v>崖穴石蜥</x:v>
      </x:c>
      <x:c r="E18" s="7" t="str">
        <x:v>normal</x:v>
      </x:c>
      <x:c r="F18" s="7" t="n">
        <x:v>6400</x:v>
      </x:c>
      <x:c r="G18" s="7" t="str">
        <x:v>是</x:v>
      </x:c>
      <x:c r="H18" s="7" t="str">
        <x:v>否</x:v>
      </x:c>
      <x:c r="I18" s="7" t="n">
        <x:v>3</x:v>
      </x:c>
      <x:c r="J18" s="7" t="n">
        <x:v>2</x:v>
      </x:c>
      <x:c r="K18" s="7" t="n">
        <x:v>4</x:v>
      </x:c>
      <x:c r="L18" s="7"/>
      <x:c r="M18" s="7"/>
      <x:c r="N18" s="7"/>
      <x:c r="O18" s="7"/>
      <x:c r="P18" s="7"/>
      <x:c r="Q18" s="7"/>
      <x:c r="R18" s="7" t="n">
        <x:v>3</x:v>
      </x:c>
      <x:c r="S18" s="7" t="n">
        <x:v>0</x:v>
      </x:c>
      <x:c r="T18" s="7" t="n">
        <x:f>R18*S18</x:f>
        <x:v>0</x:v>
      </x:c>
      <x:c r="U18" s="8" t="str">
        <x:v>EL-C01-V1-20260820</x:v>
      </x:c>
    </x:row>
    <x:row r="19">
      <x:c r="A19" s="6" t="str">
        <x:v>EL-EQP-C01-018</x:v>
      </x:c>
      <x:c r="B19" s="7" t="str">
        <x:v>逐雷战靴</x:v>
      </x:c>
      <x:c r="C19" s="7" t="str">
        <x:v>鞋子</x:v>
      </x:c>
      <x:c r="D19" s="7" t="str">
        <x:v>逐雷骑士</x:v>
      </x:c>
      <x:c r="E19" s="7" t="str">
        <x:v>rare</x:v>
      </x:c>
      <x:c r="F19" s="7" t="n">
        <x:v>6099</x:v>
      </x:c>
      <x:c r="G19" s="7" t="str">
        <x:v>是</x:v>
      </x:c>
      <x:c r="H19" s="7" t="str">
        <x:v>否</x:v>
      </x:c>
      <x:c r="I19" s="7" t="n">
        <x:v>5</x:v>
      </x:c>
      <x:c r="J19" s="7" t="n">
        <x:v>4</x:v>
      </x:c>
      <x:c r="K19" s="7" t="n">
        <x:v>6</x:v>
      </x:c>
      <x:c r="L19" s="7" t="n">
        <x:v>1</x:v>
      </x:c>
      <x:c r="M19" s="7"/>
      <x:c r="N19" s="7"/>
      <x:c r="O19" s="7"/>
      <x:c r="P19" s="7"/>
      <x:c r="Q19" s="7"/>
      <x:c r="R19" s="7" t="n">
        <x:v>5</x:v>
      </x:c>
      <x:c r="S19" s="7" t="n">
        <x:v>0</x:v>
      </x:c>
      <x:c r="T19" s="7" t="n">
        <x:f>R19*S19</x:f>
        <x:v>0</x:v>
      </x:c>
      <x:c r="U19" s="8" t="str">
        <x:v>EL-C01-V1-20260820</x:v>
      </x:c>
    </x:row>
    <x:row r="20">
      <x:c r="A20" s="6" t="str">
        <x:v>EL-EQP-C01-019</x:v>
      </x:c>
      <x:c r="B20" s="7" t="str">
        <x:v>风暴勋章</x:v>
      </x:c>
      <x:c r="C20" s="7" t="str">
        <x:v>勋章</x:v>
      </x:c>
      <x:c r="D20" s="7" t="str">
        <x:v>风暴祭司</x:v>
      </x:c>
      <x:c r="E20" s="7" t="str">
        <x:v>rare</x:v>
      </x:c>
      <x:c r="F20" s="7" t="n">
        <x:v>6092</x:v>
      </x:c>
      <x:c r="G20" s="7" t="str">
        <x:v>是</x:v>
      </x:c>
      <x:c r="H20" s="7" t="str">
        <x:v>否</x:v>
      </x:c>
      <x:c r="I20" s="7" t="n">
        <x:v>5</x:v>
      </x:c>
      <x:c r="J20" s="7" t="n">
        <x:v>4</x:v>
      </x:c>
      <x:c r="K20" s="7" t="n">
        <x:v>6</x:v>
      </x:c>
      <x:c r="L20" s="7" t="n">
        <x:v>1</x:v>
      </x:c>
      <x:c r="M20" s="7"/>
      <x:c r="N20" s="7"/>
      <x:c r="O20" s="7"/>
      <x:c r="P20" s="7"/>
      <x:c r="Q20" s="7"/>
      <x:c r="R20" s="7" t="n">
        <x:v>5</x:v>
      </x:c>
      <x:c r="S20" s="7" t="n">
        <x:v>0</x:v>
      </x:c>
      <x:c r="T20" s="7" t="n">
        <x:f>R20*S20</x:f>
        <x:v>0</x:v>
      </x:c>
      <x:c r="U20" s="8" t="str">
        <x:v>EL-C01-V1-20260820</x:v>
      </x:c>
    </x:row>
    <x:row r="21">
      <x:c r="A21" s="6" t="str">
        <x:v>EL-EQP-C01-020</x:v>
      </x:c>
      <x:c r="B21" s="7" t="str">
        <x:v>裂岩巨盾</x:v>
      </x:c>
      <x:c r="C21" s="7" t="str">
        <x:v>盾牌</x:v>
      </x:c>
      <x:c r="D21" s="7" t="str">
        <x:v>裂岩巨人</x:v>
      </x:c>
      <x:c r="E21" s="7" t="str">
        <x:v>rare</x:v>
      </x:c>
      <x:c r="F21" s="7" t="n">
        <x:v>6097</x:v>
      </x:c>
      <x:c r="G21" s="7" t="str">
        <x:v>是</x:v>
      </x:c>
      <x:c r="H21" s="7" t="str">
        <x:v>否</x:v>
      </x:c>
      <x:c r="I21" s="7" t="n">
        <x:v>5</x:v>
      </x:c>
      <x:c r="J21" s="7" t="n">
        <x:v>4</x:v>
      </x:c>
      <x:c r="K21" s="7" t="n">
        <x:v>6</x:v>
      </x:c>
      <x:c r="L21" s="7" t="n">
        <x:v>1</x:v>
      </x:c>
      <x:c r="M21" s="7"/>
      <x:c r="N21" s="7"/>
      <x:c r="O21" s="7"/>
      <x:c r="P21" s="7"/>
      <x:c r="Q21" s="7"/>
      <x:c r="R21" s="7" t="n">
        <x:v>5</x:v>
      </x:c>
      <x:c r="S21" s="7" t="n">
        <x:v>0</x:v>
      </x:c>
      <x:c r="T21" s="7" t="n">
        <x:f>R21*S21</x:f>
        <x:v>0</x:v>
      </x:c>
      <x:c r="U21" s="8" t="str">
        <x:v>EL-C01-V1-20260820</x:v>
      </x:c>
    </x:row>
    <x:row r="22">
      <x:c r="A22" s="6" t="str">
        <x:v>EL-EQP-C01-021</x:v>
      </x:c>
      <x:c r="B22" s="7" t="str">
        <x:v>黑翼灵玉</x:v>
      </x:c>
      <x:c r="C22" s="7" t="str">
        <x:v>灵玉</x:v>
      </x:c>
      <x:c r="D22" s="7" t="str">
        <x:v>黑翼猎杀者</x:v>
      </x:c>
      <x:c r="E22" s="7" t="str">
        <x:v>rare</x:v>
      </x:c>
      <x:c r="F22" s="7" t="n">
        <x:v>6098</x:v>
      </x:c>
      <x:c r="G22" s="7" t="str">
        <x:v>是</x:v>
      </x:c>
      <x:c r="H22" s="7" t="str">
        <x:v>否</x:v>
      </x:c>
      <x:c r="I22" s="7" t="n">
        <x:v>5</x:v>
      </x:c>
      <x:c r="J22" s="7" t="n">
        <x:v>4</x:v>
      </x:c>
      <x:c r="K22" s="7" t="n">
        <x:v>6</x:v>
      </x:c>
      <x:c r="L22" s="7" t="n">
        <x:v>1</x:v>
      </x:c>
      <x:c r="M22" s="7"/>
      <x:c r="N22" s="7"/>
      <x:c r="O22" s="7"/>
      <x:c r="P22" s="7"/>
      <x:c r="Q22" s="7"/>
      <x:c r="R22" s="7" t="n">
        <x:v>5</x:v>
      </x:c>
      <x:c r="S22" s="7" t="n">
        <x:v>0</x:v>
      </x:c>
      <x:c r="T22" s="7" t="n">
        <x:f>R22*S22</x:f>
        <x:v>0</x:v>
      </x:c>
      <x:c r="U22" s="8" t="str">
        <x:v>EL-C01-V1-20260820</x:v>
      </x:c>
    </x:row>
    <x:row r="23">
      <x:c r="A23" s="6" t="str">
        <x:v>EL-EQP-C01-022</x:v>
      </x:c>
      <x:c r="B23" s="7" t="str">
        <x:v>执刑雷刃</x:v>
      </x:c>
      <x:c r="C23" s="7" t="str">
        <x:v>武器</x:v>
      </x:c>
      <x:c r="D23" s="7" t="str">
        <x:v>风暴执刑官·巴鲁克</x:v>
      </x:c>
      <x:c r="E23" s="7" t="str">
        <x:v>boss</x:v>
      </x:c>
      <x:c r="F23" s="7"/>
      <x:c r="G23" s="7" t="str">
        <x:v>是</x:v>
      </x:c>
      <x:c r="H23" s="7" t="str">
        <x:v>否</x:v>
      </x:c>
      <x:c r="I23" s="7" t="n">
        <x:v>7</x:v>
      </x:c>
      <x:c r="J23" s="7" t="n">
        <x:v>6</x:v>
      </x:c>
      <x:c r="K23" s="7" t="n">
        <x:v>8</x:v>
      </x:c>
      <x:c r="L23" s="7" t="n">
        <x:v>2</x:v>
      </x:c>
      <x:c r="M23" s="7"/>
      <x:c r="N23" s="7"/>
      <x:c r="O23" s="7"/>
      <x:c r="P23" s="7" t="n">
        <x:v>3</x:v>
      </x:c>
      <x:c r="Q23" s="7"/>
      <x:c r="R23" s="7" t="n">
        <x:v>8</x:v>
      </x:c>
      <x:c r="S23" s="7" t="n">
        <x:v>0</x:v>
      </x:c>
      <x:c r="T23" s="7" t="n">
        <x:f>R23*S23</x:f>
        <x:v>0</x:v>
      </x:c>
      <x:c r="U23" s="8" t="str">
        <x:v>EL-C01-V1-20260820</x:v>
      </x:c>
    </x:row>
    <x:row r="24">
      <x:c r="A24" s="6" t="str">
        <x:v>EL-EQP-C01-023</x:v>
      </x:c>
      <x:c r="B24" s="7" t="str">
        <x:v>古龙风铠</x:v>
      </x:c>
      <x:c r="C24" s="7" t="str">
        <x:v>衣服</x:v>
      </x:c>
      <x:c r="D24" s="7" t="str">
        <x:v>断崖古龙·赛尔</x:v>
      </x:c>
      <x:c r="E24" s="7" t="str">
        <x:v>boss</x:v>
      </x:c>
      <x:c r="F24" s="7"/>
      <x:c r="G24" s="7" t="str">
        <x:v>是</x:v>
      </x:c>
      <x:c r="H24" s="7" t="str">
        <x:v>否</x:v>
      </x:c>
      <x:c r="I24" s="7" t="n">
        <x:v>7</x:v>
      </x:c>
      <x:c r="J24" s="7" t="n">
        <x:v>6</x:v>
      </x:c>
      <x:c r="K24" s="7" t="n">
        <x:v>8</x:v>
      </x:c>
      <x:c r="L24" s="7" t="n">
        <x:v>2</x:v>
      </x:c>
      <x:c r="M24" s="7"/>
      <x:c r="N24" s="7"/>
      <x:c r="O24" s="7"/>
      <x:c r="P24" s="7" t="n">
        <x:v>3</x:v>
      </x:c>
      <x:c r="Q24" s="7" t="n">
        <x:v>2</x:v>
      </x:c>
      <x:c r="R24" s="7" t="n">
        <x:v>8</x:v>
      </x:c>
      <x:c r="S24" s="7" t="n">
        <x:v>0</x:v>
      </x:c>
      <x:c r="T24" s="7" t="n">
        <x:f>R24*S24</x:f>
        <x:v>0</x:v>
      </x:c>
      <x:c r="U24" s="8" t="str">
        <x:v>EL-C01-V1-20260820</x:v>
      </x:c>
    </x:row>
    <x:row r="25">
      <x:c r="A25" s="6" t="str">
        <x:v>EL-EQP-C01-024</x:v>
      </x:c>
      <x:c r="B25" s="7" t="str">
        <x:v>溺亡王盔</x:v>
      </x:c>
      <x:c r="C25" s="7" t="str">
        <x:v>头盔</x:v>
      </x:c>
      <x:c r="D25" s="7" t="str">
        <x:v>溺亡禁卫</x:v>
      </x:c>
      <x:c r="E25" s="7" t="str">
        <x:v>normal</x:v>
      </x:c>
      <x:c r="F25" s="7" t="n">
        <x:v>6130</x:v>
      </x:c>
      <x:c r="G25" s="7" t="str">
        <x:v>是</x:v>
      </x:c>
      <x:c r="H25" s="7" t="str">
        <x:v>否</x:v>
      </x:c>
      <x:c r="I25" s="7" t="n">
        <x:v>4</x:v>
      </x:c>
      <x:c r="J25" s="7" t="n">
        <x:v>3</x:v>
      </x:c>
      <x:c r="K25" s="7" t="n">
        <x:v>5</x:v>
      </x:c>
      <x:c r="L25" s="7" t="n">
        <x:v>1</x:v>
      </x:c>
      <x:c r="M25" s="7"/>
      <x:c r="N25" s="7"/>
      <x:c r="O25" s="7"/>
      <x:c r="P25" s="7"/>
      <x:c r="Q25" s="7"/>
      <x:c r="R25" s="7" t="n">
        <x:v>5</x:v>
      </x:c>
      <x:c r="S25" s="7" t="n">
        <x:v>1</x:v>
      </x:c>
      <x:c r="T25" s="7" t="n">
        <x:f>R25*S25</x:f>
        <x:v>5</x:v>
      </x:c>
      <x:c r="U25" s="8" t="str">
        <x:v>EL-C01-V1-20260820</x:v>
      </x:c>
    </x:row>
    <x:row r="26">
      <x:c r="A26" s="6" t="str">
        <x:v>EL-EQP-C01-025</x:v>
      </x:c>
      <x:c r="B26" s="7" t="str">
        <x:v>沉宫项链</x:v>
      </x:c>
      <x:c r="C26" s="7" t="str">
        <x:v>项链</x:v>
      </x:c>
      <x:c r="D26" s="7" t="str">
        <x:v>沉宫侍从</x:v>
      </x:c>
      <x:c r="E26" s="7" t="str">
        <x:v>normal</x:v>
      </x:c>
      <x:c r="F26" s="7" t="n">
        <x:v>6129</x:v>
      </x:c>
      <x:c r="G26" s="7" t="str">
        <x:v>是</x:v>
      </x:c>
      <x:c r="H26" s="7" t="str">
        <x:v>否</x:v>
      </x:c>
      <x:c r="I26" s="7" t="n">
        <x:v>4</x:v>
      </x:c>
      <x:c r="J26" s="7" t="n">
        <x:v>3</x:v>
      </x:c>
      <x:c r="K26" s="7" t="n">
        <x:v>5</x:v>
      </x:c>
      <x:c r="L26" s="7" t="n">
        <x:v>1</x:v>
      </x:c>
      <x:c r="M26" s="7"/>
      <x:c r="N26" s="7"/>
      <x:c r="O26" s="7"/>
      <x:c r="P26" s="7"/>
      <x:c r="Q26" s="7"/>
      <x:c r="R26" s="7" t="n">
        <x:v>7</x:v>
      </x:c>
      <x:c r="S26" s="7" t="n">
        <x:v>1</x:v>
      </x:c>
      <x:c r="T26" s="7" t="n">
        <x:f>R26*S26</x:f>
        <x:v>7</x:v>
      </x:c>
      <x:c r="U26" s="8" t="str">
        <x:v>EL-C01-V1-20260820</x:v>
      </x:c>
    </x:row>
    <x:row r="27">
      <x:c r="A27" s="6" t="str">
        <x:v>EL-EQP-C01-026</x:v>
      </x:c>
      <x:c r="B27" s="7" t="str">
        <x:v>苔痕护腕</x:v>
      </x:c>
      <x:c r="C27" s="7" t="str">
        <x:v>手镯</x:v>
      </x:c>
      <x:c r="D27" s="7" t="str">
        <x:v>苔甲骑兵</x:v>
      </x:c>
      <x:c r="E27" s="7" t="str">
        <x:v>normal</x:v>
      </x:c>
      <x:c r="F27" s="7" t="n">
        <x:v>6131</x:v>
      </x:c>
      <x:c r="G27" s="7" t="str">
        <x:v>是</x:v>
      </x:c>
      <x:c r="H27" s="7" t="str">
        <x:v>否</x:v>
      </x:c>
      <x:c r="I27" s="7" t="n">
        <x:v>4</x:v>
      </x:c>
      <x:c r="J27" s="7" t="n">
        <x:v>3</x:v>
      </x:c>
      <x:c r="K27" s="7" t="n">
        <x:v>5</x:v>
      </x:c>
      <x:c r="L27" s="7" t="n">
        <x:v>1</x:v>
      </x:c>
      <x:c r="M27" s="7"/>
      <x:c r="N27" s="7"/>
      <x:c r="O27" s="7"/>
      <x:c r="P27" s="7"/>
      <x:c r="Q27" s="7"/>
      <x:c r="R27" s="7" t="n">
        <x:v>7</x:v>
      </x:c>
      <x:c r="S27" s="7" t="n">
        <x:v>2</x:v>
      </x:c>
      <x:c r="T27" s="7" t="n">
        <x:f>R27*S27</x:f>
        <x:v>14</x:v>
      </x:c>
      <x:c r="U27" s="8" t="str">
        <x:v>EL-C01-V1-20260820</x:v>
      </x:c>
    </x:row>
    <x:row r="28">
      <x:c r="A28" s="6" t="str">
        <x:v>EL-EQP-C01-027</x:v>
      </x:c>
      <x:c r="B28" s="7" t="str">
        <x:v>王庭秘戒</x:v>
      </x:c>
      <x:c r="C28" s="7" t="str">
        <x:v>戒指</x:v>
      </x:c>
      <x:c r="D28" s="7" t="str">
        <x:v>王庭咒师</x:v>
      </x:c>
      <x:c r="E28" s="7" t="str">
        <x:v>normal</x:v>
      </x:c>
      <x:c r="F28" s="7" t="n">
        <x:v>6132</x:v>
      </x:c>
      <x:c r="G28" s="7" t="str">
        <x:v>是</x:v>
      </x:c>
      <x:c r="H28" s="7" t="str">
        <x:v>否</x:v>
      </x:c>
      <x:c r="I28" s="7" t="n">
        <x:v>4</x:v>
      </x:c>
      <x:c r="J28" s="7" t="n">
        <x:v>3</x:v>
      </x:c>
      <x:c r="K28" s="7" t="n">
        <x:v>5</x:v>
      </x:c>
      <x:c r="L28" s="7" t="n">
        <x:v>1</x:v>
      </x:c>
      <x:c r="M28" s="7"/>
      <x:c r="N28" s="7"/>
      <x:c r="O28" s="7"/>
      <x:c r="P28" s="7"/>
      <x:c r="Q28" s="7"/>
      <x:c r="R28" s="7" t="n">
        <x:v>7</x:v>
      </x:c>
      <x:c r="S28" s="7" t="n">
        <x:v>2</x:v>
      </x:c>
      <x:c r="T28" s="7" t="n">
        <x:f>R28*S28</x:f>
        <x:v>14</x:v>
      </x:c>
      <x:c r="U28" s="8" t="str">
        <x:v>EL-C01-V1-20260820</x:v>
      </x:c>
    </x:row>
    <x:row r="29">
      <x:c r="A29" s="6" t="str">
        <x:v>EL-EQP-C01-028</x:v>
      </x:c>
      <x:c r="B29" s="7" t="str">
        <x:v>深水束带</x:v>
      </x:c>
      <x:c r="C29" s="7" t="str">
        <x:v>腰带</x:v>
      </x:c>
      <x:c r="D29" s="7" t="str">
        <x:v>深水石像</x:v>
      </x:c>
      <x:c r="E29" s="7" t="str">
        <x:v>normal</x:v>
      </x:c>
      <x:c r="F29" s="7" t="n">
        <x:v>6136</x:v>
      </x:c>
      <x:c r="G29" s="7" t="str">
        <x:v>是</x:v>
      </x:c>
      <x:c r="H29" s="7" t="str">
        <x:v>否</x:v>
      </x:c>
      <x:c r="I29" s="7" t="n">
        <x:v>4</x:v>
      </x:c>
      <x:c r="J29" s="7" t="n">
        <x:v>3</x:v>
      </x:c>
      <x:c r="K29" s="7" t="n">
        <x:v>5</x:v>
      </x:c>
      <x:c r="L29" s="7" t="n">
        <x:v>1</x:v>
      </x:c>
      <x:c r="M29" s="7"/>
      <x:c r="N29" s="7"/>
      <x:c r="O29" s="7"/>
      <x:c r="P29" s="7"/>
      <x:c r="Q29" s="7"/>
      <x:c r="R29" s="7" t="n">
        <x:v>7</x:v>
      </x:c>
      <x:c r="S29" s="7" t="n">
        <x:v>1</x:v>
      </x:c>
      <x:c r="T29" s="7" t="n">
        <x:f>R29*S29</x:f>
        <x:v>7</x:v>
      </x:c>
      <x:c r="U29" s="8" t="str">
        <x:v>EL-C01-V1-20260820</x:v>
      </x:c>
    </x:row>
    <x:row r="30">
      <x:c r="A30" s="6" t="str">
        <x:v>EL-EQP-C01-029</x:v>
      </x:c>
      <x:c r="B30" s="7" t="str">
        <x:v>幽灯面巾</x:v>
      </x:c>
      <x:c r="C30" s="7" t="str">
        <x:v>斗笠</x:v>
      </x:c>
      <x:c r="D30" s="7" t="str">
        <x:v>幽灯侍者</x:v>
      </x:c>
      <x:c r="E30" s="7" t="str">
        <x:v>normal</x:v>
      </x:c>
      <x:c r="F30" s="7" t="n">
        <x:v>6435</x:v>
      </x:c>
      <x:c r="G30" s="7" t="str">
        <x:v>是</x:v>
      </x:c>
      <x:c r="H30" s="7" t="str">
        <x:v>否</x:v>
      </x:c>
      <x:c r="I30" s="7" t="n">
        <x:v>4</x:v>
      </x:c>
      <x:c r="J30" s="7" t="n">
        <x:v>3</x:v>
      </x:c>
      <x:c r="K30" s="7" t="n">
        <x:v>5</x:v>
      </x:c>
      <x:c r="L30" s="7" t="n">
        <x:v>1</x:v>
      </x:c>
      <x:c r="M30" s="7"/>
      <x:c r="N30" s="7"/>
      <x:c r="O30" s="7"/>
      <x:c r="P30" s="7"/>
      <x:c r="Q30" s="7"/>
      <x:c r="R30" s="7" t="n">
        <x:v>7</x:v>
      </x:c>
      <x:c r="S30" s="7" t="n">
        <x:v>1</x:v>
      </x:c>
      <x:c r="T30" s="7" t="n">
        <x:f>R30*S30</x:f>
        <x:v>7</x:v>
      </x:c>
      <x:c r="U30" s="8" t="str">
        <x:v>EL-C01-V1-20260820</x:v>
      </x:c>
    </x:row>
    <x:row r="31">
      <x:c r="A31" s="6" t="str">
        <x:v>EL-EQP-C01-030</x:v>
      </x:c>
      <x:c r="B31" s="7" t="str">
        <x:v>失冠战靴</x:v>
      </x:c>
      <x:c r="C31" s="7" t="str">
        <x:v>鞋子</x:v>
      </x:c>
      <x:c r="D31" s="7" t="str">
        <x:v>失冠王子</x:v>
      </x:c>
      <x:c r="E31" s="7" t="str">
        <x:v>rare</x:v>
      </x:c>
      <x:c r="F31" s="7" t="n">
        <x:v>6135</x:v>
      </x:c>
      <x:c r="G31" s="7" t="str">
        <x:v>是</x:v>
      </x:c>
      <x:c r="H31" s="7" t="str">
        <x:v>否</x:v>
      </x:c>
      <x:c r="I31" s="7" t="n">
        <x:v>6</x:v>
      </x:c>
      <x:c r="J31" s="7" t="n">
        <x:v>5</x:v>
      </x:c>
      <x:c r="K31" s="7" t="n">
        <x:v>7</x:v>
      </x:c>
      <x:c r="L31" s="7" t="n">
        <x:v>2</x:v>
      </x:c>
      <x:c r="M31" s="7"/>
      <x:c r="N31" s="7"/>
      <x:c r="O31" s="7"/>
      <x:c r="P31" s="7"/>
      <x:c r="Q31" s="7"/>
      <x:c r="R31" s="7" t="n">
        <x:v>12</x:v>
      </x:c>
      <x:c r="S31" s="7" t="n">
        <x:v>1</x:v>
      </x:c>
      <x:c r="T31" s="7" t="n">
        <x:f>R31*S31</x:f>
        <x:v>12</x:v>
      </x:c>
      <x:c r="U31" s="8" t="str">
        <x:v>EL-C01-V1-20260820</x:v>
      </x:c>
    </x:row>
    <x:row r="32">
      <x:c r="A32" s="6" t="str">
        <x:v>EL-EQP-C01-031</x:v>
      </x:c>
      <x:c r="B32" s="7" t="str">
        <x:v>深渊勋章</x:v>
      </x:c>
      <x:c r="C32" s="7" t="str">
        <x:v>勋章</x:v>
      </x:c>
      <x:c r="D32" s="7" t="str">
        <x:v>深渊看守</x:v>
      </x:c>
      <x:c r="E32" s="7" t="str">
        <x:v>rare</x:v>
      </x:c>
      <x:c r="F32" s="7" t="n">
        <x:v>6128</x:v>
      </x:c>
      <x:c r="G32" s="7" t="str">
        <x:v>是</x:v>
      </x:c>
      <x:c r="H32" s="7" t="str">
        <x:v>否</x:v>
      </x:c>
      <x:c r="I32" s="7" t="n">
        <x:v>6</x:v>
      </x:c>
      <x:c r="J32" s="7" t="n">
        <x:v>5</x:v>
      </x:c>
      <x:c r="K32" s="7" t="n">
        <x:v>7</x:v>
      </x:c>
      <x:c r="L32" s="7" t="n">
        <x:v>2</x:v>
      </x:c>
      <x:c r="M32" s="7"/>
      <x:c r="N32" s="7"/>
      <x:c r="O32" s="7"/>
      <x:c r="P32" s="7"/>
      <x:c r="Q32" s="7"/>
      <x:c r="R32" s="7" t="n">
        <x:v>11</x:v>
      </x:c>
      <x:c r="S32" s="7" t="n">
        <x:v>1</x:v>
      </x:c>
      <x:c r="T32" s="7" t="n">
        <x:f>R32*S32</x:f>
        <x:v>11</x:v>
      </x:c>
      <x:c r="U32" s="8" t="str">
        <x:v>EL-C01-V1-20260820</x:v>
      </x:c>
    </x:row>
    <x:row r="33">
      <x:c r="A33" s="6" t="str">
        <x:v>EL-EQP-C01-032</x:v>
      </x:c>
      <x:c r="B33" s="7" t="str">
        <x:v>裁决王盾</x:v>
      </x:c>
      <x:c r="C33" s="7" t="str">
        <x:v>盾牌</x:v>
      </x:c>
      <x:c r="D33" s="7" t="str">
        <x:v>王庭裁决官</x:v>
      </x:c>
      <x:c r="E33" s="7" t="str">
        <x:v>rare</x:v>
      </x:c>
      <x:c r="F33" s="7" t="n">
        <x:v>6133</x:v>
      </x:c>
      <x:c r="G33" s="7" t="str">
        <x:v>是</x:v>
      </x:c>
      <x:c r="H33" s="7" t="str">
        <x:v>否</x:v>
      </x:c>
      <x:c r="I33" s="7" t="n">
        <x:v>6</x:v>
      </x:c>
      <x:c r="J33" s="7" t="n">
        <x:v>5</x:v>
      </x:c>
      <x:c r="K33" s="7" t="n">
        <x:v>7</x:v>
      </x:c>
      <x:c r="L33" s="7" t="n">
        <x:v>2</x:v>
      </x:c>
      <x:c r="M33" s="7"/>
      <x:c r="N33" s="7"/>
      <x:c r="O33" s="7"/>
      <x:c r="P33" s="7"/>
      <x:c r="Q33" s="7"/>
      <x:c r="R33" s="7" t="n">
        <x:v>14</x:v>
      </x:c>
      <x:c r="S33" s="7" t="n">
        <x:v>1</x:v>
      </x:c>
      <x:c r="T33" s="7" t="n">
        <x:f>R33*S33</x:f>
        <x:v>14</x:v>
      </x:c>
      <x:c r="U33" s="8" t="str">
        <x:v>EL-C01-V1-20260820</x:v>
      </x:c>
    </x:row>
    <x:row r="34">
      <x:c r="A34" s="6" t="str">
        <x:v>EL-EQP-C01-033</x:v>
      </x:c>
      <x:c r="B34" s="7" t="str">
        <x:v>沉默灵玉</x:v>
      </x:c>
      <x:c r="C34" s="7" t="str">
        <x:v>灵玉</x:v>
      </x:c>
      <x:c r="D34" s="7" t="str">
        <x:v>沉默女祭司</x:v>
      </x:c>
      <x:c r="E34" s="7" t="str">
        <x:v>rare</x:v>
      </x:c>
      <x:c r="F34" s="7" t="n">
        <x:v>6134</x:v>
      </x:c>
      <x:c r="G34" s="7" t="str">
        <x:v>是</x:v>
      </x:c>
      <x:c r="H34" s="7" t="str">
        <x:v>否</x:v>
      </x:c>
      <x:c r="I34" s="7" t="n">
        <x:v>6</x:v>
      </x:c>
      <x:c r="J34" s="7" t="n">
        <x:v>5</x:v>
      </x:c>
      <x:c r="K34" s="7" t="n">
        <x:v>7</x:v>
      </x:c>
      <x:c r="L34" s="7" t="n">
        <x:v>2</x:v>
      </x:c>
      <x:c r="M34" s="7"/>
      <x:c r="N34" s="7"/>
      <x:c r="O34" s="7"/>
      <x:c r="P34" s="7"/>
      <x:c r="Q34" s="7"/>
      <x:c r="R34" s="7" t="n">
        <x:v>11</x:v>
      </x:c>
      <x:c r="S34" s="7" t="n">
        <x:v>1</x:v>
      </x:c>
      <x:c r="T34" s="7" t="n">
        <x:f>R34*S34</x:f>
        <x:v>11</x:v>
      </x:c>
      <x:c r="U34" s="8" t="str">
        <x:v>EL-C01-V1-20260820</x:v>
      </x:c>
    </x:row>
    <x:row r="35">
      <x:c r="A35" s="6" t="str">
        <x:v>EL-EQP-C01-034</x:v>
      </x:c>
      <x:c r="B35" s="7" t="str">
        <x:v>亲卫王剑</x:v>
      </x:c>
      <x:c r="C35" s="7" t="str">
        <x:v>武器</x:v>
      </x:c>
      <x:c r="D35" s="7" t="str">
        <x:v>溺王亲卫长·萨恩</x:v>
      </x:c>
      <x:c r="E35" s="7" t="str">
        <x:v>boss</x:v>
      </x:c>
      <x:c r="F35" s="7"/>
      <x:c r="G35" s="7" t="str">
        <x:v>是</x:v>
      </x:c>
      <x:c r="H35" s="7" t="str">
        <x:v>否</x:v>
      </x:c>
      <x:c r="I35" s="7" t="n">
        <x:v>8</x:v>
      </x:c>
      <x:c r="J35" s="7" t="n">
        <x:v>7</x:v>
      </x:c>
      <x:c r="K35" s="7" t="n">
        <x:v>10</x:v>
      </x:c>
      <x:c r="L35" s="7" t="n">
        <x:v>3</x:v>
      </x:c>
      <x:c r="M35" s="7"/>
      <x:c r="N35" s="7"/>
      <x:c r="O35" s="7"/>
      <x:c r="P35" s="7" t="n">
        <x:v>4</x:v>
      </x:c>
      <x:c r="Q35" s="7"/>
      <x:c r="R35" s="7" t="n">
        <x:v>10</x:v>
      </x:c>
      <x:c r="S35" s="7" t="n">
        <x:v>0</x:v>
      </x:c>
      <x:c r="T35" s="7" t="n">
        <x:f>R35*S35</x:f>
        <x:v>0</x:v>
      </x:c>
      <x:c r="U35" s="8" t="str">
        <x:v>EL-C01-V1-20260820</x:v>
      </x:c>
    </x:row>
    <x:row r="36">
      <x:c r="A36" s="6" t="str">
        <x:v>EL-EQP-C01-035</x:v>
      </x:c>
      <x:c r="B36" s="7" t="str">
        <x:v>深潮王铠</x:v>
      </x:c>
      <x:c r="C36" s="7" t="str">
        <x:v>衣服</x:v>
      </x:c>
      <x:c r="D36" s="7" t="str">
        <x:v>深潮大祭司·伊莱娜</x:v>
      </x:c>
      <x:c r="E36" s="7" t="str">
        <x:v>boss</x:v>
      </x:c>
      <x:c r="F36" s="7"/>
      <x:c r="G36" s="7" t="str">
        <x:v>是</x:v>
      </x:c>
      <x:c r="H36" s="7" t="str">
        <x:v>否</x:v>
      </x:c>
      <x:c r="I36" s="7" t="n">
        <x:v>8</x:v>
      </x:c>
      <x:c r="J36" s="7" t="n">
        <x:v>7</x:v>
      </x:c>
      <x:c r="K36" s="7" t="n">
        <x:v>10</x:v>
      </x:c>
      <x:c r="L36" s="7" t="n">
        <x:v>3</x:v>
      </x:c>
      <x:c r="M36" s="7"/>
      <x:c r="N36" s="7"/>
      <x:c r="O36" s="7"/>
      <x:c r="P36" s="7" t="n">
        <x:v>4</x:v>
      </x:c>
      <x:c r="Q36" s="7" t="n">
        <x:v>3</x:v>
      </x:c>
      <x:c r="R36" s="7" t="n">
        <x:v>10</x:v>
      </x:c>
      <x:c r="S36" s="7" t="n">
        <x:v>1</x:v>
      </x:c>
      <x:c r="T36" s="7" t="n">
        <x:f>R36*S36</x:f>
        <x:v>10</x:v>
      </x:c>
      <x:c r="U36" s="8" t="str">
        <x:v>EL-C01-V1-20260820</x:v>
      </x:c>
    </x:row>
    <x:row r="37">
      <x:c r="A37" s="6" t="str">
        <x:v>EL-EQP-C01-036</x:v>
      </x:c>
      <x:c r="B37" s="7" t="str">
        <x:v>沉没王权</x:v>
      </x:c>
      <x:c r="C37" s="7" t="str">
        <x:v>武器</x:v>
      </x:c>
      <x:c r="D37" s="7" t="str">
        <x:v>沉没之王·奥德里安</x:v>
      </x:c>
      <x:c r="E37" s="7" t="str">
        <x:v>gate_boss</x:v>
      </x:c>
      <x:c r="F37" s="7"/>
      <x:c r="G37" s="7" t="str">
        <x:v>是</x:v>
      </x:c>
      <x:c r="H37" s="7" t="str">
        <x:v>否</x:v>
      </x:c>
      <x:c r="I37" s="7" t="n">
        <x:v>10</x:v>
      </x:c>
      <x:c r="J37" s="7" t="n">
        <x:v>8</x:v>
      </x:c>
      <x:c r="K37" s="7" t="n">
        <x:v>12</x:v>
      </x:c>
      <x:c r="L37" s="7" t="n">
        <x:v>4</x:v>
      </x:c>
      <x:c r="M37" s="7" t="n">
        <x:v>3</x:v>
      </x:c>
      <x:c r="N37" s="7" t="n">
        <x:v>1</x:v>
      </x:c>
      <x:c r="O37" s="7" t="n">
        <x:v>10</x:v>
      </x:c>
      <x:c r="P37" s="7" t="n">
        <x:v>4</x:v>
      </x:c>
      <x:c r="Q37" s="7"/>
      <x:c r="R37" s="7" t="n">
        <x:v>15</x:v>
      </x:c>
      <x:c r="S37" s="7" t="n">
        <x:v>1</x:v>
      </x:c>
      <x:c r="T37" s="7" t="n">
        <x:f>R37*S37</x:f>
        <x:v>15</x:v>
      </x:c>
      <x:c r="U37" s="8" t="str">
        <x:v>EL-C01-V1-20260820</x:v>
      </x:c>
    </x:row>
    <x:row r="38">
      <x:c r="A38" s="6" t="str">
        <x:v>EL-EQP-C01-037</x:v>
      </x:c>
      <x:c r="B38" s="7" t="str">
        <x:v>潮葬礼剑</x:v>
      </x:c>
      <x:c r="C38" s="7" t="str">
        <x:v>时装武器</x:v>
      </x:c>
      <x:c r="D38" s="7" t="str">
        <x:v>沉没之王·奥德里安</x:v>
      </x:c>
      <x:c r="E38" s="7" t="str">
        <x:v>gate_boss</x:v>
      </x:c>
      <x:c r="F38" s="7"/>
      <x:c r="G38" s="7" t="str">
        <x:v>否</x:v>
      </x:c>
      <x:c r="H38" s="7" t="str">
        <x:v>是</x:v>
      </x:c>
      <x:c r="I38" s="7" t="n">
        <x:v>6</x:v>
      </x:c>
      <x:c r="J38" s="7" t="n">
        <x:v>5</x:v>
      </x:c>
      <x:c r="K38" s="7" t="n">
        <x:v>8</x:v>
      </x:c>
      <x:c r="L38" s="7" t="n">
        <x:v>2</x:v>
      </x:c>
      <x:c r="M38" s="7" t="n">
        <x:v>2</x:v>
      </x:c>
      <x:c r="N38" s="7"/>
      <x:c r="O38" s="7"/>
      <x:c r="P38" s="7" t="n">
        <x:v>2</x:v>
      </x:c>
      <x:c r="Q38" s="7"/>
      <x:c r="R38" s="7" t="n">
        <x:v>9</x:v>
      </x:c>
      <x:c r="S38" s="7" t="n">
        <x:v>1</x:v>
      </x:c>
      <x:c r="T38" s="7" t="n">
        <x:f>R38*S38</x:f>
        <x:v>9</x:v>
      </x:c>
      <x:c r="U38" s="8" t="str">
        <x:v>EL-C01-V1-20260820</x:v>
      </x:c>
    </x:row>
    <x:row r="39">
      <x:c r="A39" s="9" t="str">
        <x:v>EL-EQP-C01-038</x:v>
      </x:c>
      <x:c r="B39" s="10" t="str">
        <x:v>无冠王衣</x:v>
      </x:c>
      <x:c r="C39" s="10" t="str">
        <x:v>时装衣服</x:v>
      </x:c>
      <x:c r="D39" s="10" t="str">
        <x:v>沉没之王·奥德里安</x:v>
      </x:c>
      <x:c r="E39" s="10" t="str">
        <x:v>gate_boss</x:v>
      </x:c>
      <x:c r="F39" s="10"/>
      <x:c r="G39" s="10" t="str">
        <x:v>否</x:v>
      </x:c>
      <x:c r="H39" s="10" t="str">
        <x:v>是</x:v>
      </x:c>
      <x:c r="I39" s="10" t="n">
        <x:v>5</x:v>
      </x:c>
      <x:c r="J39" s="10" t="n">
        <x:v>4</x:v>
      </x:c>
      <x:c r="K39" s="10" t="n">
        <x:v>7</x:v>
      </x:c>
      <x:c r="L39" s="10" t="n">
        <x:v>2</x:v>
      </x:c>
      <x:c r="M39" s="10"/>
      <x:c r="N39" s="10"/>
      <x:c r="O39" s="10"/>
      <x:c r="P39" s="10" t="n">
        <x:v>3</x:v>
      </x:c>
      <x:c r="Q39" s="10"/>
      <x:c r="R39" s="10" t="n">
        <x:v>14</x:v>
      </x:c>
      <x:c r="S39" s="10" t="n">
        <x:v>1</x:v>
      </x:c>
      <x:c r="T39" s="10" t="n">
        <x:f>R39*S39</x:f>
        <x:v>14</x:v>
      </x:c>
      <x:c r="U39" s="11" t="str">
        <x:v>EL-C01-V1-20260820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12" hidden="0" customWidth="1"/>
    <x:col min="4" max="4" width="22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24" t="str">
        <x:v>怪物ID</x:v>
      </x:c>
      <x:c r="B1" s="25" t="str">
        <x:v>怪物名</x:v>
      </x:c>
      <x:c r="C1" s="25" t="str">
        <x:v>类型</x:v>
      </x:c>
      <x:c r="D1" s="25" t="str">
        <x:v>主要专属</x:v>
      </x:c>
      <x:c r="E1" s="25" t="str">
        <x:v>基础分母</x:v>
      </x:c>
      <x:c r="F1" s="25" t="str">
        <x:v>人物倍数</x:v>
      </x:c>
      <x:c r="G1" s="25" t="str">
        <x:v>单杀有效概率</x:v>
      </x:c>
      <x:c r="H1" s="25" t="str">
        <x:v>期望击杀</x:v>
      </x:c>
      <x:c r="I1" s="25" t="str">
        <x:v>每小时击杀参考</x:v>
      </x:c>
      <x:c r="J1" s="26" t="str">
        <x:v>每小时期望件数</x:v>
      </x:c>
    </x:row>
    <x:row r="2">
      <x:c r="A2" s="6" t="str">
        <x:v>EL-MON-C01-G01-N01</x:v>
      </x:c>
      <x:c r="B2" s="7" t="str">
        <x:v>盐蚀流民</x:v>
      </x:c>
      <x:c r="C2" s="7" t="str">
        <x:v>normal</x:v>
      </x:c>
      <x:c r="D2" s="7" t="str">
        <x:v>盐蚀弯刃</x:v>
      </x:c>
      <x:c r="E2" s="7" t="n">
        <x:v>1800</x:v>
      </x:c>
      <x:c r="F2" s="7" t="n">
        <x:v>5</x:v>
      </x:c>
      <x:c r="G2" s="35" t="n">
        <x:f>MIN(1,F2/E2)</x:f>
        <x:v>0.002777777777777778</x:v>
      </x:c>
      <x:c r="H2" s="7" t="n">
        <x:f>IF(G2&lt;=0,"",ROUNDUP(1/G2,0))</x:f>
        <x:v>360</x:v>
      </x:c>
      <x:c r="I2" s="7" t="n">
        <x:v>900</x:v>
      </x:c>
      <x:c r="J2" s="36" t="n">
        <x:f>I2*G2</x:f>
        <x:v>2.5</x:v>
      </x:c>
    </x:row>
    <x:row r="3">
      <x:c r="A3" s="6" t="str">
        <x:v>EL-MON-C01-G01-N02</x:v>
      </x:c>
      <x:c r="B3" s="7" t="str">
        <x:v>断桨弩手</x:v>
      </x:c>
      <x:c r="C3" s="7" t="str">
        <x:v>normal</x:v>
      </x:c>
      <x:c r="D3" s="7" t="str">
        <x:v>断桨骨链</x:v>
      </x:c>
      <x:c r="E3" s="7" t="n">
        <x:v>1800</x:v>
      </x:c>
      <x:c r="F3" s="7" t="n">
        <x:v>5</x:v>
      </x:c>
      <x:c r="G3" s="35" t="n">
        <x:f>MIN(1,F3/E3)</x:f>
        <x:v>0.002777777777777778</x:v>
      </x:c>
      <x:c r="H3" s="7" t="n">
        <x:f>IF(G3&lt;=0,"",ROUNDUP(1/G3,0))</x:f>
        <x:v>360</x:v>
      </x:c>
      <x:c r="I3" s="7" t="n">
        <x:v>900</x:v>
      </x:c>
      <x:c r="J3" s="36" t="n">
        <x:f>I3*G3</x:f>
        <x:v>2.5</x:v>
      </x:c>
    </x:row>
    <x:row r="4">
      <x:c r="A4" s="6" t="str">
        <x:v>EL-MON-C01-G01-N03</x:v>
      </x:c>
      <x:c r="B4" s="7" t="str">
        <x:v>漂流尸兵</x:v>
      </x:c>
      <x:c r="C4" s="7" t="str">
        <x:v>normal</x:v>
      </x:c>
      <x:c r="D4" s="7" t="str">
        <x:v>漂流尸甲</x:v>
      </x:c>
      <x:c r="E4" s="7" t="n">
        <x:v>1800</x:v>
      </x:c>
      <x:c r="F4" s="7" t="n">
        <x:v>5</x:v>
      </x:c>
      <x:c r="G4" s="35" t="n">
        <x:f>MIN(1,F4/E4)</x:f>
        <x:v>0.002777777777777778</x:v>
      </x:c>
      <x:c r="H4" s="7" t="n">
        <x:f>IF(G4&lt;=0,"",ROUNDUP(1/G4,0))</x:f>
        <x:v>360</x:v>
      </x:c>
      <x:c r="I4" s="7" t="n">
        <x:v>900</x:v>
      </x:c>
      <x:c r="J4" s="36" t="n">
        <x:f>I4*G4</x:f>
        <x:v>2.5</x:v>
      </x:c>
    </x:row>
    <x:row r="5">
      <x:c r="A5" s="6" t="str">
        <x:v>EL-MON-C01-G01-N04</x:v>
      </x:c>
      <x:c r="B5" s="7" t="str">
        <x:v>失乡猎犬</x:v>
      </x:c>
      <x:c r="C5" s="7" t="str">
        <x:v>normal</x:v>
      </x:c>
      <x:c r="D5" s="7" t="str">
        <x:v>猎犬骨戒</x:v>
      </x:c>
      <x:c r="E5" s="7" t="n">
        <x:v>1800</x:v>
      </x:c>
      <x:c r="F5" s="7" t="n">
        <x:v>5</x:v>
      </x:c>
      <x:c r="G5" s="35" t="n">
        <x:f>MIN(1,F5/E5)</x:f>
        <x:v>0.002777777777777778</x:v>
      </x:c>
      <x:c r="H5" s="7" t="n">
        <x:f>IF(G5&lt;=0,"",ROUNDUP(1/G5,0))</x:f>
        <x:v>360</x:v>
      </x:c>
      <x:c r="I5" s="7" t="n">
        <x:v>900</x:v>
      </x:c>
      <x:c r="J5" s="36" t="n">
        <x:f>I5*G5</x:f>
        <x:v>2.5</x:v>
      </x:c>
    </x:row>
    <x:row r="6">
      <x:c r="A6" s="6" t="str">
        <x:v>EL-MON-C01-G01-N05</x:v>
      </x:c>
      <x:c r="B6" s="7" t="str">
        <x:v>腐潮巨蟹</x:v>
      </x:c>
      <x:c r="C6" s="7" t="str">
        <x:v>normal</x:v>
      </x:c>
      <x:c r="D6" s="7" t="str">
        <x:v>腐潮钳镯</x:v>
      </x:c>
      <x:c r="E6" s="7" t="n">
        <x:v>1800</x:v>
      </x:c>
      <x:c r="F6" s="7" t="n">
        <x:v>5</x:v>
      </x:c>
      <x:c r="G6" s="35" t="n">
        <x:f>MIN(1,F6/E6)</x:f>
        <x:v>0.002777777777777778</x:v>
      </x:c>
      <x:c r="H6" s="7" t="n">
        <x:f>IF(G6&lt;=0,"",ROUNDUP(1/G6,0))</x:f>
        <x:v>360</x:v>
      </x:c>
      <x:c r="I6" s="7" t="n">
        <x:v>900</x:v>
      </x:c>
      <x:c r="J6" s="36" t="n">
        <x:f>I6*G6</x:f>
        <x:v>2.5</x:v>
      </x:c>
    </x:row>
    <x:row r="7">
      <x:c r="A7" s="6" t="str">
        <x:v>EL-MON-C01-G01-R01</x:v>
      </x:c>
      <x:c r="B7" s="7" t="str">
        <x:v>铁锚行刑者</x:v>
      </x:c>
      <x:c r="C7" s="7" t="str">
        <x:v>rare</x:v>
      </x:c>
      <x:c r="D7" s="7" t="str">
        <x:v>行刑锚刃</x:v>
      </x:c>
      <x:c r="E7" s="7" t="n">
        <x:v>600</x:v>
      </x:c>
      <x:c r="F7" s="7" t="n">
        <x:v>5</x:v>
      </x:c>
      <x:c r="G7" s="35" t="n">
        <x:f>MIN(1,F7/E7)</x:f>
        <x:v>0.008333333333333333</x:v>
      </x:c>
      <x:c r="H7" s="7" t="n">
        <x:f>IF(G7&lt;=0,"",ROUNDUP(1/G7,0))</x:f>
        <x:v>120</x:v>
      </x:c>
      <x:c r="I7" s="7" t="n">
        <x:v>60</x:v>
      </x:c>
      <x:c r="J7" s="36" t="n">
        <x:f>I7*G7</x:f>
        <x:v>0.5</x:v>
      </x:c>
    </x:row>
    <x:row r="8">
      <x:c r="A8" s="6" t="str">
        <x:v>EL-MON-C01-G01-R02</x:v>
      </x:c>
      <x:c r="B8" s="7" t="str">
        <x:v>唤潮祷师</x:v>
      </x:c>
      <x:c r="C8" s="7" t="str">
        <x:v>rare</x:v>
      </x:c>
      <x:c r="D8" s="7" t="str">
        <x:v>唤潮旧勋</x:v>
      </x:c>
      <x:c r="E8" s="7" t="n">
        <x:v>600</x:v>
      </x:c>
      <x:c r="F8" s="7" t="n">
        <x:v>5</x:v>
      </x:c>
      <x:c r="G8" s="35" t="n">
        <x:f>MIN(1,F8/E8)</x:f>
        <x:v>0.008333333333333333</x:v>
      </x:c>
      <x:c r="H8" s="7" t="n">
        <x:f>IF(G8&lt;=0,"",ROUNDUP(1/G8,0))</x:f>
        <x:v>120</x:v>
      </x:c>
      <x:c r="I8" s="7" t="n">
        <x:v>60</x:v>
      </x:c>
      <x:c r="J8" s="36" t="n">
        <x:f>I8*G8</x:f>
        <x:v>0.5</x:v>
      </x:c>
    </x:row>
    <x:row r="9">
      <x:c r="A9" s="6" t="str">
        <x:v>EL-MON-C01-G01-R03</x:v>
      </x:c>
      <x:c r="B9" s="7" t="str">
        <x:v>沉船守财者</x:v>
      </x:c>
      <x:c r="C9" s="7" t="str">
        <x:v>rare</x:v>
      </x:c>
      <x:c r="D9" s="7" t="str">
        <x:v>沉金铁盔</x:v>
      </x:c>
      <x:c r="E9" s="7" t="n">
        <x:v>600</x:v>
      </x:c>
      <x:c r="F9" s="7" t="n">
        <x:v>5</x:v>
      </x:c>
      <x:c r="G9" s="35" t="n">
        <x:f>MIN(1,F9/E9)</x:f>
        <x:v>0.008333333333333333</x:v>
      </x:c>
      <x:c r="H9" s="7" t="n">
        <x:f>IF(G9&lt;=0,"",ROUNDUP(1/G9,0))</x:f>
        <x:v>120</x:v>
      </x:c>
      <x:c r="I9" s="7" t="n">
        <x:v>60</x:v>
      </x:c>
      <x:c r="J9" s="36" t="n">
        <x:f>I9*G9</x:f>
        <x:v>0.5</x:v>
      </x:c>
    </x:row>
    <x:row r="10">
      <x:c r="A10" s="6" t="str">
        <x:v>EL-MON-C01-G01-R04</x:v>
      </x:c>
      <x:c r="B10" s="7" t="str">
        <x:v>海雾骑士</x:v>
      </x:c>
      <x:c r="C10" s="7" t="str">
        <x:v>rare</x:v>
      </x:c>
      <x:c r="D10" s="7" t="str">
        <x:v>海雾塔盾</x:v>
      </x:c>
      <x:c r="E10" s="7" t="n">
        <x:v>600</x:v>
      </x:c>
      <x:c r="F10" s="7" t="n">
        <x:v>5</x:v>
      </x:c>
      <x:c r="G10" s="35" t="n">
        <x:f>MIN(1,F10/E10)</x:f>
        <x:v>0.008333333333333333</x:v>
      </x:c>
      <x:c r="H10" s="7" t="n">
        <x:f>IF(G10&lt;=0,"",ROUNDUP(1/G10,0))</x:f>
        <x:v>120</x:v>
      </x:c>
      <x:c r="I10" s="7" t="n">
        <x:v>60</x:v>
      </x:c>
      <x:c r="J10" s="36" t="n">
        <x:f>I10*G10</x:f>
        <x:v>0.5</x:v>
      </x:c>
    </x:row>
    <x:row r="11">
      <x:c r="A11" s="6" t="str">
        <x:v>EL-MON-C01-G01-B01</x:v>
      </x:c>
      <x:c r="B11" s="7" t="str">
        <x:v>断桅船长·赫恩</x:v>
      </x:c>
      <x:c r="C11" s="7" t="str">
        <x:v>boss</x:v>
      </x:c>
      <x:c r="D11" s="7" t="str">
        <x:v>断桅血刃</x:v>
      </x:c>
      <x:c r="E11" s="7" t="n">
        <x:v>120</x:v>
      </x:c>
      <x:c r="F11" s="7" t="n">
        <x:v>5</x:v>
      </x:c>
      <x:c r="G11" s="35" t="n">
        <x:f>MIN(1,F11/E11)</x:f>
        <x:v>0.041666666666666664</x:v>
      </x:c>
      <x:c r="H11" s="7" t="n">
        <x:f>IF(G11&lt;=0,"",ROUNDUP(1/G11,0))</x:f>
        <x:v>24</x:v>
      </x:c>
      <x:c r="I11" s="7" t="n">
        <x:v>2</x:v>
      </x:c>
      <x:c r="J11" s="36" t="n">
        <x:f>I11*G11</x:f>
        <x:v>0.08333333333333333</x:v>
      </x:c>
    </x:row>
    <x:row r="12">
      <x:c r="A12" s="6" t="str">
        <x:v>EL-MON-C01-G01-B02</x:v>
      </x:c>
      <x:c r="B12" s="7" t="str">
        <x:v>吞岸巨兽·格拉姆</x:v>
      </x:c>
      <x:c r="C12" s="7" t="str">
        <x:v>boss</x:v>
      </x:c>
      <x:c r="D12" s="7" t="str">
        <x:v>吞岸重甲</x:v>
      </x:c>
      <x:c r="E12" s="7" t="n">
        <x:v>120</x:v>
      </x:c>
      <x:c r="F12" s="7" t="n">
        <x:v>5</x:v>
      </x:c>
      <x:c r="G12" s="35" t="n">
        <x:f>MIN(1,F12/E12)</x:f>
        <x:v>0.041666666666666664</x:v>
      </x:c>
      <x:c r="H12" s="7" t="n">
        <x:f>IF(G12&lt;=0,"",ROUNDUP(1/G12,0))</x:f>
        <x:v>24</x:v>
      </x:c>
      <x:c r="I12" s="7" t="n">
        <x:v>2</x:v>
      </x:c>
      <x:c r="J12" s="36" t="n">
        <x:f>I12*G12</x:f>
        <x:v>0.08333333333333333</x:v>
      </x:c>
    </x:row>
    <x:row r="13">
      <x:c r="A13" s="6" t="str">
        <x:v>EL-MON-C01-G02-N01</x:v>
      </x:c>
      <x:c r="B13" s="7" t="str">
        <x:v>风蚀守卫</x:v>
      </x:c>
      <x:c r="C13" s="7" t="str">
        <x:v>normal</x:v>
      </x:c>
      <x:c r="D13" s="7" t="str">
        <x:v>风蚀盔</x:v>
      </x:c>
      <x:c r="E13" s="7" t="n">
        <x:v>1800</x:v>
      </x:c>
      <x:c r="F13" s="7" t="n">
        <x:v>5</x:v>
      </x:c>
      <x:c r="G13" s="35" t="n">
        <x:f>MIN(1,F13/E13)</x:f>
        <x:v>0.002777777777777778</x:v>
      </x:c>
      <x:c r="H13" s="7" t="n">
        <x:f>IF(G13&lt;=0,"",ROUNDUP(1/G13,0))</x:f>
        <x:v>360</x:v>
      </x:c>
      <x:c r="I13" s="7" t="n">
        <x:v>900</x:v>
      </x:c>
      <x:c r="J13" s="36" t="n">
        <x:f>I13*G13</x:f>
        <x:v>2.5</x:v>
      </x:c>
    </x:row>
    <x:row r="14">
      <x:c r="A14" s="6" t="str">
        <x:v>EL-MON-C01-G02-N02</x:v>
      </x:c>
      <x:c r="B14" s="7" t="str">
        <x:v>断崖弩手</x:v>
      </x:c>
      <x:c r="C14" s="7" t="str">
        <x:v>normal</x:v>
      </x:c>
      <x:c r="D14" s="7" t="str">
        <x:v>鹰眼链</x:v>
      </x:c>
      <x:c r="E14" s="7" t="n">
        <x:v>1800</x:v>
      </x:c>
      <x:c r="F14" s="7" t="n">
        <x:v>5</x:v>
      </x:c>
      <x:c r="G14" s="35" t="n">
        <x:f>MIN(1,F14/E14)</x:f>
        <x:v>0.002777777777777778</x:v>
      </x:c>
      <x:c r="H14" s="7" t="n">
        <x:f>IF(G14&lt;=0,"",ROUNDUP(1/G14,0))</x:f>
        <x:v>360</x:v>
      </x:c>
      <x:c r="I14" s="7" t="n">
        <x:v>900</x:v>
      </x:c>
      <x:c r="J14" s="36" t="n">
        <x:f>I14*G14</x:f>
        <x:v>2.5</x:v>
      </x:c>
    </x:row>
    <x:row r="15">
      <x:c r="A15" s="6" t="str">
        <x:v>EL-MON-C01-G02-N03</x:v>
      </x:c>
      <x:c r="B15" s="7" t="str">
        <x:v>雷羽鹰</x:v>
      </x:c>
      <x:c r="C15" s="7" t="str">
        <x:v>normal</x:v>
      </x:c>
      <x:c r="D15" s="7" t="str">
        <x:v>雷羽护腕</x:v>
      </x:c>
      <x:c r="E15" s="7" t="n">
        <x:v>1800</x:v>
      </x:c>
      <x:c r="F15" s="7" t="n">
        <x:v>5</x:v>
      </x:c>
      <x:c r="G15" s="35" t="n">
        <x:f>MIN(1,F15/E15)</x:f>
        <x:v>0.002777777777777778</x:v>
      </x:c>
      <x:c r="H15" s="7" t="n">
        <x:f>IF(G15&lt;=0,"",ROUNDUP(1/G15,0))</x:f>
        <x:v>360</x:v>
      </x:c>
      <x:c r="I15" s="7" t="n">
        <x:v>900</x:v>
      </x:c>
      <x:c r="J15" s="36" t="n">
        <x:f>I15*G15</x:f>
        <x:v>2.5</x:v>
      </x:c>
    </x:row>
    <x:row r="16">
      <x:c r="A16" s="6" t="str">
        <x:v>EL-MON-C01-G02-N04</x:v>
      </x:c>
      <x:c r="B16" s="7" t="str">
        <x:v>狂风战奴</x:v>
      </x:c>
      <x:c r="C16" s="7" t="str">
        <x:v>normal</x:v>
      </x:c>
      <x:c r="D16" s="7" t="str">
        <x:v>狂风骨戒</x:v>
      </x:c>
      <x:c r="E16" s="7" t="n">
        <x:v>1800</x:v>
      </x:c>
      <x:c r="F16" s="7" t="n">
        <x:v>5</x:v>
      </x:c>
      <x:c r="G16" s="35" t="n">
        <x:f>MIN(1,F16/E16)</x:f>
        <x:v>0.002777777777777778</x:v>
      </x:c>
      <x:c r="H16" s="7" t="n">
        <x:f>IF(G16&lt;=0,"",ROUNDUP(1/G16,0))</x:f>
        <x:v>360</x:v>
      </x:c>
      <x:c r="I16" s="7" t="n">
        <x:v>900</x:v>
      </x:c>
      <x:c r="J16" s="36" t="n">
        <x:f>I16*G16</x:f>
        <x:v>2.5</x:v>
      </x:c>
    </x:row>
    <x:row r="17">
      <x:c r="A17" s="6" t="str">
        <x:v>EL-MON-C01-G02-N05</x:v>
      </x:c>
      <x:c r="B17" s="7" t="str">
        <x:v>坠崖亡兵</x:v>
      </x:c>
      <x:c r="C17" s="7" t="str">
        <x:v>normal</x:v>
      </x:c>
      <x:c r="D17" s="7" t="str">
        <x:v>断崖束带</x:v>
      </x:c>
      <x:c r="E17" s="7" t="n">
        <x:v>1800</x:v>
      </x:c>
      <x:c r="F17" s="7" t="n">
        <x:v>5</x:v>
      </x:c>
      <x:c r="G17" s="35" t="n">
        <x:f>MIN(1,F17/E17)</x:f>
        <x:v>0.002777777777777778</x:v>
      </x:c>
      <x:c r="H17" s="7" t="n">
        <x:f>IF(G17&lt;=0,"",ROUNDUP(1/G17,0))</x:f>
        <x:v>360</x:v>
      </x:c>
      <x:c r="I17" s="7" t="n">
        <x:v>900</x:v>
      </x:c>
      <x:c r="J17" s="36" t="n">
        <x:f>I17*G17</x:f>
        <x:v>2.5</x:v>
      </x:c>
    </x:row>
    <x:row r="18">
      <x:c r="A18" s="6" t="str">
        <x:v>EL-MON-C01-G02-N06</x:v>
      </x:c>
      <x:c r="B18" s="7" t="str">
        <x:v>崖穴石蜥</x:v>
      </x:c>
      <x:c r="C18" s="7" t="str">
        <x:v>normal</x:v>
      </x:c>
      <x:c r="D18" s="7" t="str">
        <x:v>石蜥面巾</x:v>
      </x:c>
      <x:c r="E18" s="7" t="n">
        <x:v>1800</x:v>
      </x:c>
      <x:c r="F18" s="7" t="n">
        <x:v>5</x:v>
      </x:c>
      <x:c r="G18" s="35" t="n">
        <x:f>MIN(1,F18/E18)</x:f>
        <x:v>0.002777777777777778</x:v>
      </x:c>
      <x:c r="H18" s="7" t="n">
        <x:f>IF(G18&lt;=0,"",ROUNDUP(1/G18,0))</x:f>
        <x:v>360</x:v>
      </x:c>
      <x:c r="I18" s="7" t="n">
        <x:v>900</x:v>
      </x:c>
      <x:c r="J18" s="36" t="n">
        <x:f>I18*G18</x:f>
        <x:v>2.5</x:v>
      </x:c>
    </x:row>
    <x:row r="19">
      <x:c r="A19" s="6" t="str">
        <x:v>EL-MON-C01-G02-R01</x:v>
      </x:c>
      <x:c r="B19" s="7" t="str">
        <x:v>逐雷骑士</x:v>
      </x:c>
      <x:c r="C19" s="7" t="str">
        <x:v>rare</x:v>
      </x:c>
      <x:c r="D19" s="7" t="str">
        <x:v>逐雷战靴</x:v>
      </x:c>
      <x:c r="E19" s="7" t="n">
        <x:v>600</x:v>
      </x:c>
      <x:c r="F19" s="7" t="n">
        <x:v>5</x:v>
      </x:c>
      <x:c r="G19" s="35" t="n">
        <x:f>MIN(1,F19/E19)</x:f>
        <x:v>0.008333333333333333</x:v>
      </x:c>
      <x:c r="H19" s="7" t="n">
        <x:f>IF(G19&lt;=0,"",ROUNDUP(1/G19,0))</x:f>
        <x:v>120</x:v>
      </x:c>
      <x:c r="I19" s="7" t="n">
        <x:v>60</x:v>
      </x:c>
      <x:c r="J19" s="36" t="n">
        <x:f>I19*G19</x:f>
        <x:v>0.5</x:v>
      </x:c>
    </x:row>
    <x:row r="20">
      <x:c r="A20" s="6" t="str">
        <x:v>EL-MON-C01-G02-R02</x:v>
      </x:c>
      <x:c r="B20" s="7" t="str">
        <x:v>风暴祭司</x:v>
      </x:c>
      <x:c r="C20" s="7" t="str">
        <x:v>rare</x:v>
      </x:c>
      <x:c r="D20" s="7" t="str">
        <x:v>风暴勋章</x:v>
      </x:c>
      <x:c r="E20" s="7" t="n">
        <x:v>600</x:v>
      </x:c>
      <x:c r="F20" s="7" t="n">
        <x:v>5</x:v>
      </x:c>
      <x:c r="G20" s="35" t="n">
        <x:f>MIN(1,F20/E20)</x:f>
        <x:v>0.008333333333333333</x:v>
      </x:c>
      <x:c r="H20" s="7" t="n">
        <x:f>IF(G20&lt;=0,"",ROUNDUP(1/G20,0))</x:f>
        <x:v>120</x:v>
      </x:c>
      <x:c r="I20" s="7" t="n">
        <x:v>60</x:v>
      </x:c>
      <x:c r="J20" s="36" t="n">
        <x:f>I20*G20</x:f>
        <x:v>0.5</x:v>
      </x:c>
    </x:row>
    <x:row r="21">
      <x:c r="A21" s="6" t="str">
        <x:v>EL-MON-C01-G02-R03</x:v>
      </x:c>
      <x:c r="B21" s="7" t="str">
        <x:v>裂岩巨人</x:v>
      </x:c>
      <x:c r="C21" s="7" t="str">
        <x:v>rare</x:v>
      </x:c>
      <x:c r="D21" s="7" t="str">
        <x:v>裂岩巨盾</x:v>
      </x:c>
      <x:c r="E21" s="7" t="n">
        <x:v>600</x:v>
      </x:c>
      <x:c r="F21" s="7" t="n">
        <x:v>5</x:v>
      </x:c>
      <x:c r="G21" s="35" t="n">
        <x:f>MIN(1,F21/E21)</x:f>
        <x:v>0.008333333333333333</x:v>
      </x:c>
      <x:c r="H21" s="7" t="n">
        <x:f>IF(G21&lt;=0,"",ROUNDUP(1/G21,0))</x:f>
        <x:v>120</x:v>
      </x:c>
      <x:c r="I21" s="7" t="n">
        <x:v>60</x:v>
      </x:c>
      <x:c r="J21" s="36" t="n">
        <x:f>I21*G21</x:f>
        <x:v>0.5</x:v>
      </x:c>
    </x:row>
    <x:row r="22">
      <x:c r="A22" s="6" t="str">
        <x:v>EL-MON-C01-G02-R04</x:v>
      </x:c>
      <x:c r="B22" s="7" t="str">
        <x:v>黑翼猎杀者</x:v>
      </x:c>
      <x:c r="C22" s="7" t="str">
        <x:v>rare</x:v>
      </x:c>
      <x:c r="D22" s="7" t="str">
        <x:v>黑翼灵玉</x:v>
      </x:c>
      <x:c r="E22" s="7" t="n">
        <x:v>600</x:v>
      </x:c>
      <x:c r="F22" s="7" t="n">
        <x:v>5</x:v>
      </x:c>
      <x:c r="G22" s="35" t="n">
        <x:f>MIN(1,F22/E22)</x:f>
        <x:v>0.008333333333333333</x:v>
      </x:c>
      <x:c r="H22" s="7" t="n">
        <x:f>IF(G22&lt;=0,"",ROUNDUP(1/G22,0))</x:f>
        <x:v>120</x:v>
      </x:c>
      <x:c r="I22" s="7" t="n">
        <x:v>60</x:v>
      </x:c>
      <x:c r="J22" s="36" t="n">
        <x:f>I22*G22</x:f>
        <x:v>0.5</x:v>
      </x:c>
    </x:row>
    <x:row r="23">
      <x:c r="A23" s="6" t="str">
        <x:v>EL-MON-C01-G02-B01</x:v>
      </x:c>
      <x:c r="B23" s="7" t="str">
        <x:v>风暴执刑官·巴鲁克</x:v>
      </x:c>
      <x:c r="C23" s="7" t="str">
        <x:v>boss</x:v>
      </x:c>
      <x:c r="D23" s="7" t="str">
        <x:v>执刑雷刃</x:v>
      </x:c>
      <x:c r="E23" s="7" t="n">
        <x:v>120</x:v>
      </x:c>
      <x:c r="F23" s="7" t="n">
        <x:v>5</x:v>
      </x:c>
      <x:c r="G23" s="35" t="n">
        <x:f>MIN(1,F23/E23)</x:f>
        <x:v>0.041666666666666664</x:v>
      </x:c>
      <x:c r="H23" s="7" t="n">
        <x:f>IF(G23&lt;=0,"",ROUNDUP(1/G23,0))</x:f>
        <x:v>24</x:v>
      </x:c>
      <x:c r="I23" s="7" t="n">
        <x:v>2</x:v>
      </x:c>
      <x:c r="J23" s="36" t="n">
        <x:f>I23*G23</x:f>
        <x:v>0.08333333333333333</x:v>
      </x:c>
    </x:row>
    <x:row r="24">
      <x:c r="A24" s="6" t="str">
        <x:v>EL-MON-C01-G02-B02</x:v>
      </x:c>
      <x:c r="B24" s="7" t="str">
        <x:v>断崖古龙·赛尔</x:v>
      </x:c>
      <x:c r="C24" s="7" t="str">
        <x:v>boss</x:v>
      </x:c>
      <x:c r="D24" s="7" t="str">
        <x:v>古龙风铠</x:v>
      </x:c>
      <x:c r="E24" s="7" t="n">
        <x:v>120</x:v>
      </x:c>
      <x:c r="F24" s="7" t="n">
        <x:v>5</x:v>
      </x:c>
      <x:c r="G24" s="35" t="n">
        <x:f>MIN(1,F24/E24)</x:f>
        <x:v>0.041666666666666664</x:v>
      </x:c>
      <x:c r="H24" s="7" t="n">
        <x:f>IF(G24&lt;=0,"",ROUNDUP(1/G24,0))</x:f>
        <x:v>24</x:v>
      </x:c>
      <x:c r="I24" s="7" t="n">
        <x:v>2</x:v>
      </x:c>
      <x:c r="J24" s="36" t="n">
        <x:f>I24*G24</x:f>
        <x:v>0.08333333333333333</x:v>
      </x:c>
    </x:row>
    <x:row r="25">
      <x:c r="A25" s="6" t="str">
        <x:v>EL-MON-C01-G03-N01</x:v>
      </x:c>
      <x:c r="B25" s="7" t="str">
        <x:v>溺亡禁卫</x:v>
      </x:c>
      <x:c r="C25" s="7" t="str">
        <x:v>normal</x:v>
      </x:c>
      <x:c r="D25" s="7" t="str">
        <x:v>溺亡王盔</x:v>
      </x:c>
      <x:c r="E25" s="7" t="n">
        <x:v>1800</x:v>
      </x:c>
      <x:c r="F25" s="7" t="n">
        <x:v>5</x:v>
      </x:c>
      <x:c r="G25" s="35" t="n">
        <x:f>MIN(1,F25/E25)</x:f>
        <x:v>0.002777777777777778</x:v>
      </x:c>
      <x:c r="H25" s="7" t="n">
        <x:f>IF(G25&lt;=0,"",ROUNDUP(1/G25,0))</x:f>
        <x:v>360</x:v>
      </x:c>
      <x:c r="I25" s="7" t="n">
        <x:v>900</x:v>
      </x:c>
      <x:c r="J25" s="36" t="n">
        <x:f>I25*G25</x:f>
        <x:v>2.5</x:v>
      </x:c>
    </x:row>
    <x:row r="26">
      <x:c r="A26" s="6" t="str">
        <x:v>EL-MON-C01-G03-N02</x:v>
      </x:c>
      <x:c r="B26" s="7" t="str">
        <x:v>沉宫侍从</x:v>
      </x:c>
      <x:c r="C26" s="7" t="str">
        <x:v>normal</x:v>
      </x:c>
      <x:c r="D26" s="7" t="str">
        <x:v>沉宫项链</x:v>
      </x:c>
      <x:c r="E26" s="7" t="n">
        <x:v>1800</x:v>
      </x:c>
      <x:c r="F26" s="7" t="n">
        <x:v>5</x:v>
      </x:c>
      <x:c r="G26" s="35" t="n">
        <x:f>MIN(1,F26/E26)</x:f>
        <x:v>0.002777777777777778</x:v>
      </x:c>
      <x:c r="H26" s="7" t="n">
        <x:f>IF(G26&lt;=0,"",ROUNDUP(1/G26,0))</x:f>
        <x:v>360</x:v>
      </x:c>
      <x:c r="I26" s="7" t="n">
        <x:v>900</x:v>
      </x:c>
      <x:c r="J26" s="36" t="n">
        <x:f>I26*G26</x:f>
        <x:v>2.5</x:v>
      </x:c>
    </x:row>
    <x:row r="27">
      <x:c r="A27" s="6" t="str">
        <x:v>EL-MON-C01-G03-N03</x:v>
      </x:c>
      <x:c r="B27" s="7" t="str">
        <x:v>苔甲骑兵</x:v>
      </x:c>
      <x:c r="C27" s="7" t="str">
        <x:v>normal</x:v>
      </x:c>
      <x:c r="D27" s="7" t="str">
        <x:v>苔痕护腕</x:v>
      </x:c>
      <x:c r="E27" s="7" t="n">
        <x:v>1800</x:v>
      </x:c>
      <x:c r="F27" s="7" t="n">
        <x:v>5</x:v>
      </x:c>
      <x:c r="G27" s="35" t="n">
        <x:f>MIN(1,F27/E27)</x:f>
        <x:v>0.002777777777777778</x:v>
      </x:c>
      <x:c r="H27" s="7" t="n">
        <x:f>IF(G27&lt;=0,"",ROUNDUP(1/G27,0))</x:f>
        <x:v>360</x:v>
      </x:c>
      <x:c r="I27" s="7" t="n">
        <x:v>900</x:v>
      </x:c>
      <x:c r="J27" s="36" t="n">
        <x:f>I27*G27</x:f>
        <x:v>2.5</x:v>
      </x:c>
    </x:row>
    <x:row r="28">
      <x:c r="A28" s="6" t="str">
        <x:v>EL-MON-C01-G03-N04</x:v>
      </x:c>
      <x:c r="B28" s="7" t="str">
        <x:v>王庭咒师</x:v>
      </x:c>
      <x:c r="C28" s="7" t="str">
        <x:v>normal</x:v>
      </x:c>
      <x:c r="D28" s="7" t="str">
        <x:v>王庭秘戒</x:v>
      </x:c>
      <x:c r="E28" s="7" t="n">
        <x:v>1800</x:v>
      </x:c>
      <x:c r="F28" s="7" t="n">
        <x:v>5</x:v>
      </x:c>
      <x:c r="G28" s="35" t="n">
        <x:f>MIN(1,F28/E28)</x:f>
        <x:v>0.002777777777777778</x:v>
      </x:c>
      <x:c r="H28" s="7" t="n">
        <x:f>IF(G28&lt;=0,"",ROUNDUP(1/G28,0))</x:f>
        <x:v>360</x:v>
      </x:c>
      <x:c r="I28" s="7" t="n">
        <x:v>900</x:v>
      </x:c>
      <x:c r="J28" s="36" t="n">
        <x:f>I28*G28</x:f>
        <x:v>2.5</x:v>
      </x:c>
    </x:row>
    <x:row r="29">
      <x:c r="A29" s="6" t="str">
        <x:v>EL-MON-C01-G03-N05</x:v>
      </x:c>
      <x:c r="B29" s="7" t="str">
        <x:v>深水石像</x:v>
      </x:c>
      <x:c r="C29" s="7" t="str">
        <x:v>normal</x:v>
      </x:c>
      <x:c r="D29" s="7" t="str">
        <x:v>深水束带</x:v>
      </x:c>
      <x:c r="E29" s="7" t="n">
        <x:v>1800</x:v>
      </x:c>
      <x:c r="F29" s="7" t="n">
        <x:v>5</x:v>
      </x:c>
      <x:c r="G29" s="35" t="n">
        <x:f>MIN(1,F29/E29)</x:f>
        <x:v>0.002777777777777778</x:v>
      </x:c>
      <x:c r="H29" s="7" t="n">
        <x:f>IF(G29&lt;=0,"",ROUNDUP(1/G29,0))</x:f>
        <x:v>360</x:v>
      </x:c>
      <x:c r="I29" s="7" t="n">
        <x:v>900</x:v>
      </x:c>
      <x:c r="J29" s="36" t="n">
        <x:f>I29*G29</x:f>
        <x:v>2.5</x:v>
      </x:c>
    </x:row>
    <x:row r="30">
      <x:c r="A30" s="6" t="str">
        <x:v>EL-MON-C01-G03-N06</x:v>
      </x:c>
      <x:c r="B30" s="7" t="str">
        <x:v>幽灯侍者</x:v>
      </x:c>
      <x:c r="C30" s="7" t="str">
        <x:v>normal</x:v>
      </x:c>
      <x:c r="D30" s="7" t="str">
        <x:v>幽灯面巾</x:v>
      </x:c>
      <x:c r="E30" s="7" t="n">
        <x:v>1800</x:v>
      </x:c>
      <x:c r="F30" s="7" t="n">
        <x:v>5</x:v>
      </x:c>
      <x:c r="G30" s="35" t="n">
        <x:f>MIN(1,F30/E30)</x:f>
        <x:v>0.002777777777777778</x:v>
      </x:c>
      <x:c r="H30" s="7" t="n">
        <x:f>IF(G30&lt;=0,"",ROUNDUP(1/G30,0))</x:f>
        <x:v>360</x:v>
      </x:c>
      <x:c r="I30" s="7" t="n">
        <x:v>900</x:v>
      </x:c>
      <x:c r="J30" s="36" t="n">
        <x:f>I30*G30</x:f>
        <x:v>2.5</x:v>
      </x:c>
    </x:row>
    <x:row r="31">
      <x:c r="A31" s="6" t="str">
        <x:v>EL-MON-C01-G03-R01</x:v>
      </x:c>
      <x:c r="B31" s="7" t="str">
        <x:v>失冠王子</x:v>
      </x:c>
      <x:c r="C31" s="7" t="str">
        <x:v>rare</x:v>
      </x:c>
      <x:c r="D31" s="7" t="str">
        <x:v>失冠战靴</x:v>
      </x:c>
      <x:c r="E31" s="7" t="n">
        <x:v>600</x:v>
      </x:c>
      <x:c r="F31" s="7" t="n">
        <x:v>5</x:v>
      </x:c>
      <x:c r="G31" s="35" t="n">
        <x:f>MIN(1,F31/E31)</x:f>
        <x:v>0.008333333333333333</x:v>
      </x:c>
      <x:c r="H31" s="7" t="n">
        <x:f>IF(G31&lt;=0,"",ROUNDUP(1/G31,0))</x:f>
        <x:v>120</x:v>
      </x:c>
      <x:c r="I31" s="7" t="n">
        <x:v>60</x:v>
      </x:c>
      <x:c r="J31" s="36" t="n">
        <x:f>I31*G31</x:f>
        <x:v>0.5</x:v>
      </x:c>
    </x:row>
    <x:row r="32">
      <x:c r="A32" s="6" t="str">
        <x:v>EL-MON-C01-G03-R02</x:v>
      </x:c>
      <x:c r="B32" s="7" t="str">
        <x:v>深渊看守</x:v>
      </x:c>
      <x:c r="C32" s="7" t="str">
        <x:v>rare</x:v>
      </x:c>
      <x:c r="D32" s="7" t="str">
        <x:v>深渊勋章</x:v>
      </x:c>
      <x:c r="E32" s="7" t="n">
        <x:v>600</x:v>
      </x:c>
      <x:c r="F32" s="7" t="n">
        <x:v>5</x:v>
      </x:c>
      <x:c r="G32" s="35" t="n">
        <x:f>MIN(1,F32/E32)</x:f>
        <x:v>0.008333333333333333</x:v>
      </x:c>
      <x:c r="H32" s="7" t="n">
        <x:f>IF(G32&lt;=0,"",ROUNDUP(1/G32,0))</x:f>
        <x:v>120</x:v>
      </x:c>
      <x:c r="I32" s="7" t="n">
        <x:v>60</x:v>
      </x:c>
      <x:c r="J32" s="36" t="n">
        <x:f>I32*G32</x:f>
        <x:v>0.5</x:v>
      </x:c>
    </x:row>
    <x:row r="33">
      <x:c r="A33" s="6" t="str">
        <x:v>EL-MON-C01-G03-R03</x:v>
      </x:c>
      <x:c r="B33" s="7" t="str">
        <x:v>王庭裁决官</x:v>
      </x:c>
      <x:c r="C33" s="7" t="str">
        <x:v>rare</x:v>
      </x:c>
      <x:c r="D33" s="7" t="str">
        <x:v>裁决王盾</x:v>
      </x:c>
      <x:c r="E33" s="7" t="n">
        <x:v>600</x:v>
      </x:c>
      <x:c r="F33" s="7" t="n">
        <x:v>5</x:v>
      </x:c>
      <x:c r="G33" s="35" t="n">
        <x:f>MIN(1,F33/E33)</x:f>
        <x:v>0.008333333333333333</x:v>
      </x:c>
      <x:c r="H33" s="7" t="n">
        <x:f>IF(G33&lt;=0,"",ROUNDUP(1/G33,0))</x:f>
        <x:v>120</x:v>
      </x:c>
      <x:c r="I33" s="7" t="n">
        <x:v>60</x:v>
      </x:c>
      <x:c r="J33" s="36" t="n">
        <x:f>I33*G33</x:f>
        <x:v>0.5</x:v>
      </x:c>
    </x:row>
    <x:row r="34">
      <x:c r="A34" s="6" t="str">
        <x:v>EL-MON-C01-G03-R04</x:v>
      </x:c>
      <x:c r="B34" s="7" t="str">
        <x:v>沉默女祭司</x:v>
      </x:c>
      <x:c r="C34" s="7" t="str">
        <x:v>rare</x:v>
      </x:c>
      <x:c r="D34" s="7" t="str">
        <x:v>沉默灵玉</x:v>
      </x:c>
      <x:c r="E34" s="7" t="n">
        <x:v>600</x:v>
      </x:c>
      <x:c r="F34" s="7" t="n">
        <x:v>5</x:v>
      </x:c>
      <x:c r="G34" s="35" t="n">
        <x:f>MIN(1,F34/E34)</x:f>
        <x:v>0.008333333333333333</x:v>
      </x:c>
      <x:c r="H34" s="7" t="n">
        <x:f>IF(G34&lt;=0,"",ROUNDUP(1/G34,0))</x:f>
        <x:v>120</x:v>
      </x:c>
      <x:c r="I34" s="7" t="n">
        <x:v>60</x:v>
      </x:c>
      <x:c r="J34" s="36" t="n">
        <x:f>I34*G34</x:f>
        <x:v>0.5</x:v>
      </x:c>
    </x:row>
    <x:row r="35">
      <x:c r="A35" s="6" t="str">
        <x:v>EL-MON-C01-G03-B01</x:v>
      </x:c>
      <x:c r="B35" s="7" t="str">
        <x:v>溺王亲卫长·萨恩</x:v>
      </x:c>
      <x:c r="C35" s="7" t="str">
        <x:v>boss</x:v>
      </x:c>
      <x:c r="D35" s="7" t="str">
        <x:v>亲卫王剑</x:v>
      </x:c>
      <x:c r="E35" s="7" t="n">
        <x:v>120</x:v>
      </x:c>
      <x:c r="F35" s="7" t="n">
        <x:v>5</x:v>
      </x:c>
      <x:c r="G35" s="35" t="n">
        <x:f>MIN(1,F35/E35)</x:f>
        <x:v>0.041666666666666664</x:v>
      </x:c>
      <x:c r="H35" s="7" t="n">
        <x:f>IF(G35&lt;=0,"",ROUNDUP(1/G35,0))</x:f>
        <x:v>24</x:v>
      </x:c>
      <x:c r="I35" s="7" t="n">
        <x:v>2</x:v>
      </x:c>
      <x:c r="J35" s="36" t="n">
        <x:f>I35*G35</x:f>
        <x:v>0.08333333333333333</x:v>
      </x:c>
    </x:row>
    <x:row r="36">
      <x:c r="A36" s="6" t="str">
        <x:v>EL-MON-C01-G03-B02</x:v>
      </x:c>
      <x:c r="B36" s="7" t="str">
        <x:v>深潮大祭司·伊莱娜</x:v>
      </x:c>
      <x:c r="C36" s="7" t="str">
        <x:v>boss</x:v>
      </x:c>
      <x:c r="D36" s="7" t="str">
        <x:v>深潮王铠</x:v>
      </x:c>
      <x:c r="E36" s="7" t="n">
        <x:v>120</x:v>
      </x:c>
      <x:c r="F36" s="7" t="n">
        <x:v>5</x:v>
      </x:c>
      <x:c r="G36" s="35" t="n">
        <x:f>MIN(1,F36/E36)</x:f>
        <x:v>0.041666666666666664</x:v>
      </x:c>
      <x:c r="H36" s="7" t="n">
        <x:f>IF(G36&lt;=0,"",ROUNDUP(1/G36,0))</x:f>
        <x:v>24</x:v>
      </x:c>
      <x:c r="I36" s="7" t="n">
        <x:v>2</x:v>
      </x:c>
      <x:c r="J36" s="36" t="n">
        <x:f>I36*G36</x:f>
        <x:v>0.08333333333333333</x:v>
      </x:c>
    </x:row>
    <x:row r="37">
      <x:c r="A37" s="9" t="str">
        <x:v>EL-MON-C01-G03-G01</x:v>
      </x:c>
      <x:c r="B37" s="10" t="str">
        <x:v>沉没之王·奥德里安</x:v>
      </x:c>
      <x:c r="C37" s="10" t="str">
        <x:v>gate_boss</x:v>
      </x:c>
      <x:c r="D37" s="10" t="str">
        <x:v>沉没王权</x:v>
      </x:c>
      <x:c r="E37" s="10" t="n">
        <x:v>50</x:v>
      </x:c>
      <x:c r="F37" s="10" t="n">
        <x:v>5</x:v>
      </x:c>
      <x:c r="G37" s="37" t="n">
        <x:f>MIN(1,F37/E37)</x:f>
        <x:v>0.1</x:v>
      </x:c>
      <x:c r="H37" s="10" t="n">
        <x:f>IF(G37&lt;=0,"",ROUNDUP(1/G37,0))</x:f>
        <x:v>10</x:v>
      </x:c>
      <x:c r="I37" s="10" t="n">
        <x:v>0.5</x:v>
      </x:c>
      <x:c r="J37" s="38" t="n">
        <x:f>I37*G37</x:f>
        <x:v>0.05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1" hidden="0" customWidth="1"/>
    <x:col min="6" max="6" width="18" hidden="0" customWidth="1"/>
    <x:col min="7" max="7" width="11" hidden="0" customWidth="1"/>
    <x:col min="8" max="8" width="46" hidden="0" customWidth="1"/>
    <x:col min="9" max="9" width="54" hidden="0" customWidth="1"/>
    <x:col min="10" max="10" width="50" hidden="0" customWidth="1"/>
    <x:col min="11" max="11" width="14" hidden="0" customWidth="1"/>
    <x:col min="12" max="12" width="48" hidden="0" customWidth="1"/>
  </x:cols>
  <x:sheetData>
    <x:row r="1">
      <x:c r="A1" s="24" t="str">
        <x:v>NPC编号</x:v>
      </x:c>
      <x:c r="B1" s="25" t="str">
        <x:v>NPC名</x:v>
      </x:c>
      <x:c r="C1" s="25" t="str">
        <x:v>类型</x:v>
      </x:c>
      <x:c r="D1" s="25" t="str">
        <x:v>地图组</x:v>
      </x:c>
      <x:c r="E1" s="25" t="str">
        <x:v>地图号</x:v>
      </x:c>
      <x:c r="F1" s="25" t="str">
        <x:v>地图名</x:v>
      </x:c>
      <x:c r="G1" s="25" t="str">
        <x:v>坐标</x:v>
      </x:c>
      <x:c r="H1" s="25" t="str">
        <x:v>功能</x:v>
      </x:c>
      <x:c r="I1" s="25" t="str">
        <x:v>材料/货币</x:v>
      </x:c>
      <x:c r="J1" s="25" t="str">
        <x:v>奖励</x:v>
      </x:c>
      <x:c r="K1" s="25" t="str">
        <x:v>部署状态</x:v>
      </x:c>
      <x:c r="L1" s="26" t="str">
        <x:v>替代关系</x:v>
      </x:c>
    </x:row>
    <x:row r="2">
      <x:c r="A2" s="6" t="str">
        <x:v>EL-NPC-C01-001</x:v>
      </x:c>
      <x:c r="B2" s="7" t="str">
        <x:v>拾骸女·梅芙</x:v>
      </x:c>
      <x:c r="C2" s="7" t="str">
        <x:v>剧情任务NPC</x:v>
      </x:c>
      <x:c r="D2" s="7" t="str">
        <x:v>失乡者海岸</x:v>
      </x:c>
      <x:c r="E2" s="7" t="str">
        <x:v>XX330</x:v>
      </x:c>
      <x:c r="F2" s="7" t="str">
        <x:v>失乡者王座</x:v>
      </x:c>
      <x:c r="G2" s="7" t="str">
        <x:v>待选</x:v>
      </x:c>
      <x:c r="H2" s="39" t="str">
        <x:v>一次性任务《海岸亡魂》；收集四件海岸魂魄信物，保留原剧情，不再直接发称号或永久属性。</x:v>
      </x:c>
      <x:c r="I2" s="39" t="str">
        <x:v>锈锚魂魄×1；沉金魂魄×1；船长残魂×1；吞岸王魂×1；无</x:v>
      </x:c>
      <x:c r="J2" s="39" t="str">
        <x:v>漂流见证·潮×1；海蚀铁片×60；金币×100,000</x:v>
      </x:c>
      <x:c r="K2" s="39" t="str">
        <x:v>待选坐标</x:v>
      </x:c>
      <x:c r="L2" s="40" t="str">
        <x:v>保留原任务名、NPC与剧情；原直接称号/永久属性奖励废止，改为剧情凭证、材料和金币。</x:v>
      </x:c>
    </x:row>
    <x:row r="3">
      <x:c r="A3" s="6" t="str">
        <x:v>EL-NPC-C01-002</x:v>
      </x:c>
      <x:c r="B3" s="7" t="str">
        <x:v>断誓骑士·罗恩</x:v>
      </x:c>
      <x:c r="C3" s="7" t="str">
        <x:v>剧情任务NPC</x:v>
      </x:c>
      <x:c r="D3" s="7" t="str">
        <x:v>风暴断崖</x:v>
      </x:c>
      <x:c r="E3" s="7" t="str">
        <x:v>XX329</x:v>
      </x:c>
      <x:c r="F3" s="7" t="str">
        <x:v>风暴断崖三层</x:v>
      </x:c>
      <x:c r="G3" s="7" t="str">
        <x:v>待选</x:v>
      </x:c>
      <x:c r="H3" s="39" t="str">
        <x:v>一次性任务《风暴遗誓》；收集四件断崖魂魄信物，保留原剧情，不再直接发称号或永久属性。</x:v>
      </x:c>
      <x:c r="I3" s="39" t="str">
        <x:v>逐雷魂印×1；裂岩之心×1；执刑官残魂×1；古龙逆鳞×1；无</x:v>
      </x:c>
      <x:c r="J3" s="39" t="str">
        <x:v>漂流见证·雷×1；潮痕结晶×6；金币×100,000</x:v>
      </x:c>
      <x:c r="K3" s="39" t="str">
        <x:v>待选坐标</x:v>
      </x:c>
      <x:c r="L3" s="40" t="str">
        <x:v>保留原任务名、NPC与剧情；原直接称号/永久属性奖励废止，改为剧情凭证、材料和金币。</x:v>
      </x:c>
    </x:row>
    <x:row r="4">
      <x:c r="A4" s="6" t="str">
        <x:v>EL-NPC-C01-003</x:v>
      </x:c>
      <x:c r="B4" s="7" t="str">
        <x:v>无冠史官·塞蕾</x:v>
      </x:c>
      <x:c r="C4" s="7" t="str">
        <x:v>剧情任务NPC</x:v>
      </x:c>
      <x:c r="D4" s="7" t="str">
        <x:v>沉没王庭</x:v>
      </x:c>
      <x:c r="E4" s="7" t="str">
        <x:v>XX104</x:v>
      </x:c>
      <x:c r="F4" s="7" t="str">
        <x:v>沉没王庭底层</x:v>
      </x:c>
      <x:c r="G4" s="7" t="str">
        <x:v>待选</x:v>
      </x:c>
      <x:c r="H4" s="39" t="str">
        <x:v>一次性任务《沉王终曲》；收集五件王庭魂魄信物，终结奥德里安旧统治，并发放大陆剧情印记。</x:v>
      </x:c>
      <x:c r="I4" s="39" t="str">
        <x:v>失冠徽记×1；沉默祷文×1；亲卫长残魂×1；深潮祭冠×1；沉王魂核×1；无</x:v>
      </x:c>
      <x:c r="J4" s="39" t="str">
        <x:v>漂流大陆印记×1；海蚀铁片×90；金币×200,000</x:v>
      </x:c>
      <x:c r="K4" s="39" t="str">
        <x:v>待选坐标</x:v>
      </x:c>
      <x:c r="L4" s="40" t="str">
        <x:v>保留原任务名、NPC与剧情；原直接称号/永久属性奖励废止，改为剧情凭证、材料和金币。</x:v>
      </x:c>
    </x:row>
    <x:row r="5">
      <x:c r="A5" s="9" t="str">
        <x:v>EL-NPC-C01-004</x:v>
      </x:c>
      <x:c r="B5" s="10" t="str">
        <x:v>渡海铭誓官·伊莱恩</x:v>
      </x:c>
      <x:c r="C5" s="10" t="str">
        <x:v>大陆称号NPC</x:v>
      </x:c>
      <x:c r="D5" s="10" t="str">
        <x:v>失乡者海岸</x:v>
      </x:c>
      <x:c r="E5" s="10" t="str">
        <x:v>XX113</x:v>
      </x:c>
      <x:c r="F5" s="10" t="str">
        <x:v>失乡者海岸</x:v>
      </x:c>
      <x:c r="G5" s="10" t="str">
        <x:v>待选</x:v>
      </x:c>
      <x:c r="H5" s="41" t="str">
        <x:v>消耗本大陆材料和金币，按顺序升级漂流群岛五阶段称号；称号累计韧性+7、普通爆率+100%。</x:v>
      </x:c>
      <x:c r="I5" s="41" t="str">
        <x:v>第1档：海蚀铁片×30、金币×100,000；第2档：海蚀铁片×60、潮痕结晶×2、金币×100,000；第3档：海蚀铁片×90、潮痕结晶×4、金币×200,000；第4档：海蚀铁片×120、潮痕结晶×6、金币×300,000；第5档：海蚀铁片×150、潮痕结晶×8、金币×400,000、漂流大陆印记×1；金币；第一版按本大陆中位收入200,000金币/小时折算。</x:v>
      </x:c>
      <x:c r="J5" s="41" t="str">
        <x:v>潮痕幸存者：韧性+1、普通爆率+10%；断桅拾荒者：韧性+1、普通爆率+15%；风暴归岸人：韧性+1、普通爆率+20%；沉王见证者：韧性+2、普通爆率+25%；漂流群岛铭誓者：韧性+2、普通爆率+30%</x:v>
      </x:c>
      <x:c r="K5" s="41" t="str">
        <x:v>待选坐标</x:v>
      </x:c>
      <x:c r="L5" s="42" t="str">
        <x:v>替代旧地图魂魄直接换称号的方案；称号与剧情任务完全分离。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4" hidden="0" customWidth="1"/>
  </x:cols>
  <x:sheetData>
    <x:row r="1">
      <x:c r="A1" s="24" t="str">
        <x:v>校验项</x:v>
      </x:c>
      <x:c r="B1" s="25" t="str">
        <x:v>目标</x:v>
      </x:c>
      <x:c r="C1" s="25" t="str">
        <x:v>实际/公式</x:v>
      </x:c>
      <x:c r="D1" s="26" t="str">
        <x:v>判定</x:v>
      </x:c>
    </x:row>
    <x:row r="2">
      <x:c r="A2" s="6" t="str">
        <x:v>怪物数</x:v>
      </x:c>
      <x:c r="B2" s="7" t="n">
        <x:v>36</x:v>
      </x:c>
      <x:c r="C2" s="7" t="n">
        <x:v>36</x:v>
      </x:c>
      <x:c r="D2" s="8" t="str">
        <x:v>通过</x:v>
      </x:c>
    </x:row>
    <x:row r="3">
      <x:c r="A3" s="6" t="str">
        <x:v>主要专属数</x:v>
      </x:c>
      <x:c r="B3" s="7" t="n">
        <x:v>36</x:v>
      </x:c>
      <x:c r="C3" s="7" t="n">
        <x:v>36</x:v>
      </x:c>
      <x:c r="D3" s="8" t="str">
        <x:v>通过</x:v>
      </x:c>
    </x:row>
    <x:row r="4">
      <x:c r="A4" s="6" t="str">
        <x:v>守关追加装备数</x:v>
      </x:c>
      <x:c r="B4" s="7" t="n">
        <x:v>2</x:v>
      </x:c>
      <x:c r="C4" s="7" t="n">
        <x:v>2</x:v>
      </x:c>
      <x:c r="D4" s="8" t="str">
        <x:v>通过</x:v>
      </x:c>
    </x:row>
    <x:row r="5">
      <x:c r="A5" s="6" t="str">
        <x:v>NPC设计数</x:v>
      </x:c>
      <x:c r="B5" s="7" t="n">
        <x:v>4</x:v>
      </x:c>
      <x:c r="C5" s="7" t="n">
        <x:v>4</x:v>
      </x:c>
      <x:c r="D5" s="8" t="str">
        <x:v>通过</x:v>
      </x:c>
    </x:row>
    <x:row r="6">
      <x:c r="A6" s="6" t="str">
        <x:v>掉落文件数</x:v>
      </x:c>
      <x:c r="B6" s="7" t="n">
        <x:v>36</x:v>
      </x:c>
      <x:c r="C6" s="7" t="n">
        <x:v>36</x:v>
      </x:c>
      <x:c r="D6" s="8" t="str">
        <x:v>通过</x:v>
      </x:c>
    </x:row>
    <x:row r="7">
      <x:c r="A7" s="6" t="str">
        <x:v>毕业装备最大爆率</x:v>
      </x:c>
      <x:c r="B7" s="7" t="n">
        <x:v>150</x:v>
      </x:c>
      <x:c r="C7" s="7" t="n">
        <x:f>SUM('装备预算'!T2:T39)</x:f>
        <x:v>150</x:v>
      </x:c>
      <x:c r="D7" s="8" t="str">
        <x:f>IF(C7=B7,"通过","失败")</x:f>
        <x:v>通过</x:v>
      </x:c>
    </x:row>
    <x:row r="8">
      <x:c r="A8" s="6" t="str">
        <x:v>称号累计韧性</x:v>
      </x:c>
      <x:c r="B8" s="7" t="n">
        <x:v>7</x:v>
      </x:c>
      <x:c r="C8" s="7" t="n">
        <x:v>7</x:v>
      </x:c>
      <x:c r="D8" s="8" t="str">
        <x:v>通过</x:v>
      </x:c>
    </x:row>
    <x:row r="9">
      <x:c r="A9" s="6" t="str">
        <x:v>称号累计普通爆率</x:v>
      </x:c>
      <x:c r="B9" s="7" t="n">
        <x:v>100</x:v>
      </x:c>
      <x:c r="C9" s="7" t="n">
        <x:v>100</x:v>
      </x:c>
      <x:c r="D9" s="8" t="str">
        <x:v>通过</x:v>
      </x:c>
    </x:row>
    <x:row r="10">
      <x:c r="A10" s="6" t="str">
        <x:v>第一大陆地图号完整数</x:v>
      </x:c>
      <x:c r="B10" s="7" t="n">
        <x:v>11</x:v>
      </x:c>
      <x:c r="C10" s="7" t="n">
        <x:v>11</x:v>
      </x:c>
      <x:c r="D10" s="8" t="str">
        <x:v>通过</x:v>
      </x:c>
    </x:row>
    <x:row r="11">
      <x:c r="A11" s="9" t="str">
        <x:v>第一大陆来源编号/地图号冲突</x:v>
      </x:c>
      <x:c r="B11" s="10" t="n">
        <x:v>0</x:v>
      </x:c>
      <x:c r="C11" s="10" t="n">
        <x:v>0</x:v>
      </x:c>
      <x:c r="D11" s="11" t="str">
        <x:v>通过</x:v>
      </x:c>
    </x:row>
  </x:sheetData>
  <x:pageMargins left="0.7" right="0.7" top="0.75" bottom="0.75" header="0.3" footer="0.3"/>
</x:worksheet>
</file>