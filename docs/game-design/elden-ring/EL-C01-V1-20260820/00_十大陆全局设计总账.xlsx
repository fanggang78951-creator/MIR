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a5c5c7e61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十大陆总览" sheetId="1" r:id="Rd1440bb5f0974c06"/>
    <x:sheet xmlns:r="http://schemas.openxmlformats.org/officeDocument/2006/relationships" name="全局规则锁" sheetId="2" r:id="R2c1ee437eb1d43c5"/>
    <x:sheet xmlns:r="http://schemas.openxmlformats.org/officeDocument/2006/relationships" name="对象完成状态" sheetId="3" r:id="Rd25718ab585b4cb7"/>
    <x:sheet xmlns:r="http://schemas.openxmlformats.org/officeDocument/2006/relationships" name="编号冲突替代" sheetId="4" r:id="Ra574e719cdfd46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Microsoft YaHei"/>
    </x:font>
    <x:font>
      <x:i/>
      <x:sz val="11"/>
      <x:color rgb="FF1F4E78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medium">
        <x:color rgb="FF17365D"/>
      </x:left>
      <x:right style="thin">
        <x:color rgb="FFD9E2F3"/>
      </x:right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right style="thin">
        <x:color rgb="FFD9E2F3"/>
      </x:right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right style="medium">
        <x:color rgb="FF17365D"/>
      </x:right>
      <x:top style="medium">
        <x:color rgb="FF17365D"/>
      </x:top>
      <x:bottom style="medium">
        <x:color rgb="FF17365D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71c7c79ee4e46" /><Relationship Type="http://schemas.openxmlformats.org/officeDocument/2006/relationships/theme" Target="/xl/theme/theme1.xml" Id="R2ed79951e6fe498b" /><Relationship Type="http://schemas.openxmlformats.org/officeDocument/2006/relationships/sharedStrings" Target="/xl/sharedStrings.xml" Id="R114c7594b4bf47a2" /><Relationship Type="http://schemas.openxmlformats.org/officeDocument/2006/relationships/worksheet" Target="/xl/worksheets/sheet1.xml" Id="Rd1440bb5f0974c06" /><Relationship Type="http://schemas.openxmlformats.org/officeDocument/2006/relationships/worksheet" Target="/xl/worksheets/sheet2.xml" Id="R2c1ee437eb1d43c5" /><Relationship Type="http://schemas.openxmlformats.org/officeDocument/2006/relationships/worksheet" Target="/xl/worksheets/sheet3.xml" Id="Rd25718ab585b4cb7" /><Relationship Type="http://schemas.openxmlformats.org/officeDocument/2006/relationships/worksheet" Target="/xl/worksheets/sheet4.xml" Id="Ra574e719cdfd46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9" hidden="0" customWidth="1"/>
    <x:col min="4" max="4" width="9" hidden="0" customWidth="1"/>
    <x:col min="5" max="5" width="11" hidden="0" customWidth="1"/>
    <x:col min="6" max="6" width="12" hidden="0" customWidth="1"/>
    <x:col min="7" max="7" width="11" hidden="0" customWidth="1"/>
    <x:col min="8" max="8" width="12" hidden="0" customWidth="1"/>
    <x:col min="9" max="9" width="9" hidden="0" customWidth="1"/>
    <x:col min="10" max="10" width="14" hidden="0" customWidth="1"/>
    <x:col min="11" max="11" width="22" hidden="0" customWidth="1"/>
    <x:col min="12" max="12" width="18" hidden="0" customWidth="1"/>
    <x:col min="13" max="13" width="26" hidden="0" customWidth="1"/>
  </x:cols>
  <x:sheetData>
    <x:row r="1">
      <x:c r="A1" s="4" t="str">
        <x:v>《艾尔登法环》十大陆全局设计总账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6" t="str">
        <x:v>当前版本：EL-C01-V1-20260820｜按大陆制作，所有对象必须回写本总账｜地图尺寸不参与本轮设计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30" t="str">
        <x:v>大陆ID</x:v>
      </x:c>
      <x:c r="B4" s="31" t="str">
        <x:v>大陆</x:v>
      </x:c>
      <x:c r="C4" s="31" t="str">
        <x:v>地图组</x:v>
      </x:c>
      <x:c r="D4" s="31" t="str">
        <x:v>地图数</x:v>
      </x:c>
      <x:c r="E4" s="31" t="str">
        <x:v>目标怪物</x:v>
      </x:c>
      <x:c r="F4" s="31" t="str">
        <x:v>已完成怪物</x:v>
      </x:c>
      <x:c r="G4" s="31" t="str">
        <x:v>主要专属</x:v>
      </x:c>
      <x:c r="H4" s="31" t="str">
        <x:v>已完成专属</x:v>
      </x:c>
      <x:c r="I4" s="31" t="str">
        <x:v>强合成</x:v>
      </x:c>
      <x:c r="J4" s="31" t="str">
        <x:v>人物爆率倍数</x:v>
      </x:c>
      <x:c r="K4" s="31" t="str">
        <x:v>守关BOSS血量</x:v>
      </x:c>
      <x:c r="L4" s="31" t="str">
        <x:v>状态</x:v>
      </x:c>
      <x:c r="M4" s="32" t="str">
        <x:v>后续依赖</x:v>
      </x:c>
    </x:row>
    <x:row r="5">
      <x:c r="A5" s="12" t="str">
        <x:v>C01</x:v>
      </x:c>
      <x:c r="B5" s="13" t="str">
        <x:v>漂流群岛</x:v>
      </x:c>
      <x:c r="C5" s="13" t="n">
        <x:v>3</x:v>
      </x:c>
      <x:c r="D5" s="13" t="n">
        <x:v>11</x:v>
      </x:c>
      <x:c r="E5" s="13" t="n">
        <x:v>36</x:v>
      </x:c>
      <x:c r="F5" s="13" t="n">
        <x:v>36</x:v>
      </x:c>
      <x:c r="G5" s="13" t="n">
        <x:v>36</x:v>
      </x:c>
      <x:c r="H5" s="13" t="n">
        <x:v>36</x:v>
      </x:c>
      <x:c r="I5" s="13" t="n">
        <x:v>0</x:v>
      </x:c>
      <x:c r="J5" s="13" t="n">
        <x:v>5</x:v>
      </x:c>
      <x:c r="K5" s="33" t="str">
        <x:v>10000000</x:v>
      </x:c>
      <x:c r="L5" s="13" t="str">
        <x:v>第一版实数已生成</x:v>
      </x:c>
      <x:c r="M5" s="14" t="str">
        <x:v>NPC坐标与平台预检</x:v>
      </x:c>
    </x:row>
    <x:row r="6">
      <x:c r="A6" s="12" t="str">
        <x:v>C02</x:v>
      </x:c>
      <x:c r="B6" s="13" t="str">
        <x:v>宁姆格福</x:v>
      </x:c>
      <x:c r="C6" s="13" t="n">
        <x:v>5</x:v>
      </x:c>
      <x:c r="D6" s="13" t="n">
        <x:v>16</x:v>
      </x:c>
      <x:c r="E6" s="13" t="n">
        <x:v>61</x:v>
      </x:c>
      <x:c r="F6" s="13" t="n">
        <x:v>0</x:v>
      </x:c>
      <x:c r="G6" s="13" t="n">
        <x:v>61</x:v>
      </x:c>
      <x:c r="H6" s="13" t="n">
        <x:v>0</x:v>
      </x:c>
      <x:c r="I6" s="13" t="n">
        <x:v>0</x:v>
      </x:c>
      <x:c r="J6" s="13" t="n">
        <x:v>7</x:v>
      </x:c>
      <x:c r="K6" s="33" t="str">
        <x:v>200000000</x:v>
      </x:c>
      <x:c r="L6" s="13" t="str">
        <x:v>待重算</x:v>
      </x:c>
      <x:c r="M6" s="14" t="str">
        <x:v>先承接C1毕业快照</x:v>
      </x:c>
    </x:row>
    <x:row r="7">
      <x:c r="A7" s="12" t="str">
        <x:v>C03</x:v>
      </x:c>
      <x:c r="B7" s="13" t="str">
        <x:v>宁姆格福西域</x:v>
      </x:c>
      <x:c r="C7" s="13" t="n">
        <x:v>6</x:v>
      </x:c>
      <x:c r="D7" s="13" t="n">
        <x:v>20</x:v>
      </x:c>
      <x:c r="E7" s="13" t="n">
        <x:v>72</x:v>
      </x:c>
      <x:c r="F7" s="13" t="n">
        <x:v>0</x:v>
      </x:c>
      <x:c r="G7" s="13" t="n">
        <x:v>72</x:v>
      </x:c>
      <x:c r="H7" s="13" t="n">
        <x:v>0</x:v>
      </x:c>
      <x:c r="I7" s="13" t="n">
        <x:v>1</x:v>
      </x:c>
      <x:c r="J7" s="13" t="n">
        <x:v>10</x:v>
      </x:c>
      <x:c r="K7" s="33" t="str">
        <x:v>4000000000</x:v>
      </x:c>
      <x:c r="L7" s="13" t="str">
        <x:v>待制作</x:v>
      </x:c>
      <x:c r="M7" s="14" t="str">
        <x:v>承接C02毕业快照</x:v>
      </x:c>
    </x:row>
    <x:row r="8">
      <x:c r="A8" s="12" t="str">
        <x:v>C04</x:v>
      </x:c>
      <x:c r="B8" s="13" t="str">
        <x:v>利耶尼亚海域</x:v>
      </x:c>
      <x:c r="C8" s="13" t="n">
        <x:v>6</x:v>
      </x:c>
      <x:c r="D8" s="13" t="n">
        <x:v>17</x:v>
      </x:c>
      <x:c r="E8" s="13" t="n">
        <x:v>72</x:v>
      </x:c>
      <x:c r="F8" s="13" t="n">
        <x:v>0</x:v>
      </x:c>
      <x:c r="G8" s="13" t="n">
        <x:v>72</x:v>
      </x:c>
      <x:c r="H8" s="13" t="n">
        <x:v>0</x:v>
      </x:c>
      <x:c r="I8" s="13" t="n">
        <x:v>2</x:v>
      </x:c>
      <x:c r="J8" s="13" t="n">
        <x:v>14</x:v>
      </x:c>
      <x:c r="K8" s="33" t="str">
        <x:v>80000000000</x:v>
      </x:c>
      <x:c r="L8" s="13" t="str">
        <x:v>待制作</x:v>
      </x:c>
      <x:c r="M8" s="14" t="str">
        <x:v>承接C03毕业快照</x:v>
      </x:c>
    </x:row>
    <x:row r="9">
      <x:c r="A9" s="12" t="str">
        <x:v>C05</x:v>
      </x:c>
      <x:c r="B9" s="13" t="str">
        <x:v>湖之利耶尼亚</x:v>
      </x:c>
      <x:c r="C9" s="13" t="n">
        <x:v>6</x:v>
      </x:c>
      <x:c r="D9" s="13" t="n">
        <x:v>22</x:v>
      </x:c>
      <x:c r="E9" s="13" t="n">
        <x:v>72</x:v>
      </x:c>
      <x:c r="F9" s="13" t="n">
        <x:v>0</x:v>
      </x:c>
      <x:c r="G9" s="13" t="n">
        <x:v>72</x:v>
      </x:c>
      <x:c r="H9" s="13" t="n">
        <x:v>0</x:v>
      </x:c>
      <x:c r="I9" s="13" t="n">
        <x:v>1</x:v>
      </x:c>
      <x:c r="J9" s="13" t="n">
        <x:v>20</x:v>
      </x:c>
      <x:c r="K9" s="33" t="str">
        <x:v>1600000000000</x:v>
      </x:c>
      <x:c r="L9" s="13" t="str">
        <x:v>待制作</x:v>
      </x:c>
      <x:c r="M9" s="14" t="str">
        <x:v>承接C04毕业快照</x:v>
      </x:c>
    </x:row>
    <x:row r="10">
      <x:c r="A10" s="12" t="str">
        <x:v>C06</x:v>
      </x:c>
      <x:c r="B10" s="13" t="str">
        <x:v>盖利德</x:v>
      </x:c>
      <x:c r="C10" s="13" t="n">
        <x:v>3</x:v>
      </x:c>
      <x:c r="D10" s="13" t="n">
        <x:v>15</x:v>
      </x:c>
      <x:c r="E10" s="13" t="n">
        <x:v>36</x:v>
      </x:c>
      <x:c r="F10" s="13" t="n">
        <x:v>0</x:v>
      </x:c>
      <x:c r="G10" s="13" t="n">
        <x:v>36</x:v>
      </x:c>
      <x:c r="H10" s="13" t="n">
        <x:v>0</x:v>
      </x:c>
      <x:c r="I10" s="13" t="n">
        <x:v>1</x:v>
      </x:c>
      <x:c r="J10" s="13" t="n">
        <x:v>28</x:v>
      </x:c>
      <x:c r="K10" s="33" t="str">
        <x:v>32000000000000</x:v>
      </x:c>
      <x:c r="L10" s="13" t="str">
        <x:v>待制作</x:v>
      </x:c>
      <x:c r="M10" s="14" t="str">
        <x:v>承接C05毕业快照</x:v>
      </x:c>
    </x:row>
    <x:row r="11">
      <x:c r="A11" s="12" t="str">
        <x:v>C07</x:v>
      </x:c>
      <x:c r="B11" s="13" t="str">
        <x:v>化圣雪原</x:v>
      </x:c>
      <x:c r="C11" s="13" t="n">
        <x:v>3</x:v>
      </x:c>
      <x:c r="D11" s="13" t="n">
        <x:v>13</x:v>
      </x:c>
      <x:c r="E11" s="13" t="n">
        <x:v>36</x:v>
      </x:c>
      <x:c r="F11" s="13" t="n">
        <x:v>0</x:v>
      </x:c>
      <x:c r="G11" s="13" t="n">
        <x:v>36</x:v>
      </x:c>
      <x:c r="H11" s="13" t="n">
        <x:v>0</x:v>
      </x:c>
      <x:c r="I11" s="13" t="n">
        <x:v>2</x:v>
      </x:c>
      <x:c r="J11" s="13" t="n">
        <x:v>40</x:v>
      </x:c>
      <x:c r="K11" s="33" t="str">
        <x:v>640000000000000</x:v>
      </x:c>
      <x:c r="L11" s="13" t="str">
        <x:v>待制作</x:v>
      </x:c>
      <x:c r="M11" s="14" t="str">
        <x:v>承接C06毕业快照</x:v>
      </x:c>
    </x:row>
    <x:row r="12">
      <x:c r="A12" s="12" t="str">
        <x:v>C08</x:v>
      </x:c>
      <x:c r="B12" s="13" t="str">
        <x:v>巨人山顶</x:v>
      </x:c>
      <x:c r="C12" s="13" t="n">
        <x:v>4</x:v>
      </x:c>
      <x:c r="D12" s="13" t="n">
        <x:v>16</x:v>
      </x:c>
      <x:c r="E12" s="13" t="n">
        <x:v>48</x:v>
      </x:c>
      <x:c r="F12" s="13" t="n">
        <x:v>0</x:v>
      </x:c>
      <x:c r="G12" s="13" t="n">
        <x:v>48</x:v>
      </x:c>
      <x:c r="H12" s="13" t="n">
        <x:v>0</x:v>
      </x:c>
      <x:c r="I12" s="13" t="n">
        <x:v>1</x:v>
      </x:c>
      <x:c r="J12" s="13" t="n">
        <x:v>55</x:v>
      </x:c>
      <x:c r="K12" s="33" t="str">
        <x:v>12800000000000000</x:v>
      </x:c>
      <x:c r="L12" s="13" t="str">
        <x:v>待制作</x:v>
      </x:c>
      <x:c r="M12" s="14" t="str">
        <x:v>承接C07毕业快照</x:v>
      </x:c>
    </x:row>
    <x:row r="13">
      <x:c r="A13" s="12" t="str">
        <x:v>C09</x:v>
      </x:c>
      <x:c r="B13" s="13" t="str">
        <x:v>亚坛高原</x:v>
      </x:c>
      <x:c r="C13" s="13" t="n">
        <x:v>5</x:v>
      </x:c>
      <x:c r="D13" s="13" t="n">
        <x:v>22</x:v>
      </x:c>
      <x:c r="E13" s="13" t="n">
        <x:v>60</x:v>
      </x:c>
      <x:c r="F13" s="13" t="n">
        <x:v>0</x:v>
      </x:c>
      <x:c r="G13" s="13" t="n">
        <x:v>60</x:v>
      </x:c>
      <x:c r="H13" s="13" t="n">
        <x:v>0</x:v>
      </x:c>
      <x:c r="I13" s="13" t="n">
        <x:v>1</x:v>
      </x:c>
      <x:c r="J13" s="13" t="n">
        <x:v>75</x:v>
      </x:c>
      <x:c r="K13" s="33" t="str">
        <x:v>256000000000000000</x:v>
      </x:c>
      <x:c r="L13" s="13" t="str">
        <x:v>待制作</x:v>
      </x:c>
      <x:c r="M13" s="14" t="str">
        <x:v>承接C08毕业快照</x:v>
      </x:c>
    </x:row>
    <x:row r="14">
      <x:c r="A14" s="15" t="str">
        <x:v>C10</x:v>
      </x:c>
      <x:c r="B14" s="16" t="str">
        <x:v>王城罗德尔</x:v>
      </x:c>
      <x:c r="C14" s="16" t="n">
        <x:v>5</x:v>
      </x:c>
      <x:c r="D14" s="16" t="n">
        <x:v>19</x:v>
      </x:c>
      <x:c r="E14" s="16" t="n">
        <x:v>60</x:v>
      </x:c>
      <x:c r="F14" s="16" t="n">
        <x:v>0</x:v>
      </x:c>
      <x:c r="G14" s="16" t="n">
        <x:v>60</x:v>
      </x:c>
      <x:c r="H14" s="16" t="n">
        <x:v>0</x:v>
      </x:c>
      <x:c r="I14" s="16" t="n">
        <x:v>2</x:v>
      </x:c>
      <x:c r="J14" s="16" t="n">
        <x:v>100</x:v>
      </x:c>
      <x:c r="K14" s="34" t="str">
        <x:v>5120000000000000000</x:v>
      </x:c>
      <x:c r="L14" s="16" t="str">
        <x:v>待制作</x:v>
      </x:c>
      <x:c r="M14" s="17" t="str">
        <x:v>承接C09毕业快照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58" hidden="0" customWidth="1"/>
  </x:cols>
  <x:sheetData>
    <x:row r="1">
      <x:c r="A1" s="30" t="str">
        <x:v>规则ID</x:v>
      </x:c>
      <x:c r="B1" s="31" t="str">
        <x:v>当前有效规则</x:v>
      </x:c>
      <x:c r="C1" s="31" t="str">
        <x:v>锁定值</x:v>
      </x:c>
      <x:c r="D1" s="32" t="str">
        <x:v>说明</x:v>
      </x:c>
    </x:row>
    <x:row r="2">
      <x:c r="A2" s="12" t="str">
        <x:v>EL-RULE-SCOPE</x:v>
      </x:c>
      <x:c r="B2" s="13" t="str">
        <x:v>当前大陆总数</x:v>
      </x:c>
      <x:c r="C2" s="13" t="n">
        <x:v>10</x:v>
      </x:c>
      <x:c r="D2" s="14" t="str">
        <x:v>第11—13大陆只允许出现在历史变更记录</x:v>
      </x:c>
    </x:row>
    <x:row r="3">
      <x:c r="A3" s="12" t="str">
        <x:v>EL-RULE-MAPSIZE</x:v>
      </x:c>
      <x:c r="B3" s="13" t="str">
        <x:v>地图尺寸是否为设计前置</x:v>
      </x:c>
      <x:c r="C3" s="13" t="str">
        <x:v>否</x:v>
      </x:c>
      <x:c r="D3" s="14" t="str">
        <x:v>用户明确要求忽略地图大小；不得再作为阻断项</x:v>
      </x:c>
    </x:row>
    <x:row r="4">
      <x:c r="A4" s="12" t="str">
        <x:v>EL-RULE-MONSTER</x:v>
      </x:c>
      <x:c r="B4" s="13" t="str">
        <x:v>怪物与装备数值重做起点</x:v>
      </x:c>
      <x:c r="C4" s="13" t="str">
        <x:v>C01</x:v>
      </x:c>
      <x:c r="D4" s="14" t="str">
        <x:v>名称、模型、剧情和来源关系可保留，旧数值废止</x:v>
      </x:c>
    </x:row>
    <x:row r="5">
      <x:c r="A5" s="12" t="str">
        <x:v>EL-RULE-PRIMARY</x:v>
      </x:c>
      <x:c r="B5" s="13" t="str">
        <x:v>主要专属</x:v>
      </x:c>
      <x:c r="C5" s="13" t="str">
        <x:v>每怪1件</x:v>
      </x:c>
      <x:c r="D5" s="14" t="str">
        <x:v>守关BOSS可有追加时装</x:v>
      </x:c>
    </x:row>
    <x:row r="6">
      <x:c r="A6" s="12" t="str">
        <x:v>EL-RULE-DROP</x:v>
      </x:c>
      <x:c r="B6" s="13" t="str">
        <x:v>掉落校准范围</x:v>
      </x:c>
      <x:c r="C6" s="13" t="str">
        <x:v>当前大陆角色×当前大陆怪物</x:v>
      </x:c>
      <x:c r="D6" s="14" t="str">
        <x:v>不做高大陆返回低大陆惩罚</x:v>
      </x:c>
    </x:row>
    <x:row r="7">
      <x:c r="A7" s="12" t="str">
        <x:v>EL-RULE-C1-M</x:v>
      </x:c>
      <x:c r="B7" s="13" t="str">
        <x:v>第一大陆人物实际爆率</x:v>
      </x:c>
      <x:c r="C7" s="13" t="str">
        <x:v>5倍</x:v>
      </x:c>
      <x:c r="D7" s="14" t="str">
        <x:v>称号普通爆率+100%，毕业装备最大爆率+150%</x:v>
      </x:c>
    </x:row>
    <x:row r="8">
      <x:c r="A8" s="12" t="str">
        <x:v>EL-RULE-C10-M</x:v>
      </x:c>
      <x:c r="B8" s="13" t="str">
        <x:v>第十大陆人物实际爆率</x:v>
      </x:c>
      <x:c r="C8" s="13" t="str">
        <x:v>100倍</x:v>
      </x:c>
      <x:c r="D8" s="14" t="str">
        <x:v>按本大陆怪物基础概率反向校准</x:v>
      </x:c>
    </x:row>
    <x:row r="9">
      <x:c r="A9" s="12" t="str">
        <x:v>EL-RULE-HP</x:v>
      </x:c>
      <x:c r="B9" s="13" t="str">
        <x:v>守关BOSS血量增长</x:v>
      </x:c>
      <x:c r="C9" s="13" t="str">
        <x:v>每大陆×20</x:v>
      </x:c>
      <x:c r="D9" s="14" t="str">
        <x:v>C10=512京，不超过888京</x:v>
      </x:c>
    </x:row>
    <x:row r="10">
      <x:c r="A10" s="12" t="str">
        <x:v>EL-RULE-TITLE</x:v>
      </x:c>
      <x:c r="B10" s="13" t="str">
        <x:v>称号系统</x:v>
      </x:c>
      <x:c r="C10" s="13" t="str">
        <x:v>每大陆1NPC/5阶段</x:v>
      </x:c>
      <x:c r="D10" s="14" t="str">
        <x:v>剧情任务不直接发永久韧性</x:v>
      </x:c>
    </x:row>
    <x:row r="11">
      <x:c r="A11" s="12" t="str">
        <x:v>EL-RULE-SYNTH</x:v>
      </x:c>
      <x:c r="B11" s="13" t="str">
        <x:v>强合成开放</x:v>
      </x:c>
      <x:c r="C11" s="13" t="str">
        <x:v>C03—C10</x:v>
      </x:c>
      <x:c r="D11" s="14" t="str">
        <x:v>C01—C02为0；本大陆材料闭环</x:v>
      </x:c>
    </x:row>
    <x:row r="12">
      <x:c r="A12" s="12" t="str">
        <x:v>EL-RULE-COORD</x:v>
      </x:c>
      <x:c r="B12" s="13" t="str">
        <x:v>缺失坐标</x:v>
      </x:c>
      <x:c r="C12" s="13" t="str">
        <x:v>留空并标待选</x:v>
      </x:c>
      <x:c r="D12" s="14" t="str">
        <x:v>不猜填NPC或传送坐标</x:v>
      </x:c>
    </x:row>
    <x:row r="13">
      <x:c r="A13" s="15" t="str">
        <x:v>EL-RULE-OWNER</x:v>
      </x:c>
      <x:c r="B13" s="16" t="str">
        <x:v>内容主编</x:v>
      </x:c>
      <x:c r="C13" s="16" t="str">
        <x:v>ChatGPT主设计</x:v>
      </x:c>
      <x:c r="D13" s="17" t="str">
        <x:v>Codex仅机械落表、校验与本地施工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1" hidden="0" customWidth="1"/>
    <x:col min="4" max="4" width="11" hidden="0" customWidth="1"/>
    <x:col min="5" max="5" width="12" hidden="0" customWidth="1"/>
    <x:col min="6" max="6" width="24" hidden="0" customWidth="1"/>
    <x:col min="7" max="7" width="34" hidden="0" customWidth="1"/>
  </x:cols>
  <x:sheetData>
    <x:row r="1">
      <x:c r="A1" s="30" t="str">
        <x:v>大陆</x:v>
      </x:c>
      <x:c r="B1" s="31" t="str">
        <x:v>对象类型</x:v>
      </x:c>
      <x:c r="C1" s="31" t="str">
        <x:v>目标数</x:v>
      </x:c>
      <x:c r="D1" s="31" t="str">
        <x:v>已完成</x:v>
      </x:c>
      <x:c r="E1" s="31" t="str">
        <x:v>完成率</x:v>
      </x:c>
      <x:c r="F1" s="31" t="str">
        <x:v>当前版本</x:v>
      </x:c>
      <x:c r="G1" s="32" t="str">
        <x:v>下一动作</x:v>
      </x:c>
    </x:row>
    <x:row r="2">
      <x:c r="A2" s="12" t="str">
        <x:v>漂流群岛</x:v>
      </x:c>
      <x:c r="B2" s="13" t="str">
        <x:v>怪物实数</x:v>
      </x:c>
      <x:c r="C2" s="13" t="n">
        <x:v>36</x:v>
      </x:c>
      <x:c r="D2" s="13" t="n">
        <x:v>36</x:v>
      </x:c>
      <x:c r="E2" s="38" t="n">
        <x:f>D2/C2</x:f>
        <x:v>1</x:v>
      </x:c>
      <x:c r="F2" s="13" t="str">
        <x:v>EL-C01-V1-20260820</x:v>
      </x:c>
      <x:c r="G2" s="14" t="str">
        <x:v>平台预检后进服校准伤害</x:v>
      </x:c>
    </x:row>
    <x:row r="3">
      <x:c r="A3" s="12" t="str">
        <x:v>漂流群岛</x:v>
      </x:c>
      <x:c r="B3" s="13" t="str">
        <x:v>主要专属装备</x:v>
      </x:c>
      <x:c r="C3" s="13" t="n">
        <x:v>36</x:v>
      </x:c>
      <x:c r="D3" s="13" t="n">
        <x:v>36</x:v>
      </x:c>
      <x:c r="E3" s="38" t="n">
        <x:f>D3/C3</x:f>
        <x:v>1</x:v>
      </x:c>
      <x:c r="F3" s="13" t="str">
        <x:v>EL-C01-V1-20260820</x:v>
      </x:c>
      <x:c r="G3" s="14" t="str">
        <x:v>核定空白来源编号</x:v>
      </x:c>
    </x:row>
    <x:row r="4">
      <x:c r="A4" s="12" t="str">
        <x:v>漂流群岛</x:v>
      </x:c>
      <x:c r="B4" s="13" t="str">
        <x:v>守关追加时装</x:v>
      </x:c>
      <x:c r="C4" s="13" t="n">
        <x:v>2</x:v>
      </x:c>
      <x:c r="D4" s="13" t="n">
        <x:v>2</x:v>
      </x:c>
      <x:c r="E4" s="38" t="n">
        <x:f>D4/C4</x:f>
        <x:v>1</x:v>
      </x:c>
      <x:c r="F4" s="13" t="str">
        <x:v>EL-C01-V1-20260820</x:v>
      </x:c>
      <x:c r="G4" s="14" t="str">
        <x:v>核对时装母版</x:v>
      </x:c>
    </x:row>
    <x:row r="5">
      <x:c r="A5" s="12" t="str">
        <x:v>漂流群岛</x:v>
      </x:c>
      <x:c r="B5" s="13" t="str">
        <x:v>MonItems</x:v>
      </x:c>
      <x:c r="C5" s="13" t="n">
        <x:v>36</x:v>
      </x:c>
      <x:c r="D5" s="13" t="n">
        <x:v>36</x:v>
      </x:c>
      <x:c r="E5" s="38" t="n">
        <x:f>D5/C5</x:f>
        <x:v>1</x:v>
      </x:c>
      <x:c r="F5" s="13" t="str">
        <x:v>EL-C01-V1-20260820</x:v>
      </x:c>
      <x:c r="G5" s="14" t="str">
        <x:v>复制到服务器前备份</x:v>
      </x:c>
    </x:row>
    <x:row r="6">
      <x:c r="A6" s="12" t="str">
        <x:v>漂流群岛</x:v>
      </x:c>
      <x:c r="B6" s="13" t="str">
        <x:v>NPC设计TXT</x:v>
      </x:c>
      <x:c r="C6" s="13" t="n">
        <x:v>4</x:v>
      </x:c>
      <x:c r="D6" s="13" t="n">
        <x:v>4</x:v>
      </x:c>
      <x:c r="E6" s="38" t="n">
        <x:f>D6/C6</x:f>
        <x:v>1</x:v>
      </x:c>
      <x:c r="F6" s="13" t="str">
        <x:v>EL-C01-V1-20260820</x:v>
      </x:c>
      <x:c r="G6" s="14" t="str">
        <x:v>从实图选择坐标</x:v>
      </x:c>
    </x:row>
    <x:row r="7">
      <x:c r="A7" s="15" t="str">
        <x:v>十大陆</x:v>
      </x:c>
      <x:c r="B7" s="16" t="str">
        <x:v>整体怪物</x:v>
      </x:c>
      <x:c r="C7" s="16" t="n">
        <x:v>553</x:v>
      </x:c>
      <x:c r="D7" s="16" t="n">
        <x:v>36</x:v>
      </x:c>
      <x:c r="E7" s="39" t="n">
        <x:f>D7/C7</x:f>
        <x:v>0.0650994575045208</x:v>
      </x:c>
      <x:c r="F7" s="16" t="str">
        <x:v>EL-C01-V1-20260820</x:v>
      </x:c>
      <x:c r="G7" s="17" t="str">
        <x:v>下一批制作宁姆格福61怪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2" hidden="0" customWidth="1"/>
    <x:col min="4" max="4" width="11" hidden="0" customWidth="1"/>
    <x:col min="5" max="5" width="14" hidden="0" customWidth="1"/>
    <x:col min="6" max="6" width="14" hidden="0" customWidth="1"/>
    <x:col min="7" max="7" width="28" hidden="0" customWidth="1"/>
    <x:col min="8" max="8" width="30" hidden="0" customWidth="1"/>
    <x:col min="9" max="9" width="58" hidden="0" customWidth="1"/>
  </x:cols>
  <x:sheetData>
    <x:row r="1">
      <x:c r="A1" s="30" t="str">
        <x:v>地图号</x:v>
      </x:c>
      <x:c r="B1" s="31" t="str">
        <x:v>地图名</x:v>
      </x:c>
      <x:c r="C1" s="31" t="str">
        <x:v>冲突装备</x:v>
      </x:c>
      <x:c r="D1" s="31" t="str">
        <x:v>部位</x:v>
      </x:c>
      <x:c r="E1" s="31" t="str">
        <x:v>旧来源编号</x:v>
      </x:c>
      <x:c r="F1" s="31" t="str">
        <x:v>新来源编号</x:v>
      </x:c>
      <x:c r="G1" s="31" t="str">
        <x:v>新资源</x:v>
      </x:c>
      <x:c r="H1" s="31" t="str">
        <x:v>状态</x:v>
      </x:c>
      <x:c r="I1" s="32" t="str">
        <x:v>检查依据</x:v>
      </x:c>
    </x:row>
    <x:row r="2">
      <x:c r="A2" s="12" t="str">
        <x:v>XX821</x:v>
      </x:c>
      <x:c r="B2" s="13" t="str">
        <x:v>黄金矿道</x:v>
      </x:c>
      <x:c r="C2" s="13" t="str">
        <x:v>褪色旅人战靴</x:v>
      </x:c>
      <x:c r="D2" s="13" t="str">
        <x:v>鞋子</x:v>
      </x:c>
      <x:c r="E2" s="13" t="n">
        <x:v>821</x:v>
      </x:c>
      <x:c r="F2" s="13" t="n">
        <x:v>6407</x:v>
      </x:c>
      <x:c r="G2" s="13" t="str">
        <x:v>黄金圣树·初誓／鞋子</x:v>
      </x:c>
      <x:c r="H2" s="13" t="str">
        <x:v>替代号已锁定，待回写制式装备表</x:v>
      </x:c>
      <x:c r="I2" s="14" t="str">
        <x:v>正式码段；三库同码预检通过；当前未占用；与171地图数字后缀交集0</x:v>
      </x:c>
    </x:row>
    <x:row r="3">
      <x:c r="A3" s="12" t="str">
        <x:v>XX823</x:v>
      </x:c>
      <x:c r="B3" s="13" t="str">
        <x:v>深层矿井</x:v>
      </x:c>
      <x:c r="C3" s="13" t="str">
        <x:v>褪色旅人项链</x:v>
      </x:c>
      <x:c r="D3" s="13" t="str">
        <x:v>项链</x:v>
      </x:c>
      <x:c r="E3" s="13" t="n">
        <x:v>823</x:v>
      </x:c>
      <x:c r="F3" s="13" t="n">
        <x:v>6401</x:v>
      </x:c>
      <x:c r="G3" s="13" t="str">
        <x:v>黄金圣树·初誓／项链</x:v>
      </x:c>
      <x:c r="H3" s="13" t="str">
        <x:v>替代号已锁定，待回写制式装备表</x:v>
      </x:c>
      <x:c r="I3" s="14" t="str">
        <x:v>正式码段；三库同码预检通过；当前未占用；与171地图数字后缀交集0</x:v>
      </x:c>
    </x:row>
    <x:row r="4">
      <x:c r="A4" s="15" t="str">
        <x:v>XX824</x:v>
      </x:c>
      <x:c r="B4" s="16" t="str">
        <x:v>矿脉核心</x:v>
      </x:c>
      <x:c r="C4" s="16" t="str">
        <x:v>褪色旅人戒指</x:v>
      </x:c>
      <x:c r="D4" s="16" t="str">
        <x:v>戒指</x:v>
      </x:c>
      <x:c r="E4" s="16" t="n">
        <x:v>824</x:v>
      </x:c>
      <x:c r="F4" s="16" t="n">
        <x:v>6403</x:v>
      </x:c>
      <x:c r="G4" s="16" t="str">
        <x:v>黄金圣树·初誓／戒指</x:v>
      </x:c>
      <x:c r="H4" s="16" t="str">
        <x:v>替代号已锁定，待回写制式装备表</x:v>
      </x:c>
      <x:c r="I4" s="17" t="str">
        <x:v>正式码段；三库同码预检通过；当前未占用；与171地图数字后缀交集0</x:v>
      </x:c>
    </x:row>
  </x:sheetData>
  <x:pageMargins left="0.7" right="0.7" top="0.75" bottom="0.75" header="0.3" footer="0.3"/>
</x:worksheet>
</file>